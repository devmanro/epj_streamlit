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shared_btw_linux_win\workspace\EPJ\EPJ_Ressources\relevage\"/>
    </mc:Choice>
  </mc:AlternateContent>
  <xr:revisionPtr revIDLastSave="0" documentId="13_ncr:1_{718B91B0-E2AE-4642-8869-3FFF7B27D4EE}" xr6:coauthVersionLast="36" xr6:coauthVersionMax="36" xr10:uidLastSave="{00000000-0000-0000-0000-000000000000}"/>
  <bookViews>
    <workbookView xWindow="0" yWindow="0" windowWidth="24000" windowHeight="9135" activeTab="1" xr2:uid="{00000000-000D-0000-FFFF-FFFF00000000}"/>
  </bookViews>
  <sheets>
    <sheet name="Suivis Enlèvements" sheetId="1" r:id="rId1"/>
    <sheet name="Feuil1" sheetId="2" r:id="rId2"/>
  </sheets>
  <calcPr calcId="191029"/>
</workbook>
</file>

<file path=xl/calcChain.xml><?xml version="1.0" encoding="utf-8"?>
<calcChain xmlns="http://schemas.openxmlformats.org/spreadsheetml/2006/main">
  <c r="J4" i="1" l="1"/>
  <c r="J101" i="1"/>
  <c r="J102" i="1"/>
  <c r="J103" i="1"/>
  <c r="J104" i="1"/>
  <c r="J105" i="1"/>
  <c r="J106" i="1"/>
  <c r="J107" i="1"/>
  <c r="J140" i="1"/>
  <c r="J141" i="1"/>
  <c r="J142" i="1"/>
  <c r="J143" i="1"/>
  <c r="J144" i="1"/>
  <c r="J152" i="1"/>
  <c r="J2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58" i="1"/>
  <c r="J59" i="1"/>
  <c r="J60" i="1"/>
  <c r="J61" i="1"/>
  <c r="J62" i="1"/>
  <c r="J63" i="1"/>
  <c r="J64" i="1"/>
  <c r="J65" i="1"/>
  <c r="J52" i="1"/>
  <c r="J53" i="1"/>
  <c r="J54" i="1"/>
  <c r="J55" i="1"/>
  <c r="J56" i="1"/>
  <c r="J57" i="1"/>
  <c r="J67" i="1"/>
  <c r="J66" i="1"/>
  <c r="J68" i="1"/>
  <c r="J69" i="1"/>
  <c r="J70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71" i="1"/>
  <c r="J145" i="1"/>
  <c r="J146" i="1"/>
  <c r="J147" i="1"/>
  <c r="J148" i="1"/>
  <c r="J149" i="1"/>
  <c r="J150" i="1"/>
  <c r="J151" i="1"/>
  <c r="J126" i="1"/>
  <c r="J127" i="1"/>
  <c r="J72" i="1"/>
  <c r="J73" i="1"/>
  <c r="J74" i="1"/>
  <c r="J75" i="1"/>
  <c r="J76" i="1"/>
  <c r="J109" i="1"/>
  <c r="J110" i="1"/>
  <c r="J111" i="1"/>
  <c r="J112" i="1"/>
  <c r="J108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13" i="1"/>
  <c r="J115" i="1"/>
  <c r="J116" i="1"/>
  <c r="J117" i="1"/>
  <c r="J118" i="1"/>
  <c r="J119" i="1"/>
  <c r="J114" i="1"/>
  <c r="J128" i="1"/>
  <c r="J123" i="1"/>
  <c r="J124" i="1"/>
  <c r="J125" i="1"/>
  <c r="J129" i="1"/>
  <c r="J130" i="1"/>
  <c r="J131" i="1"/>
  <c r="J132" i="1"/>
  <c r="J133" i="1"/>
  <c r="J134" i="1"/>
  <c r="J135" i="1"/>
  <c r="J136" i="1"/>
  <c r="J137" i="1"/>
  <c r="J138" i="1"/>
  <c r="J139" i="1"/>
  <c r="J120" i="1"/>
  <c r="J121" i="1"/>
  <c r="J122" i="1"/>
  <c r="J153" i="1"/>
  <c r="J154" i="1"/>
  <c r="I101" i="1"/>
  <c r="I102" i="1"/>
  <c r="I103" i="1"/>
  <c r="I104" i="1"/>
  <c r="I105" i="1"/>
  <c r="I106" i="1"/>
  <c r="I107" i="1"/>
  <c r="I140" i="1"/>
  <c r="I141" i="1"/>
  <c r="I142" i="1"/>
  <c r="I143" i="1"/>
  <c r="I144" i="1"/>
  <c r="I15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58" i="1"/>
  <c r="I59" i="1"/>
  <c r="I60" i="1"/>
  <c r="I61" i="1"/>
  <c r="I62" i="1"/>
  <c r="I63" i="1"/>
  <c r="I64" i="1"/>
  <c r="I65" i="1"/>
  <c r="I52" i="1"/>
  <c r="I53" i="1"/>
  <c r="I54" i="1"/>
  <c r="I55" i="1"/>
  <c r="I56" i="1"/>
  <c r="I57" i="1"/>
  <c r="I67" i="1"/>
  <c r="I66" i="1"/>
  <c r="I68" i="1"/>
  <c r="I69" i="1"/>
  <c r="I70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71" i="1"/>
  <c r="I145" i="1"/>
  <c r="I146" i="1"/>
  <c r="I147" i="1"/>
  <c r="I148" i="1"/>
  <c r="I149" i="1"/>
  <c r="I150" i="1"/>
  <c r="I151" i="1"/>
  <c r="I126" i="1"/>
  <c r="I127" i="1"/>
  <c r="I72" i="1"/>
  <c r="I73" i="1"/>
  <c r="I74" i="1"/>
  <c r="I75" i="1"/>
  <c r="I76" i="1"/>
  <c r="I109" i="1"/>
  <c r="I110" i="1"/>
  <c r="I111" i="1"/>
  <c r="I112" i="1"/>
  <c r="I108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13" i="1"/>
  <c r="I115" i="1"/>
  <c r="I116" i="1"/>
  <c r="I117" i="1"/>
  <c r="I118" i="1"/>
  <c r="I119" i="1"/>
  <c r="I114" i="1"/>
  <c r="I128" i="1"/>
  <c r="I123" i="1"/>
  <c r="I124" i="1"/>
  <c r="I125" i="1"/>
  <c r="I129" i="1"/>
  <c r="I130" i="1"/>
  <c r="I131" i="1"/>
  <c r="I132" i="1"/>
  <c r="I133" i="1"/>
  <c r="I134" i="1"/>
  <c r="I135" i="1"/>
  <c r="I136" i="1"/>
  <c r="I137" i="1"/>
  <c r="I138" i="1"/>
  <c r="I139" i="1"/>
  <c r="I120" i="1"/>
  <c r="I121" i="1"/>
  <c r="I122" i="1"/>
  <c r="I153" i="1"/>
  <c r="I154" i="1"/>
  <c r="H154" i="1"/>
  <c r="H153" i="1"/>
  <c r="H122" i="1"/>
  <c r="H121" i="1"/>
  <c r="H120" i="1"/>
  <c r="H139" i="1"/>
  <c r="H138" i="1"/>
  <c r="H137" i="1"/>
  <c r="H136" i="1"/>
  <c r="H135" i="1"/>
  <c r="H134" i="1"/>
  <c r="H133" i="1"/>
  <c r="H132" i="1"/>
  <c r="H131" i="1"/>
  <c r="H130" i="1"/>
  <c r="H129" i="1"/>
  <c r="H125" i="1"/>
  <c r="H124" i="1"/>
  <c r="H123" i="1"/>
  <c r="H128" i="1"/>
  <c r="H114" i="1"/>
  <c r="H119" i="1"/>
  <c r="H118" i="1"/>
  <c r="H117" i="1"/>
  <c r="H116" i="1"/>
  <c r="H115" i="1"/>
  <c r="H113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108" i="1"/>
  <c r="H112" i="1"/>
  <c r="H111" i="1"/>
  <c r="H110" i="1"/>
  <c r="H109" i="1"/>
  <c r="H76" i="1"/>
  <c r="H75" i="1"/>
  <c r="H74" i="1"/>
  <c r="H73" i="1"/>
  <c r="H72" i="1"/>
  <c r="H127" i="1"/>
  <c r="H126" i="1"/>
  <c r="H151" i="1"/>
  <c r="H150" i="1"/>
  <c r="H149" i="1"/>
  <c r="H148" i="1"/>
  <c r="H147" i="1"/>
  <c r="H146" i="1"/>
  <c r="H145" i="1"/>
  <c r="H71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70" i="1"/>
  <c r="H69" i="1"/>
  <c r="H68" i="1"/>
  <c r="H66" i="1"/>
  <c r="H67" i="1"/>
  <c r="H57" i="1"/>
  <c r="H56" i="1"/>
  <c r="H55" i="1"/>
  <c r="H54" i="1"/>
  <c r="H53" i="1"/>
  <c r="H52" i="1"/>
  <c r="H65" i="1"/>
  <c r="H64" i="1"/>
  <c r="H63" i="1"/>
  <c r="H62" i="1"/>
  <c r="H61" i="1"/>
  <c r="H60" i="1"/>
  <c r="H59" i="1"/>
  <c r="H5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52" i="1"/>
  <c r="H144" i="1"/>
  <c r="H143" i="1"/>
  <c r="H142" i="1"/>
  <c r="H141" i="1"/>
  <c r="H140" i="1"/>
  <c r="H107" i="1"/>
  <c r="H106" i="1"/>
  <c r="H105" i="1"/>
  <c r="H104" i="1"/>
  <c r="H103" i="1"/>
  <c r="H102" i="1"/>
  <c r="H101" i="1"/>
</calcChain>
</file>

<file path=xl/sharedStrings.xml><?xml version="1.0" encoding="utf-8"?>
<sst xmlns="http://schemas.openxmlformats.org/spreadsheetml/2006/main" count="575" uniqueCount="99">
  <si>
    <t>Escale</t>
  </si>
  <si>
    <t>N°Enlevement</t>
  </si>
  <si>
    <t>Date</t>
  </si>
  <si>
    <t>N° BL</t>
  </si>
  <si>
    <t>Récep</t>
  </si>
  <si>
    <t>Marchandise</t>
  </si>
  <si>
    <t>Colis Enlev</t>
  </si>
  <si>
    <t>BF25361XDJD031-032</t>
  </si>
  <si>
    <t>EURL SOCIETE ZOUAOUI TRAVAUX DE CONSTRUCTION</t>
  </si>
  <si>
    <t>PRIME PREPAINTED STEEL COILS</t>
  </si>
  <si>
    <t>S328750788*</t>
  </si>
  <si>
    <t>SARL EL.ATHIR</t>
  </si>
  <si>
    <t>COLIS</t>
  </si>
  <si>
    <t>BR25339LDJD105</t>
  </si>
  <si>
    <t>SARL R H BOIS</t>
  </si>
  <si>
    <t>COMMERCIAL PLYWOOD</t>
  </si>
  <si>
    <t>BR25339LDJD102</t>
  </si>
  <si>
    <t>AC26004LDJD095A-</t>
  </si>
  <si>
    <t>BANQUE DE L'AGRICULTURE ET DU DEVELOPPEMENT-</t>
  </si>
  <si>
    <t>01 UNIT HYUNDAI EXCAVATOR HX340HD ( VOIR BL)+01 COLIS</t>
  </si>
  <si>
    <t>SS25290ZDJD001</t>
  </si>
  <si>
    <t>ENGTP / DIRECTION ENGINEERING / DEPARTEMENT PROCUREMENT</t>
  </si>
  <si>
    <t>PIPES ( VOIR BL)</t>
  </si>
  <si>
    <t>25032QDJ0202</t>
  </si>
  <si>
    <t>SPA ENTREPRISE NATIONALE DE FORAGE (ENAFOR).</t>
  </si>
  <si>
    <t>98 COLIS DÂ€™UN APPAREIL DE FORAGE 1000 HP FAST MOVING/ 09 TC SOC STC 162 COLIS</t>
  </si>
  <si>
    <t>OF25320XDJD008-018</t>
  </si>
  <si>
    <t>SARL LOTUS SAT</t>
  </si>
  <si>
    <t>PRE-PAINTED ALUZINC STEEL COILS</t>
  </si>
  <si>
    <t>2</t>
  </si>
  <si>
    <t>EPE AFAPIPE SPA</t>
  </si>
  <si>
    <t>HOT ROLLED COILS</t>
  </si>
  <si>
    <t>CA25307XDJD052</t>
  </si>
  <si>
    <t>ENGTP / DIRECTION ENGINEERING / DEPARTEMENT PROCUR</t>
  </si>
  <si>
    <t>LINE PIPES</t>
  </si>
  <si>
    <t>OF25320XDJD031-033</t>
  </si>
  <si>
    <t>SARL STM STEEL</t>
  </si>
  <si>
    <t>COLD ROLLED STEEL COIL</t>
  </si>
  <si>
    <t>BR25339ZDJD103</t>
  </si>
  <si>
    <t>SARL FRERES BOUKHERBATA</t>
  </si>
  <si>
    <t>PRIME HOT ROLLED IPE BEAMS</t>
  </si>
  <si>
    <t>BR25339LDJD125*</t>
  </si>
  <si>
    <t>ABDALLAOUI RACHID</t>
  </si>
  <si>
    <t>SX25006SHDJ003</t>
  </si>
  <si>
    <t>ENI IN AMENAS LIMITED</t>
  </si>
  <si>
    <t>LINE PIPE 20</t>
  </si>
  <si>
    <t>BR25339LDJD110</t>
  </si>
  <si>
    <t>EURL REGAI HASNAOUI</t>
  </si>
  <si>
    <t>MDF</t>
  </si>
  <si>
    <t>106269LYG201B</t>
  </si>
  <si>
    <t>CHINA ROAD AND BRIDGE CORPORATION</t>
  </si>
  <si>
    <t>GANTRY CRANE BRAND</t>
  </si>
  <si>
    <t>BR25339LDJD104 HG</t>
  </si>
  <si>
    <t>SARL BYINVEST</t>
  </si>
  <si>
    <t>XLLYGDJ002*</t>
  </si>
  <si>
    <t>AL SALAM BANK ALGERIA P/C SARL NOUVEAU POLE</t>
  </si>
  <si>
    <t>OF25320XDJD051-057</t>
  </si>
  <si>
    <t>SARL SOUIPANEL</t>
  </si>
  <si>
    <t>PRIME PRE PAINTED STEEL COILS</t>
  </si>
  <si>
    <t>AC26004LDJD096-</t>
  </si>
  <si>
    <t>EURL KIOUS INVESTISSEMENT-</t>
  </si>
  <si>
    <t>AC26004LDJD157*</t>
  </si>
  <si>
    <t>SARL AMINOU MONDE</t>
  </si>
  <si>
    <t>02 UNITS HYUNDAI EXCAVATOR HX340HD ( VOIR BL)+02 COLIS*</t>
  </si>
  <si>
    <t>CAMDJE001</t>
  </si>
  <si>
    <t>SONATRACH DIVISION PRODUCTION</t>
  </si>
  <si>
    <t>9,873 LOOSE PIPES CASING CASING AND/OR COUPLIN</t>
  </si>
  <si>
    <t>BF25361XDJD077</t>
  </si>
  <si>
    <t>ENGTP/DIRECTIONENGINEERING/DEPARTMENT PROCUREMENT</t>
  </si>
  <si>
    <t>SEAMLESS CARBON PIPE</t>
  </si>
  <si>
    <t>CH25241TDJD023</t>
  </si>
  <si>
    <t>SARL AKRAM INVESTISSEMENT</t>
  </si>
  <si>
    <t>PRE-PAINTED GALVANISED STEEL COILS</t>
  </si>
  <si>
    <t>BF25361XDJD051</t>
  </si>
  <si>
    <t>SARL STEEL METAL</t>
  </si>
  <si>
    <t>HOT ROLLED STEEL PLATES</t>
  </si>
  <si>
    <t>OF25320XDJD093-097</t>
  </si>
  <si>
    <t>EURL RAGOUB METTAL</t>
  </si>
  <si>
    <t>PREPAINTED GALVANIZED STEEL COILS</t>
  </si>
  <si>
    <t>25030LYD3501</t>
  </si>
  <si>
    <t>CHETIOUI RACHIDA</t>
  </si>
  <si>
    <t>PLAYWOOD BLACK FILMED</t>
  </si>
  <si>
    <t>PD26008YTDJDJ64-</t>
  </si>
  <si>
    <t>BENZADI MOHAMED TAYEB-</t>
  </si>
  <si>
    <t>BR25339LDJD099</t>
  </si>
  <si>
    <t>SARL BCIMEX</t>
  </si>
  <si>
    <t>XBZJGDJ101/102</t>
  </si>
  <si>
    <t>SGT ALGERIE SPA</t>
  </si>
  <si>
    <t>RESINE PET JADE POLYESTER CHIPS CZ-328</t>
  </si>
  <si>
    <t>ESCALE</t>
  </si>
  <si>
    <t>OPERA</t>
  </si>
  <si>
    <t>DATE</t>
  </si>
  <si>
    <t>BL</t>
  </si>
  <si>
    <t>CLIENT</t>
  </si>
  <si>
    <t>TYPE</t>
  </si>
  <si>
    <t>QTE</t>
  </si>
  <si>
    <t>Column1</t>
  </si>
  <si>
    <t>subifs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</si>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</sst>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/mm/yy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7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666666"/>
        </left>
        <right/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164" formatCode="[$-40C]dd/mm/yyyy"/>
      <alignment horizontal="center" vertical="center" textRotation="0" wrapText="0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border outline="0">
        <top style="thin">
          <color rgb="FF666666"/>
        </top>
      </border>
    </dxf>
    <dxf>
      <border outline="0">
        <bottom style="thin">
          <color rgb="FF666666"/>
        </bottom>
      </border>
    </dxf>
    <dxf>
      <border outline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666666"/>
        </left>
        <right style="thin">
          <color rgb="FF666666"/>
        </right>
        <top/>
        <bottom/>
      </border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ivis_enlèvements" displayName="suivis_enlèvements" ref="A1:J154" totalsRowShown="0" headerRowDxfId="16" dataDxfId="15">
  <autoFilter ref="A1:J154" xr:uid="{00000000-0009-0000-0100-000001000000}">
    <filterColumn colId="9">
      <customFilters>
        <customFilter operator="notEqual" val=" "/>
      </customFilters>
    </filterColumn>
  </autoFilter>
  <sortState ref="A2:J154">
    <sortCondition ref="B1:B154"/>
  </sortState>
  <tableColumns count="10">
    <tableColumn id="1" xr3:uid="{00000000-0010-0000-0000-000001000000}" name="Escale" dataDxfId="23"/>
    <tableColumn id="2" xr3:uid="{00000000-0010-0000-0000-000002000000}" name="N°Enlevement" dataDxfId="22"/>
    <tableColumn id="3" xr3:uid="{00000000-0010-0000-0000-000003000000}" name="Date" dataDxfId="21"/>
    <tableColumn id="4" xr3:uid="{00000000-0010-0000-0000-000004000000}" name="N° BL" dataDxfId="20"/>
    <tableColumn id="5" xr3:uid="{00000000-0010-0000-0000-000005000000}" name="Récep" dataDxfId="19"/>
    <tableColumn id="6" xr3:uid="{00000000-0010-0000-0000-000006000000}" name="Marchandise" dataDxfId="18"/>
    <tableColumn id="7" xr3:uid="{00000000-0010-0000-0000-000007000000}" name="Colis Enlev" dataDxfId="17"/>
    <tableColumn id="8" xr3:uid="{7F8E960E-CFBB-4392-B127-C4C4049FA671}" name="subifs" dataDxfId="14">
      <calculatedColumnFormula>SUMIF(suivis_enlèvements[N°Enlevement],suivis_enlèvements[[#This Row],[N°Enlevement]],suivis_enlèvements[Colis Enlev])</calculatedColumnFormula>
    </tableColumn>
    <tableColumn id="9" xr3:uid="{7AD486FE-5126-4609-9EFC-162825F0418E}" name="Column1" dataDxfId="13">
      <calculatedColumnFormula>COUNTIF(suivis_enlèvements[N°Enlevement],suivis_enlèvements[[#This Row],[N°Enlevement]])</calculatedColumnFormula>
    </tableColumn>
    <tableColumn id="10" xr3:uid="{CBB919B8-E90B-4ECD-A199-A705A5178144}" name="Column2" dataDxfId="12">
      <calculatedColumnFormula>IF(G3=G2, "", G2)</calculatedColumnFormula>
    </tableColumn>
  </tableColumns>
  <tableStyleInfo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2:G35" totalsRowShown="0" headerRowDxfId="11" dataDxfId="10" headerRowBorderDxfId="8" tableBorderDxfId="9" totalsRowBorderDxfId="7">
  <autoFilter ref="A2:G35" xr:uid="{00000000-0009-0000-0100-000002000000}"/>
  <sortState ref="A3:G35">
    <sortCondition ref="B2:B35"/>
  </sortState>
  <tableColumns count="7">
    <tableColumn id="1" xr3:uid="{00000000-0010-0000-0100-000001000000}" name="ESCALE" dataDxfId="6"/>
    <tableColumn id="2" xr3:uid="{00000000-0010-0000-0100-000002000000}" name="OPERA" dataDxfId="5"/>
    <tableColumn id="3" xr3:uid="{00000000-0010-0000-0100-000003000000}" name="DATE" dataDxfId="4"/>
    <tableColumn id="4" xr3:uid="{00000000-0010-0000-0100-000004000000}" name="BL" dataDxfId="3"/>
    <tableColumn id="5" xr3:uid="{00000000-0010-0000-0100-000005000000}" name="CLIENT" dataDxfId="2"/>
    <tableColumn id="6" xr3:uid="{00000000-0010-0000-0100-000006000000}" name="TYPE" dataDxfId="1"/>
    <tableColumn id="7" xr3:uid="{00000000-0010-0000-0100-000007000000}" name="Q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zoomScaleNormal="100" workbookViewId="0">
      <pane ySplit="1" topLeftCell="A2" activePane="bottomLeft" state="frozen"/>
      <selection pane="bottomLeft" activeCell="J154" sqref="J4:J154"/>
    </sheetView>
  </sheetViews>
  <sheetFormatPr defaultColWidth="21.5703125" defaultRowHeight="15" x14ac:dyDescent="0.25"/>
  <cols>
    <col min="1" max="16384" width="21.5703125" style="12"/>
  </cols>
  <sheetData>
    <row r="1" spans="1:10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97</v>
      </c>
      <c r="I1" s="12" t="s">
        <v>96</v>
      </c>
      <c r="J1" s="12" t="s">
        <v>98</v>
      </c>
    </row>
    <row r="2" spans="1:10" ht="20.100000000000001" hidden="1" customHeight="1" x14ac:dyDescent="0.25">
      <c r="A2" s="13">
        <v>20250331</v>
      </c>
      <c r="B2" s="13">
        <v>67199</v>
      </c>
      <c r="C2" s="2">
        <v>46112</v>
      </c>
      <c r="D2" s="13" t="s">
        <v>20</v>
      </c>
      <c r="E2" s="13" t="s">
        <v>21</v>
      </c>
      <c r="F2" s="13" t="s">
        <v>22</v>
      </c>
      <c r="G2" s="13">
        <v>18</v>
      </c>
      <c r="H2" s="12">
        <f>SUMIF(suivis_enlèvements[N°Enlevement],suivis_enlèvements[[#This Row],[N°Enlevement]],suivis_enlèvements[Colis Enlev])</f>
        <v>54</v>
      </c>
      <c r="I2" s="12">
        <f>COUNTIF(suivis_enlèvements[N°Enlevement],suivis_enlèvements[[#This Row],[N°Enlevement]])</f>
        <v>3</v>
      </c>
      <c r="J2" s="12" t="str">
        <f>IF(G3=G2, "", G2)</f>
        <v/>
      </c>
    </row>
    <row r="3" spans="1:10" ht="20.100000000000001" hidden="1" customHeight="1" x14ac:dyDescent="0.25">
      <c r="A3" s="13">
        <v>20250331</v>
      </c>
      <c r="B3" s="13">
        <v>67199</v>
      </c>
      <c r="C3" s="2">
        <v>46112</v>
      </c>
      <c r="D3" s="13" t="s">
        <v>20</v>
      </c>
      <c r="E3" s="13" t="s">
        <v>21</v>
      </c>
      <c r="F3" s="13" t="s">
        <v>22</v>
      </c>
      <c r="G3" s="13">
        <v>18</v>
      </c>
      <c r="H3" s="12">
        <f>SUMIF(suivis_enlèvements[N°Enlevement],suivis_enlèvements[[#This Row],[N°Enlevement]],suivis_enlèvements[Colis Enlev])</f>
        <v>54</v>
      </c>
      <c r="I3" s="12">
        <f>COUNTIF(suivis_enlèvements[N°Enlevement],suivis_enlèvements[[#This Row],[N°Enlevement]])</f>
        <v>3</v>
      </c>
      <c r="J3" s="12" t="str">
        <f>IF(G4=G3, "", G3)</f>
        <v/>
      </c>
    </row>
    <row r="4" spans="1:10" ht="20.100000000000001" customHeight="1" x14ac:dyDescent="0.25">
      <c r="A4" s="13">
        <v>20250331</v>
      </c>
      <c r="B4" s="13">
        <v>67199</v>
      </c>
      <c r="C4" s="2">
        <v>46112</v>
      </c>
      <c r="D4" s="13" t="s">
        <v>20</v>
      </c>
      <c r="E4" s="13" t="s">
        <v>21</v>
      </c>
      <c r="F4" s="13" t="s">
        <v>22</v>
      </c>
      <c r="G4" s="13">
        <v>18</v>
      </c>
      <c r="H4" s="12">
        <f>SUMIF(suivis_enlèvements[N°Enlevement],suivis_enlèvements[[#This Row],[N°Enlevement]],suivis_enlèvements[Colis Enlev])</f>
        <v>54</v>
      </c>
      <c r="I4" s="12">
        <f>COUNTIF(suivis_enlèvements[N°Enlevement],suivis_enlèvements[[#This Row],[N°Enlevement]])</f>
        <v>3</v>
      </c>
      <c r="J4" s="12">
        <f>IF(G5=G4, "", G4)</f>
        <v>18</v>
      </c>
    </row>
    <row r="5" spans="1:10" ht="20.100000000000001" customHeight="1" x14ac:dyDescent="0.25">
      <c r="A5" s="13">
        <v>20260043</v>
      </c>
      <c r="B5" s="13">
        <v>67200</v>
      </c>
      <c r="C5" s="2">
        <v>46112</v>
      </c>
      <c r="D5" s="13" t="s">
        <v>23</v>
      </c>
      <c r="E5" s="13" t="s">
        <v>24</v>
      </c>
      <c r="F5" s="13" t="s">
        <v>25</v>
      </c>
      <c r="G5" s="13">
        <v>1</v>
      </c>
      <c r="H5" s="12">
        <f>SUMIF(suivis_enlèvements[N°Enlevement],suivis_enlèvements[[#This Row],[N°Enlevement]],suivis_enlèvements[Colis Enlev])</f>
        <v>1</v>
      </c>
      <c r="I5" s="12">
        <f>COUNTIF(suivis_enlèvements[N°Enlevement],suivis_enlèvements[[#This Row],[N°Enlevement]])</f>
        <v>1</v>
      </c>
      <c r="J5" s="12">
        <f>IF(G6=G5, "", G5)</f>
        <v>1</v>
      </c>
    </row>
    <row r="6" spans="1:10" ht="20.100000000000001" hidden="1" customHeight="1" x14ac:dyDescent="0.25">
      <c r="A6" s="13">
        <v>20260030</v>
      </c>
      <c r="B6" s="13">
        <v>67201</v>
      </c>
      <c r="C6" s="2">
        <v>46112</v>
      </c>
      <c r="D6" s="13" t="s">
        <v>26</v>
      </c>
      <c r="E6" s="13" t="s">
        <v>27</v>
      </c>
      <c r="F6" s="13" t="s">
        <v>28</v>
      </c>
      <c r="G6" s="13">
        <v>54</v>
      </c>
      <c r="H6" s="12">
        <f>SUMIF(suivis_enlèvements[N°Enlevement],suivis_enlèvements[[#This Row],[N°Enlevement]],suivis_enlèvements[Colis Enlev])</f>
        <v>324</v>
      </c>
      <c r="I6" s="12">
        <f>COUNTIF(suivis_enlèvements[N°Enlevement],suivis_enlèvements[[#This Row],[N°Enlevement]])</f>
        <v>6</v>
      </c>
      <c r="J6" s="12" t="str">
        <f>IF(G7=G6, "", G6)</f>
        <v/>
      </c>
    </row>
    <row r="7" spans="1:10" ht="20.100000000000001" hidden="1" customHeight="1" x14ac:dyDescent="0.25">
      <c r="A7" s="13">
        <v>20260030</v>
      </c>
      <c r="B7" s="13">
        <v>67201</v>
      </c>
      <c r="C7" s="2">
        <v>46112</v>
      </c>
      <c r="D7" s="13" t="s">
        <v>26</v>
      </c>
      <c r="E7" s="13" t="s">
        <v>27</v>
      </c>
      <c r="F7" s="13" t="s">
        <v>28</v>
      </c>
      <c r="G7" s="13">
        <v>54</v>
      </c>
      <c r="H7" s="12">
        <f>SUMIF(suivis_enlèvements[N°Enlevement],suivis_enlèvements[[#This Row],[N°Enlevement]],suivis_enlèvements[Colis Enlev])</f>
        <v>324</v>
      </c>
      <c r="I7" s="12">
        <f>COUNTIF(suivis_enlèvements[N°Enlevement],suivis_enlèvements[[#This Row],[N°Enlevement]])</f>
        <v>6</v>
      </c>
      <c r="J7" s="12" t="str">
        <f>IF(G8=G7, "", G7)</f>
        <v/>
      </c>
    </row>
    <row r="8" spans="1:10" ht="20.100000000000001" hidden="1" customHeight="1" x14ac:dyDescent="0.25">
      <c r="A8" s="13">
        <v>20260030</v>
      </c>
      <c r="B8" s="13">
        <v>67201</v>
      </c>
      <c r="C8" s="2">
        <v>46112</v>
      </c>
      <c r="D8" s="13" t="s">
        <v>26</v>
      </c>
      <c r="E8" s="13" t="s">
        <v>27</v>
      </c>
      <c r="F8" s="13" t="s">
        <v>28</v>
      </c>
      <c r="G8" s="13">
        <v>54</v>
      </c>
      <c r="H8" s="12">
        <f>SUMIF(suivis_enlèvements[N°Enlevement],suivis_enlèvements[[#This Row],[N°Enlevement]],suivis_enlèvements[Colis Enlev])</f>
        <v>324</v>
      </c>
      <c r="I8" s="12">
        <f>COUNTIF(suivis_enlèvements[N°Enlevement],suivis_enlèvements[[#This Row],[N°Enlevement]])</f>
        <v>6</v>
      </c>
      <c r="J8" s="12" t="str">
        <f>IF(G9=G8, "", G8)</f>
        <v/>
      </c>
    </row>
    <row r="9" spans="1:10" ht="20.100000000000001" hidden="1" customHeight="1" x14ac:dyDescent="0.25">
      <c r="A9" s="13">
        <v>20260030</v>
      </c>
      <c r="B9" s="13">
        <v>67201</v>
      </c>
      <c r="C9" s="2">
        <v>46112</v>
      </c>
      <c r="D9" s="13" t="s">
        <v>26</v>
      </c>
      <c r="E9" s="13" t="s">
        <v>27</v>
      </c>
      <c r="F9" s="13" t="s">
        <v>28</v>
      </c>
      <c r="G9" s="13">
        <v>54</v>
      </c>
      <c r="H9" s="12">
        <f>SUMIF(suivis_enlèvements[N°Enlevement],suivis_enlèvements[[#This Row],[N°Enlevement]],suivis_enlèvements[Colis Enlev])</f>
        <v>324</v>
      </c>
      <c r="I9" s="12">
        <f>COUNTIF(suivis_enlèvements[N°Enlevement],suivis_enlèvements[[#This Row],[N°Enlevement]])</f>
        <v>6</v>
      </c>
      <c r="J9" s="12" t="str">
        <f>IF(G10=G9, "", G9)</f>
        <v/>
      </c>
    </row>
    <row r="10" spans="1:10" ht="20.100000000000001" hidden="1" customHeight="1" x14ac:dyDescent="0.25">
      <c r="A10" s="13">
        <v>20260030</v>
      </c>
      <c r="B10" s="13">
        <v>67201</v>
      </c>
      <c r="C10" s="2">
        <v>46112</v>
      </c>
      <c r="D10" s="13" t="s">
        <v>26</v>
      </c>
      <c r="E10" s="13" t="s">
        <v>27</v>
      </c>
      <c r="F10" s="13" t="s">
        <v>28</v>
      </c>
      <c r="G10" s="13">
        <v>54</v>
      </c>
      <c r="H10" s="12">
        <f>SUMIF(suivis_enlèvements[N°Enlevement],suivis_enlèvements[[#This Row],[N°Enlevement]],suivis_enlèvements[Colis Enlev])</f>
        <v>324</v>
      </c>
      <c r="I10" s="12">
        <f>COUNTIF(suivis_enlèvements[N°Enlevement],suivis_enlèvements[[#This Row],[N°Enlevement]])</f>
        <v>6</v>
      </c>
      <c r="J10" s="12" t="str">
        <f>IF(G11=G10, "", G10)</f>
        <v/>
      </c>
    </row>
    <row r="11" spans="1:10" ht="20.100000000000001" customHeight="1" x14ac:dyDescent="0.25">
      <c r="A11" s="13">
        <v>20260030</v>
      </c>
      <c r="B11" s="13">
        <v>67201</v>
      </c>
      <c r="C11" s="2">
        <v>46112</v>
      </c>
      <c r="D11" s="13" t="s">
        <v>26</v>
      </c>
      <c r="E11" s="13" t="s">
        <v>27</v>
      </c>
      <c r="F11" s="13" t="s">
        <v>28</v>
      </c>
      <c r="G11" s="13">
        <v>54</v>
      </c>
      <c r="H11" s="12">
        <f>SUMIF(suivis_enlèvements[N°Enlevement],suivis_enlèvements[[#This Row],[N°Enlevement]],suivis_enlèvements[Colis Enlev])</f>
        <v>324</v>
      </c>
      <c r="I11" s="12">
        <f>COUNTIF(suivis_enlèvements[N°Enlevement],suivis_enlèvements[[#This Row],[N°Enlevement]])</f>
        <v>6</v>
      </c>
      <c r="J11" s="12">
        <f>IF(G12=G11, "", G11)</f>
        <v>54</v>
      </c>
    </row>
    <row r="12" spans="1:10" ht="20.100000000000001" hidden="1" customHeight="1" x14ac:dyDescent="0.25">
      <c r="A12" s="13">
        <v>20250296</v>
      </c>
      <c r="B12" s="13">
        <v>67202</v>
      </c>
      <c r="C12" s="2">
        <v>46112</v>
      </c>
      <c r="D12" s="13" t="s">
        <v>29</v>
      </c>
      <c r="E12" s="13" t="s">
        <v>30</v>
      </c>
      <c r="F12" s="13" t="s">
        <v>31</v>
      </c>
      <c r="G12" s="13">
        <v>9</v>
      </c>
      <c r="H12" s="12">
        <f>SUMIF(suivis_enlèvements[N°Enlevement],suivis_enlèvements[[#This Row],[N°Enlevement]],suivis_enlèvements[Colis Enlev])</f>
        <v>54</v>
      </c>
      <c r="I12" s="12">
        <f>COUNTIF(suivis_enlèvements[N°Enlevement],suivis_enlèvements[[#This Row],[N°Enlevement]])</f>
        <v>6</v>
      </c>
      <c r="J12" s="12" t="str">
        <f>IF(G13=G12, "", G12)</f>
        <v/>
      </c>
    </row>
    <row r="13" spans="1:10" ht="20.100000000000001" hidden="1" customHeight="1" x14ac:dyDescent="0.25">
      <c r="A13" s="13">
        <v>20250296</v>
      </c>
      <c r="B13" s="13">
        <v>67202</v>
      </c>
      <c r="C13" s="2">
        <v>46112</v>
      </c>
      <c r="D13" s="13" t="s">
        <v>29</v>
      </c>
      <c r="E13" s="13" t="s">
        <v>30</v>
      </c>
      <c r="F13" s="13" t="s">
        <v>31</v>
      </c>
      <c r="G13" s="13">
        <v>9</v>
      </c>
      <c r="H13" s="12">
        <f>SUMIF(suivis_enlèvements[N°Enlevement],suivis_enlèvements[[#This Row],[N°Enlevement]],suivis_enlèvements[Colis Enlev])</f>
        <v>54</v>
      </c>
      <c r="I13" s="12">
        <f>COUNTIF(suivis_enlèvements[N°Enlevement],suivis_enlèvements[[#This Row],[N°Enlevement]])</f>
        <v>6</v>
      </c>
      <c r="J13" s="12" t="str">
        <f>IF(G14=G13, "", G13)</f>
        <v/>
      </c>
    </row>
    <row r="14" spans="1:10" ht="20.100000000000001" hidden="1" customHeight="1" x14ac:dyDescent="0.25">
      <c r="A14" s="13">
        <v>20250296</v>
      </c>
      <c r="B14" s="13">
        <v>67202</v>
      </c>
      <c r="C14" s="2">
        <v>46112</v>
      </c>
      <c r="D14" s="13" t="s">
        <v>29</v>
      </c>
      <c r="E14" s="13" t="s">
        <v>30</v>
      </c>
      <c r="F14" s="13" t="s">
        <v>31</v>
      </c>
      <c r="G14" s="13">
        <v>9</v>
      </c>
      <c r="H14" s="12">
        <f>SUMIF(suivis_enlèvements[N°Enlevement],suivis_enlèvements[[#This Row],[N°Enlevement]],suivis_enlèvements[Colis Enlev])</f>
        <v>54</v>
      </c>
      <c r="I14" s="12">
        <f>COUNTIF(suivis_enlèvements[N°Enlevement],suivis_enlèvements[[#This Row],[N°Enlevement]])</f>
        <v>6</v>
      </c>
      <c r="J14" s="12" t="str">
        <f>IF(G15=G14, "", G14)</f>
        <v/>
      </c>
    </row>
    <row r="15" spans="1:10" ht="20.100000000000001" hidden="1" customHeight="1" x14ac:dyDescent="0.25">
      <c r="A15" s="13">
        <v>20250296</v>
      </c>
      <c r="B15" s="13">
        <v>67202</v>
      </c>
      <c r="C15" s="2">
        <v>46112</v>
      </c>
      <c r="D15" s="13" t="s">
        <v>29</v>
      </c>
      <c r="E15" s="13" t="s">
        <v>30</v>
      </c>
      <c r="F15" s="13" t="s">
        <v>31</v>
      </c>
      <c r="G15" s="13">
        <v>9</v>
      </c>
      <c r="H15" s="12">
        <f>SUMIF(suivis_enlèvements[N°Enlevement],suivis_enlèvements[[#This Row],[N°Enlevement]],suivis_enlèvements[Colis Enlev])</f>
        <v>54</v>
      </c>
      <c r="I15" s="12">
        <f>COUNTIF(suivis_enlèvements[N°Enlevement],suivis_enlèvements[[#This Row],[N°Enlevement]])</f>
        <v>6</v>
      </c>
      <c r="J15" s="12" t="str">
        <f>IF(G16=G15, "", G15)</f>
        <v/>
      </c>
    </row>
    <row r="16" spans="1:10" ht="20.100000000000001" hidden="1" customHeight="1" x14ac:dyDescent="0.25">
      <c r="A16" s="13">
        <v>20250296</v>
      </c>
      <c r="B16" s="13">
        <v>67202</v>
      </c>
      <c r="C16" s="2">
        <v>46112</v>
      </c>
      <c r="D16" s="13" t="s">
        <v>29</v>
      </c>
      <c r="E16" s="13" t="s">
        <v>30</v>
      </c>
      <c r="F16" s="13" t="s">
        <v>31</v>
      </c>
      <c r="G16" s="13">
        <v>9</v>
      </c>
      <c r="H16" s="12">
        <f>SUMIF(suivis_enlèvements[N°Enlevement],suivis_enlèvements[[#This Row],[N°Enlevement]],suivis_enlèvements[Colis Enlev])</f>
        <v>54</v>
      </c>
      <c r="I16" s="12">
        <f>COUNTIF(suivis_enlèvements[N°Enlevement],suivis_enlèvements[[#This Row],[N°Enlevement]])</f>
        <v>6</v>
      </c>
      <c r="J16" s="12" t="str">
        <f>IF(G17=G16, "", G16)</f>
        <v/>
      </c>
    </row>
    <row r="17" spans="1:10" ht="20.100000000000001" customHeight="1" x14ac:dyDescent="0.25">
      <c r="A17" s="13">
        <v>20250296</v>
      </c>
      <c r="B17" s="13">
        <v>67202</v>
      </c>
      <c r="C17" s="2">
        <v>46112</v>
      </c>
      <c r="D17" s="13" t="s">
        <v>29</v>
      </c>
      <c r="E17" s="13" t="s">
        <v>30</v>
      </c>
      <c r="F17" s="13" t="s">
        <v>31</v>
      </c>
      <c r="G17" s="13">
        <v>9</v>
      </c>
      <c r="H17" s="12">
        <f>SUMIF(suivis_enlèvements[N°Enlevement],suivis_enlèvements[[#This Row],[N°Enlevement]],suivis_enlèvements[Colis Enlev])</f>
        <v>54</v>
      </c>
      <c r="I17" s="12">
        <f>COUNTIF(suivis_enlèvements[N°Enlevement],suivis_enlèvements[[#This Row],[N°Enlevement]])</f>
        <v>6</v>
      </c>
      <c r="J17" s="12">
        <f>IF(G18=G17, "", G17)</f>
        <v>9</v>
      </c>
    </row>
    <row r="18" spans="1:10" ht="20.100000000000001" hidden="1" customHeight="1" x14ac:dyDescent="0.25">
      <c r="A18" s="13">
        <v>20260017</v>
      </c>
      <c r="B18" s="13">
        <v>67203</v>
      </c>
      <c r="C18" s="2">
        <v>46112</v>
      </c>
      <c r="D18" s="13" t="s">
        <v>32</v>
      </c>
      <c r="E18" s="13" t="s">
        <v>33</v>
      </c>
      <c r="F18" s="13" t="s">
        <v>34</v>
      </c>
      <c r="G18" s="13">
        <v>42</v>
      </c>
      <c r="H18" s="12">
        <f>SUMIF(suivis_enlèvements[N°Enlevement],suivis_enlèvements[[#This Row],[N°Enlevement]],suivis_enlèvements[Colis Enlev])</f>
        <v>294</v>
      </c>
      <c r="I18" s="12">
        <f>COUNTIF(suivis_enlèvements[N°Enlevement],suivis_enlèvements[[#This Row],[N°Enlevement]])</f>
        <v>7</v>
      </c>
      <c r="J18" s="12" t="str">
        <f>IF(G19=G18, "", G18)</f>
        <v/>
      </c>
    </row>
    <row r="19" spans="1:10" ht="20.100000000000001" hidden="1" customHeight="1" x14ac:dyDescent="0.25">
      <c r="A19" s="13">
        <v>20260017</v>
      </c>
      <c r="B19" s="13">
        <v>67203</v>
      </c>
      <c r="C19" s="2">
        <v>46112</v>
      </c>
      <c r="D19" s="13" t="s">
        <v>32</v>
      </c>
      <c r="E19" s="13" t="s">
        <v>33</v>
      </c>
      <c r="F19" s="13" t="s">
        <v>34</v>
      </c>
      <c r="G19" s="13">
        <v>42</v>
      </c>
      <c r="H19" s="12">
        <f>SUMIF(suivis_enlèvements[N°Enlevement],suivis_enlèvements[[#This Row],[N°Enlevement]],suivis_enlèvements[Colis Enlev])</f>
        <v>294</v>
      </c>
      <c r="I19" s="12">
        <f>COUNTIF(suivis_enlèvements[N°Enlevement],suivis_enlèvements[[#This Row],[N°Enlevement]])</f>
        <v>7</v>
      </c>
      <c r="J19" s="12" t="str">
        <f>IF(G20=G19, "", G19)</f>
        <v/>
      </c>
    </row>
    <row r="20" spans="1:10" ht="20.100000000000001" hidden="1" customHeight="1" x14ac:dyDescent="0.25">
      <c r="A20" s="13">
        <v>20260017</v>
      </c>
      <c r="B20" s="13">
        <v>67203</v>
      </c>
      <c r="C20" s="2">
        <v>46112</v>
      </c>
      <c r="D20" s="13" t="s">
        <v>32</v>
      </c>
      <c r="E20" s="13" t="s">
        <v>33</v>
      </c>
      <c r="F20" s="13" t="s">
        <v>34</v>
      </c>
      <c r="G20" s="13">
        <v>42</v>
      </c>
      <c r="H20" s="12">
        <f>SUMIF(suivis_enlèvements[N°Enlevement],suivis_enlèvements[[#This Row],[N°Enlevement]],suivis_enlèvements[Colis Enlev])</f>
        <v>294</v>
      </c>
      <c r="I20" s="12">
        <f>COUNTIF(suivis_enlèvements[N°Enlevement],suivis_enlèvements[[#This Row],[N°Enlevement]])</f>
        <v>7</v>
      </c>
      <c r="J20" s="12" t="str">
        <f>IF(G21=G20, "", G20)</f>
        <v/>
      </c>
    </row>
    <row r="21" spans="1:10" ht="20.100000000000001" hidden="1" customHeight="1" x14ac:dyDescent="0.25">
      <c r="A21" s="13">
        <v>20260017</v>
      </c>
      <c r="B21" s="13">
        <v>67203</v>
      </c>
      <c r="C21" s="2">
        <v>46112</v>
      </c>
      <c r="D21" s="13" t="s">
        <v>32</v>
      </c>
      <c r="E21" s="13" t="s">
        <v>33</v>
      </c>
      <c r="F21" s="13" t="s">
        <v>34</v>
      </c>
      <c r="G21" s="13">
        <v>42</v>
      </c>
      <c r="H21" s="12">
        <f>SUMIF(suivis_enlèvements[N°Enlevement],suivis_enlèvements[[#This Row],[N°Enlevement]],suivis_enlèvements[Colis Enlev])</f>
        <v>294</v>
      </c>
      <c r="I21" s="12">
        <f>COUNTIF(suivis_enlèvements[N°Enlevement],suivis_enlèvements[[#This Row],[N°Enlevement]])</f>
        <v>7</v>
      </c>
      <c r="J21" s="12" t="str">
        <f>IF(G22=G21, "", G21)</f>
        <v/>
      </c>
    </row>
    <row r="22" spans="1:10" ht="20.100000000000001" hidden="1" customHeight="1" x14ac:dyDescent="0.25">
      <c r="A22" s="13">
        <v>20260017</v>
      </c>
      <c r="B22" s="13">
        <v>67203</v>
      </c>
      <c r="C22" s="2">
        <v>46112</v>
      </c>
      <c r="D22" s="13" t="s">
        <v>32</v>
      </c>
      <c r="E22" s="13" t="s">
        <v>33</v>
      </c>
      <c r="F22" s="13" t="s">
        <v>34</v>
      </c>
      <c r="G22" s="13">
        <v>42</v>
      </c>
      <c r="H22" s="12">
        <f>SUMIF(suivis_enlèvements[N°Enlevement],suivis_enlèvements[[#This Row],[N°Enlevement]],suivis_enlèvements[Colis Enlev])</f>
        <v>294</v>
      </c>
      <c r="I22" s="12">
        <f>COUNTIF(suivis_enlèvements[N°Enlevement],suivis_enlèvements[[#This Row],[N°Enlevement]])</f>
        <v>7</v>
      </c>
      <c r="J22" s="12" t="str">
        <f>IF(G23=G22, "", G22)</f>
        <v/>
      </c>
    </row>
    <row r="23" spans="1:10" ht="20.100000000000001" hidden="1" customHeight="1" x14ac:dyDescent="0.25">
      <c r="A23" s="13">
        <v>20260017</v>
      </c>
      <c r="B23" s="13">
        <v>67203</v>
      </c>
      <c r="C23" s="2">
        <v>46112</v>
      </c>
      <c r="D23" s="13" t="s">
        <v>32</v>
      </c>
      <c r="E23" s="13" t="s">
        <v>33</v>
      </c>
      <c r="F23" s="13" t="s">
        <v>34</v>
      </c>
      <c r="G23" s="13">
        <v>42</v>
      </c>
      <c r="H23" s="12">
        <f>SUMIF(suivis_enlèvements[N°Enlevement],suivis_enlèvements[[#This Row],[N°Enlevement]],suivis_enlèvements[Colis Enlev])</f>
        <v>294</v>
      </c>
      <c r="I23" s="12">
        <f>COUNTIF(suivis_enlèvements[N°Enlevement],suivis_enlèvements[[#This Row],[N°Enlevement]])</f>
        <v>7</v>
      </c>
      <c r="J23" s="12" t="str">
        <f>IF(G24=G23, "", G23)</f>
        <v/>
      </c>
    </row>
    <row r="24" spans="1:10" ht="20.100000000000001" customHeight="1" x14ac:dyDescent="0.25">
      <c r="A24" s="13">
        <v>20260017</v>
      </c>
      <c r="B24" s="13">
        <v>67203</v>
      </c>
      <c r="C24" s="2">
        <v>46112</v>
      </c>
      <c r="D24" s="13" t="s">
        <v>32</v>
      </c>
      <c r="E24" s="13" t="s">
        <v>33</v>
      </c>
      <c r="F24" s="13" t="s">
        <v>34</v>
      </c>
      <c r="G24" s="13">
        <v>42</v>
      </c>
      <c r="H24" s="12">
        <f>SUMIF(suivis_enlèvements[N°Enlevement],suivis_enlèvements[[#This Row],[N°Enlevement]],suivis_enlèvements[Colis Enlev])</f>
        <v>294</v>
      </c>
      <c r="I24" s="12">
        <f>COUNTIF(suivis_enlèvements[N°Enlevement],suivis_enlèvements[[#This Row],[N°Enlevement]])</f>
        <v>7</v>
      </c>
      <c r="J24" s="12">
        <f>IF(G25=G24, "", G24)</f>
        <v>42</v>
      </c>
    </row>
    <row r="25" spans="1:10" ht="20.100000000000001" hidden="1" customHeight="1" x14ac:dyDescent="0.25">
      <c r="A25" s="13">
        <v>20260030</v>
      </c>
      <c r="B25" s="13">
        <v>67204</v>
      </c>
      <c r="C25" s="2">
        <v>46112</v>
      </c>
      <c r="D25" s="13" t="s">
        <v>35</v>
      </c>
      <c r="E25" s="13" t="s">
        <v>36</v>
      </c>
      <c r="F25" s="13" t="s">
        <v>37</v>
      </c>
      <c r="G25" s="13">
        <v>12</v>
      </c>
      <c r="H25" s="12">
        <f>SUMIF(suivis_enlèvements[N°Enlevement],suivis_enlèvements[[#This Row],[N°Enlevement]],suivis_enlèvements[Colis Enlev])</f>
        <v>24</v>
      </c>
      <c r="I25" s="12">
        <f>COUNTIF(suivis_enlèvements[N°Enlevement],suivis_enlèvements[[#This Row],[N°Enlevement]])</f>
        <v>2</v>
      </c>
      <c r="J25" s="12" t="str">
        <f>IF(G26=G25, "", G25)</f>
        <v/>
      </c>
    </row>
    <row r="26" spans="1:10" ht="20.100000000000001" customHeight="1" x14ac:dyDescent="0.25">
      <c r="A26" s="13">
        <v>20260030</v>
      </c>
      <c r="B26" s="13">
        <v>67204</v>
      </c>
      <c r="C26" s="2">
        <v>46112</v>
      </c>
      <c r="D26" s="13" t="s">
        <v>35</v>
      </c>
      <c r="E26" s="13" t="s">
        <v>36</v>
      </c>
      <c r="F26" s="13" t="s">
        <v>37</v>
      </c>
      <c r="G26" s="13">
        <v>12</v>
      </c>
      <c r="H26" s="12">
        <f>SUMIF(suivis_enlèvements[N°Enlevement],suivis_enlèvements[[#This Row],[N°Enlevement]],suivis_enlèvements[Colis Enlev])</f>
        <v>24</v>
      </c>
      <c r="I26" s="12">
        <f>COUNTIF(suivis_enlèvements[N°Enlevement],suivis_enlèvements[[#This Row],[N°Enlevement]])</f>
        <v>2</v>
      </c>
      <c r="J26" s="12">
        <f>IF(G27=G26, "", G26)</f>
        <v>12</v>
      </c>
    </row>
    <row r="27" spans="1:10" ht="20.100000000000001" hidden="1" customHeight="1" x14ac:dyDescent="0.25">
      <c r="A27" s="13">
        <v>20260055</v>
      </c>
      <c r="B27" s="13">
        <v>67205</v>
      </c>
      <c r="C27" s="2">
        <v>46112</v>
      </c>
      <c r="D27" s="13" t="s">
        <v>38</v>
      </c>
      <c r="E27" s="13" t="s">
        <v>39</v>
      </c>
      <c r="F27" s="13" t="s">
        <v>40</v>
      </c>
      <c r="G27" s="13">
        <v>108</v>
      </c>
      <c r="H27" s="12">
        <f>SUMIF(suivis_enlèvements[N°Enlevement],suivis_enlèvements[[#This Row],[N°Enlevement]],suivis_enlèvements[Colis Enlev])</f>
        <v>216</v>
      </c>
      <c r="I27" s="12">
        <f>COUNTIF(suivis_enlèvements[N°Enlevement],suivis_enlèvements[[#This Row],[N°Enlevement]])</f>
        <v>2</v>
      </c>
      <c r="J27" s="12" t="str">
        <f>IF(G28=G27, "", G27)</f>
        <v/>
      </c>
    </row>
    <row r="28" spans="1:10" ht="20.100000000000001" customHeight="1" x14ac:dyDescent="0.25">
      <c r="A28" s="13">
        <v>20260055</v>
      </c>
      <c r="B28" s="13">
        <v>67205</v>
      </c>
      <c r="C28" s="2">
        <v>46112</v>
      </c>
      <c r="D28" s="13" t="s">
        <v>38</v>
      </c>
      <c r="E28" s="13" t="s">
        <v>39</v>
      </c>
      <c r="F28" s="13" t="s">
        <v>40</v>
      </c>
      <c r="G28" s="13">
        <v>108</v>
      </c>
      <c r="H28" s="12">
        <f>SUMIF(suivis_enlèvements[N°Enlevement],suivis_enlèvements[[#This Row],[N°Enlevement]],suivis_enlèvements[Colis Enlev])</f>
        <v>216</v>
      </c>
      <c r="I28" s="12">
        <f>COUNTIF(suivis_enlèvements[N°Enlevement],suivis_enlèvements[[#This Row],[N°Enlevement]])</f>
        <v>2</v>
      </c>
      <c r="J28" s="12">
        <f>IF(G29=G28, "", G28)</f>
        <v>108</v>
      </c>
    </row>
    <row r="29" spans="1:10" ht="20.100000000000001" hidden="1" customHeight="1" x14ac:dyDescent="0.25">
      <c r="A29" s="13">
        <v>20260079</v>
      </c>
      <c r="B29" s="13">
        <v>67206</v>
      </c>
      <c r="C29" s="2">
        <v>46112</v>
      </c>
      <c r="D29" s="13" t="s">
        <v>7</v>
      </c>
      <c r="E29" s="13" t="s">
        <v>8</v>
      </c>
      <c r="F29" s="13" t="s">
        <v>9</v>
      </c>
      <c r="G29" s="13">
        <v>73</v>
      </c>
      <c r="H29" s="12">
        <f>SUMIF(suivis_enlèvements[N°Enlevement],suivis_enlèvements[[#This Row],[N°Enlevement]],suivis_enlèvements[Colis Enlev])</f>
        <v>657</v>
      </c>
      <c r="I29" s="12">
        <f>COUNTIF(suivis_enlèvements[N°Enlevement],suivis_enlèvements[[#This Row],[N°Enlevement]])</f>
        <v>9</v>
      </c>
      <c r="J29" s="12" t="str">
        <f>IF(G30=G29, "", G29)</f>
        <v/>
      </c>
    </row>
    <row r="30" spans="1:10" ht="20.100000000000001" hidden="1" customHeight="1" x14ac:dyDescent="0.25">
      <c r="A30" s="13">
        <v>20260079</v>
      </c>
      <c r="B30" s="13">
        <v>67206</v>
      </c>
      <c r="C30" s="2">
        <v>46112</v>
      </c>
      <c r="D30" s="13" t="s">
        <v>7</v>
      </c>
      <c r="E30" s="13" t="s">
        <v>8</v>
      </c>
      <c r="F30" s="13" t="s">
        <v>9</v>
      </c>
      <c r="G30" s="13">
        <v>73</v>
      </c>
      <c r="H30" s="12">
        <f>SUMIF(suivis_enlèvements[N°Enlevement],suivis_enlèvements[[#This Row],[N°Enlevement]],suivis_enlèvements[Colis Enlev])</f>
        <v>657</v>
      </c>
      <c r="I30" s="12">
        <f>COUNTIF(suivis_enlèvements[N°Enlevement],suivis_enlèvements[[#This Row],[N°Enlevement]])</f>
        <v>9</v>
      </c>
      <c r="J30" s="12" t="str">
        <f>IF(G31=G30, "", G30)</f>
        <v/>
      </c>
    </row>
    <row r="31" spans="1:10" ht="20.100000000000001" hidden="1" customHeight="1" x14ac:dyDescent="0.25">
      <c r="A31" s="13">
        <v>20260079</v>
      </c>
      <c r="B31" s="13">
        <v>67206</v>
      </c>
      <c r="C31" s="2">
        <v>46112</v>
      </c>
      <c r="D31" s="13" t="s">
        <v>7</v>
      </c>
      <c r="E31" s="13" t="s">
        <v>8</v>
      </c>
      <c r="F31" s="13" t="s">
        <v>9</v>
      </c>
      <c r="G31" s="13">
        <v>73</v>
      </c>
      <c r="H31" s="12">
        <f>SUMIF(suivis_enlèvements[N°Enlevement],suivis_enlèvements[[#This Row],[N°Enlevement]],suivis_enlèvements[Colis Enlev])</f>
        <v>657</v>
      </c>
      <c r="I31" s="12">
        <f>COUNTIF(suivis_enlèvements[N°Enlevement],suivis_enlèvements[[#This Row],[N°Enlevement]])</f>
        <v>9</v>
      </c>
      <c r="J31" s="12" t="str">
        <f>IF(G32=G31, "", G31)</f>
        <v/>
      </c>
    </row>
    <row r="32" spans="1:10" ht="20.100000000000001" hidden="1" customHeight="1" x14ac:dyDescent="0.25">
      <c r="A32" s="13">
        <v>20260079</v>
      </c>
      <c r="B32" s="13">
        <v>67206</v>
      </c>
      <c r="C32" s="2">
        <v>46112</v>
      </c>
      <c r="D32" s="13" t="s">
        <v>7</v>
      </c>
      <c r="E32" s="13" t="s">
        <v>8</v>
      </c>
      <c r="F32" s="13" t="s">
        <v>9</v>
      </c>
      <c r="G32" s="13">
        <v>73</v>
      </c>
      <c r="H32" s="12">
        <f>SUMIF(suivis_enlèvements[N°Enlevement],suivis_enlèvements[[#This Row],[N°Enlevement]],suivis_enlèvements[Colis Enlev])</f>
        <v>657</v>
      </c>
      <c r="I32" s="12">
        <f>COUNTIF(suivis_enlèvements[N°Enlevement],suivis_enlèvements[[#This Row],[N°Enlevement]])</f>
        <v>9</v>
      </c>
      <c r="J32" s="12" t="str">
        <f>IF(G33=G32, "", G32)</f>
        <v/>
      </c>
    </row>
    <row r="33" spans="1:10" ht="20.100000000000001" hidden="1" customHeight="1" x14ac:dyDescent="0.25">
      <c r="A33" s="13">
        <v>20260079</v>
      </c>
      <c r="B33" s="13">
        <v>67206</v>
      </c>
      <c r="C33" s="2">
        <v>46112</v>
      </c>
      <c r="D33" s="13" t="s">
        <v>7</v>
      </c>
      <c r="E33" s="13" t="s">
        <v>8</v>
      </c>
      <c r="F33" s="13" t="s">
        <v>9</v>
      </c>
      <c r="G33" s="13">
        <v>73</v>
      </c>
      <c r="H33" s="12">
        <f>SUMIF(suivis_enlèvements[N°Enlevement],suivis_enlèvements[[#This Row],[N°Enlevement]],suivis_enlèvements[Colis Enlev])</f>
        <v>657</v>
      </c>
      <c r="I33" s="12">
        <f>COUNTIF(suivis_enlèvements[N°Enlevement],suivis_enlèvements[[#This Row],[N°Enlevement]])</f>
        <v>9</v>
      </c>
      <c r="J33" s="12" t="str">
        <f>IF(G34=G33, "", G33)</f>
        <v/>
      </c>
    </row>
    <row r="34" spans="1:10" ht="20.100000000000001" hidden="1" customHeight="1" x14ac:dyDescent="0.25">
      <c r="A34" s="13">
        <v>20260079</v>
      </c>
      <c r="B34" s="13">
        <v>67206</v>
      </c>
      <c r="C34" s="2">
        <v>46112</v>
      </c>
      <c r="D34" s="13" t="s">
        <v>7</v>
      </c>
      <c r="E34" s="13" t="s">
        <v>8</v>
      </c>
      <c r="F34" s="13" t="s">
        <v>9</v>
      </c>
      <c r="G34" s="13">
        <v>73</v>
      </c>
      <c r="H34" s="12">
        <f>SUMIF(suivis_enlèvements[N°Enlevement],suivis_enlèvements[[#This Row],[N°Enlevement]],suivis_enlèvements[Colis Enlev])</f>
        <v>657</v>
      </c>
      <c r="I34" s="12">
        <f>COUNTIF(suivis_enlèvements[N°Enlevement],suivis_enlèvements[[#This Row],[N°Enlevement]])</f>
        <v>9</v>
      </c>
      <c r="J34" s="12" t="str">
        <f>IF(G35=G34, "", G34)</f>
        <v/>
      </c>
    </row>
    <row r="35" spans="1:10" ht="20.100000000000001" hidden="1" customHeight="1" x14ac:dyDescent="0.25">
      <c r="A35" s="13">
        <v>20260079</v>
      </c>
      <c r="B35" s="13">
        <v>67206</v>
      </c>
      <c r="C35" s="2">
        <v>46112</v>
      </c>
      <c r="D35" s="13" t="s">
        <v>7</v>
      </c>
      <c r="E35" s="13" t="s">
        <v>8</v>
      </c>
      <c r="F35" s="13" t="s">
        <v>9</v>
      </c>
      <c r="G35" s="13">
        <v>73</v>
      </c>
      <c r="H35" s="12">
        <f>SUMIF(suivis_enlèvements[N°Enlevement],suivis_enlèvements[[#This Row],[N°Enlevement]],suivis_enlèvements[Colis Enlev])</f>
        <v>657</v>
      </c>
      <c r="I35" s="12">
        <f>COUNTIF(suivis_enlèvements[N°Enlevement],suivis_enlèvements[[#This Row],[N°Enlevement]])</f>
        <v>9</v>
      </c>
      <c r="J35" s="12" t="str">
        <f>IF(G36=G35, "", G35)</f>
        <v/>
      </c>
    </row>
    <row r="36" spans="1:10" ht="20.100000000000001" hidden="1" customHeight="1" x14ac:dyDescent="0.25">
      <c r="A36" s="13">
        <v>20260079</v>
      </c>
      <c r="B36" s="13">
        <v>67206</v>
      </c>
      <c r="C36" s="2">
        <v>46112</v>
      </c>
      <c r="D36" s="13" t="s">
        <v>7</v>
      </c>
      <c r="E36" s="13" t="s">
        <v>8</v>
      </c>
      <c r="F36" s="13" t="s">
        <v>9</v>
      </c>
      <c r="G36" s="13">
        <v>73</v>
      </c>
      <c r="H36" s="12">
        <f>SUMIF(suivis_enlèvements[N°Enlevement],suivis_enlèvements[[#This Row],[N°Enlevement]],suivis_enlèvements[Colis Enlev])</f>
        <v>657</v>
      </c>
      <c r="I36" s="12">
        <f>COUNTIF(suivis_enlèvements[N°Enlevement],suivis_enlèvements[[#This Row],[N°Enlevement]])</f>
        <v>9</v>
      </c>
      <c r="J36" s="12" t="str">
        <f>IF(G37=G36, "", G36)</f>
        <v/>
      </c>
    </row>
    <row r="37" spans="1:10" ht="20.100000000000001" customHeight="1" x14ac:dyDescent="0.25">
      <c r="A37" s="13">
        <v>20260079</v>
      </c>
      <c r="B37" s="13">
        <v>67206</v>
      </c>
      <c r="C37" s="2">
        <v>46112</v>
      </c>
      <c r="D37" s="13" t="s">
        <v>7</v>
      </c>
      <c r="E37" s="13" t="s">
        <v>8</v>
      </c>
      <c r="F37" s="13" t="s">
        <v>9</v>
      </c>
      <c r="G37" s="13">
        <v>73</v>
      </c>
      <c r="H37" s="12">
        <f>SUMIF(suivis_enlèvements[N°Enlevement],suivis_enlèvements[[#This Row],[N°Enlevement]],suivis_enlèvements[Colis Enlev])</f>
        <v>657</v>
      </c>
      <c r="I37" s="12">
        <f>COUNTIF(suivis_enlèvements[N°Enlevement],suivis_enlèvements[[#This Row],[N°Enlevement]])</f>
        <v>9</v>
      </c>
      <c r="J37" s="12">
        <f>IF(G38=G37, "", G37)</f>
        <v>73</v>
      </c>
    </row>
    <row r="38" spans="1:10" ht="20.100000000000001" hidden="1" customHeight="1" x14ac:dyDescent="0.25">
      <c r="A38" s="13">
        <v>20260055</v>
      </c>
      <c r="B38" s="13">
        <v>67207</v>
      </c>
      <c r="C38" s="2">
        <v>46112</v>
      </c>
      <c r="D38" s="13" t="s">
        <v>52</v>
      </c>
      <c r="E38" s="13" t="s">
        <v>53</v>
      </c>
      <c r="F38" s="13" t="s">
        <v>48</v>
      </c>
      <c r="G38" s="13">
        <v>260</v>
      </c>
      <c r="H38" s="12">
        <f>SUMIF(suivis_enlèvements[N°Enlevement],suivis_enlèvements[[#This Row],[N°Enlevement]],suivis_enlèvements[Colis Enlev])</f>
        <v>3640</v>
      </c>
      <c r="I38" s="12">
        <f>COUNTIF(suivis_enlèvements[N°Enlevement],suivis_enlèvements[[#This Row],[N°Enlevement]])</f>
        <v>14</v>
      </c>
      <c r="J38" s="12" t="str">
        <f>IF(G39=G38, "", G38)</f>
        <v/>
      </c>
    </row>
    <row r="39" spans="1:10" ht="20.100000000000001" hidden="1" customHeight="1" x14ac:dyDescent="0.25">
      <c r="A39" s="13">
        <v>20260055</v>
      </c>
      <c r="B39" s="13">
        <v>67207</v>
      </c>
      <c r="C39" s="2">
        <v>46112</v>
      </c>
      <c r="D39" s="13" t="s">
        <v>52</v>
      </c>
      <c r="E39" s="13" t="s">
        <v>53</v>
      </c>
      <c r="F39" s="13" t="s">
        <v>48</v>
      </c>
      <c r="G39" s="13">
        <v>260</v>
      </c>
      <c r="H39" s="12">
        <f>SUMIF(suivis_enlèvements[N°Enlevement],suivis_enlèvements[[#This Row],[N°Enlevement]],suivis_enlèvements[Colis Enlev])</f>
        <v>3640</v>
      </c>
      <c r="I39" s="12">
        <f>COUNTIF(suivis_enlèvements[N°Enlevement],suivis_enlèvements[[#This Row],[N°Enlevement]])</f>
        <v>14</v>
      </c>
      <c r="J39" s="12" t="str">
        <f>IF(G40=G39, "", G39)</f>
        <v/>
      </c>
    </row>
    <row r="40" spans="1:10" ht="20.100000000000001" hidden="1" customHeight="1" x14ac:dyDescent="0.25">
      <c r="A40" s="13">
        <v>20260055</v>
      </c>
      <c r="B40" s="13">
        <v>67207</v>
      </c>
      <c r="C40" s="2">
        <v>46112</v>
      </c>
      <c r="D40" s="13" t="s">
        <v>52</v>
      </c>
      <c r="E40" s="13" t="s">
        <v>53</v>
      </c>
      <c r="F40" s="13" t="s">
        <v>48</v>
      </c>
      <c r="G40" s="13">
        <v>260</v>
      </c>
      <c r="H40" s="12">
        <f>SUMIF(suivis_enlèvements[N°Enlevement],suivis_enlèvements[[#This Row],[N°Enlevement]],suivis_enlèvements[Colis Enlev])</f>
        <v>3640</v>
      </c>
      <c r="I40" s="12">
        <f>COUNTIF(suivis_enlèvements[N°Enlevement],suivis_enlèvements[[#This Row],[N°Enlevement]])</f>
        <v>14</v>
      </c>
      <c r="J40" s="12" t="str">
        <f>IF(G41=G40, "", G40)</f>
        <v/>
      </c>
    </row>
    <row r="41" spans="1:10" ht="20.100000000000001" hidden="1" customHeight="1" x14ac:dyDescent="0.25">
      <c r="A41" s="13">
        <v>20260055</v>
      </c>
      <c r="B41" s="13">
        <v>67207</v>
      </c>
      <c r="C41" s="2">
        <v>46112</v>
      </c>
      <c r="D41" s="13" t="s">
        <v>52</v>
      </c>
      <c r="E41" s="13" t="s">
        <v>53</v>
      </c>
      <c r="F41" s="13" t="s">
        <v>48</v>
      </c>
      <c r="G41" s="13">
        <v>260</v>
      </c>
      <c r="H41" s="12">
        <f>SUMIF(suivis_enlèvements[N°Enlevement],suivis_enlèvements[[#This Row],[N°Enlevement]],suivis_enlèvements[Colis Enlev])</f>
        <v>3640</v>
      </c>
      <c r="I41" s="12">
        <f>COUNTIF(suivis_enlèvements[N°Enlevement],suivis_enlèvements[[#This Row],[N°Enlevement]])</f>
        <v>14</v>
      </c>
      <c r="J41" s="12" t="str">
        <f>IF(G42=G41, "", G41)</f>
        <v/>
      </c>
    </row>
    <row r="42" spans="1:10" ht="20.100000000000001" hidden="1" customHeight="1" x14ac:dyDescent="0.25">
      <c r="A42" s="13">
        <v>20260055</v>
      </c>
      <c r="B42" s="13">
        <v>67207</v>
      </c>
      <c r="C42" s="2">
        <v>46112</v>
      </c>
      <c r="D42" s="13" t="s">
        <v>52</v>
      </c>
      <c r="E42" s="13" t="s">
        <v>53</v>
      </c>
      <c r="F42" s="13" t="s">
        <v>48</v>
      </c>
      <c r="G42" s="13">
        <v>260</v>
      </c>
      <c r="H42" s="12">
        <f>SUMIF(suivis_enlèvements[N°Enlevement],suivis_enlèvements[[#This Row],[N°Enlevement]],suivis_enlèvements[Colis Enlev])</f>
        <v>3640</v>
      </c>
      <c r="I42" s="12">
        <f>COUNTIF(suivis_enlèvements[N°Enlevement],suivis_enlèvements[[#This Row],[N°Enlevement]])</f>
        <v>14</v>
      </c>
      <c r="J42" s="12" t="str">
        <f>IF(G43=G42, "", G42)</f>
        <v/>
      </c>
    </row>
    <row r="43" spans="1:10" ht="20.100000000000001" hidden="1" customHeight="1" x14ac:dyDescent="0.25">
      <c r="A43" s="13">
        <v>20260055</v>
      </c>
      <c r="B43" s="13">
        <v>67207</v>
      </c>
      <c r="C43" s="2">
        <v>46112</v>
      </c>
      <c r="D43" s="13" t="s">
        <v>52</v>
      </c>
      <c r="E43" s="13" t="s">
        <v>53</v>
      </c>
      <c r="F43" s="13" t="s">
        <v>48</v>
      </c>
      <c r="G43" s="13">
        <v>260</v>
      </c>
      <c r="H43" s="12">
        <f>SUMIF(suivis_enlèvements[N°Enlevement],suivis_enlèvements[[#This Row],[N°Enlevement]],suivis_enlèvements[Colis Enlev])</f>
        <v>3640</v>
      </c>
      <c r="I43" s="12">
        <f>COUNTIF(suivis_enlèvements[N°Enlevement],suivis_enlèvements[[#This Row],[N°Enlevement]])</f>
        <v>14</v>
      </c>
      <c r="J43" s="12" t="str">
        <f>IF(G44=G43, "", G43)</f>
        <v/>
      </c>
    </row>
    <row r="44" spans="1:10" ht="20.100000000000001" hidden="1" customHeight="1" x14ac:dyDescent="0.25">
      <c r="A44" s="13">
        <v>20260055</v>
      </c>
      <c r="B44" s="13">
        <v>67207</v>
      </c>
      <c r="C44" s="2">
        <v>46112</v>
      </c>
      <c r="D44" s="13" t="s">
        <v>52</v>
      </c>
      <c r="E44" s="13" t="s">
        <v>53</v>
      </c>
      <c r="F44" s="13" t="s">
        <v>48</v>
      </c>
      <c r="G44" s="13">
        <v>260</v>
      </c>
      <c r="H44" s="12">
        <f>SUMIF(suivis_enlèvements[N°Enlevement],suivis_enlèvements[[#This Row],[N°Enlevement]],suivis_enlèvements[Colis Enlev])</f>
        <v>3640</v>
      </c>
      <c r="I44" s="12">
        <f>COUNTIF(suivis_enlèvements[N°Enlevement],suivis_enlèvements[[#This Row],[N°Enlevement]])</f>
        <v>14</v>
      </c>
      <c r="J44" s="12" t="str">
        <f>IF(G45=G44, "", G44)</f>
        <v/>
      </c>
    </row>
    <row r="45" spans="1:10" ht="20.100000000000001" hidden="1" customHeight="1" x14ac:dyDescent="0.25">
      <c r="A45" s="13">
        <v>20260055</v>
      </c>
      <c r="B45" s="13">
        <v>67207</v>
      </c>
      <c r="C45" s="2">
        <v>46112</v>
      </c>
      <c r="D45" s="13" t="s">
        <v>52</v>
      </c>
      <c r="E45" s="13" t="s">
        <v>53</v>
      </c>
      <c r="F45" s="13" t="s">
        <v>48</v>
      </c>
      <c r="G45" s="13">
        <v>260</v>
      </c>
      <c r="H45" s="12">
        <f>SUMIF(suivis_enlèvements[N°Enlevement],suivis_enlèvements[[#This Row],[N°Enlevement]],suivis_enlèvements[Colis Enlev])</f>
        <v>3640</v>
      </c>
      <c r="I45" s="12">
        <f>COUNTIF(suivis_enlèvements[N°Enlevement],suivis_enlèvements[[#This Row],[N°Enlevement]])</f>
        <v>14</v>
      </c>
      <c r="J45" s="12" t="str">
        <f>IF(G46=G45, "", G45)</f>
        <v/>
      </c>
    </row>
    <row r="46" spans="1:10" ht="20.100000000000001" hidden="1" customHeight="1" x14ac:dyDescent="0.25">
      <c r="A46" s="13">
        <v>20260055</v>
      </c>
      <c r="B46" s="13">
        <v>67207</v>
      </c>
      <c r="C46" s="2">
        <v>46112</v>
      </c>
      <c r="D46" s="13" t="s">
        <v>52</v>
      </c>
      <c r="E46" s="13" t="s">
        <v>53</v>
      </c>
      <c r="F46" s="13" t="s">
        <v>48</v>
      </c>
      <c r="G46" s="13">
        <v>260</v>
      </c>
      <c r="H46" s="12">
        <f>SUMIF(suivis_enlèvements[N°Enlevement],suivis_enlèvements[[#This Row],[N°Enlevement]],suivis_enlèvements[Colis Enlev])</f>
        <v>3640</v>
      </c>
      <c r="I46" s="12">
        <f>COUNTIF(suivis_enlèvements[N°Enlevement],suivis_enlèvements[[#This Row],[N°Enlevement]])</f>
        <v>14</v>
      </c>
      <c r="J46" s="12" t="str">
        <f>IF(G47=G46, "", G46)</f>
        <v/>
      </c>
    </row>
    <row r="47" spans="1:10" ht="20.100000000000001" hidden="1" customHeight="1" x14ac:dyDescent="0.25">
      <c r="A47" s="13">
        <v>20260055</v>
      </c>
      <c r="B47" s="13">
        <v>67207</v>
      </c>
      <c r="C47" s="2">
        <v>46112</v>
      </c>
      <c r="D47" s="13" t="s">
        <v>52</v>
      </c>
      <c r="E47" s="13" t="s">
        <v>53</v>
      </c>
      <c r="F47" s="13" t="s">
        <v>48</v>
      </c>
      <c r="G47" s="13">
        <v>260</v>
      </c>
      <c r="H47" s="12">
        <f>SUMIF(suivis_enlèvements[N°Enlevement],suivis_enlèvements[[#This Row],[N°Enlevement]],suivis_enlèvements[Colis Enlev])</f>
        <v>3640</v>
      </c>
      <c r="I47" s="12">
        <f>COUNTIF(suivis_enlèvements[N°Enlevement],suivis_enlèvements[[#This Row],[N°Enlevement]])</f>
        <v>14</v>
      </c>
      <c r="J47" s="12" t="str">
        <f>IF(G48=G47, "", G47)</f>
        <v/>
      </c>
    </row>
    <row r="48" spans="1:10" ht="20.100000000000001" hidden="1" customHeight="1" x14ac:dyDescent="0.25">
      <c r="A48" s="13">
        <v>20260055</v>
      </c>
      <c r="B48" s="13">
        <v>67207</v>
      </c>
      <c r="C48" s="2">
        <v>46112</v>
      </c>
      <c r="D48" s="13" t="s">
        <v>52</v>
      </c>
      <c r="E48" s="13" t="s">
        <v>53</v>
      </c>
      <c r="F48" s="13" t="s">
        <v>48</v>
      </c>
      <c r="G48" s="13">
        <v>260</v>
      </c>
      <c r="H48" s="12">
        <f>SUMIF(suivis_enlèvements[N°Enlevement],suivis_enlèvements[[#This Row],[N°Enlevement]],suivis_enlèvements[Colis Enlev])</f>
        <v>3640</v>
      </c>
      <c r="I48" s="12">
        <f>COUNTIF(suivis_enlèvements[N°Enlevement],suivis_enlèvements[[#This Row],[N°Enlevement]])</f>
        <v>14</v>
      </c>
      <c r="J48" s="12" t="str">
        <f>IF(G49=G48, "", G48)</f>
        <v/>
      </c>
    </row>
    <row r="49" spans="1:10" ht="20.100000000000001" hidden="1" customHeight="1" x14ac:dyDescent="0.25">
      <c r="A49" s="13">
        <v>20260055</v>
      </c>
      <c r="B49" s="13">
        <v>67207</v>
      </c>
      <c r="C49" s="2">
        <v>46112</v>
      </c>
      <c r="D49" s="13" t="s">
        <v>52</v>
      </c>
      <c r="E49" s="13" t="s">
        <v>53</v>
      </c>
      <c r="F49" s="13" t="s">
        <v>48</v>
      </c>
      <c r="G49" s="13">
        <v>260</v>
      </c>
      <c r="H49" s="12">
        <f>SUMIF(suivis_enlèvements[N°Enlevement],suivis_enlèvements[[#This Row],[N°Enlevement]],suivis_enlèvements[Colis Enlev])</f>
        <v>3640</v>
      </c>
      <c r="I49" s="12">
        <f>COUNTIF(suivis_enlèvements[N°Enlevement],suivis_enlèvements[[#This Row],[N°Enlevement]])</f>
        <v>14</v>
      </c>
      <c r="J49" s="12" t="str">
        <f>IF(G50=G49, "", G49)</f>
        <v/>
      </c>
    </row>
    <row r="50" spans="1:10" ht="20.100000000000001" hidden="1" customHeight="1" x14ac:dyDescent="0.25">
      <c r="A50" s="13">
        <v>20260055</v>
      </c>
      <c r="B50" s="13">
        <v>67207</v>
      </c>
      <c r="C50" s="2">
        <v>46112</v>
      </c>
      <c r="D50" s="13" t="s">
        <v>52</v>
      </c>
      <c r="E50" s="13" t="s">
        <v>53</v>
      </c>
      <c r="F50" s="13" t="s">
        <v>48</v>
      </c>
      <c r="G50" s="13">
        <v>260</v>
      </c>
      <c r="H50" s="12">
        <f>SUMIF(suivis_enlèvements[N°Enlevement],suivis_enlèvements[[#This Row],[N°Enlevement]],suivis_enlèvements[Colis Enlev])</f>
        <v>3640</v>
      </c>
      <c r="I50" s="12">
        <f>COUNTIF(suivis_enlèvements[N°Enlevement],suivis_enlèvements[[#This Row],[N°Enlevement]])</f>
        <v>14</v>
      </c>
      <c r="J50" s="12" t="str">
        <f>IF(G51=G50, "", G50)</f>
        <v/>
      </c>
    </row>
    <row r="51" spans="1:10" ht="20.100000000000001" customHeight="1" x14ac:dyDescent="0.25">
      <c r="A51" s="13">
        <v>20260055</v>
      </c>
      <c r="B51" s="13">
        <v>67207</v>
      </c>
      <c r="C51" s="2">
        <v>46112</v>
      </c>
      <c r="D51" s="13" t="s">
        <v>52</v>
      </c>
      <c r="E51" s="13" t="s">
        <v>53</v>
      </c>
      <c r="F51" s="13" t="s">
        <v>48</v>
      </c>
      <c r="G51" s="13">
        <v>260</v>
      </c>
      <c r="H51" s="12">
        <f>SUMIF(suivis_enlèvements[N°Enlevement],suivis_enlèvements[[#This Row],[N°Enlevement]],suivis_enlèvements[Colis Enlev])</f>
        <v>3640</v>
      </c>
      <c r="I51" s="12">
        <f>COUNTIF(suivis_enlèvements[N°Enlevement],suivis_enlèvements[[#This Row],[N°Enlevement]])</f>
        <v>14</v>
      </c>
      <c r="J51" s="12">
        <f>IF(G52=G51, "", G51)</f>
        <v>260</v>
      </c>
    </row>
    <row r="52" spans="1:10" ht="20.100000000000001" hidden="1" customHeight="1" x14ac:dyDescent="0.25">
      <c r="A52" s="13">
        <v>20260055</v>
      </c>
      <c r="B52" s="13">
        <v>67208</v>
      </c>
      <c r="C52" s="2">
        <v>46112</v>
      </c>
      <c r="D52" s="13" t="s">
        <v>46</v>
      </c>
      <c r="E52" s="13" t="s">
        <v>47</v>
      </c>
      <c r="F52" s="13" t="s">
        <v>48</v>
      </c>
      <c r="G52" s="13">
        <v>220</v>
      </c>
      <c r="H52" s="12">
        <f>SUMIF(suivis_enlèvements[N°Enlevement],suivis_enlèvements[[#This Row],[N°Enlevement]],suivis_enlèvements[Colis Enlev])</f>
        <v>1320</v>
      </c>
      <c r="I52" s="12">
        <f>COUNTIF(suivis_enlèvements[N°Enlevement],suivis_enlèvements[[#This Row],[N°Enlevement]])</f>
        <v>6</v>
      </c>
      <c r="J52" s="12" t="str">
        <f>IF(G53=G52, "", G52)</f>
        <v/>
      </c>
    </row>
    <row r="53" spans="1:10" ht="20.100000000000001" hidden="1" customHeight="1" x14ac:dyDescent="0.25">
      <c r="A53" s="13">
        <v>20260055</v>
      </c>
      <c r="B53" s="13">
        <v>67208</v>
      </c>
      <c r="C53" s="2">
        <v>46112</v>
      </c>
      <c r="D53" s="13" t="s">
        <v>46</v>
      </c>
      <c r="E53" s="13" t="s">
        <v>47</v>
      </c>
      <c r="F53" s="13" t="s">
        <v>48</v>
      </c>
      <c r="G53" s="13">
        <v>220</v>
      </c>
      <c r="H53" s="12">
        <f>SUMIF(suivis_enlèvements[N°Enlevement],suivis_enlèvements[[#This Row],[N°Enlevement]],suivis_enlèvements[Colis Enlev])</f>
        <v>1320</v>
      </c>
      <c r="I53" s="12">
        <f>COUNTIF(suivis_enlèvements[N°Enlevement],suivis_enlèvements[[#This Row],[N°Enlevement]])</f>
        <v>6</v>
      </c>
      <c r="J53" s="12" t="str">
        <f>IF(G54=G53, "", G53)</f>
        <v/>
      </c>
    </row>
    <row r="54" spans="1:10" ht="20.100000000000001" hidden="1" customHeight="1" x14ac:dyDescent="0.25">
      <c r="A54" s="13">
        <v>20260055</v>
      </c>
      <c r="B54" s="13">
        <v>67208</v>
      </c>
      <c r="C54" s="2">
        <v>46112</v>
      </c>
      <c r="D54" s="13" t="s">
        <v>46</v>
      </c>
      <c r="E54" s="13" t="s">
        <v>47</v>
      </c>
      <c r="F54" s="13" t="s">
        <v>48</v>
      </c>
      <c r="G54" s="13">
        <v>220</v>
      </c>
      <c r="H54" s="12">
        <f>SUMIF(suivis_enlèvements[N°Enlevement],suivis_enlèvements[[#This Row],[N°Enlevement]],suivis_enlèvements[Colis Enlev])</f>
        <v>1320</v>
      </c>
      <c r="I54" s="12">
        <f>COUNTIF(suivis_enlèvements[N°Enlevement],suivis_enlèvements[[#This Row],[N°Enlevement]])</f>
        <v>6</v>
      </c>
      <c r="J54" s="12" t="str">
        <f>IF(G55=G54, "", G54)</f>
        <v/>
      </c>
    </row>
    <row r="55" spans="1:10" ht="20.100000000000001" hidden="1" customHeight="1" x14ac:dyDescent="0.25">
      <c r="A55" s="13">
        <v>20260055</v>
      </c>
      <c r="B55" s="13">
        <v>67208</v>
      </c>
      <c r="C55" s="2">
        <v>46112</v>
      </c>
      <c r="D55" s="13" t="s">
        <v>46</v>
      </c>
      <c r="E55" s="13" t="s">
        <v>47</v>
      </c>
      <c r="F55" s="13" t="s">
        <v>48</v>
      </c>
      <c r="G55" s="13">
        <v>220</v>
      </c>
      <c r="H55" s="12">
        <f>SUMIF(suivis_enlèvements[N°Enlevement],suivis_enlèvements[[#This Row],[N°Enlevement]],suivis_enlèvements[Colis Enlev])</f>
        <v>1320</v>
      </c>
      <c r="I55" s="12">
        <f>COUNTIF(suivis_enlèvements[N°Enlevement],suivis_enlèvements[[#This Row],[N°Enlevement]])</f>
        <v>6</v>
      </c>
      <c r="J55" s="12" t="str">
        <f>IF(G56=G55, "", G55)</f>
        <v/>
      </c>
    </row>
    <row r="56" spans="1:10" ht="20.100000000000001" hidden="1" customHeight="1" x14ac:dyDescent="0.25">
      <c r="A56" s="13">
        <v>20260055</v>
      </c>
      <c r="B56" s="13">
        <v>67208</v>
      </c>
      <c r="C56" s="2">
        <v>46112</v>
      </c>
      <c r="D56" s="13" t="s">
        <v>46</v>
      </c>
      <c r="E56" s="13" t="s">
        <v>47</v>
      </c>
      <c r="F56" s="13" t="s">
        <v>48</v>
      </c>
      <c r="G56" s="13">
        <v>220</v>
      </c>
      <c r="H56" s="12">
        <f>SUMIF(suivis_enlèvements[N°Enlevement],suivis_enlèvements[[#This Row],[N°Enlevement]],suivis_enlèvements[Colis Enlev])</f>
        <v>1320</v>
      </c>
      <c r="I56" s="12">
        <f>COUNTIF(suivis_enlèvements[N°Enlevement],suivis_enlèvements[[#This Row],[N°Enlevement]])</f>
        <v>6</v>
      </c>
      <c r="J56" s="12" t="str">
        <f>IF(G57=G56, "", G56)</f>
        <v/>
      </c>
    </row>
    <row r="57" spans="1:10" ht="20.100000000000001" customHeight="1" x14ac:dyDescent="0.25">
      <c r="A57" s="13">
        <v>20260055</v>
      </c>
      <c r="B57" s="13">
        <v>67208</v>
      </c>
      <c r="C57" s="2">
        <v>46112</v>
      </c>
      <c r="D57" s="13" t="s">
        <v>46</v>
      </c>
      <c r="E57" s="13" t="s">
        <v>47</v>
      </c>
      <c r="F57" s="13" t="s">
        <v>48</v>
      </c>
      <c r="G57" s="13">
        <v>220</v>
      </c>
      <c r="H57" s="12">
        <f>SUMIF(suivis_enlèvements[N°Enlevement],suivis_enlèvements[[#This Row],[N°Enlevement]],suivis_enlèvements[Colis Enlev])</f>
        <v>1320</v>
      </c>
      <c r="I57" s="12">
        <f>COUNTIF(suivis_enlèvements[N°Enlevement],suivis_enlèvements[[#This Row],[N°Enlevement]])</f>
        <v>6</v>
      </c>
      <c r="J57" s="12">
        <f>IF(G58=G57, "", G57)</f>
        <v>220</v>
      </c>
    </row>
    <row r="58" spans="1:10" ht="20.100000000000001" customHeight="1" x14ac:dyDescent="0.25">
      <c r="A58" s="13">
        <v>20260055</v>
      </c>
      <c r="B58" s="13">
        <v>67209</v>
      </c>
      <c r="C58" s="2">
        <v>46112</v>
      </c>
      <c r="D58" s="13" t="s">
        <v>41</v>
      </c>
      <c r="E58" s="13" t="s">
        <v>42</v>
      </c>
      <c r="F58" s="13" t="s">
        <v>12</v>
      </c>
      <c r="G58" s="13">
        <v>3</v>
      </c>
      <c r="H58" s="12">
        <f>SUMIF(suivis_enlèvements[N°Enlevement],suivis_enlèvements[[#This Row],[N°Enlevement]],suivis_enlèvements[Colis Enlev])</f>
        <v>3</v>
      </c>
      <c r="I58" s="12">
        <f>COUNTIF(suivis_enlèvements[N°Enlevement],suivis_enlèvements[[#This Row],[N°Enlevement]])</f>
        <v>1</v>
      </c>
      <c r="J58" s="12">
        <f>IF(G59=G58, "", G58)</f>
        <v>3</v>
      </c>
    </row>
    <row r="59" spans="1:10" ht="20.100000000000001" hidden="1" customHeight="1" x14ac:dyDescent="0.25">
      <c r="A59" s="13">
        <v>20260052</v>
      </c>
      <c r="B59" s="13">
        <v>67210</v>
      </c>
      <c r="C59" s="2">
        <v>46112</v>
      </c>
      <c r="D59" s="13" t="s">
        <v>43</v>
      </c>
      <c r="E59" s="13" t="s">
        <v>44</v>
      </c>
      <c r="F59" s="13" t="s">
        <v>45</v>
      </c>
      <c r="G59" s="13">
        <v>56</v>
      </c>
      <c r="H59" s="12">
        <f>SUMIF(suivis_enlèvements[N°Enlevement],suivis_enlèvements[[#This Row],[N°Enlevement]],suivis_enlèvements[Colis Enlev])</f>
        <v>448</v>
      </c>
      <c r="I59" s="12">
        <f>COUNTIF(suivis_enlèvements[N°Enlevement],suivis_enlèvements[[#This Row],[N°Enlevement]])</f>
        <v>8</v>
      </c>
      <c r="J59" s="12" t="str">
        <f>IF(G60=G59, "", G59)</f>
        <v/>
      </c>
    </row>
    <row r="60" spans="1:10" ht="20.100000000000001" hidden="1" customHeight="1" x14ac:dyDescent="0.25">
      <c r="A60" s="13">
        <v>20260052</v>
      </c>
      <c r="B60" s="13">
        <v>67210</v>
      </c>
      <c r="C60" s="2">
        <v>46112</v>
      </c>
      <c r="D60" s="13" t="s">
        <v>43</v>
      </c>
      <c r="E60" s="13" t="s">
        <v>44</v>
      </c>
      <c r="F60" s="13" t="s">
        <v>45</v>
      </c>
      <c r="G60" s="13">
        <v>56</v>
      </c>
      <c r="H60" s="12">
        <f>SUMIF(suivis_enlèvements[N°Enlevement],suivis_enlèvements[[#This Row],[N°Enlevement]],suivis_enlèvements[Colis Enlev])</f>
        <v>448</v>
      </c>
      <c r="I60" s="12">
        <f>COUNTIF(suivis_enlèvements[N°Enlevement],suivis_enlèvements[[#This Row],[N°Enlevement]])</f>
        <v>8</v>
      </c>
      <c r="J60" s="12" t="str">
        <f>IF(G61=G60, "", G60)</f>
        <v/>
      </c>
    </row>
    <row r="61" spans="1:10" ht="20.100000000000001" hidden="1" customHeight="1" x14ac:dyDescent="0.25">
      <c r="A61" s="13">
        <v>20260052</v>
      </c>
      <c r="B61" s="13">
        <v>67210</v>
      </c>
      <c r="C61" s="2">
        <v>46112</v>
      </c>
      <c r="D61" s="13" t="s">
        <v>43</v>
      </c>
      <c r="E61" s="13" t="s">
        <v>44</v>
      </c>
      <c r="F61" s="13" t="s">
        <v>45</v>
      </c>
      <c r="G61" s="13">
        <v>56</v>
      </c>
      <c r="H61" s="12">
        <f>SUMIF(suivis_enlèvements[N°Enlevement],suivis_enlèvements[[#This Row],[N°Enlevement]],suivis_enlèvements[Colis Enlev])</f>
        <v>448</v>
      </c>
      <c r="I61" s="12">
        <f>COUNTIF(suivis_enlèvements[N°Enlevement],suivis_enlèvements[[#This Row],[N°Enlevement]])</f>
        <v>8</v>
      </c>
      <c r="J61" s="12" t="str">
        <f>IF(G62=G61, "", G61)</f>
        <v/>
      </c>
    </row>
    <row r="62" spans="1:10" ht="20.100000000000001" hidden="1" customHeight="1" x14ac:dyDescent="0.25">
      <c r="A62" s="13">
        <v>20260052</v>
      </c>
      <c r="B62" s="13">
        <v>67210</v>
      </c>
      <c r="C62" s="2">
        <v>46112</v>
      </c>
      <c r="D62" s="13" t="s">
        <v>43</v>
      </c>
      <c r="E62" s="13" t="s">
        <v>44</v>
      </c>
      <c r="F62" s="13" t="s">
        <v>45</v>
      </c>
      <c r="G62" s="13">
        <v>56</v>
      </c>
      <c r="H62" s="12">
        <f>SUMIF(suivis_enlèvements[N°Enlevement],suivis_enlèvements[[#This Row],[N°Enlevement]],suivis_enlèvements[Colis Enlev])</f>
        <v>448</v>
      </c>
      <c r="I62" s="12">
        <f>COUNTIF(suivis_enlèvements[N°Enlevement],suivis_enlèvements[[#This Row],[N°Enlevement]])</f>
        <v>8</v>
      </c>
      <c r="J62" s="12" t="str">
        <f>IF(G63=G62, "", G62)</f>
        <v/>
      </c>
    </row>
    <row r="63" spans="1:10" ht="20.100000000000001" hidden="1" customHeight="1" x14ac:dyDescent="0.25">
      <c r="A63" s="13">
        <v>20260052</v>
      </c>
      <c r="B63" s="13">
        <v>67210</v>
      </c>
      <c r="C63" s="2">
        <v>46112</v>
      </c>
      <c r="D63" s="13" t="s">
        <v>43</v>
      </c>
      <c r="E63" s="13" t="s">
        <v>44</v>
      </c>
      <c r="F63" s="13" t="s">
        <v>45</v>
      </c>
      <c r="G63" s="13">
        <v>56</v>
      </c>
      <c r="H63" s="12">
        <f>SUMIF(suivis_enlèvements[N°Enlevement],suivis_enlèvements[[#This Row],[N°Enlevement]],suivis_enlèvements[Colis Enlev])</f>
        <v>448</v>
      </c>
      <c r="I63" s="12">
        <f>COUNTIF(suivis_enlèvements[N°Enlevement],suivis_enlèvements[[#This Row],[N°Enlevement]])</f>
        <v>8</v>
      </c>
      <c r="J63" s="12" t="str">
        <f>IF(G64=G63, "", G63)</f>
        <v/>
      </c>
    </row>
    <row r="64" spans="1:10" ht="20.100000000000001" hidden="1" customHeight="1" x14ac:dyDescent="0.25">
      <c r="A64" s="13">
        <v>20260052</v>
      </c>
      <c r="B64" s="13">
        <v>67210</v>
      </c>
      <c r="C64" s="2">
        <v>46112</v>
      </c>
      <c r="D64" s="13" t="s">
        <v>43</v>
      </c>
      <c r="E64" s="13" t="s">
        <v>44</v>
      </c>
      <c r="F64" s="13" t="s">
        <v>45</v>
      </c>
      <c r="G64" s="13">
        <v>56</v>
      </c>
      <c r="H64" s="12">
        <f>SUMIF(suivis_enlèvements[N°Enlevement],suivis_enlèvements[[#This Row],[N°Enlevement]],suivis_enlèvements[Colis Enlev])</f>
        <v>448</v>
      </c>
      <c r="I64" s="12">
        <f>COUNTIF(suivis_enlèvements[N°Enlevement],suivis_enlèvements[[#This Row],[N°Enlevement]])</f>
        <v>8</v>
      </c>
      <c r="J64" s="12" t="str">
        <f>IF(G65=G64, "", G64)</f>
        <v/>
      </c>
    </row>
    <row r="65" spans="1:10" ht="20.100000000000001" hidden="1" customHeight="1" x14ac:dyDescent="0.25">
      <c r="A65" s="13">
        <v>20260052</v>
      </c>
      <c r="B65" s="13">
        <v>67210</v>
      </c>
      <c r="C65" s="2">
        <v>46112</v>
      </c>
      <c r="D65" s="13" t="s">
        <v>43</v>
      </c>
      <c r="E65" s="13" t="s">
        <v>44</v>
      </c>
      <c r="F65" s="13" t="s">
        <v>45</v>
      </c>
      <c r="G65" s="13">
        <v>56</v>
      </c>
      <c r="H65" s="12">
        <f>SUMIF(suivis_enlèvements[N°Enlevement],suivis_enlèvements[[#This Row],[N°Enlevement]],suivis_enlèvements[Colis Enlev])</f>
        <v>448</v>
      </c>
      <c r="I65" s="12">
        <f>COUNTIF(suivis_enlèvements[N°Enlevement],suivis_enlèvements[[#This Row],[N°Enlevement]])</f>
        <v>8</v>
      </c>
      <c r="J65" s="12" t="str">
        <f>IF(G66=G65, "", G65)</f>
        <v/>
      </c>
    </row>
    <row r="66" spans="1:10" ht="20.100000000000001" customHeight="1" x14ac:dyDescent="0.25">
      <c r="A66" s="13">
        <v>20260052</v>
      </c>
      <c r="B66" s="13">
        <v>67210</v>
      </c>
      <c r="C66" s="2">
        <v>46112</v>
      </c>
      <c r="D66" s="13" t="s">
        <v>43</v>
      </c>
      <c r="E66" s="13" t="s">
        <v>44</v>
      </c>
      <c r="F66" s="13" t="s">
        <v>45</v>
      </c>
      <c r="G66" s="13">
        <v>56</v>
      </c>
      <c r="H66" s="12">
        <f>SUMIF(suivis_enlèvements[N°Enlevement],suivis_enlèvements[[#This Row],[N°Enlevement]],suivis_enlèvements[Colis Enlev])</f>
        <v>448</v>
      </c>
      <c r="I66" s="12">
        <f>COUNTIF(suivis_enlèvements[N°Enlevement],suivis_enlèvements[[#This Row],[N°Enlevement]])</f>
        <v>8</v>
      </c>
      <c r="J66" s="12">
        <f>IF(G67=G66, "", G66)</f>
        <v>56</v>
      </c>
    </row>
    <row r="67" spans="1:10" ht="20.100000000000001" hidden="1" customHeight="1" x14ac:dyDescent="0.25">
      <c r="A67" s="13">
        <v>20260087</v>
      </c>
      <c r="B67" s="13">
        <v>67211</v>
      </c>
      <c r="C67" s="2">
        <v>46112</v>
      </c>
      <c r="D67" s="13" t="s">
        <v>49</v>
      </c>
      <c r="E67" s="13" t="s">
        <v>50</v>
      </c>
      <c r="F67" s="13" t="s">
        <v>51</v>
      </c>
      <c r="G67" s="13">
        <v>7</v>
      </c>
      <c r="H67" s="12">
        <f>SUMIF(suivis_enlèvements[N°Enlevement],suivis_enlèvements[[#This Row],[N°Enlevement]],suivis_enlèvements[Colis Enlev])</f>
        <v>28</v>
      </c>
      <c r="I67" s="12">
        <f>COUNTIF(suivis_enlèvements[N°Enlevement],suivis_enlèvements[[#This Row],[N°Enlevement]])</f>
        <v>4</v>
      </c>
      <c r="J67" s="12" t="str">
        <f>IF(G68=G67, "", G67)</f>
        <v/>
      </c>
    </row>
    <row r="68" spans="1:10" ht="20.100000000000001" hidden="1" customHeight="1" x14ac:dyDescent="0.25">
      <c r="A68" s="13">
        <v>20260087</v>
      </c>
      <c r="B68" s="13">
        <v>67211</v>
      </c>
      <c r="C68" s="2">
        <v>46112</v>
      </c>
      <c r="D68" s="13" t="s">
        <v>49</v>
      </c>
      <c r="E68" s="13" t="s">
        <v>50</v>
      </c>
      <c r="F68" s="13" t="s">
        <v>51</v>
      </c>
      <c r="G68" s="13">
        <v>7</v>
      </c>
      <c r="H68" s="12">
        <f>SUMIF(suivis_enlèvements[N°Enlevement],suivis_enlèvements[[#This Row],[N°Enlevement]],suivis_enlèvements[Colis Enlev])</f>
        <v>28</v>
      </c>
      <c r="I68" s="12">
        <f>COUNTIF(suivis_enlèvements[N°Enlevement],suivis_enlèvements[[#This Row],[N°Enlevement]])</f>
        <v>4</v>
      </c>
      <c r="J68" s="12" t="str">
        <f>IF(G69=G68, "", G68)</f>
        <v/>
      </c>
    </row>
    <row r="69" spans="1:10" ht="20.100000000000001" hidden="1" customHeight="1" x14ac:dyDescent="0.25">
      <c r="A69" s="13">
        <v>20260087</v>
      </c>
      <c r="B69" s="13">
        <v>67211</v>
      </c>
      <c r="C69" s="2">
        <v>46112</v>
      </c>
      <c r="D69" s="13" t="s">
        <v>49</v>
      </c>
      <c r="E69" s="13" t="s">
        <v>50</v>
      </c>
      <c r="F69" s="13" t="s">
        <v>51</v>
      </c>
      <c r="G69" s="13">
        <v>7</v>
      </c>
      <c r="H69" s="12">
        <f>SUMIF(suivis_enlèvements[N°Enlevement],suivis_enlèvements[[#This Row],[N°Enlevement]],suivis_enlèvements[Colis Enlev])</f>
        <v>28</v>
      </c>
      <c r="I69" s="12">
        <f>COUNTIF(suivis_enlèvements[N°Enlevement],suivis_enlèvements[[#This Row],[N°Enlevement]])</f>
        <v>4</v>
      </c>
      <c r="J69" s="12" t="str">
        <f>IF(G70=G69, "", G69)</f>
        <v/>
      </c>
    </row>
    <row r="70" spans="1:10" ht="20.100000000000001" customHeight="1" x14ac:dyDescent="0.25">
      <c r="A70" s="13">
        <v>20260087</v>
      </c>
      <c r="B70" s="13">
        <v>67211</v>
      </c>
      <c r="C70" s="2">
        <v>46112</v>
      </c>
      <c r="D70" s="13" t="s">
        <v>49</v>
      </c>
      <c r="E70" s="13" t="s">
        <v>50</v>
      </c>
      <c r="F70" s="13" t="s">
        <v>51</v>
      </c>
      <c r="G70" s="13">
        <v>7</v>
      </c>
      <c r="H70" s="12">
        <f>SUMIF(suivis_enlèvements[N°Enlevement],suivis_enlèvements[[#This Row],[N°Enlevement]],suivis_enlèvements[Colis Enlev])</f>
        <v>28</v>
      </c>
      <c r="I70" s="12">
        <f>COUNTIF(suivis_enlèvements[N°Enlevement],suivis_enlèvements[[#This Row],[N°Enlevement]])</f>
        <v>4</v>
      </c>
      <c r="J70" s="12">
        <f>IF(G71=G70, "", G70)</f>
        <v>7</v>
      </c>
    </row>
    <row r="71" spans="1:10" ht="20.100000000000001" customHeight="1" x14ac:dyDescent="0.25">
      <c r="A71" s="13">
        <v>20260047</v>
      </c>
      <c r="B71" s="13">
        <v>67212</v>
      </c>
      <c r="C71" s="2">
        <v>46112</v>
      </c>
      <c r="D71" s="13" t="s">
        <v>54</v>
      </c>
      <c r="E71" s="13" t="s">
        <v>55</v>
      </c>
      <c r="F71" s="13" t="s">
        <v>12</v>
      </c>
      <c r="G71" s="13">
        <v>2</v>
      </c>
      <c r="H71" s="12">
        <f>SUMIF(suivis_enlèvements[N°Enlevement],suivis_enlèvements[[#This Row],[N°Enlevement]],suivis_enlèvements[Colis Enlev])</f>
        <v>2</v>
      </c>
      <c r="I71" s="12">
        <f>COUNTIF(suivis_enlèvements[N°Enlevement],suivis_enlèvements[[#This Row],[N°Enlevement]])</f>
        <v>1</v>
      </c>
      <c r="J71" s="12">
        <f>IF(G72=G71, "", G71)</f>
        <v>2</v>
      </c>
    </row>
    <row r="72" spans="1:10" ht="20.100000000000001" hidden="1" customHeight="1" x14ac:dyDescent="0.25">
      <c r="A72" s="13">
        <v>20260069</v>
      </c>
      <c r="B72" s="13">
        <v>67213</v>
      </c>
      <c r="C72" s="2">
        <v>46112</v>
      </c>
      <c r="D72" s="13" t="s">
        <v>64</v>
      </c>
      <c r="E72" s="13" t="s">
        <v>65</v>
      </c>
      <c r="F72" s="13" t="s">
        <v>66</v>
      </c>
      <c r="G72" s="13">
        <v>947</v>
      </c>
      <c r="H72" s="12">
        <f>SUMIF(suivis_enlèvements[N°Enlevement],suivis_enlèvements[[#This Row],[N°Enlevement]],suivis_enlèvements[Colis Enlev])</f>
        <v>27463</v>
      </c>
      <c r="I72" s="12">
        <f>COUNTIF(suivis_enlèvements[N°Enlevement],suivis_enlèvements[[#This Row],[N°Enlevement]])</f>
        <v>29</v>
      </c>
      <c r="J72" s="12" t="str">
        <f>IF(G73=G72, "", G72)</f>
        <v/>
      </c>
    </row>
    <row r="73" spans="1:10" ht="20.100000000000001" hidden="1" customHeight="1" x14ac:dyDescent="0.25">
      <c r="A73" s="13">
        <v>20260069</v>
      </c>
      <c r="B73" s="13">
        <v>67213</v>
      </c>
      <c r="C73" s="2">
        <v>46112</v>
      </c>
      <c r="D73" s="13" t="s">
        <v>64</v>
      </c>
      <c r="E73" s="13" t="s">
        <v>65</v>
      </c>
      <c r="F73" s="13" t="s">
        <v>66</v>
      </c>
      <c r="G73" s="13">
        <v>947</v>
      </c>
      <c r="H73" s="12">
        <f>SUMIF(suivis_enlèvements[N°Enlevement],suivis_enlèvements[[#This Row],[N°Enlevement]],suivis_enlèvements[Colis Enlev])</f>
        <v>27463</v>
      </c>
      <c r="I73" s="12">
        <f>COUNTIF(suivis_enlèvements[N°Enlevement],suivis_enlèvements[[#This Row],[N°Enlevement]])</f>
        <v>29</v>
      </c>
      <c r="J73" s="12" t="str">
        <f>IF(G74=G73, "", G73)</f>
        <v/>
      </c>
    </row>
    <row r="74" spans="1:10" ht="20.100000000000001" hidden="1" customHeight="1" x14ac:dyDescent="0.25">
      <c r="A74" s="13">
        <v>20260069</v>
      </c>
      <c r="B74" s="13">
        <v>67213</v>
      </c>
      <c r="C74" s="2">
        <v>46112</v>
      </c>
      <c r="D74" s="13" t="s">
        <v>64</v>
      </c>
      <c r="E74" s="13" t="s">
        <v>65</v>
      </c>
      <c r="F74" s="13" t="s">
        <v>66</v>
      </c>
      <c r="G74" s="13">
        <v>947</v>
      </c>
      <c r="H74" s="12">
        <f>SUMIF(suivis_enlèvements[N°Enlevement],suivis_enlèvements[[#This Row],[N°Enlevement]],suivis_enlèvements[Colis Enlev])</f>
        <v>27463</v>
      </c>
      <c r="I74" s="12">
        <f>COUNTIF(suivis_enlèvements[N°Enlevement],suivis_enlèvements[[#This Row],[N°Enlevement]])</f>
        <v>29</v>
      </c>
      <c r="J74" s="12" t="str">
        <f>IF(G75=G74, "", G74)</f>
        <v/>
      </c>
    </row>
    <row r="75" spans="1:10" ht="20.100000000000001" hidden="1" customHeight="1" x14ac:dyDescent="0.25">
      <c r="A75" s="13">
        <v>20260069</v>
      </c>
      <c r="B75" s="13">
        <v>67213</v>
      </c>
      <c r="C75" s="2">
        <v>46112</v>
      </c>
      <c r="D75" s="13" t="s">
        <v>64</v>
      </c>
      <c r="E75" s="13" t="s">
        <v>65</v>
      </c>
      <c r="F75" s="13" t="s">
        <v>66</v>
      </c>
      <c r="G75" s="13">
        <v>947</v>
      </c>
      <c r="H75" s="12">
        <f>SUMIF(suivis_enlèvements[N°Enlevement],suivis_enlèvements[[#This Row],[N°Enlevement]],suivis_enlèvements[Colis Enlev])</f>
        <v>27463</v>
      </c>
      <c r="I75" s="12">
        <f>COUNTIF(suivis_enlèvements[N°Enlevement],suivis_enlèvements[[#This Row],[N°Enlevement]])</f>
        <v>29</v>
      </c>
      <c r="J75" s="12" t="str">
        <f>IF(G76=G75, "", G75)</f>
        <v/>
      </c>
    </row>
    <row r="76" spans="1:10" ht="20.100000000000001" hidden="1" customHeight="1" x14ac:dyDescent="0.25">
      <c r="A76" s="13">
        <v>20260069</v>
      </c>
      <c r="B76" s="13">
        <v>67213</v>
      </c>
      <c r="C76" s="2">
        <v>46112</v>
      </c>
      <c r="D76" s="13" t="s">
        <v>64</v>
      </c>
      <c r="E76" s="13" t="s">
        <v>65</v>
      </c>
      <c r="F76" s="13" t="s">
        <v>66</v>
      </c>
      <c r="G76" s="13">
        <v>947</v>
      </c>
      <c r="H76" s="12">
        <f>SUMIF(suivis_enlèvements[N°Enlevement],suivis_enlèvements[[#This Row],[N°Enlevement]],suivis_enlèvements[Colis Enlev])</f>
        <v>27463</v>
      </c>
      <c r="I76" s="12">
        <f>COUNTIF(suivis_enlèvements[N°Enlevement],suivis_enlèvements[[#This Row],[N°Enlevement]])</f>
        <v>29</v>
      </c>
      <c r="J76" s="12" t="str">
        <f>IF(G77=G76, "", G76)</f>
        <v/>
      </c>
    </row>
    <row r="77" spans="1:10" ht="20.100000000000001" hidden="1" customHeight="1" x14ac:dyDescent="0.25">
      <c r="A77" s="13">
        <v>20260069</v>
      </c>
      <c r="B77" s="13">
        <v>67213</v>
      </c>
      <c r="C77" s="2">
        <v>46112</v>
      </c>
      <c r="D77" s="13" t="s">
        <v>64</v>
      </c>
      <c r="E77" s="13" t="s">
        <v>65</v>
      </c>
      <c r="F77" s="13" t="s">
        <v>66</v>
      </c>
      <c r="G77" s="13">
        <v>947</v>
      </c>
      <c r="H77" s="12">
        <f>SUMIF(suivis_enlèvements[N°Enlevement],suivis_enlèvements[[#This Row],[N°Enlevement]],suivis_enlèvements[Colis Enlev])</f>
        <v>27463</v>
      </c>
      <c r="I77" s="12">
        <f>COUNTIF(suivis_enlèvements[N°Enlevement],suivis_enlèvements[[#This Row],[N°Enlevement]])</f>
        <v>29</v>
      </c>
      <c r="J77" s="12" t="str">
        <f>IF(G78=G77, "", G77)</f>
        <v/>
      </c>
    </row>
    <row r="78" spans="1:10" ht="20.100000000000001" hidden="1" customHeight="1" x14ac:dyDescent="0.25">
      <c r="A78" s="13">
        <v>20260069</v>
      </c>
      <c r="B78" s="13">
        <v>67213</v>
      </c>
      <c r="C78" s="2">
        <v>46112</v>
      </c>
      <c r="D78" s="13" t="s">
        <v>64</v>
      </c>
      <c r="E78" s="13" t="s">
        <v>65</v>
      </c>
      <c r="F78" s="13" t="s">
        <v>66</v>
      </c>
      <c r="G78" s="13">
        <v>947</v>
      </c>
      <c r="H78" s="12">
        <f>SUMIF(suivis_enlèvements[N°Enlevement],suivis_enlèvements[[#This Row],[N°Enlevement]],suivis_enlèvements[Colis Enlev])</f>
        <v>27463</v>
      </c>
      <c r="I78" s="12">
        <f>COUNTIF(suivis_enlèvements[N°Enlevement],suivis_enlèvements[[#This Row],[N°Enlevement]])</f>
        <v>29</v>
      </c>
      <c r="J78" s="12" t="str">
        <f>IF(G79=G78, "", G78)</f>
        <v/>
      </c>
    </row>
    <row r="79" spans="1:10" ht="20.100000000000001" hidden="1" customHeight="1" x14ac:dyDescent="0.25">
      <c r="A79" s="13">
        <v>20260069</v>
      </c>
      <c r="B79" s="13">
        <v>67213</v>
      </c>
      <c r="C79" s="2">
        <v>46112</v>
      </c>
      <c r="D79" s="13" t="s">
        <v>64</v>
      </c>
      <c r="E79" s="13" t="s">
        <v>65</v>
      </c>
      <c r="F79" s="13" t="s">
        <v>66</v>
      </c>
      <c r="G79" s="13">
        <v>947</v>
      </c>
      <c r="H79" s="12">
        <f>SUMIF(suivis_enlèvements[N°Enlevement],suivis_enlèvements[[#This Row],[N°Enlevement]],suivis_enlèvements[Colis Enlev])</f>
        <v>27463</v>
      </c>
      <c r="I79" s="12">
        <f>COUNTIF(suivis_enlèvements[N°Enlevement],suivis_enlèvements[[#This Row],[N°Enlevement]])</f>
        <v>29</v>
      </c>
      <c r="J79" s="12" t="str">
        <f>IF(G80=G79, "", G79)</f>
        <v/>
      </c>
    </row>
    <row r="80" spans="1:10" ht="20.100000000000001" hidden="1" customHeight="1" x14ac:dyDescent="0.25">
      <c r="A80" s="13">
        <v>20260069</v>
      </c>
      <c r="B80" s="13">
        <v>67213</v>
      </c>
      <c r="C80" s="2">
        <v>46112</v>
      </c>
      <c r="D80" s="13" t="s">
        <v>64</v>
      </c>
      <c r="E80" s="13" t="s">
        <v>65</v>
      </c>
      <c r="F80" s="13" t="s">
        <v>66</v>
      </c>
      <c r="G80" s="13">
        <v>947</v>
      </c>
      <c r="H80" s="12">
        <f>SUMIF(suivis_enlèvements[N°Enlevement],suivis_enlèvements[[#This Row],[N°Enlevement]],suivis_enlèvements[Colis Enlev])</f>
        <v>27463</v>
      </c>
      <c r="I80" s="12">
        <f>COUNTIF(suivis_enlèvements[N°Enlevement],suivis_enlèvements[[#This Row],[N°Enlevement]])</f>
        <v>29</v>
      </c>
      <c r="J80" s="12" t="str">
        <f>IF(G81=G80, "", G80)</f>
        <v/>
      </c>
    </row>
    <row r="81" spans="1:10" ht="20.100000000000001" hidden="1" customHeight="1" x14ac:dyDescent="0.25">
      <c r="A81" s="13">
        <v>20260069</v>
      </c>
      <c r="B81" s="13">
        <v>67213</v>
      </c>
      <c r="C81" s="2">
        <v>46112</v>
      </c>
      <c r="D81" s="13" t="s">
        <v>64</v>
      </c>
      <c r="E81" s="13" t="s">
        <v>65</v>
      </c>
      <c r="F81" s="13" t="s">
        <v>66</v>
      </c>
      <c r="G81" s="13">
        <v>947</v>
      </c>
      <c r="H81" s="12">
        <f>SUMIF(suivis_enlèvements[N°Enlevement],suivis_enlèvements[[#This Row],[N°Enlevement]],suivis_enlèvements[Colis Enlev])</f>
        <v>27463</v>
      </c>
      <c r="I81" s="12">
        <f>COUNTIF(suivis_enlèvements[N°Enlevement],suivis_enlèvements[[#This Row],[N°Enlevement]])</f>
        <v>29</v>
      </c>
      <c r="J81" s="12" t="str">
        <f>IF(G82=G81, "", G81)</f>
        <v/>
      </c>
    </row>
    <row r="82" spans="1:10" ht="20.100000000000001" hidden="1" customHeight="1" x14ac:dyDescent="0.25">
      <c r="A82" s="13">
        <v>20260069</v>
      </c>
      <c r="B82" s="13">
        <v>67213</v>
      </c>
      <c r="C82" s="2">
        <v>46112</v>
      </c>
      <c r="D82" s="13" t="s">
        <v>64</v>
      </c>
      <c r="E82" s="13" t="s">
        <v>65</v>
      </c>
      <c r="F82" s="13" t="s">
        <v>66</v>
      </c>
      <c r="G82" s="13">
        <v>947</v>
      </c>
      <c r="H82" s="12">
        <f>SUMIF(suivis_enlèvements[N°Enlevement],suivis_enlèvements[[#This Row],[N°Enlevement]],suivis_enlèvements[Colis Enlev])</f>
        <v>27463</v>
      </c>
      <c r="I82" s="12">
        <f>COUNTIF(suivis_enlèvements[N°Enlevement],suivis_enlèvements[[#This Row],[N°Enlevement]])</f>
        <v>29</v>
      </c>
      <c r="J82" s="12" t="str">
        <f>IF(G83=G82, "", G82)</f>
        <v/>
      </c>
    </row>
    <row r="83" spans="1:10" ht="20.100000000000001" hidden="1" customHeight="1" x14ac:dyDescent="0.25">
      <c r="A83" s="13">
        <v>20260069</v>
      </c>
      <c r="B83" s="13">
        <v>67213</v>
      </c>
      <c r="C83" s="2">
        <v>46112</v>
      </c>
      <c r="D83" s="13" t="s">
        <v>64</v>
      </c>
      <c r="E83" s="13" t="s">
        <v>65</v>
      </c>
      <c r="F83" s="13" t="s">
        <v>66</v>
      </c>
      <c r="G83" s="13">
        <v>947</v>
      </c>
      <c r="H83" s="12">
        <f>SUMIF(suivis_enlèvements[N°Enlevement],suivis_enlèvements[[#This Row],[N°Enlevement]],suivis_enlèvements[Colis Enlev])</f>
        <v>27463</v>
      </c>
      <c r="I83" s="12">
        <f>COUNTIF(suivis_enlèvements[N°Enlevement],suivis_enlèvements[[#This Row],[N°Enlevement]])</f>
        <v>29</v>
      </c>
      <c r="J83" s="12" t="str">
        <f>IF(G84=G83, "", G83)</f>
        <v/>
      </c>
    </row>
    <row r="84" spans="1:10" ht="20.100000000000001" hidden="1" customHeight="1" x14ac:dyDescent="0.25">
      <c r="A84" s="13">
        <v>20260069</v>
      </c>
      <c r="B84" s="13">
        <v>67213</v>
      </c>
      <c r="C84" s="2">
        <v>46112</v>
      </c>
      <c r="D84" s="13" t="s">
        <v>64</v>
      </c>
      <c r="E84" s="13" t="s">
        <v>65</v>
      </c>
      <c r="F84" s="13" t="s">
        <v>66</v>
      </c>
      <c r="G84" s="13">
        <v>947</v>
      </c>
      <c r="H84" s="12">
        <f>SUMIF(suivis_enlèvements[N°Enlevement],suivis_enlèvements[[#This Row],[N°Enlevement]],suivis_enlèvements[Colis Enlev])</f>
        <v>27463</v>
      </c>
      <c r="I84" s="12">
        <f>COUNTIF(suivis_enlèvements[N°Enlevement],suivis_enlèvements[[#This Row],[N°Enlevement]])</f>
        <v>29</v>
      </c>
      <c r="J84" s="12" t="str">
        <f>IF(G85=G84, "", G84)</f>
        <v/>
      </c>
    </row>
    <row r="85" spans="1:10" ht="20.100000000000001" hidden="1" customHeight="1" x14ac:dyDescent="0.25">
      <c r="A85" s="13">
        <v>20260069</v>
      </c>
      <c r="B85" s="13">
        <v>67213</v>
      </c>
      <c r="C85" s="2">
        <v>46112</v>
      </c>
      <c r="D85" s="13" t="s">
        <v>64</v>
      </c>
      <c r="E85" s="13" t="s">
        <v>65</v>
      </c>
      <c r="F85" s="13" t="s">
        <v>66</v>
      </c>
      <c r="G85" s="13">
        <v>947</v>
      </c>
      <c r="H85" s="12">
        <f>SUMIF(suivis_enlèvements[N°Enlevement],suivis_enlèvements[[#This Row],[N°Enlevement]],suivis_enlèvements[Colis Enlev])</f>
        <v>27463</v>
      </c>
      <c r="I85" s="12">
        <f>COUNTIF(suivis_enlèvements[N°Enlevement],suivis_enlèvements[[#This Row],[N°Enlevement]])</f>
        <v>29</v>
      </c>
      <c r="J85" s="12" t="str">
        <f>IF(G86=G85, "", G85)</f>
        <v/>
      </c>
    </row>
    <row r="86" spans="1:10" ht="20.100000000000001" hidden="1" customHeight="1" x14ac:dyDescent="0.25">
      <c r="A86" s="13">
        <v>20260069</v>
      </c>
      <c r="B86" s="13">
        <v>67213</v>
      </c>
      <c r="C86" s="2">
        <v>46112</v>
      </c>
      <c r="D86" s="13" t="s">
        <v>64</v>
      </c>
      <c r="E86" s="13" t="s">
        <v>65</v>
      </c>
      <c r="F86" s="13" t="s">
        <v>66</v>
      </c>
      <c r="G86" s="13">
        <v>947</v>
      </c>
      <c r="H86" s="12">
        <f>SUMIF(suivis_enlèvements[N°Enlevement],suivis_enlèvements[[#This Row],[N°Enlevement]],suivis_enlèvements[Colis Enlev])</f>
        <v>27463</v>
      </c>
      <c r="I86" s="12">
        <f>COUNTIF(suivis_enlèvements[N°Enlevement],suivis_enlèvements[[#This Row],[N°Enlevement]])</f>
        <v>29</v>
      </c>
      <c r="J86" s="12" t="str">
        <f>IF(G87=G86, "", G86)</f>
        <v/>
      </c>
    </row>
    <row r="87" spans="1:10" ht="20.100000000000001" hidden="1" customHeight="1" x14ac:dyDescent="0.25">
      <c r="A87" s="13">
        <v>20260069</v>
      </c>
      <c r="B87" s="13">
        <v>67213</v>
      </c>
      <c r="C87" s="2">
        <v>46112</v>
      </c>
      <c r="D87" s="13" t="s">
        <v>64</v>
      </c>
      <c r="E87" s="13" t="s">
        <v>65</v>
      </c>
      <c r="F87" s="13" t="s">
        <v>66</v>
      </c>
      <c r="G87" s="13">
        <v>947</v>
      </c>
      <c r="H87" s="12">
        <f>SUMIF(suivis_enlèvements[N°Enlevement],suivis_enlèvements[[#This Row],[N°Enlevement]],suivis_enlèvements[Colis Enlev])</f>
        <v>27463</v>
      </c>
      <c r="I87" s="12">
        <f>COUNTIF(suivis_enlèvements[N°Enlevement],suivis_enlèvements[[#This Row],[N°Enlevement]])</f>
        <v>29</v>
      </c>
      <c r="J87" s="12" t="str">
        <f>IF(G88=G87, "", G87)</f>
        <v/>
      </c>
    </row>
    <row r="88" spans="1:10" ht="20.100000000000001" hidden="1" customHeight="1" x14ac:dyDescent="0.25">
      <c r="A88" s="13">
        <v>20260069</v>
      </c>
      <c r="B88" s="13">
        <v>67213</v>
      </c>
      <c r="C88" s="2">
        <v>46112</v>
      </c>
      <c r="D88" s="13" t="s">
        <v>64</v>
      </c>
      <c r="E88" s="13" t="s">
        <v>65</v>
      </c>
      <c r="F88" s="13" t="s">
        <v>66</v>
      </c>
      <c r="G88" s="13">
        <v>947</v>
      </c>
      <c r="H88" s="12">
        <f>SUMIF(suivis_enlèvements[N°Enlevement],suivis_enlèvements[[#This Row],[N°Enlevement]],suivis_enlèvements[Colis Enlev])</f>
        <v>27463</v>
      </c>
      <c r="I88" s="12">
        <f>COUNTIF(suivis_enlèvements[N°Enlevement],suivis_enlèvements[[#This Row],[N°Enlevement]])</f>
        <v>29</v>
      </c>
      <c r="J88" s="12" t="str">
        <f>IF(G89=G88, "", G88)</f>
        <v/>
      </c>
    </row>
    <row r="89" spans="1:10" ht="20.100000000000001" hidden="1" customHeight="1" x14ac:dyDescent="0.25">
      <c r="A89" s="13">
        <v>20260069</v>
      </c>
      <c r="B89" s="13">
        <v>67213</v>
      </c>
      <c r="C89" s="2">
        <v>46112</v>
      </c>
      <c r="D89" s="13" t="s">
        <v>64</v>
      </c>
      <c r="E89" s="13" t="s">
        <v>65</v>
      </c>
      <c r="F89" s="13" t="s">
        <v>66</v>
      </c>
      <c r="G89" s="13">
        <v>947</v>
      </c>
      <c r="H89" s="12">
        <f>SUMIF(suivis_enlèvements[N°Enlevement],suivis_enlèvements[[#This Row],[N°Enlevement]],suivis_enlèvements[Colis Enlev])</f>
        <v>27463</v>
      </c>
      <c r="I89" s="12">
        <f>COUNTIF(suivis_enlèvements[N°Enlevement],suivis_enlèvements[[#This Row],[N°Enlevement]])</f>
        <v>29</v>
      </c>
      <c r="J89" s="12" t="str">
        <f>IF(G90=G89, "", G89)</f>
        <v/>
      </c>
    </row>
    <row r="90" spans="1:10" ht="20.100000000000001" hidden="1" customHeight="1" x14ac:dyDescent="0.25">
      <c r="A90" s="13">
        <v>20260069</v>
      </c>
      <c r="B90" s="13">
        <v>67213</v>
      </c>
      <c r="C90" s="2">
        <v>46112</v>
      </c>
      <c r="D90" s="13" t="s">
        <v>64</v>
      </c>
      <c r="E90" s="13" t="s">
        <v>65</v>
      </c>
      <c r="F90" s="13" t="s">
        <v>66</v>
      </c>
      <c r="G90" s="13">
        <v>947</v>
      </c>
      <c r="H90" s="12">
        <f>SUMIF(suivis_enlèvements[N°Enlevement],suivis_enlèvements[[#This Row],[N°Enlevement]],suivis_enlèvements[Colis Enlev])</f>
        <v>27463</v>
      </c>
      <c r="I90" s="12">
        <f>COUNTIF(suivis_enlèvements[N°Enlevement],suivis_enlèvements[[#This Row],[N°Enlevement]])</f>
        <v>29</v>
      </c>
      <c r="J90" s="12" t="str">
        <f>IF(G91=G90, "", G90)</f>
        <v/>
      </c>
    </row>
    <row r="91" spans="1:10" ht="20.100000000000001" hidden="1" customHeight="1" x14ac:dyDescent="0.25">
      <c r="A91" s="13">
        <v>20260069</v>
      </c>
      <c r="B91" s="13">
        <v>67213</v>
      </c>
      <c r="C91" s="2">
        <v>46112</v>
      </c>
      <c r="D91" s="13" t="s">
        <v>64</v>
      </c>
      <c r="E91" s="13" t="s">
        <v>65</v>
      </c>
      <c r="F91" s="13" t="s">
        <v>66</v>
      </c>
      <c r="G91" s="13">
        <v>947</v>
      </c>
      <c r="H91" s="12">
        <f>SUMIF(suivis_enlèvements[N°Enlevement],suivis_enlèvements[[#This Row],[N°Enlevement]],suivis_enlèvements[Colis Enlev])</f>
        <v>27463</v>
      </c>
      <c r="I91" s="12">
        <f>COUNTIF(suivis_enlèvements[N°Enlevement],suivis_enlèvements[[#This Row],[N°Enlevement]])</f>
        <v>29</v>
      </c>
      <c r="J91" s="12" t="str">
        <f>IF(G92=G91, "", G91)</f>
        <v/>
      </c>
    </row>
    <row r="92" spans="1:10" ht="20.100000000000001" hidden="1" customHeight="1" x14ac:dyDescent="0.25">
      <c r="A92" s="13">
        <v>20260069</v>
      </c>
      <c r="B92" s="13">
        <v>67213</v>
      </c>
      <c r="C92" s="2">
        <v>46112</v>
      </c>
      <c r="D92" s="13" t="s">
        <v>64</v>
      </c>
      <c r="E92" s="13" t="s">
        <v>65</v>
      </c>
      <c r="F92" s="13" t="s">
        <v>66</v>
      </c>
      <c r="G92" s="13">
        <v>947</v>
      </c>
      <c r="H92" s="12">
        <f>SUMIF(suivis_enlèvements[N°Enlevement],suivis_enlèvements[[#This Row],[N°Enlevement]],suivis_enlèvements[Colis Enlev])</f>
        <v>27463</v>
      </c>
      <c r="I92" s="12">
        <f>COUNTIF(suivis_enlèvements[N°Enlevement],suivis_enlèvements[[#This Row],[N°Enlevement]])</f>
        <v>29</v>
      </c>
      <c r="J92" s="12" t="str">
        <f>IF(G93=G92, "", G92)</f>
        <v/>
      </c>
    </row>
    <row r="93" spans="1:10" ht="20.100000000000001" hidden="1" customHeight="1" x14ac:dyDescent="0.25">
      <c r="A93" s="13">
        <v>20260069</v>
      </c>
      <c r="B93" s="13">
        <v>67213</v>
      </c>
      <c r="C93" s="2">
        <v>46112</v>
      </c>
      <c r="D93" s="13" t="s">
        <v>64</v>
      </c>
      <c r="E93" s="13" t="s">
        <v>65</v>
      </c>
      <c r="F93" s="13" t="s">
        <v>66</v>
      </c>
      <c r="G93" s="13">
        <v>947</v>
      </c>
      <c r="H93" s="12">
        <f>SUMIF(suivis_enlèvements[N°Enlevement],suivis_enlèvements[[#This Row],[N°Enlevement]],suivis_enlèvements[Colis Enlev])</f>
        <v>27463</v>
      </c>
      <c r="I93" s="12">
        <f>COUNTIF(suivis_enlèvements[N°Enlevement],suivis_enlèvements[[#This Row],[N°Enlevement]])</f>
        <v>29</v>
      </c>
      <c r="J93" s="12" t="str">
        <f>IF(G94=G93, "", G93)</f>
        <v/>
      </c>
    </row>
    <row r="94" spans="1:10" ht="20.100000000000001" hidden="1" customHeight="1" x14ac:dyDescent="0.25">
      <c r="A94" s="13">
        <v>20260069</v>
      </c>
      <c r="B94" s="13">
        <v>67213</v>
      </c>
      <c r="C94" s="2">
        <v>46112</v>
      </c>
      <c r="D94" s="13" t="s">
        <v>64</v>
      </c>
      <c r="E94" s="13" t="s">
        <v>65</v>
      </c>
      <c r="F94" s="13" t="s">
        <v>66</v>
      </c>
      <c r="G94" s="13">
        <v>947</v>
      </c>
      <c r="H94" s="12">
        <f>SUMIF(suivis_enlèvements[N°Enlevement],suivis_enlèvements[[#This Row],[N°Enlevement]],suivis_enlèvements[Colis Enlev])</f>
        <v>27463</v>
      </c>
      <c r="I94" s="12">
        <f>COUNTIF(suivis_enlèvements[N°Enlevement],suivis_enlèvements[[#This Row],[N°Enlevement]])</f>
        <v>29</v>
      </c>
      <c r="J94" s="12" t="str">
        <f>IF(G95=G94, "", G94)</f>
        <v/>
      </c>
    </row>
    <row r="95" spans="1:10" ht="20.100000000000001" hidden="1" customHeight="1" x14ac:dyDescent="0.25">
      <c r="A95" s="13">
        <v>20260069</v>
      </c>
      <c r="B95" s="13">
        <v>67213</v>
      </c>
      <c r="C95" s="2">
        <v>46112</v>
      </c>
      <c r="D95" s="13" t="s">
        <v>64</v>
      </c>
      <c r="E95" s="13" t="s">
        <v>65</v>
      </c>
      <c r="F95" s="13" t="s">
        <v>66</v>
      </c>
      <c r="G95" s="13">
        <v>947</v>
      </c>
      <c r="H95" s="12">
        <f>SUMIF(suivis_enlèvements[N°Enlevement],suivis_enlèvements[[#This Row],[N°Enlevement]],suivis_enlèvements[Colis Enlev])</f>
        <v>27463</v>
      </c>
      <c r="I95" s="12">
        <f>COUNTIF(suivis_enlèvements[N°Enlevement],suivis_enlèvements[[#This Row],[N°Enlevement]])</f>
        <v>29</v>
      </c>
      <c r="J95" s="12" t="str">
        <f>IF(G96=G95, "", G95)</f>
        <v/>
      </c>
    </row>
    <row r="96" spans="1:10" ht="20.100000000000001" hidden="1" customHeight="1" x14ac:dyDescent="0.25">
      <c r="A96" s="13">
        <v>20260069</v>
      </c>
      <c r="B96" s="13">
        <v>67213</v>
      </c>
      <c r="C96" s="2">
        <v>46112</v>
      </c>
      <c r="D96" s="13" t="s">
        <v>64</v>
      </c>
      <c r="E96" s="13" t="s">
        <v>65</v>
      </c>
      <c r="F96" s="13" t="s">
        <v>66</v>
      </c>
      <c r="G96" s="13">
        <v>947</v>
      </c>
      <c r="H96" s="12">
        <f>SUMIF(suivis_enlèvements[N°Enlevement],suivis_enlèvements[[#This Row],[N°Enlevement]],suivis_enlèvements[Colis Enlev])</f>
        <v>27463</v>
      </c>
      <c r="I96" s="12">
        <f>COUNTIF(suivis_enlèvements[N°Enlevement],suivis_enlèvements[[#This Row],[N°Enlevement]])</f>
        <v>29</v>
      </c>
      <c r="J96" s="12" t="str">
        <f>IF(G97=G96, "", G96)</f>
        <v/>
      </c>
    </row>
    <row r="97" spans="1:10" ht="20.100000000000001" hidden="1" customHeight="1" x14ac:dyDescent="0.25">
      <c r="A97" s="13">
        <v>20260069</v>
      </c>
      <c r="B97" s="13">
        <v>67213</v>
      </c>
      <c r="C97" s="2">
        <v>46112</v>
      </c>
      <c r="D97" s="13" t="s">
        <v>64</v>
      </c>
      <c r="E97" s="13" t="s">
        <v>65</v>
      </c>
      <c r="F97" s="13" t="s">
        <v>66</v>
      </c>
      <c r="G97" s="13">
        <v>947</v>
      </c>
      <c r="H97" s="12">
        <f>SUMIF(suivis_enlèvements[N°Enlevement],suivis_enlèvements[[#This Row],[N°Enlevement]],suivis_enlèvements[Colis Enlev])</f>
        <v>27463</v>
      </c>
      <c r="I97" s="12">
        <f>COUNTIF(suivis_enlèvements[N°Enlevement],suivis_enlèvements[[#This Row],[N°Enlevement]])</f>
        <v>29</v>
      </c>
      <c r="J97" s="12" t="str">
        <f>IF(G98=G97, "", G97)</f>
        <v/>
      </c>
    </row>
    <row r="98" spans="1:10" ht="20.100000000000001" hidden="1" customHeight="1" x14ac:dyDescent="0.25">
      <c r="A98" s="13">
        <v>20260069</v>
      </c>
      <c r="B98" s="13">
        <v>67213</v>
      </c>
      <c r="C98" s="2">
        <v>46112</v>
      </c>
      <c r="D98" s="13" t="s">
        <v>64</v>
      </c>
      <c r="E98" s="13" t="s">
        <v>65</v>
      </c>
      <c r="F98" s="13" t="s">
        <v>66</v>
      </c>
      <c r="G98" s="13">
        <v>947</v>
      </c>
      <c r="H98" s="12">
        <f>SUMIF(suivis_enlèvements[N°Enlevement],suivis_enlèvements[[#This Row],[N°Enlevement]],suivis_enlèvements[Colis Enlev])</f>
        <v>27463</v>
      </c>
      <c r="I98" s="12">
        <f>COUNTIF(suivis_enlèvements[N°Enlevement],suivis_enlèvements[[#This Row],[N°Enlevement]])</f>
        <v>29</v>
      </c>
      <c r="J98" s="12" t="str">
        <f>IF(G99=G98, "", G98)</f>
        <v/>
      </c>
    </row>
    <row r="99" spans="1:10" ht="20.100000000000001" hidden="1" customHeight="1" x14ac:dyDescent="0.25">
      <c r="A99" s="13">
        <v>20260069</v>
      </c>
      <c r="B99" s="13">
        <v>67213</v>
      </c>
      <c r="C99" s="2">
        <v>46112</v>
      </c>
      <c r="D99" s="13" t="s">
        <v>64</v>
      </c>
      <c r="E99" s="13" t="s">
        <v>65</v>
      </c>
      <c r="F99" s="13" t="s">
        <v>66</v>
      </c>
      <c r="G99" s="13">
        <v>947</v>
      </c>
      <c r="H99" s="12">
        <f>SUMIF(suivis_enlèvements[N°Enlevement],suivis_enlèvements[[#This Row],[N°Enlevement]],suivis_enlèvements[Colis Enlev])</f>
        <v>27463</v>
      </c>
      <c r="I99" s="12">
        <f>COUNTIF(suivis_enlèvements[N°Enlevement],suivis_enlèvements[[#This Row],[N°Enlevement]])</f>
        <v>29</v>
      </c>
      <c r="J99" s="12" t="str">
        <f>IF(G100=G99, "", G99)</f>
        <v/>
      </c>
    </row>
    <row r="100" spans="1:10" ht="20.100000000000001" customHeight="1" x14ac:dyDescent="0.25">
      <c r="A100" s="13">
        <v>20260069</v>
      </c>
      <c r="B100" s="13">
        <v>67213</v>
      </c>
      <c r="C100" s="2">
        <v>46112</v>
      </c>
      <c r="D100" s="13" t="s">
        <v>64</v>
      </c>
      <c r="E100" s="13" t="s">
        <v>65</v>
      </c>
      <c r="F100" s="13" t="s">
        <v>66</v>
      </c>
      <c r="G100" s="13">
        <v>947</v>
      </c>
      <c r="H100" s="12">
        <f>SUMIF(suivis_enlèvements[N°Enlevement],suivis_enlèvements[[#This Row],[N°Enlevement]],suivis_enlèvements[Colis Enlev])</f>
        <v>27463</v>
      </c>
      <c r="I100" s="12">
        <f>COUNTIF(suivis_enlèvements[N°Enlevement],suivis_enlèvements[[#This Row],[N°Enlevement]])</f>
        <v>29</v>
      </c>
      <c r="J100" s="12">
        <f>IF(G101=G100, "", G100)</f>
        <v>947</v>
      </c>
    </row>
    <row r="101" spans="1:10" ht="20.100000000000001" hidden="1" customHeight="1" x14ac:dyDescent="0.25">
      <c r="A101" s="13">
        <v>20260079</v>
      </c>
      <c r="B101" s="13">
        <v>67214</v>
      </c>
      <c r="C101" s="2">
        <v>46112</v>
      </c>
      <c r="D101" s="13" t="s">
        <v>7</v>
      </c>
      <c r="E101" s="13" t="s">
        <v>8</v>
      </c>
      <c r="F101" s="13" t="s">
        <v>9</v>
      </c>
      <c r="G101" s="13">
        <v>57</v>
      </c>
      <c r="H101" s="12">
        <f>SUMIF(suivis_enlèvements[N°Enlevement],suivis_enlèvements[[#This Row],[N°Enlevement]],suivis_enlèvements[Colis Enlev])</f>
        <v>399</v>
      </c>
      <c r="I101" s="12">
        <f>COUNTIF(suivis_enlèvements[N°Enlevement],suivis_enlèvements[[#This Row],[N°Enlevement]])</f>
        <v>7</v>
      </c>
      <c r="J101" s="12" t="str">
        <f>IF(G102=G101, "", G101)</f>
        <v/>
      </c>
    </row>
    <row r="102" spans="1:10" ht="20.100000000000001" hidden="1" customHeight="1" x14ac:dyDescent="0.25">
      <c r="A102" s="13">
        <v>20260079</v>
      </c>
      <c r="B102" s="13">
        <v>67214</v>
      </c>
      <c r="C102" s="2">
        <v>46112</v>
      </c>
      <c r="D102" s="13" t="s">
        <v>7</v>
      </c>
      <c r="E102" s="13" t="s">
        <v>8</v>
      </c>
      <c r="F102" s="13" t="s">
        <v>9</v>
      </c>
      <c r="G102" s="13">
        <v>57</v>
      </c>
      <c r="H102" s="12">
        <f>SUMIF(suivis_enlèvements[N°Enlevement],suivis_enlèvements[[#This Row],[N°Enlevement]],suivis_enlèvements[Colis Enlev])</f>
        <v>399</v>
      </c>
      <c r="I102" s="12">
        <f>COUNTIF(suivis_enlèvements[N°Enlevement],suivis_enlèvements[[#This Row],[N°Enlevement]])</f>
        <v>7</v>
      </c>
      <c r="J102" s="12" t="str">
        <f>IF(G103=G102, "", G102)</f>
        <v/>
      </c>
    </row>
    <row r="103" spans="1:10" ht="20.100000000000001" hidden="1" customHeight="1" x14ac:dyDescent="0.25">
      <c r="A103" s="13">
        <v>20260079</v>
      </c>
      <c r="B103" s="13">
        <v>67214</v>
      </c>
      <c r="C103" s="2">
        <v>46112</v>
      </c>
      <c r="D103" s="13" t="s">
        <v>7</v>
      </c>
      <c r="E103" s="13" t="s">
        <v>8</v>
      </c>
      <c r="F103" s="13" t="s">
        <v>9</v>
      </c>
      <c r="G103" s="13">
        <v>57</v>
      </c>
      <c r="H103" s="12">
        <f>SUMIF(suivis_enlèvements[N°Enlevement],suivis_enlèvements[[#This Row],[N°Enlevement]],suivis_enlèvements[Colis Enlev])</f>
        <v>399</v>
      </c>
      <c r="I103" s="12">
        <f>COUNTIF(suivis_enlèvements[N°Enlevement],suivis_enlèvements[[#This Row],[N°Enlevement]])</f>
        <v>7</v>
      </c>
      <c r="J103" s="12" t="str">
        <f>IF(G104=G103, "", G103)</f>
        <v/>
      </c>
    </row>
    <row r="104" spans="1:10" ht="20.100000000000001" hidden="1" customHeight="1" x14ac:dyDescent="0.25">
      <c r="A104" s="13">
        <v>20260079</v>
      </c>
      <c r="B104" s="13">
        <v>67214</v>
      </c>
      <c r="C104" s="2">
        <v>46112</v>
      </c>
      <c r="D104" s="13" t="s">
        <v>7</v>
      </c>
      <c r="E104" s="13" t="s">
        <v>8</v>
      </c>
      <c r="F104" s="13" t="s">
        <v>9</v>
      </c>
      <c r="G104" s="13">
        <v>57</v>
      </c>
      <c r="H104" s="12">
        <f>SUMIF(suivis_enlèvements[N°Enlevement],suivis_enlèvements[[#This Row],[N°Enlevement]],suivis_enlèvements[Colis Enlev])</f>
        <v>399</v>
      </c>
      <c r="I104" s="12">
        <f>COUNTIF(suivis_enlèvements[N°Enlevement],suivis_enlèvements[[#This Row],[N°Enlevement]])</f>
        <v>7</v>
      </c>
      <c r="J104" s="12" t="str">
        <f>IF(G105=G104, "", G104)</f>
        <v/>
      </c>
    </row>
    <row r="105" spans="1:10" ht="20.100000000000001" hidden="1" customHeight="1" x14ac:dyDescent="0.25">
      <c r="A105" s="13">
        <v>20260079</v>
      </c>
      <c r="B105" s="13">
        <v>67214</v>
      </c>
      <c r="C105" s="2">
        <v>46112</v>
      </c>
      <c r="D105" s="13" t="s">
        <v>7</v>
      </c>
      <c r="E105" s="13" t="s">
        <v>8</v>
      </c>
      <c r="F105" s="13" t="s">
        <v>9</v>
      </c>
      <c r="G105" s="13">
        <v>57</v>
      </c>
      <c r="H105" s="12">
        <f>SUMIF(suivis_enlèvements[N°Enlevement],suivis_enlèvements[[#This Row],[N°Enlevement]],suivis_enlèvements[Colis Enlev])</f>
        <v>399</v>
      </c>
      <c r="I105" s="12">
        <f>COUNTIF(suivis_enlèvements[N°Enlevement],suivis_enlèvements[[#This Row],[N°Enlevement]])</f>
        <v>7</v>
      </c>
      <c r="J105" s="12" t="str">
        <f>IF(G106=G105, "", G105)</f>
        <v/>
      </c>
    </row>
    <row r="106" spans="1:10" ht="20.100000000000001" hidden="1" customHeight="1" x14ac:dyDescent="0.25">
      <c r="A106" s="13">
        <v>20260079</v>
      </c>
      <c r="B106" s="13">
        <v>67214</v>
      </c>
      <c r="C106" s="2">
        <v>46112</v>
      </c>
      <c r="D106" s="13" t="s">
        <v>7</v>
      </c>
      <c r="E106" s="13" t="s">
        <v>8</v>
      </c>
      <c r="F106" s="13" t="s">
        <v>9</v>
      </c>
      <c r="G106" s="13">
        <v>57</v>
      </c>
      <c r="H106" s="12">
        <f>SUMIF(suivis_enlèvements[N°Enlevement],suivis_enlèvements[[#This Row],[N°Enlevement]],suivis_enlèvements[Colis Enlev])</f>
        <v>399</v>
      </c>
      <c r="I106" s="12">
        <f>COUNTIF(suivis_enlèvements[N°Enlevement],suivis_enlèvements[[#This Row],[N°Enlevement]])</f>
        <v>7</v>
      </c>
      <c r="J106" s="12" t="str">
        <f>IF(G107=G106, "", G106)</f>
        <v/>
      </c>
    </row>
    <row r="107" spans="1:10" ht="20.100000000000001" customHeight="1" x14ac:dyDescent="0.25">
      <c r="A107" s="13">
        <v>20260079</v>
      </c>
      <c r="B107" s="13">
        <v>67214</v>
      </c>
      <c r="C107" s="2">
        <v>46112</v>
      </c>
      <c r="D107" s="13" t="s">
        <v>7</v>
      </c>
      <c r="E107" s="13" t="s">
        <v>8</v>
      </c>
      <c r="F107" s="13" t="s">
        <v>9</v>
      </c>
      <c r="G107" s="13">
        <v>57</v>
      </c>
      <c r="H107" s="12">
        <f>SUMIF(suivis_enlèvements[N°Enlevement],suivis_enlèvements[[#This Row],[N°Enlevement]],suivis_enlèvements[Colis Enlev])</f>
        <v>399</v>
      </c>
      <c r="I107" s="12">
        <f>COUNTIF(suivis_enlèvements[N°Enlevement],suivis_enlèvements[[#This Row],[N°Enlevement]])</f>
        <v>7</v>
      </c>
      <c r="J107" s="12">
        <f>IF(G108=G107, "", G107)</f>
        <v>57</v>
      </c>
    </row>
    <row r="108" spans="1:10" ht="20.100000000000001" customHeight="1" x14ac:dyDescent="0.25">
      <c r="A108" s="13">
        <v>20260087</v>
      </c>
      <c r="B108" s="13">
        <v>67215</v>
      </c>
      <c r="C108" s="2">
        <v>46112</v>
      </c>
      <c r="D108" s="13" t="s">
        <v>49</v>
      </c>
      <c r="E108" s="13" t="s">
        <v>50</v>
      </c>
      <c r="F108" s="13" t="s">
        <v>51</v>
      </c>
      <c r="G108" s="13">
        <v>2</v>
      </c>
      <c r="H108" s="12">
        <f>SUMIF(suivis_enlèvements[N°Enlevement],suivis_enlèvements[[#This Row],[N°Enlevement]],suivis_enlèvements[Colis Enlev])</f>
        <v>2</v>
      </c>
      <c r="I108" s="12">
        <f>COUNTIF(suivis_enlèvements[N°Enlevement],suivis_enlèvements[[#This Row],[N°Enlevement]])</f>
        <v>1</v>
      </c>
      <c r="J108" s="12">
        <f>IF(G109=G108, "", G108)</f>
        <v>2</v>
      </c>
    </row>
    <row r="109" spans="1:10" ht="20.100000000000001" hidden="1" customHeight="1" x14ac:dyDescent="0.25">
      <c r="A109" s="13">
        <v>20260079</v>
      </c>
      <c r="B109" s="13">
        <v>67216</v>
      </c>
      <c r="C109" s="2">
        <v>46112</v>
      </c>
      <c r="D109" s="13" t="s">
        <v>67</v>
      </c>
      <c r="E109" s="13" t="s">
        <v>68</v>
      </c>
      <c r="F109" s="13" t="s">
        <v>69</v>
      </c>
      <c r="G109" s="13">
        <v>36</v>
      </c>
      <c r="H109" s="12">
        <f>SUMIF(suivis_enlèvements[N°Enlevement],suivis_enlèvements[[#This Row],[N°Enlevement]],suivis_enlèvements[Colis Enlev])</f>
        <v>216</v>
      </c>
      <c r="I109" s="12">
        <f>COUNTIF(suivis_enlèvements[N°Enlevement],suivis_enlèvements[[#This Row],[N°Enlevement]])</f>
        <v>6</v>
      </c>
      <c r="J109" s="12" t="str">
        <f>IF(G110=G109, "", G109)</f>
        <v/>
      </c>
    </row>
    <row r="110" spans="1:10" ht="20.100000000000001" hidden="1" customHeight="1" x14ac:dyDescent="0.25">
      <c r="A110" s="13">
        <v>20260079</v>
      </c>
      <c r="B110" s="13">
        <v>67216</v>
      </c>
      <c r="C110" s="2">
        <v>46112</v>
      </c>
      <c r="D110" s="13" t="s">
        <v>67</v>
      </c>
      <c r="E110" s="13" t="s">
        <v>68</v>
      </c>
      <c r="F110" s="13" t="s">
        <v>69</v>
      </c>
      <c r="G110" s="13">
        <v>36</v>
      </c>
      <c r="H110" s="12">
        <f>SUMIF(suivis_enlèvements[N°Enlevement],suivis_enlèvements[[#This Row],[N°Enlevement]],suivis_enlèvements[Colis Enlev])</f>
        <v>216</v>
      </c>
      <c r="I110" s="12">
        <f>COUNTIF(suivis_enlèvements[N°Enlevement],suivis_enlèvements[[#This Row],[N°Enlevement]])</f>
        <v>6</v>
      </c>
      <c r="J110" s="12" t="str">
        <f>IF(G111=G110, "", G110)</f>
        <v/>
      </c>
    </row>
    <row r="111" spans="1:10" ht="20.100000000000001" hidden="1" customHeight="1" x14ac:dyDescent="0.25">
      <c r="A111" s="13">
        <v>20260079</v>
      </c>
      <c r="B111" s="13">
        <v>67216</v>
      </c>
      <c r="C111" s="2">
        <v>46112</v>
      </c>
      <c r="D111" s="13" t="s">
        <v>67</v>
      </c>
      <c r="E111" s="13" t="s">
        <v>68</v>
      </c>
      <c r="F111" s="13" t="s">
        <v>69</v>
      </c>
      <c r="G111" s="13">
        <v>36</v>
      </c>
      <c r="H111" s="12">
        <f>SUMIF(suivis_enlèvements[N°Enlevement],suivis_enlèvements[[#This Row],[N°Enlevement]],suivis_enlèvements[Colis Enlev])</f>
        <v>216</v>
      </c>
      <c r="I111" s="12">
        <f>COUNTIF(suivis_enlèvements[N°Enlevement],suivis_enlèvements[[#This Row],[N°Enlevement]])</f>
        <v>6</v>
      </c>
      <c r="J111" s="12" t="str">
        <f>IF(G112=G111, "", G111)</f>
        <v/>
      </c>
    </row>
    <row r="112" spans="1:10" ht="20.100000000000001" hidden="1" customHeight="1" x14ac:dyDescent="0.25">
      <c r="A112" s="13">
        <v>20260079</v>
      </c>
      <c r="B112" s="13">
        <v>67216</v>
      </c>
      <c r="C112" s="2">
        <v>46112</v>
      </c>
      <c r="D112" s="13" t="s">
        <v>67</v>
      </c>
      <c r="E112" s="13" t="s">
        <v>68</v>
      </c>
      <c r="F112" s="13" t="s">
        <v>69</v>
      </c>
      <c r="G112" s="13">
        <v>36</v>
      </c>
      <c r="H112" s="12">
        <f>SUMIF(suivis_enlèvements[N°Enlevement],suivis_enlèvements[[#This Row],[N°Enlevement]],suivis_enlèvements[Colis Enlev])</f>
        <v>216</v>
      </c>
      <c r="I112" s="12">
        <f>COUNTIF(suivis_enlèvements[N°Enlevement],suivis_enlèvements[[#This Row],[N°Enlevement]])</f>
        <v>6</v>
      </c>
      <c r="J112" s="12" t="str">
        <f>IF(G113=G112, "", G112)</f>
        <v/>
      </c>
    </row>
    <row r="113" spans="1:10" ht="20.100000000000001" hidden="1" customHeight="1" x14ac:dyDescent="0.25">
      <c r="A113" s="13">
        <v>20260079</v>
      </c>
      <c r="B113" s="13">
        <v>67216</v>
      </c>
      <c r="C113" s="2">
        <v>46112</v>
      </c>
      <c r="D113" s="13" t="s">
        <v>67</v>
      </c>
      <c r="E113" s="13" t="s">
        <v>68</v>
      </c>
      <c r="F113" s="13" t="s">
        <v>69</v>
      </c>
      <c r="G113" s="13">
        <v>36</v>
      </c>
      <c r="H113" s="12">
        <f>SUMIF(suivis_enlèvements[N°Enlevement],suivis_enlèvements[[#This Row],[N°Enlevement]],suivis_enlèvements[Colis Enlev])</f>
        <v>216</v>
      </c>
      <c r="I113" s="12">
        <f>COUNTIF(suivis_enlèvements[N°Enlevement],suivis_enlèvements[[#This Row],[N°Enlevement]])</f>
        <v>6</v>
      </c>
      <c r="J113" s="12" t="str">
        <f>IF(G114=G113, "", G113)</f>
        <v/>
      </c>
    </row>
    <row r="114" spans="1:10" ht="20.100000000000001" customHeight="1" x14ac:dyDescent="0.25">
      <c r="A114" s="13">
        <v>20260079</v>
      </c>
      <c r="B114" s="13">
        <v>67216</v>
      </c>
      <c r="C114" s="2">
        <v>46112</v>
      </c>
      <c r="D114" s="13" t="s">
        <v>67</v>
      </c>
      <c r="E114" s="13" t="s">
        <v>68</v>
      </c>
      <c r="F114" s="13" t="s">
        <v>69</v>
      </c>
      <c r="G114" s="13">
        <v>36</v>
      </c>
      <c r="H114" s="12">
        <f>SUMIF(suivis_enlèvements[N°Enlevement],suivis_enlèvements[[#This Row],[N°Enlevement]],suivis_enlèvements[Colis Enlev])</f>
        <v>216</v>
      </c>
      <c r="I114" s="12">
        <f>COUNTIF(suivis_enlèvements[N°Enlevement],suivis_enlèvements[[#This Row],[N°Enlevement]])</f>
        <v>6</v>
      </c>
      <c r="J114" s="12">
        <f>IF(G115=G114, "", G114)</f>
        <v>36</v>
      </c>
    </row>
    <row r="115" spans="1:10" ht="20.100000000000001" hidden="1" customHeight="1" x14ac:dyDescent="0.25">
      <c r="A115" s="13">
        <v>20250308</v>
      </c>
      <c r="B115" s="13">
        <v>67217</v>
      </c>
      <c r="C115" s="2">
        <v>46112</v>
      </c>
      <c r="D115" s="13" t="s">
        <v>70</v>
      </c>
      <c r="E115" s="13" t="s">
        <v>71</v>
      </c>
      <c r="F115" s="13" t="s">
        <v>72</v>
      </c>
      <c r="G115" s="13">
        <v>42</v>
      </c>
      <c r="H115" s="12">
        <f>SUMIF(suivis_enlèvements[N°Enlevement],suivis_enlèvements[[#This Row],[N°Enlevement]],suivis_enlèvements[Colis Enlev])</f>
        <v>210</v>
      </c>
      <c r="I115" s="12">
        <f>COUNTIF(suivis_enlèvements[N°Enlevement],suivis_enlèvements[[#This Row],[N°Enlevement]])</f>
        <v>5</v>
      </c>
      <c r="J115" s="12" t="str">
        <f>IF(G116=G115, "", G115)</f>
        <v/>
      </c>
    </row>
    <row r="116" spans="1:10" ht="20.100000000000001" hidden="1" customHeight="1" x14ac:dyDescent="0.25">
      <c r="A116" s="13">
        <v>20250308</v>
      </c>
      <c r="B116" s="13">
        <v>67217</v>
      </c>
      <c r="C116" s="2">
        <v>46112</v>
      </c>
      <c r="D116" s="13" t="s">
        <v>70</v>
      </c>
      <c r="E116" s="13" t="s">
        <v>71</v>
      </c>
      <c r="F116" s="13" t="s">
        <v>72</v>
      </c>
      <c r="G116" s="13">
        <v>42</v>
      </c>
      <c r="H116" s="12">
        <f>SUMIF(suivis_enlèvements[N°Enlevement],suivis_enlèvements[[#This Row],[N°Enlevement]],suivis_enlèvements[Colis Enlev])</f>
        <v>210</v>
      </c>
      <c r="I116" s="12">
        <f>COUNTIF(suivis_enlèvements[N°Enlevement],suivis_enlèvements[[#This Row],[N°Enlevement]])</f>
        <v>5</v>
      </c>
      <c r="J116" s="12" t="str">
        <f>IF(G117=G116, "", G116)</f>
        <v/>
      </c>
    </row>
    <row r="117" spans="1:10" ht="20.100000000000001" hidden="1" customHeight="1" x14ac:dyDescent="0.25">
      <c r="A117" s="13">
        <v>20250308</v>
      </c>
      <c r="B117" s="13">
        <v>67217</v>
      </c>
      <c r="C117" s="2">
        <v>46112</v>
      </c>
      <c r="D117" s="13" t="s">
        <v>70</v>
      </c>
      <c r="E117" s="13" t="s">
        <v>71</v>
      </c>
      <c r="F117" s="13" t="s">
        <v>72</v>
      </c>
      <c r="G117" s="13">
        <v>42</v>
      </c>
      <c r="H117" s="12">
        <f>SUMIF(suivis_enlèvements[N°Enlevement],suivis_enlèvements[[#This Row],[N°Enlevement]],suivis_enlèvements[Colis Enlev])</f>
        <v>210</v>
      </c>
      <c r="I117" s="12">
        <f>COUNTIF(suivis_enlèvements[N°Enlevement],suivis_enlèvements[[#This Row],[N°Enlevement]])</f>
        <v>5</v>
      </c>
      <c r="J117" s="12" t="str">
        <f>IF(G118=G117, "", G117)</f>
        <v/>
      </c>
    </row>
    <row r="118" spans="1:10" ht="20.100000000000001" hidden="1" customHeight="1" x14ac:dyDescent="0.25">
      <c r="A118" s="13">
        <v>20250308</v>
      </c>
      <c r="B118" s="13">
        <v>67217</v>
      </c>
      <c r="C118" s="2">
        <v>46112</v>
      </c>
      <c r="D118" s="13" t="s">
        <v>70</v>
      </c>
      <c r="E118" s="13" t="s">
        <v>71</v>
      </c>
      <c r="F118" s="13" t="s">
        <v>72</v>
      </c>
      <c r="G118" s="13">
        <v>42</v>
      </c>
      <c r="H118" s="12">
        <f>SUMIF(suivis_enlèvements[N°Enlevement],suivis_enlèvements[[#This Row],[N°Enlevement]],suivis_enlèvements[Colis Enlev])</f>
        <v>210</v>
      </c>
      <c r="I118" s="12">
        <f>COUNTIF(suivis_enlèvements[N°Enlevement],suivis_enlèvements[[#This Row],[N°Enlevement]])</f>
        <v>5</v>
      </c>
      <c r="J118" s="12" t="str">
        <f>IF(G119=G118, "", G118)</f>
        <v/>
      </c>
    </row>
    <row r="119" spans="1:10" ht="20.100000000000001" customHeight="1" x14ac:dyDescent="0.25">
      <c r="A119" s="13">
        <v>20250308</v>
      </c>
      <c r="B119" s="13">
        <v>67217</v>
      </c>
      <c r="C119" s="2">
        <v>46112</v>
      </c>
      <c r="D119" s="13" t="s">
        <v>70</v>
      </c>
      <c r="E119" s="13" t="s">
        <v>71</v>
      </c>
      <c r="F119" s="13" t="s">
        <v>72</v>
      </c>
      <c r="G119" s="13">
        <v>42</v>
      </c>
      <c r="H119" s="12">
        <f>SUMIF(suivis_enlèvements[N°Enlevement],suivis_enlèvements[[#This Row],[N°Enlevement]],suivis_enlèvements[Colis Enlev])</f>
        <v>210</v>
      </c>
      <c r="I119" s="12">
        <f>COUNTIF(suivis_enlèvements[N°Enlevement],suivis_enlèvements[[#This Row],[N°Enlevement]])</f>
        <v>5</v>
      </c>
      <c r="J119" s="12">
        <f>IF(G120=G119, "", G119)</f>
        <v>42</v>
      </c>
    </row>
    <row r="120" spans="1:10" ht="20.100000000000001" hidden="1" customHeight="1" x14ac:dyDescent="0.25">
      <c r="A120" s="13">
        <v>20260097</v>
      </c>
      <c r="B120" s="13">
        <v>67218</v>
      </c>
      <c r="C120" s="2">
        <v>46112</v>
      </c>
      <c r="D120" s="13" t="s">
        <v>86</v>
      </c>
      <c r="E120" s="13" t="s">
        <v>87</v>
      </c>
      <c r="F120" s="13" t="s">
        <v>88</v>
      </c>
      <c r="G120" s="13">
        <v>87</v>
      </c>
      <c r="H120" s="12">
        <f>SUMIF(suivis_enlèvements[N°Enlevement],suivis_enlèvements[[#This Row],[N°Enlevement]],suivis_enlèvements[Colis Enlev])</f>
        <v>261</v>
      </c>
      <c r="I120" s="12">
        <f>COUNTIF(suivis_enlèvements[N°Enlevement],suivis_enlèvements[[#This Row],[N°Enlevement]])</f>
        <v>3</v>
      </c>
      <c r="J120" s="12" t="str">
        <f>IF(G121=G120, "", G120)</f>
        <v/>
      </c>
    </row>
    <row r="121" spans="1:10" ht="20.100000000000001" hidden="1" customHeight="1" x14ac:dyDescent="0.25">
      <c r="A121" s="13">
        <v>20260097</v>
      </c>
      <c r="B121" s="13">
        <v>67218</v>
      </c>
      <c r="C121" s="2">
        <v>46112</v>
      </c>
      <c r="D121" s="13" t="s">
        <v>86</v>
      </c>
      <c r="E121" s="13" t="s">
        <v>87</v>
      </c>
      <c r="F121" s="13" t="s">
        <v>88</v>
      </c>
      <c r="G121" s="13">
        <v>87</v>
      </c>
      <c r="H121" s="12">
        <f>SUMIF(suivis_enlèvements[N°Enlevement],suivis_enlèvements[[#This Row],[N°Enlevement]],suivis_enlèvements[Colis Enlev])</f>
        <v>261</v>
      </c>
      <c r="I121" s="12">
        <f>COUNTIF(suivis_enlèvements[N°Enlevement],suivis_enlèvements[[#This Row],[N°Enlevement]])</f>
        <v>3</v>
      </c>
      <c r="J121" s="12" t="str">
        <f>IF(G122=G121, "", G121)</f>
        <v/>
      </c>
    </row>
    <row r="122" spans="1:10" ht="20.100000000000001" customHeight="1" x14ac:dyDescent="0.25">
      <c r="A122" s="13">
        <v>20260097</v>
      </c>
      <c r="B122" s="13">
        <v>67218</v>
      </c>
      <c r="C122" s="2">
        <v>46112</v>
      </c>
      <c r="D122" s="13" t="s">
        <v>86</v>
      </c>
      <c r="E122" s="13" t="s">
        <v>87</v>
      </c>
      <c r="F122" s="13" t="s">
        <v>88</v>
      </c>
      <c r="G122" s="13">
        <v>87</v>
      </c>
      <c r="H122" s="12">
        <f>SUMIF(suivis_enlèvements[N°Enlevement],suivis_enlèvements[[#This Row],[N°Enlevement]],suivis_enlèvements[Colis Enlev])</f>
        <v>261</v>
      </c>
      <c r="I122" s="12">
        <f>COUNTIF(suivis_enlèvements[N°Enlevement],suivis_enlèvements[[#This Row],[N°Enlevement]])</f>
        <v>3</v>
      </c>
      <c r="J122" s="12">
        <f>IF(G123=G122, "", G122)</f>
        <v>87</v>
      </c>
    </row>
    <row r="123" spans="1:10" ht="20.100000000000001" hidden="1" customHeight="1" x14ac:dyDescent="0.25">
      <c r="A123" s="13">
        <v>20260030</v>
      </c>
      <c r="B123" s="13">
        <v>67219</v>
      </c>
      <c r="C123" s="2">
        <v>46112</v>
      </c>
      <c r="D123" s="13" t="s">
        <v>76</v>
      </c>
      <c r="E123" s="13" t="s">
        <v>77</v>
      </c>
      <c r="F123" s="13" t="s">
        <v>78</v>
      </c>
      <c r="G123" s="13">
        <v>33</v>
      </c>
      <c r="H123" s="12">
        <f>SUMIF(suivis_enlèvements[N°Enlevement],suivis_enlèvements[[#This Row],[N°Enlevement]],suivis_enlèvements[Colis Enlev])</f>
        <v>99</v>
      </c>
      <c r="I123" s="12">
        <f>COUNTIF(suivis_enlèvements[N°Enlevement],suivis_enlèvements[[#This Row],[N°Enlevement]])</f>
        <v>3</v>
      </c>
      <c r="J123" s="12" t="str">
        <f>IF(G124=G123, "", G123)</f>
        <v/>
      </c>
    </row>
    <row r="124" spans="1:10" ht="20.100000000000001" hidden="1" customHeight="1" x14ac:dyDescent="0.25">
      <c r="A124" s="13">
        <v>20260030</v>
      </c>
      <c r="B124" s="13">
        <v>67219</v>
      </c>
      <c r="C124" s="2">
        <v>46112</v>
      </c>
      <c r="D124" s="13" t="s">
        <v>76</v>
      </c>
      <c r="E124" s="13" t="s">
        <v>77</v>
      </c>
      <c r="F124" s="13" t="s">
        <v>78</v>
      </c>
      <c r="G124" s="13">
        <v>33</v>
      </c>
      <c r="H124" s="12">
        <f>SUMIF(suivis_enlèvements[N°Enlevement],suivis_enlèvements[[#This Row],[N°Enlevement]],suivis_enlèvements[Colis Enlev])</f>
        <v>99</v>
      </c>
      <c r="I124" s="12">
        <f>COUNTIF(suivis_enlèvements[N°Enlevement],suivis_enlèvements[[#This Row],[N°Enlevement]])</f>
        <v>3</v>
      </c>
      <c r="J124" s="12" t="str">
        <f>IF(G125=G124, "", G124)</f>
        <v/>
      </c>
    </row>
    <row r="125" spans="1:10" ht="20.100000000000001" customHeight="1" x14ac:dyDescent="0.25">
      <c r="A125" s="13">
        <v>20260030</v>
      </c>
      <c r="B125" s="13">
        <v>67219</v>
      </c>
      <c r="C125" s="2">
        <v>46112</v>
      </c>
      <c r="D125" s="13" t="s">
        <v>76</v>
      </c>
      <c r="E125" s="13" t="s">
        <v>77</v>
      </c>
      <c r="F125" s="13" t="s">
        <v>78</v>
      </c>
      <c r="G125" s="13">
        <v>33</v>
      </c>
      <c r="H125" s="12">
        <f>SUMIF(suivis_enlèvements[N°Enlevement],suivis_enlèvements[[#This Row],[N°Enlevement]],suivis_enlèvements[Colis Enlev])</f>
        <v>99</v>
      </c>
      <c r="I125" s="12">
        <f>COUNTIF(suivis_enlèvements[N°Enlevement],suivis_enlèvements[[#This Row],[N°Enlevement]])</f>
        <v>3</v>
      </c>
      <c r="J125" s="12">
        <f>IF(G126=G125, "", G125)</f>
        <v>33</v>
      </c>
    </row>
    <row r="126" spans="1:10" ht="20.100000000000001" hidden="1" customHeight="1" x14ac:dyDescent="0.25">
      <c r="A126" s="13">
        <v>20260075</v>
      </c>
      <c r="B126" s="13">
        <v>67220</v>
      </c>
      <c r="C126" s="2">
        <v>46112</v>
      </c>
      <c r="D126" s="13" t="s">
        <v>61</v>
      </c>
      <c r="E126" s="13" t="s">
        <v>62</v>
      </c>
      <c r="F126" s="13" t="s">
        <v>63</v>
      </c>
      <c r="G126" s="13">
        <v>2</v>
      </c>
      <c r="H126" s="12">
        <f>SUMIF(suivis_enlèvements[N°Enlevement],suivis_enlèvements[[#This Row],[N°Enlevement]],suivis_enlèvements[Colis Enlev])</f>
        <v>4</v>
      </c>
      <c r="I126" s="12">
        <f>COUNTIF(suivis_enlèvements[N°Enlevement],suivis_enlèvements[[#This Row],[N°Enlevement]])</f>
        <v>2</v>
      </c>
      <c r="J126" s="12" t="str">
        <f>IF(G127=G126, "", G126)</f>
        <v/>
      </c>
    </row>
    <row r="127" spans="1:10" ht="20.100000000000001" customHeight="1" x14ac:dyDescent="0.25">
      <c r="A127" s="13">
        <v>20260075</v>
      </c>
      <c r="B127" s="13">
        <v>67220</v>
      </c>
      <c r="C127" s="2">
        <v>46112</v>
      </c>
      <c r="D127" s="13" t="s">
        <v>61</v>
      </c>
      <c r="E127" s="13" t="s">
        <v>62</v>
      </c>
      <c r="F127" s="13" t="s">
        <v>63</v>
      </c>
      <c r="G127" s="13">
        <v>2</v>
      </c>
      <c r="H127" s="12">
        <f>SUMIF(suivis_enlèvements[N°Enlevement],suivis_enlèvements[[#This Row],[N°Enlevement]],suivis_enlèvements[Colis Enlev])</f>
        <v>4</v>
      </c>
      <c r="I127" s="12">
        <f>COUNTIF(suivis_enlèvements[N°Enlevement],suivis_enlèvements[[#This Row],[N°Enlevement]])</f>
        <v>2</v>
      </c>
      <c r="J127" s="12">
        <f>IF(G128=G127, "", G127)</f>
        <v>2</v>
      </c>
    </row>
    <row r="128" spans="1:10" ht="20.100000000000001" hidden="1" customHeight="1" x14ac:dyDescent="0.25">
      <c r="A128" s="13">
        <v>20260079</v>
      </c>
      <c r="B128" s="13">
        <v>67221</v>
      </c>
      <c r="C128" s="2">
        <v>46112</v>
      </c>
      <c r="D128" s="13" t="s">
        <v>73</v>
      </c>
      <c r="E128" s="13" t="s">
        <v>74</v>
      </c>
      <c r="F128" s="13" t="s">
        <v>75</v>
      </c>
      <c r="G128" s="13">
        <v>84</v>
      </c>
      <c r="H128" s="12">
        <f>SUMIF(suivis_enlèvements[N°Enlevement],suivis_enlèvements[[#This Row],[N°Enlevement]],suivis_enlèvements[Colis Enlev])</f>
        <v>336</v>
      </c>
      <c r="I128" s="12">
        <f>COUNTIF(suivis_enlèvements[N°Enlevement],suivis_enlèvements[[#This Row],[N°Enlevement]])</f>
        <v>4</v>
      </c>
      <c r="J128" s="12" t="str">
        <f>IF(G129=G128, "", G128)</f>
        <v/>
      </c>
    </row>
    <row r="129" spans="1:10" ht="20.100000000000001" hidden="1" customHeight="1" x14ac:dyDescent="0.25">
      <c r="A129" s="13">
        <v>20260079</v>
      </c>
      <c r="B129" s="13">
        <v>67221</v>
      </c>
      <c r="C129" s="2">
        <v>46112</v>
      </c>
      <c r="D129" s="13" t="s">
        <v>73</v>
      </c>
      <c r="E129" s="13" t="s">
        <v>74</v>
      </c>
      <c r="F129" s="13" t="s">
        <v>75</v>
      </c>
      <c r="G129" s="13">
        <v>84</v>
      </c>
      <c r="H129" s="12">
        <f>SUMIF(suivis_enlèvements[N°Enlevement],suivis_enlèvements[[#This Row],[N°Enlevement]],suivis_enlèvements[Colis Enlev])</f>
        <v>336</v>
      </c>
      <c r="I129" s="12">
        <f>COUNTIF(suivis_enlèvements[N°Enlevement],suivis_enlèvements[[#This Row],[N°Enlevement]])</f>
        <v>4</v>
      </c>
      <c r="J129" s="12" t="str">
        <f>IF(G130=G129, "", G129)</f>
        <v/>
      </c>
    </row>
    <row r="130" spans="1:10" ht="20.100000000000001" hidden="1" customHeight="1" x14ac:dyDescent="0.25">
      <c r="A130" s="13">
        <v>20260079</v>
      </c>
      <c r="B130" s="13">
        <v>67221</v>
      </c>
      <c r="C130" s="2">
        <v>46112</v>
      </c>
      <c r="D130" s="13" t="s">
        <v>73</v>
      </c>
      <c r="E130" s="13" t="s">
        <v>74</v>
      </c>
      <c r="F130" s="13" t="s">
        <v>75</v>
      </c>
      <c r="G130" s="13">
        <v>84</v>
      </c>
      <c r="H130" s="12">
        <f>SUMIF(suivis_enlèvements[N°Enlevement],suivis_enlèvements[[#This Row],[N°Enlevement]],suivis_enlèvements[Colis Enlev])</f>
        <v>336</v>
      </c>
      <c r="I130" s="12">
        <f>COUNTIF(suivis_enlèvements[N°Enlevement],suivis_enlèvements[[#This Row],[N°Enlevement]])</f>
        <v>4</v>
      </c>
      <c r="J130" s="12" t="str">
        <f>IF(G131=G130, "", G130)</f>
        <v/>
      </c>
    </row>
    <row r="131" spans="1:10" ht="20.100000000000001" customHeight="1" x14ac:dyDescent="0.25">
      <c r="A131" s="13">
        <v>20260079</v>
      </c>
      <c r="B131" s="13">
        <v>67221</v>
      </c>
      <c r="C131" s="2">
        <v>46112</v>
      </c>
      <c r="D131" s="13" t="s">
        <v>73</v>
      </c>
      <c r="E131" s="13" t="s">
        <v>74</v>
      </c>
      <c r="F131" s="13" t="s">
        <v>75</v>
      </c>
      <c r="G131" s="13">
        <v>84</v>
      </c>
      <c r="H131" s="12">
        <f>SUMIF(suivis_enlèvements[N°Enlevement],suivis_enlèvements[[#This Row],[N°Enlevement]],suivis_enlèvements[Colis Enlev])</f>
        <v>336</v>
      </c>
      <c r="I131" s="12">
        <f>COUNTIF(suivis_enlèvements[N°Enlevement],suivis_enlèvements[[#This Row],[N°Enlevement]])</f>
        <v>4</v>
      </c>
      <c r="J131" s="12">
        <f>IF(G132=G131, "", G131)</f>
        <v>84</v>
      </c>
    </row>
    <row r="132" spans="1:10" ht="20.100000000000001" hidden="1" customHeight="1" x14ac:dyDescent="0.25">
      <c r="A132" s="13">
        <v>20260036</v>
      </c>
      <c r="B132" s="13">
        <v>67222</v>
      </c>
      <c r="C132" s="2">
        <v>46112</v>
      </c>
      <c r="D132" s="13" t="s">
        <v>79</v>
      </c>
      <c r="E132" s="13" t="s">
        <v>80</v>
      </c>
      <c r="F132" s="13" t="s">
        <v>81</v>
      </c>
      <c r="G132" s="13">
        <v>75</v>
      </c>
      <c r="H132" s="12">
        <f>SUMIF(suivis_enlèvements[N°Enlevement],suivis_enlèvements[[#This Row],[N°Enlevement]],suivis_enlèvements[Colis Enlev])</f>
        <v>150</v>
      </c>
      <c r="I132" s="12">
        <f>COUNTIF(suivis_enlèvements[N°Enlevement],suivis_enlèvements[[#This Row],[N°Enlevement]])</f>
        <v>2</v>
      </c>
      <c r="J132" s="12" t="str">
        <f>IF(G133=G132, "", G132)</f>
        <v/>
      </c>
    </row>
    <row r="133" spans="1:10" ht="20.100000000000001" customHeight="1" x14ac:dyDescent="0.25">
      <c r="A133" s="13">
        <v>20260036</v>
      </c>
      <c r="B133" s="13">
        <v>67222</v>
      </c>
      <c r="C133" s="2">
        <v>46112</v>
      </c>
      <c r="D133" s="13" t="s">
        <v>79</v>
      </c>
      <c r="E133" s="13" t="s">
        <v>80</v>
      </c>
      <c r="F133" s="13" t="s">
        <v>81</v>
      </c>
      <c r="G133" s="13">
        <v>75</v>
      </c>
      <c r="H133" s="12">
        <f>SUMIF(suivis_enlèvements[N°Enlevement],suivis_enlèvements[[#This Row],[N°Enlevement]],suivis_enlèvements[Colis Enlev])</f>
        <v>150</v>
      </c>
      <c r="I133" s="12">
        <f>COUNTIF(suivis_enlèvements[N°Enlevement],suivis_enlèvements[[#This Row],[N°Enlevement]])</f>
        <v>2</v>
      </c>
      <c r="J133" s="12">
        <f>IF(G134=G133, "", G133)</f>
        <v>75</v>
      </c>
    </row>
    <row r="134" spans="1:10" ht="20.100000000000001" customHeight="1" x14ac:dyDescent="0.25">
      <c r="A134" s="13">
        <v>20260057</v>
      </c>
      <c r="B134" s="13">
        <v>67223</v>
      </c>
      <c r="C134" s="2">
        <v>46112</v>
      </c>
      <c r="D134" s="13" t="s">
        <v>82</v>
      </c>
      <c r="E134" s="13" t="s">
        <v>83</v>
      </c>
      <c r="F134" s="13" t="s">
        <v>12</v>
      </c>
      <c r="G134" s="13">
        <v>1</v>
      </c>
      <c r="H134" s="12">
        <f>SUMIF(suivis_enlèvements[N°Enlevement],suivis_enlèvements[[#This Row],[N°Enlevement]],suivis_enlèvements[Colis Enlev])</f>
        <v>1</v>
      </c>
      <c r="I134" s="12">
        <f>COUNTIF(suivis_enlèvements[N°Enlevement],suivis_enlèvements[[#This Row],[N°Enlevement]])</f>
        <v>1</v>
      </c>
      <c r="J134" s="12">
        <f>IF(G135=G134, "", G134)</f>
        <v>1</v>
      </c>
    </row>
    <row r="135" spans="1:10" ht="20.100000000000001" hidden="1" customHeight="1" x14ac:dyDescent="0.25">
      <c r="A135" s="13">
        <v>20260055</v>
      </c>
      <c r="B135" s="13">
        <v>67224</v>
      </c>
      <c r="C135" s="2">
        <v>46112</v>
      </c>
      <c r="D135" s="13" t="s">
        <v>84</v>
      </c>
      <c r="E135" s="13" t="s">
        <v>85</v>
      </c>
      <c r="F135" s="13" t="s">
        <v>48</v>
      </c>
      <c r="G135" s="13">
        <v>69</v>
      </c>
      <c r="H135" s="12">
        <f>SUMIF(suivis_enlèvements[N°Enlevement],suivis_enlèvements[[#This Row],[N°Enlevement]],suivis_enlèvements[Colis Enlev])</f>
        <v>345</v>
      </c>
      <c r="I135" s="12">
        <f>COUNTIF(suivis_enlèvements[N°Enlevement],suivis_enlèvements[[#This Row],[N°Enlevement]])</f>
        <v>5</v>
      </c>
      <c r="J135" s="12" t="str">
        <f>IF(G136=G135, "", G135)</f>
        <v/>
      </c>
    </row>
    <row r="136" spans="1:10" ht="20.100000000000001" hidden="1" customHeight="1" x14ac:dyDescent="0.25">
      <c r="A136" s="13">
        <v>20260055</v>
      </c>
      <c r="B136" s="13">
        <v>67224</v>
      </c>
      <c r="C136" s="2">
        <v>46112</v>
      </c>
      <c r="D136" s="13" t="s">
        <v>84</v>
      </c>
      <c r="E136" s="13" t="s">
        <v>85</v>
      </c>
      <c r="F136" s="13" t="s">
        <v>48</v>
      </c>
      <c r="G136" s="13">
        <v>69</v>
      </c>
      <c r="H136" s="12">
        <f>SUMIF(suivis_enlèvements[N°Enlevement],suivis_enlèvements[[#This Row],[N°Enlevement]],suivis_enlèvements[Colis Enlev])</f>
        <v>345</v>
      </c>
      <c r="I136" s="12">
        <f>COUNTIF(suivis_enlèvements[N°Enlevement],suivis_enlèvements[[#This Row],[N°Enlevement]])</f>
        <v>5</v>
      </c>
      <c r="J136" s="12" t="str">
        <f>IF(G137=G136, "", G136)</f>
        <v/>
      </c>
    </row>
    <row r="137" spans="1:10" ht="20.100000000000001" hidden="1" customHeight="1" x14ac:dyDescent="0.25">
      <c r="A137" s="13">
        <v>20260055</v>
      </c>
      <c r="B137" s="13">
        <v>67224</v>
      </c>
      <c r="C137" s="2">
        <v>46112</v>
      </c>
      <c r="D137" s="13" t="s">
        <v>84</v>
      </c>
      <c r="E137" s="13" t="s">
        <v>85</v>
      </c>
      <c r="F137" s="13" t="s">
        <v>48</v>
      </c>
      <c r="G137" s="13">
        <v>69</v>
      </c>
      <c r="H137" s="12">
        <f>SUMIF(suivis_enlèvements[N°Enlevement],suivis_enlèvements[[#This Row],[N°Enlevement]],suivis_enlèvements[Colis Enlev])</f>
        <v>345</v>
      </c>
      <c r="I137" s="12">
        <f>COUNTIF(suivis_enlèvements[N°Enlevement],suivis_enlèvements[[#This Row],[N°Enlevement]])</f>
        <v>5</v>
      </c>
      <c r="J137" s="12" t="str">
        <f>IF(G138=G137, "", G137)</f>
        <v/>
      </c>
    </row>
    <row r="138" spans="1:10" ht="20.100000000000001" hidden="1" customHeight="1" x14ac:dyDescent="0.25">
      <c r="A138" s="13">
        <v>20260055</v>
      </c>
      <c r="B138" s="13">
        <v>67224</v>
      </c>
      <c r="C138" s="2">
        <v>46112</v>
      </c>
      <c r="D138" s="13" t="s">
        <v>84</v>
      </c>
      <c r="E138" s="13" t="s">
        <v>85</v>
      </c>
      <c r="F138" s="13" t="s">
        <v>48</v>
      </c>
      <c r="G138" s="13">
        <v>69</v>
      </c>
      <c r="H138" s="12">
        <f>SUMIF(suivis_enlèvements[N°Enlevement],suivis_enlèvements[[#This Row],[N°Enlevement]],suivis_enlèvements[Colis Enlev])</f>
        <v>345</v>
      </c>
      <c r="I138" s="12">
        <f>COUNTIF(suivis_enlèvements[N°Enlevement],suivis_enlèvements[[#This Row],[N°Enlevement]])</f>
        <v>5</v>
      </c>
      <c r="J138" s="12" t="str">
        <f>IF(G139=G138, "", G138)</f>
        <v/>
      </c>
    </row>
    <row r="139" spans="1:10" ht="20.100000000000001" customHeight="1" x14ac:dyDescent="0.25">
      <c r="A139" s="13">
        <v>20260055</v>
      </c>
      <c r="B139" s="13">
        <v>67224</v>
      </c>
      <c r="C139" s="2">
        <v>46112</v>
      </c>
      <c r="D139" s="13" t="s">
        <v>84</v>
      </c>
      <c r="E139" s="13" t="s">
        <v>85</v>
      </c>
      <c r="F139" s="13" t="s">
        <v>48</v>
      </c>
      <c r="G139" s="13">
        <v>69</v>
      </c>
      <c r="H139" s="12">
        <f>SUMIF(suivis_enlèvements[N°Enlevement],suivis_enlèvements[[#This Row],[N°Enlevement]],suivis_enlèvements[Colis Enlev])</f>
        <v>345</v>
      </c>
      <c r="I139" s="12">
        <f>COUNTIF(suivis_enlèvements[N°Enlevement],suivis_enlèvements[[#This Row],[N°Enlevement]])</f>
        <v>5</v>
      </c>
      <c r="J139" s="12">
        <f>IF(G140=G139, "", G139)</f>
        <v>69</v>
      </c>
    </row>
    <row r="140" spans="1:10" ht="20.100000000000001" customHeight="1" x14ac:dyDescent="0.25">
      <c r="A140" s="13">
        <v>20260042</v>
      </c>
      <c r="B140" s="13">
        <v>67225</v>
      </c>
      <c r="C140" s="2">
        <v>46112</v>
      </c>
      <c r="D140" s="13" t="s">
        <v>10</v>
      </c>
      <c r="E140" s="13" t="s">
        <v>11</v>
      </c>
      <c r="F140" s="13" t="s">
        <v>12</v>
      </c>
      <c r="G140" s="13">
        <v>5</v>
      </c>
      <c r="H140" s="12">
        <f>SUMIF(suivis_enlèvements[N°Enlevement],suivis_enlèvements[[#This Row],[N°Enlevement]],suivis_enlèvements[Colis Enlev])</f>
        <v>5</v>
      </c>
      <c r="I140" s="12">
        <f>COUNTIF(suivis_enlèvements[N°Enlevement],suivis_enlèvements[[#This Row],[N°Enlevement]])</f>
        <v>1</v>
      </c>
      <c r="J140" s="12">
        <f>IF(G141=G140, "", G140)</f>
        <v>5</v>
      </c>
    </row>
    <row r="141" spans="1:10" ht="20.100000000000001" customHeight="1" x14ac:dyDescent="0.25">
      <c r="A141" s="13">
        <v>20260055</v>
      </c>
      <c r="B141" s="13">
        <v>67226</v>
      </c>
      <c r="C141" s="2">
        <v>46112</v>
      </c>
      <c r="D141" s="13" t="s">
        <v>13</v>
      </c>
      <c r="E141" s="13" t="s">
        <v>14</v>
      </c>
      <c r="F141" s="13" t="s">
        <v>15</v>
      </c>
      <c r="G141" s="13">
        <v>30</v>
      </c>
      <c r="H141" s="12">
        <f>SUMIF(suivis_enlèvements[N°Enlevement],suivis_enlèvements[[#This Row],[N°Enlevement]],suivis_enlèvements[Colis Enlev])</f>
        <v>30</v>
      </c>
      <c r="I141" s="12">
        <f>COUNTIF(suivis_enlèvements[N°Enlevement],suivis_enlèvements[[#This Row],[N°Enlevement]])</f>
        <v>1</v>
      </c>
      <c r="J141" s="12">
        <f>IF(G142=G141, "", G141)</f>
        <v>30</v>
      </c>
    </row>
    <row r="142" spans="1:10" ht="20.100000000000001" hidden="1" customHeight="1" x14ac:dyDescent="0.25">
      <c r="A142" s="13">
        <v>20260055</v>
      </c>
      <c r="B142" s="13">
        <v>67227</v>
      </c>
      <c r="C142" s="2">
        <v>46112</v>
      </c>
      <c r="D142" s="13" t="s">
        <v>16</v>
      </c>
      <c r="E142" s="13" t="s">
        <v>14</v>
      </c>
      <c r="F142" s="13" t="s">
        <v>15</v>
      </c>
      <c r="G142" s="13">
        <v>90</v>
      </c>
      <c r="H142" s="12">
        <f>SUMIF(suivis_enlèvements[N°Enlevement],suivis_enlèvements[[#This Row],[N°Enlevement]],suivis_enlèvements[Colis Enlev])</f>
        <v>270</v>
      </c>
      <c r="I142" s="12">
        <f>COUNTIF(suivis_enlèvements[N°Enlevement],suivis_enlèvements[[#This Row],[N°Enlevement]])</f>
        <v>3</v>
      </c>
      <c r="J142" s="12" t="str">
        <f>IF(G143=G142, "", G142)</f>
        <v/>
      </c>
    </row>
    <row r="143" spans="1:10" ht="20.100000000000001" hidden="1" customHeight="1" x14ac:dyDescent="0.25">
      <c r="A143" s="13">
        <v>20260055</v>
      </c>
      <c r="B143" s="13">
        <v>67227</v>
      </c>
      <c r="C143" s="2">
        <v>46112</v>
      </c>
      <c r="D143" s="13" t="s">
        <v>16</v>
      </c>
      <c r="E143" s="13" t="s">
        <v>14</v>
      </c>
      <c r="F143" s="13" t="s">
        <v>15</v>
      </c>
      <c r="G143" s="13">
        <v>90</v>
      </c>
      <c r="H143" s="12">
        <f>SUMIF(suivis_enlèvements[N°Enlevement],suivis_enlèvements[[#This Row],[N°Enlevement]],suivis_enlèvements[Colis Enlev])</f>
        <v>270</v>
      </c>
      <c r="I143" s="12">
        <f>COUNTIF(suivis_enlèvements[N°Enlevement],suivis_enlèvements[[#This Row],[N°Enlevement]])</f>
        <v>3</v>
      </c>
      <c r="J143" s="12" t="str">
        <f>IF(G144=G143, "", G143)</f>
        <v/>
      </c>
    </row>
    <row r="144" spans="1:10" ht="20.100000000000001" customHeight="1" x14ac:dyDescent="0.25">
      <c r="A144" s="13">
        <v>20260055</v>
      </c>
      <c r="B144" s="13">
        <v>67227</v>
      </c>
      <c r="C144" s="2">
        <v>46112</v>
      </c>
      <c r="D144" s="13" t="s">
        <v>16</v>
      </c>
      <c r="E144" s="13" t="s">
        <v>14</v>
      </c>
      <c r="F144" s="13" t="s">
        <v>15</v>
      </c>
      <c r="G144" s="13">
        <v>90</v>
      </c>
      <c r="H144" s="12">
        <f>SUMIF(suivis_enlèvements[N°Enlevement],suivis_enlèvements[[#This Row],[N°Enlevement]],suivis_enlèvements[Colis Enlev])</f>
        <v>270</v>
      </c>
      <c r="I144" s="12">
        <f>COUNTIF(suivis_enlèvements[N°Enlevement],suivis_enlèvements[[#This Row],[N°Enlevement]])</f>
        <v>3</v>
      </c>
      <c r="J144" s="12">
        <f>IF(G145=G144, "", G144)</f>
        <v>90</v>
      </c>
    </row>
    <row r="145" spans="1:10" ht="20.100000000000001" hidden="1" customHeight="1" x14ac:dyDescent="0.25">
      <c r="A145" s="13">
        <v>20260030</v>
      </c>
      <c r="B145" s="13">
        <v>67264</v>
      </c>
      <c r="C145" s="2">
        <v>46112</v>
      </c>
      <c r="D145" s="13" t="s">
        <v>56</v>
      </c>
      <c r="E145" s="13" t="s">
        <v>57</v>
      </c>
      <c r="F145" s="13" t="s">
        <v>58</v>
      </c>
      <c r="G145" s="13">
        <v>46</v>
      </c>
      <c r="H145" s="12">
        <f>SUMIF(suivis_enlèvements[N°Enlevement],suivis_enlèvements[[#This Row],[N°Enlevement]],suivis_enlèvements[Colis Enlev])</f>
        <v>276</v>
      </c>
      <c r="I145" s="12">
        <f>COUNTIF(suivis_enlèvements[N°Enlevement],suivis_enlèvements[[#This Row],[N°Enlevement]])</f>
        <v>6</v>
      </c>
      <c r="J145" s="12" t="str">
        <f>IF(G146=G145, "", G145)</f>
        <v/>
      </c>
    </row>
    <row r="146" spans="1:10" ht="20.100000000000001" hidden="1" customHeight="1" x14ac:dyDescent="0.25">
      <c r="A146" s="13">
        <v>20260030</v>
      </c>
      <c r="B146" s="13">
        <v>67264</v>
      </c>
      <c r="C146" s="2">
        <v>46112</v>
      </c>
      <c r="D146" s="13" t="s">
        <v>56</v>
      </c>
      <c r="E146" s="13" t="s">
        <v>57</v>
      </c>
      <c r="F146" s="13" t="s">
        <v>58</v>
      </c>
      <c r="G146" s="13">
        <v>46</v>
      </c>
      <c r="H146" s="12">
        <f>SUMIF(suivis_enlèvements[N°Enlevement],suivis_enlèvements[[#This Row],[N°Enlevement]],suivis_enlèvements[Colis Enlev])</f>
        <v>276</v>
      </c>
      <c r="I146" s="12">
        <f>COUNTIF(suivis_enlèvements[N°Enlevement],suivis_enlèvements[[#This Row],[N°Enlevement]])</f>
        <v>6</v>
      </c>
      <c r="J146" s="12" t="str">
        <f>IF(G147=G146, "", G146)</f>
        <v/>
      </c>
    </row>
    <row r="147" spans="1:10" ht="20.100000000000001" hidden="1" customHeight="1" x14ac:dyDescent="0.25">
      <c r="A147" s="13">
        <v>20260030</v>
      </c>
      <c r="B147" s="13">
        <v>67264</v>
      </c>
      <c r="C147" s="2">
        <v>46112</v>
      </c>
      <c r="D147" s="13" t="s">
        <v>56</v>
      </c>
      <c r="E147" s="13" t="s">
        <v>57</v>
      </c>
      <c r="F147" s="13" t="s">
        <v>58</v>
      </c>
      <c r="G147" s="13">
        <v>46</v>
      </c>
      <c r="H147" s="12">
        <f>SUMIF(suivis_enlèvements[N°Enlevement],suivis_enlèvements[[#This Row],[N°Enlevement]],suivis_enlèvements[Colis Enlev])</f>
        <v>276</v>
      </c>
      <c r="I147" s="12">
        <f>COUNTIF(suivis_enlèvements[N°Enlevement],suivis_enlèvements[[#This Row],[N°Enlevement]])</f>
        <v>6</v>
      </c>
      <c r="J147" s="12" t="str">
        <f>IF(G148=G147, "", G147)</f>
        <v/>
      </c>
    </row>
    <row r="148" spans="1:10" ht="20.100000000000001" hidden="1" customHeight="1" x14ac:dyDescent="0.25">
      <c r="A148" s="13">
        <v>20260030</v>
      </c>
      <c r="B148" s="13">
        <v>67264</v>
      </c>
      <c r="C148" s="2">
        <v>46112</v>
      </c>
      <c r="D148" s="13" t="s">
        <v>56</v>
      </c>
      <c r="E148" s="13" t="s">
        <v>57</v>
      </c>
      <c r="F148" s="13" t="s">
        <v>58</v>
      </c>
      <c r="G148" s="13">
        <v>46</v>
      </c>
      <c r="H148" s="12">
        <f>SUMIF(suivis_enlèvements[N°Enlevement],suivis_enlèvements[[#This Row],[N°Enlevement]],suivis_enlèvements[Colis Enlev])</f>
        <v>276</v>
      </c>
      <c r="I148" s="12">
        <f>COUNTIF(suivis_enlèvements[N°Enlevement],suivis_enlèvements[[#This Row],[N°Enlevement]])</f>
        <v>6</v>
      </c>
      <c r="J148" s="12" t="str">
        <f>IF(G149=G148, "", G148)</f>
        <v/>
      </c>
    </row>
    <row r="149" spans="1:10" ht="20.100000000000001" hidden="1" customHeight="1" x14ac:dyDescent="0.25">
      <c r="A149" s="13">
        <v>20260030</v>
      </c>
      <c r="B149" s="13">
        <v>67264</v>
      </c>
      <c r="C149" s="2">
        <v>46112</v>
      </c>
      <c r="D149" s="13" t="s">
        <v>56</v>
      </c>
      <c r="E149" s="13" t="s">
        <v>57</v>
      </c>
      <c r="F149" s="13" t="s">
        <v>58</v>
      </c>
      <c r="G149" s="13">
        <v>46</v>
      </c>
      <c r="H149" s="12">
        <f>SUMIF(suivis_enlèvements[N°Enlevement],suivis_enlèvements[[#This Row],[N°Enlevement]],suivis_enlèvements[Colis Enlev])</f>
        <v>276</v>
      </c>
      <c r="I149" s="12">
        <f>COUNTIF(suivis_enlèvements[N°Enlevement],suivis_enlèvements[[#This Row],[N°Enlevement]])</f>
        <v>6</v>
      </c>
      <c r="J149" s="12" t="str">
        <f>IF(G150=G149, "", G149)</f>
        <v/>
      </c>
    </row>
    <row r="150" spans="1:10" ht="20.100000000000001" customHeight="1" x14ac:dyDescent="0.25">
      <c r="A150" s="13">
        <v>20260030</v>
      </c>
      <c r="B150" s="13">
        <v>67264</v>
      </c>
      <c r="C150" s="2">
        <v>46112</v>
      </c>
      <c r="D150" s="13" t="s">
        <v>56</v>
      </c>
      <c r="E150" s="13" t="s">
        <v>57</v>
      </c>
      <c r="F150" s="13" t="s">
        <v>58</v>
      </c>
      <c r="G150" s="13">
        <v>46</v>
      </c>
      <c r="H150" s="12">
        <f>SUMIF(suivis_enlèvements[N°Enlevement],suivis_enlèvements[[#This Row],[N°Enlevement]],suivis_enlèvements[Colis Enlev])</f>
        <v>276</v>
      </c>
      <c r="I150" s="12">
        <f>COUNTIF(suivis_enlèvements[N°Enlevement],suivis_enlèvements[[#This Row],[N°Enlevement]])</f>
        <v>6</v>
      </c>
      <c r="J150" s="12">
        <f>IF(G151=G150, "", G150)</f>
        <v>46</v>
      </c>
    </row>
    <row r="151" spans="1:10" ht="20.100000000000001" customHeight="1" x14ac:dyDescent="0.25">
      <c r="A151" s="13">
        <v>20260075</v>
      </c>
      <c r="B151" s="13">
        <v>67265</v>
      </c>
      <c r="C151" s="2">
        <v>46112</v>
      </c>
      <c r="D151" s="13" t="s">
        <v>59</v>
      </c>
      <c r="E151" s="13" t="s">
        <v>60</v>
      </c>
      <c r="F151" s="13" t="s">
        <v>19</v>
      </c>
      <c r="G151" s="13">
        <v>2</v>
      </c>
      <c r="H151" s="12">
        <f>SUMIF(suivis_enlèvements[N°Enlevement],suivis_enlèvements[[#This Row],[N°Enlevement]],suivis_enlèvements[Colis Enlev])</f>
        <v>2</v>
      </c>
      <c r="I151" s="12">
        <f>COUNTIF(suivis_enlèvements[N°Enlevement],suivis_enlèvements[[#This Row],[N°Enlevement]])</f>
        <v>1</v>
      </c>
      <c r="J151" s="12">
        <f>IF(G152=G151, "", G151)</f>
        <v>2</v>
      </c>
    </row>
    <row r="152" spans="1:10" ht="20.100000000000001" customHeight="1" x14ac:dyDescent="0.25">
      <c r="A152" s="13">
        <v>20260075</v>
      </c>
      <c r="B152" s="13">
        <v>67266</v>
      </c>
      <c r="C152" s="2">
        <v>46112</v>
      </c>
      <c r="D152" s="13" t="s">
        <v>17</v>
      </c>
      <c r="E152" s="13" t="s">
        <v>18</v>
      </c>
      <c r="F152" s="13" t="s">
        <v>19</v>
      </c>
      <c r="G152" s="13">
        <v>1</v>
      </c>
      <c r="H152" s="12">
        <f>SUMIF(suivis_enlèvements[N°Enlevement],suivis_enlèvements[[#This Row],[N°Enlevement]],suivis_enlèvements[Colis Enlev])</f>
        <v>1</v>
      </c>
      <c r="I152" s="12">
        <f>COUNTIF(suivis_enlèvements[N°Enlevement],suivis_enlèvements[[#This Row],[N°Enlevement]])</f>
        <v>1</v>
      </c>
      <c r="J152" s="12">
        <f>IF(G153=G152, "", G152)</f>
        <v>1</v>
      </c>
    </row>
    <row r="153" spans="1:10" ht="20.100000000000001" hidden="1" customHeight="1" x14ac:dyDescent="0.25">
      <c r="A153" s="13">
        <v>20260036</v>
      </c>
      <c r="B153" s="13">
        <v>67267</v>
      </c>
      <c r="C153" s="2">
        <v>46113</v>
      </c>
      <c r="D153" s="13" t="s">
        <v>79</v>
      </c>
      <c r="E153" s="13" t="s">
        <v>80</v>
      </c>
      <c r="F153" s="13" t="s">
        <v>81</v>
      </c>
      <c r="G153" s="13">
        <v>75</v>
      </c>
      <c r="H153" s="12">
        <f>SUMIF(suivis_enlèvements[N°Enlevement],suivis_enlèvements[[#This Row],[N°Enlevement]],suivis_enlèvements[Colis Enlev])</f>
        <v>150</v>
      </c>
      <c r="I153" s="12">
        <f>COUNTIF(suivis_enlèvements[N°Enlevement],suivis_enlèvements[[#This Row],[N°Enlevement]])</f>
        <v>2</v>
      </c>
      <c r="J153" s="12" t="str">
        <f>IF(G154=G153, "", G153)</f>
        <v/>
      </c>
    </row>
    <row r="154" spans="1:10" ht="20.100000000000001" customHeight="1" x14ac:dyDescent="0.25">
      <c r="A154" s="13">
        <v>20260036</v>
      </c>
      <c r="B154" s="13">
        <v>67267</v>
      </c>
      <c r="C154" s="2">
        <v>46113</v>
      </c>
      <c r="D154" s="13" t="s">
        <v>79</v>
      </c>
      <c r="E154" s="13" t="s">
        <v>80</v>
      </c>
      <c r="F154" s="13" t="s">
        <v>81</v>
      </c>
      <c r="G154" s="13">
        <v>75</v>
      </c>
      <c r="H154" s="12">
        <f>SUMIF(suivis_enlèvements[N°Enlevement],suivis_enlèvements[[#This Row],[N°Enlevement]],suivis_enlèvements[Colis Enlev])</f>
        <v>150</v>
      </c>
      <c r="I154" s="12">
        <f>COUNTIF(suivis_enlèvements[N°Enlevement],suivis_enlèvements[[#This Row],[N°Enlevement]])</f>
        <v>2</v>
      </c>
      <c r="J154" s="12">
        <f>IF(G155=G154, "", G154)</f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55"/>
  <sheetViews>
    <sheetView tabSelected="1" workbookViewId="0">
      <selection activeCell="H3" sqref="H3:H35"/>
    </sheetView>
  </sheetViews>
  <sheetFormatPr defaultColWidth="27" defaultRowHeight="40.5" customHeight="1" x14ac:dyDescent="0.25"/>
  <cols>
    <col min="1" max="16384" width="27" style="5"/>
  </cols>
  <sheetData>
    <row r="2" spans="1:7" ht="40.5" customHeight="1" x14ac:dyDescent="0.25">
      <c r="A2" s="8" t="s">
        <v>89</v>
      </c>
      <c r="B2" s="9" t="s">
        <v>90</v>
      </c>
      <c r="C2" s="10" t="s">
        <v>91</v>
      </c>
      <c r="D2" s="9" t="s">
        <v>92</v>
      </c>
      <c r="E2" s="9" t="s">
        <v>93</v>
      </c>
      <c r="F2" s="9" t="s">
        <v>94</v>
      </c>
      <c r="G2" s="11" t="s">
        <v>95</v>
      </c>
    </row>
    <row r="3" spans="1:7" ht="40.5" customHeight="1" x14ac:dyDescent="0.25">
      <c r="A3" s="6">
        <v>20250331</v>
      </c>
      <c r="B3" s="4">
        <v>67199</v>
      </c>
      <c r="C3" s="3">
        <v>46112</v>
      </c>
      <c r="D3" s="4" t="s">
        <v>20</v>
      </c>
      <c r="E3" s="4" t="s">
        <v>21</v>
      </c>
      <c r="F3" s="4" t="s">
        <v>22</v>
      </c>
      <c r="G3" s="7">
        <v>18</v>
      </c>
    </row>
    <row r="4" spans="1:7" ht="40.5" customHeight="1" x14ac:dyDescent="0.25">
      <c r="A4" s="6">
        <v>20260043</v>
      </c>
      <c r="B4" s="4">
        <v>67200</v>
      </c>
      <c r="C4" s="3">
        <v>46112</v>
      </c>
      <c r="D4" s="4" t="s">
        <v>23</v>
      </c>
      <c r="E4" s="4" t="s">
        <v>24</v>
      </c>
      <c r="F4" s="4" t="s">
        <v>25</v>
      </c>
      <c r="G4" s="7">
        <v>1</v>
      </c>
    </row>
    <row r="5" spans="1:7" ht="40.5" customHeight="1" x14ac:dyDescent="0.25">
      <c r="A5" s="6">
        <v>20260030</v>
      </c>
      <c r="B5" s="4">
        <v>67201</v>
      </c>
      <c r="C5" s="3">
        <v>46112</v>
      </c>
      <c r="D5" s="4" t="s">
        <v>26</v>
      </c>
      <c r="E5" s="4" t="s">
        <v>27</v>
      </c>
      <c r="F5" s="4" t="s">
        <v>28</v>
      </c>
      <c r="G5" s="7">
        <v>54</v>
      </c>
    </row>
    <row r="6" spans="1:7" ht="40.5" customHeight="1" x14ac:dyDescent="0.25">
      <c r="A6" s="6">
        <v>20250296</v>
      </c>
      <c r="B6" s="4">
        <v>67202</v>
      </c>
      <c r="C6" s="3">
        <v>46112</v>
      </c>
      <c r="D6" s="4" t="s">
        <v>29</v>
      </c>
      <c r="E6" s="4" t="s">
        <v>30</v>
      </c>
      <c r="F6" s="4" t="s">
        <v>31</v>
      </c>
      <c r="G6" s="7">
        <v>9</v>
      </c>
    </row>
    <row r="7" spans="1:7" ht="40.5" customHeight="1" x14ac:dyDescent="0.25">
      <c r="A7" s="6">
        <v>20260017</v>
      </c>
      <c r="B7" s="4">
        <v>67203</v>
      </c>
      <c r="C7" s="3">
        <v>46112</v>
      </c>
      <c r="D7" s="4" t="s">
        <v>32</v>
      </c>
      <c r="E7" s="4" t="s">
        <v>33</v>
      </c>
      <c r="F7" s="4" t="s">
        <v>34</v>
      </c>
      <c r="G7" s="7">
        <v>42</v>
      </c>
    </row>
    <row r="8" spans="1:7" ht="40.5" customHeight="1" x14ac:dyDescent="0.25">
      <c r="A8" s="6">
        <v>20260030</v>
      </c>
      <c r="B8" s="4">
        <v>67204</v>
      </c>
      <c r="C8" s="3">
        <v>46112</v>
      </c>
      <c r="D8" s="4" t="s">
        <v>35</v>
      </c>
      <c r="E8" s="4" t="s">
        <v>36</v>
      </c>
      <c r="F8" s="4" t="s">
        <v>37</v>
      </c>
      <c r="G8" s="7">
        <v>12</v>
      </c>
    </row>
    <row r="9" spans="1:7" ht="40.5" customHeight="1" x14ac:dyDescent="0.25">
      <c r="A9" s="6">
        <v>20260055</v>
      </c>
      <c r="B9" s="4">
        <v>67205</v>
      </c>
      <c r="C9" s="3">
        <v>46112</v>
      </c>
      <c r="D9" s="4" t="s">
        <v>38</v>
      </c>
      <c r="E9" s="4" t="s">
        <v>39</v>
      </c>
      <c r="F9" s="4" t="s">
        <v>40</v>
      </c>
      <c r="G9" s="7">
        <v>108</v>
      </c>
    </row>
    <row r="10" spans="1:7" ht="40.5" customHeight="1" x14ac:dyDescent="0.25">
      <c r="A10" s="6">
        <v>20260079</v>
      </c>
      <c r="B10" s="4">
        <v>67206</v>
      </c>
      <c r="C10" s="3">
        <v>46112</v>
      </c>
      <c r="D10" s="4" t="s">
        <v>7</v>
      </c>
      <c r="E10" s="4" t="s">
        <v>8</v>
      </c>
      <c r="F10" s="4" t="s">
        <v>9</v>
      </c>
      <c r="G10" s="7">
        <v>73</v>
      </c>
    </row>
    <row r="11" spans="1:7" ht="40.5" customHeight="1" x14ac:dyDescent="0.25">
      <c r="A11" s="6">
        <v>20260055</v>
      </c>
      <c r="B11" s="4">
        <v>67207</v>
      </c>
      <c r="C11" s="3">
        <v>46112</v>
      </c>
      <c r="D11" s="4" t="s">
        <v>52</v>
      </c>
      <c r="E11" s="4" t="s">
        <v>53</v>
      </c>
      <c r="F11" s="4" t="s">
        <v>48</v>
      </c>
      <c r="G11" s="7">
        <v>260</v>
      </c>
    </row>
    <row r="12" spans="1:7" ht="40.5" customHeight="1" x14ac:dyDescent="0.25">
      <c r="A12" s="6">
        <v>20260055</v>
      </c>
      <c r="B12" s="4">
        <v>67208</v>
      </c>
      <c r="C12" s="3">
        <v>46112</v>
      </c>
      <c r="D12" s="4" t="s">
        <v>46</v>
      </c>
      <c r="E12" s="4" t="s">
        <v>47</v>
      </c>
      <c r="F12" s="4" t="s">
        <v>48</v>
      </c>
      <c r="G12" s="7">
        <v>220</v>
      </c>
    </row>
    <row r="13" spans="1:7" ht="40.5" customHeight="1" x14ac:dyDescent="0.25">
      <c r="A13" s="6">
        <v>20260055</v>
      </c>
      <c r="B13" s="4">
        <v>67209</v>
      </c>
      <c r="C13" s="3">
        <v>46112</v>
      </c>
      <c r="D13" s="4" t="s">
        <v>41</v>
      </c>
      <c r="E13" s="4" t="s">
        <v>42</v>
      </c>
      <c r="F13" s="4" t="s">
        <v>12</v>
      </c>
      <c r="G13" s="7">
        <v>3</v>
      </c>
    </row>
    <row r="14" spans="1:7" ht="40.5" customHeight="1" x14ac:dyDescent="0.25">
      <c r="A14" s="6">
        <v>20260052</v>
      </c>
      <c r="B14" s="4">
        <v>67210</v>
      </c>
      <c r="C14" s="3">
        <v>46112</v>
      </c>
      <c r="D14" s="4" t="s">
        <v>43</v>
      </c>
      <c r="E14" s="4" t="s">
        <v>44</v>
      </c>
      <c r="F14" s="4" t="s">
        <v>45</v>
      </c>
      <c r="G14" s="7">
        <v>56</v>
      </c>
    </row>
    <row r="15" spans="1:7" ht="40.5" customHeight="1" x14ac:dyDescent="0.25">
      <c r="A15" s="6">
        <v>20260087</v>
      </c>
      <c r="B15" s="4">
        <v>67211</v>
      </c>
      <c r="C15" s="3">
        <v>46112</v>
      </c>
      <c r="D15" s="4" t="s">
        <v>49</v>
      </c>
      <c r="E15" s="4" t="s">
        <v>50</v>
      </c>
      <c r="F15" s="4" t="s">
        <v>51</v>
      </c>
      <c r="G15" s="7">
        <v>7</v>
      </c>
    </row>
    <row r="16" spans="1:7" ht="40.5" customHeight="1" x14ac:dyDescent="0.25">
      <c r="A16" s="6">
        <v>20260047</v>
      </c>
      <c r="B16" s="4">
        <v>67212</v>
      </c>
      <c r="C16" s="3">
        <v>46112</v>
      </c>
      <c r="D16" s="4" t="s">
        <v>54</v>
      </c>
      <c r="E16" s="4" t="s">
        <v>55</v>
      </c>
      <c r="F16" s="4" t="s">
        <v>12</v>
      </c>
      <c r="G16" s="7">
        <v>2</v>
      </c>
    </row>
    <row r="17" spans="1:7" ht="40.5" customHeight="1" x14ac:dyDescent="0.25">
      <c r="A17" s="6">
        <v>20260069</v>
      </c>
      <c r="B17" s="4">
        <v>67213</v>
      </c>
      <c r="C17" s="3">
        <v>46112</v>
      </c>
      <c r="D17" s="4" t="s">
        <v>64</v>
      </c>
      <c r="E17" s="4" t="s">
        <v>65</v>
      </c>
      <c r="F17" s="4" t="s">
        <v>66</v>
      </c>
      <c r="G17" s="7">
        <v>947</v>
      </c>
    </row>
    <row r="18" spans="1:7" ht="40.5" customHeight="1" x14ac:dyDescent="0.25">
      <c r="A18" s="6">
        <v>20260079</v>
      </c>
      <c r="B18" s="4">
        <v>67214</v>
      </c>
      <c r="C18" s="3">
        <v>46112</v>
      </c>
      <c r="D18" s="4" t="s">
        <v>7</v>
      </c>
      <c r="E18" s="4" t="s">
        <v>8</v>
      </c>
      <c r="F18" s="4" t="s">
        <v>9</v>
      </c>
      <c r="G18" s="7">
        <v>57</v>
      </c>
    </row>
    <row r="19" spans="1:7" ht="40.5" customHeight="1" x14ac:dyDescent="0.25">
      <c r="A19" s="6">
        <v>20260087</v>
      </c>
      <c r="B19" s="4">
        <v>67215</v>
      </c>
      <c r="C19" s="3">
        <v>46112</v>
      </c>
      <c r="D19" s="4" t="s">
        <v>49</v>
      </c>
      <c r="E19" s="4" t="s">
        <v>50</v>
      </c>
      <c r="F19" s="4" t="s">
        <v>51</v>
      </c>
      <c r="G19" s="7">
        <v>2</v>
      </c>
    </row>
    <row r="20" spans="1:7" ht="40.5" customHeight="1" x14ac:dyDescent="0.25">
      <c r="A20" s="6">
        <v>20260079</v>
      </c>
      <c r="B20" s="4">
        <v>67216</v>
      </c>
      <c r="C20" s="3">
        <v>46112</v>
      </c>
      <c r="D20" s="4" t="s">
        <v>67</v>
      </c>
      <c r="E20" s="4" t="s">
        <v>68</v>
      </c>
      <c r="F20" s="4" t="s">
        <v>69</v>
      </c>
      <c r="G20" s="7">
        <v>36</v>
      </c>
    </row>
    <row r="21" spans="1:7" ht="40.5" customHeight="1" x14ac:dyDescent="0.25">
      <c r="A21" s="6">
        <v>20250308</v>
      </c>
      <c r="B21" s="4">
        <v>67217</v>
      </c>
      <c r="C21" s="3">
        <v>46112</v>
      </c>
      <c r="D21" s="4" t="s">
        <v>70</v>
      </c>
      <c r="E21" s="4" t="s">
        <v>71</v>
      </c>
      <c r="F21" s="4" t="s">
        <v>72</v>
      </c>
      <c r="G21" s="7">
        <v>42</v>
      </c>
    </row>
    <row r="22" spans="1:7" ht="40.5" customHeight="1" x14ac:dyDescent="0.25">
      <c r="A22" s="6">
        <v>20260097</v>
      </c>
      <c r="B22" s="4">
        <v>67218</v>
      </c>
      <c r="C22" s="3">
        <v>46112</v>
      </c>
      <c r="D22" s="4" t="s">
        <v>86</v>
      </c>
      <c r="E22" s="4" t="s">
        <v>87</v>
      </c>
      <c r="F22" s="4" t="s">
        <v>88</v>
      </c>
      <c r="G22" s="7">
        <v>87</v>
      </c>
    </row>
    <row r="23" spans="1:7" ht="40.5" customHeight="1" x14ac:dyDescent="0.25">
      <c r="A23" s="6">
        <v>20260030</v>
      </c>
      <c r="B23" s="4">
        <v>67219</v>
      </c>
      <c r="C23" s="3">
        <v>46112</v>
      </c>
      <c r="D23" s="4" t="s">
        <v>76</v>
      </c>
      <c r="E23" s="4" t="s">
        <v>77</v>
      </c>
      <c r="F23" s="4" t="s">
        <v>78</v>
      </c>
      <c r="G23" s="7">
        <v>33</v>
      </c>
    </row>
    <row r="24" spans="1:7" ht="40.5" customHeight="1" x14ac:dyDescent="0.25">
      <c r="A24" s="6">
        <v>20260075</v>
      </c>
      <c r="B24" s="4">
        <v>67220</v>
      </c>
      <c r="C24" s="3">
        <v>46112</v>
      </c>
      <c r="D24" s="4" t="s">
        <v>61</v>
      </c>
      <c r="E24" s="4" t="s">
        <v>62</v>
      </c>
      <c r="F24" s="4" t="s">
        <v>63</v>
      </c>
      <c r="G24" s="7">
        <v>2</v>
      </c>
    </row>
    <row r="25" spans="1:7" ht="40.5" customHeight="1" x14ac:dyDescent="0.25">
      <c r="A25" s="6">
        <v>20260079</v>
      </c>
      <c r="B25" s="4">
        <v>67221</v>
      </c>
      <c r="C25" s="3">
        <v>46112</v>
      </c>
      <c r="D25" s="4" t="s">
        <v>73</v>
      </c>
      <c r="E25" s="4" t="s">
        <v>74</v>
      </c>
      <c r="F25" s="4" t="s">
        <v>75</v>
      </c>
      <c r="G25" s="7">
        <v>84</v>
      </c>
    </row>
    <row r="26" spans="1:7" ht="40.5" customHeight="1" x14ac:dyDescent="0.25">
      <c r="A26" s="6">
        <v>20260036</v>
      </c>
      <c r="B26" s="4">
        <v>67222</v>
      </c>
      <c r="C26" s="3">
        <v>46112</v>
      </c>
      <c r="D26" s="4" t="s">
        <v>79</v>
      </c>
      <c r="E26" s="4" t="s">
        <v>80</v>
      </c>
      <c r="F26" s="4" t="s">
        <v>81</v>
      </c>
      <c r="G26" s="7">
        <v>75</v>
      </c>
    </row>
    <row r="27" spans="1:7" ht="40.5" customHeight="1" x14ac:dyDescent="0.25">
      <c r="A27" s="6">
        <v>20260057</v>
      </c>
      <c r="B27" s="4">
        <v>67223</v>
      </c>
      <c r="C27" s="3">
        <v>46112</v>
      </c>
      <c r="D27" s="4" t="s">
        <v>82</v>
      </c>
      <c r="E27" s="4" t="s">
        <v>83</v>
      </c>
      <c r="F27" s="4" t="s">
        <v>12</v>
      </c>
      <c r="G27" s="7">
        <v>1</v>
      </c>
    </row>
    <row r="28" spans="1:7" ht="40.5" customHeight="1" x14ac:dyDescent="0.25">
      <c r="A28" s="6">
        <v>20260055</v>
      </c>
      <c r="B28" s="4">
        <v>67224</v>
      </c>
      <c r="C28" s="3">
        <v>46112</v>
      </c>
      <c r="D28" s="4" t="s">
        <v>84</v>
      </c>
      <c r="E28" s="4" t="s">
        <v>85</v>
      </c>
      <c r="F28" s="4" t="s">
        <v>48</v>
      </c>
      <c r="G28" s="7">
        <v>69</v>
      </c>
    </row>
    <row r="29" spans="1:7" ht="40.5" customHeight="1" x14ac:dyDescent="0.25">
      <c r="A29" s="6">
        <v>20260042</v>
      </c>
      <c r="B29" s="4">
        <v>67225</v>
      </c>
      <c r="C29" s="3">
        <v>46112</v>
      </c>
      <c r="D29" s="4" t="s">
        <v>10</v>
      </c>
      <c r="E29" s="4" t="s">
        <v>11</v>
      </c>
      <c r="F29" s="4" t="s">
        <v>12</v>
      </c>
      <c r="G29" s="7">
        <v>5</v>
      </c>
    </row>
    <row r="30" spans="1:7" ht="40.5" customHeight="1" x14ac:dyDescent="0.25">
      <c r="A30" s="6">
        <v>20260055</v>
      </c>
      <c r="B30" s="4">
        <v>67226</v>
      </c>
      <c r="C30" s="3">
        <v>46112</v>
      </c>
      <c r="D30" s="4" t="s">
        <v>13</v>
      </c>
      <c r="E30" s="4" t="s">
        <v>14</v>
      </c>
      <c r="F30" s="4" t="s">
        <v>15</v>
      </c>
      <c r="G30" s="7">
        <v>30</v>
      </c>
    </row>
    <row r="31" spans="1:7" ht="40.5" customHeight="1" x14ac:dyDescent="0.25">
      <c r="A31" s="6">
        <v>20260055</v>
      </c>
      <c r="B31" s="4">
        <v>67227</v>
      </c>
      <c r="C31" s="3">
        <v>46112</v>
      </c>
      <c r="D31" s="4" t="s">
        <v>16</v>
      </c>
      <c r="E31" s="4" t="s">
        <v>14</v>
      </c>
      <c r="F31" s="4" t="s">
        <v>15</v>
      </c>
      <c r="G31" s="7">
        <v>90</v>
      </c>
    </row>
    <row r="32" spans="1:7" ht="40.5" customHeight="1" x14ac:dyDescent="0.25">
      <c r="A32" s="6">
        <v>20260030</v>
      </c>
      <c r="B32" s="4">
        <v>67264</v>
      </c>
      <c r="C32" s="3">
        <v>46112</v>
      </c>
      <c r="D32" s="4" t="s">
        <v>56</v>
      </c>
      <c r="E32" s="4" t="s">
        <v>57</v>
      </c>
      <c r="F32" s="4" t="s">
        <v>58</v>
      </c>
      <c r="G32" s="7">
        <v>46</v>
      </c>
    </row>
    <row r="33" spans="1:7" ht="40.5" customHeight="1" x14ac:dyDescent="0.25">
      <c r="A33" s="6">
        <v>20260075</v>
      </c>
      <c r="B33" s="4">
        <v>67265</v>
      </c>
      <c r="C33" s="3">
        <v>46112</v>
      </c>
      <c r="D33" s="4" t="s">
        <v>59</v>
      </c>
      <c r="E33" s="4" t="s">
        <v>60</v>
      </c>
      <c r="F33" s="4" t="s">
        <v>19</v>
      </c>
      <c r="G33" s="7">
        <v>2</v>
      </c>
    </row>
    <row r="34" spans="1:7" ht="40.5" customHeight="1" x14ac:dyDescent="0.25">
      <c r="A34" s="6">
        <v>20260075</v>
      </c>
      <c r="B34" s="4">
        <v>67266</v>
      </c>
      <c r="C34" s="3">
        <v>46112</v>
      </c>
      <c r="D34" s="4" t="s">
        <v>17</v>
      </c>
      <c r="E34" s="4" t="s">
        <v>18</v>
      </c>
      <c r="F34" s="4" t="s">
        <v>19</v>
      </c>
      <c r="G34" s="7">
        <v>1</v>
      </c>
    </row>
    <row r="35" spans="1:7" ht="40.5" customHeight="1" x14ac:dyDescent="0.25">
      <c r="A35" s="6">
        <v>20260036</v>
      </c>
      <c r="B35" s="4">
        <v>67267</v>
      </c>
      <c r="C35" s="3">
        <v>46113</v>
      </c>
      <c r="D35" s="4" t="s">
        <v>79</v>
      </c>
      <c r="E35" s="4" t="s">
        <v>80</v>
      </c>
      <c r="F35" s="4" t="s">
        <v>81</v>
      </c>
      <c r="G35" s="7">
        <v>75</v>
      </c>
    </row>
    <row r="36" spans="1:7" ht="40.5" customHeight="1" x14ac:dyDescent="0.25">
      <c r="A36"/>
      <c r="B36"/>
      <c r="C36"/>
      <c r="D36"/>
      <c r="E36"/>
      <c r="F36"/>
      <c r="G36"/>
    </row>
    <row r="37" spans="1:7" ht="40.5" customHeight="1" x14ac:dyDescent="0.25">
      <c r="A37"/>
      <c r="B37"/>
      <c r="C37"/>
      <c r="D37"/>
      <c r="E37"/>
      <c r="F37"/>
      <c r="G37"/>
    </row>
    <row r="38" spans="1:7" ht="40.5" customHeight="1" x14ac:dyDescent="0.25">
      <c r="A38"/>
      <c r="B38"/>
      <c r="C38"/>
      <c r="D38"/>
      <c r="E38"/>
      <c r="F38"/>
      <c r="G38"/>
    </row>
    <row r="39" spans="1:7" ht="40.5" customHeight="1" x14ac:dyDescent="0.25">
      <c r="A39"/>
      <c r="B39"/>
      <c r="C39"/>
      <c r="D39"/>
      <c r="E39"/>
      <c r="F39"/>
      <c r="G39"/>
    </row>
    <row r="40" spans="1:7" ht="40.5" customHeight="1" x14ac:dyDescent="0.25">
      <c r="A40"/>
      <c r="B40"/>
      <c r="C40"/>
      <c r="D40"/>
      <c r="E40"/>
      <c r="F40"/>
      <c r="G40"/>
    </row>
    <row r="41" spans="1:7" ht="40.5" customHeight="1" x14ac:dyDescent="0.25">
      <c r="A41"/>
      <c r="B41"/>
      <c r="C41"/>
      <c r="D41"/>
      <c r="E41"/>
      <c r="F41"/>
      <c r="G41"/>
    </row>
    <row r="42" spans="1:7" ht="40.5" customHeight="1" x14ac:dyDescent="0.25">
      <c r="A42"/>
      <c r="B42"/>
      <c r="C42"/>
      <c r="D42"/>
      <c r="E42"/>
      <c r="F42"/>
      <c r="G42"/>
    </row>
    <row r="43" spans="1:7" ht="40.5" customHeight="1" x14ac:dyDescent="0.25">
      <c r="A43"/>
      <c r="B43"/>
      <c r="C43"/>
      <c r="D43"/>
      <c r="E43"/>
      <c r="F43"/>
      <c r="G43"/>
    </row>
    <row r="44" spans="1:7" ht="40.5" customHeight="1" x14ac:dyDescent="0.25">
      <c r="A44"/>
      <c r="B44"/>
      <c r="C44"/>
      <c r="D44"/>
      <c r="E44"/>
      <c r="F44"/>
      <c r="G44"/>
    </row>
    <row r="45" spans="1:7" ht="40.5" customHeight="1" x14ac:dyDescent="0.25">
      <c r="A45"/>
      <c r="B45"/>
      <c r="C45"/>
      <c r="D45"/>
      <c r="E45"/>
      <c r="F45"/>
      <c r="G45"/>
    </row>
    <row r="46" spans="1:7" ht="40.5" customHeight="1" x14ac:dyDescent="0.25">
      <c r="A46"/>
      <c r="B46"/>
      <c r="C46"/>
      <c r="D46"/>
      <c r="E46"/>
      <c r="F46"/>
      <c r="G46"/>
    </row>
    <row r="47" spans="1:7" ht="40.5" customHeight="1" x14ac:dyDescent="0.25">
      <c r="A47"/>
      <c r="B47"/>
      <c r="C47"/>
      <c r="D47"/>
      <c r="E47"/>
      <c r="F47"/>
      <c r="G47"/>
    </row>
    <row r="48" spans="1:7" ht="40.5" customHeight="1" x14ac:dyDescent="0.25">
      <c r="A48"/>
      <c r="B48"/>
      <c r="C48"/>
      <c r="D48"/>
      <c r="E48"/>
      <c r="F48"/>
      <c r="G48"/>
    </row>
    <row r="49" spans="1:7" ht="40.5" customHeight="1" x14ac:dyDescent="0.25">
      <c r="A49"/>
      <c r="B49"/>
      <c r="C49"/>
      <c r="D49"/>
      <c r="E49"/>
      <c r="F49"/>
      <c r="G49"/>
    </row>
    <row r="50" spans="1:7" ht="40.5" customHeight="1" x14ac:dyDescent="0.25">
      <c r="A50"/>
      <c r="B50"/>
      <c r="C50"/>
      <c r="D50"/>
      <c r="E50"/>
      <c r="F50"/>
      <c r="G50"/>
    </row>
    <row r="51" spans="1:7" ht="40.5" customHeight="1" x14ac:dyDescent="0.25">
      <c r="A51"/>
      <c r="B51"/>
      <c r="C51"/>
      <c r="D51"/>
      <c r="E51"/>
      <c r="F51"/>
      <c r="G51"/>
    </row>
    <row r="52" spans="1:7" ht="40.5" customHeight="1" x14ac:dyDescent="0.25">
      <c r="A52"/>
      <c r="B52"/>
      <c r="C52"/>
      <c r="D52"/>
      <c r="E52"/>
      <c r="F52"/>
      <c r="G52"/>
    </row>
    <row r="53" spans="1:7" ht="40.5" customHeight="1" x14ac:dyDescent="0.25">
      <c r="A53"/>
      <c r="B53"/>
      <c r="C53"/>
      <c r="D53"/>
      <c r="E53"/>
      <c r="F53"/>
      <c r="G53"/>
    </row>
    <row r="54" spans="1:7" ht="40.5" customHeight="1" x14ac:dyDescent="0.25">
      <c r="A54"/>
      <c r="B54"/>
      <c r="C54"/>
      <c r="D54"/>
      <c r="E54"/>
      <c r="F54"/>
      <c r="G54"/>
    </row>
    <row r="55" spans="1:7" ht="40.5" customHeight="1" x14ac:dyDescent="0.25">
      <c r="A55"/>
      <c r="B55"/>
      <c r="C55"/>
      <c r="D55"/>
      <c r="E55"/>
      <c r="F55"/>
      <c r="G55"/>
    </row>
    <row r="56" spans="1:7" ht="40.5" customHeight="1" x14ac:dyDescent="0.25">
      <c r="A56"/>
      <c r="B56"/>
      <c r="C56"/>
      <c r="D56"/>
      <c r="E56"/>
      <c r="F56"/>
      <c r="G56"/>
    </row>
    <row r="57" spans="1:7" ht="40.5" customHeight="1" x14ac:dyDescent="0.25">
      <c r="A57"/>
      <c r="B57"/>
      <c r="C57"/>
      <c r="D57"/>
      <c r="E57"/>
      <c r="F57"/>
      <c r="G57"/>
    </row>
    <row r="58" spans="1:7" ht="40.5" customHeight="1" x14ac:dyDescent="0.25">
      <c r="A58"/>
      <c r="B58"/>
      <c r="C58"/>
      <c r="D58"/>
      <c r="E58"/>
      <c r="F58"/>
      <c r="G58"/>
    </row>
    <row r="59" spans="1:7" ht="40.5" customHeight="1" x14ac:dyDescent="0.25">
      <c r="A59"/>
      <c r="B59"/>
      <c r="C59"/>
      <c r="D59"/>
      <c r="E59"/>
      <c r="F59"/>
      <c r="G59"/>
    </row>
    <row r="60" spans="1:7" ht="40.5" customHeight="1" x14ac:dyDescent="0.25">
      <c r="A60"/>
      <c r="B60"/>
      <c r="C60"/>
      <c r="D60"/>
      <c r="E60"/>
      <c r="F60"/>
      <c r="G60"/>
    </row>
    <row r="61" spans="1:7" ht="40.5" customHeight="1" x14ac:dyDescent="0.25">
      <c r="A61"/>
      <c r="B61"/>
      <c r="C61"/>
      <c r="D61"/>
      <c r="E61"/>
      <c r="F61"/>
      <c r="G61"/>
    </row>
    <row r="62" spans="1:7" ht="40.5" customHeight="1" x14ac:dyDescent="0.25">
      <c r="A62"/>
      <c r="B62"/>
      <c r="C62"/>
      <c r="D62"/>
      <c r="E62"/>
      <c r="F62"/>
      <c r="G62"/>
    </row>
    <row r="63" spans="1:7" ht="40.5" customHeight="1" x14ac:dyDescent="0.25">
      <c r="A63"/>
      <c r="B63"/>
      <c r="C63"/>
      <c r="D63"/>
      <c r="E63"/>
      <c r="F63"/>
      <c r="G63"/>
    </row>
    <row r="64" spans="1:7" ht="40.5" customHeight="1" x14ac:dyDescent="0.25">
      <c r="A64"/>
      <c r="B64"/>
      <c r="C64"/>
      <c r="D64"/>
      <c r="E64"/>
      <c r="F64"/>
      <c r="G64"/>
    </row>
    <row r="65" spans="1:7" ht="40.5" customHeight="1" x14ac:dyDescent="0.25">
      <c r="A65"/>
      <c r="B65"/>
      <c r="C65"/>
      <c r="D65"/>
      <c r="E65"/>
      <c r="F65"/>
      <c r="G65"/>
    </row>
    <row r="66" spans="1:7" ht="40.5" customHeight="1" x14ac:dyDescent="0.25">
      <c r="A66"/>
      <c r="B66"/>
      <c r="C66"/>
      <c r="D66"/>
      <c r="E66"/>
      <c r="F66"/>
      <c r="G66"/>
    </row>
    <row r="67" spans="1:7" ht="40.5" customHeight="1" x14ac:dyDescent="0.25">
      <c r="A67"/>
      <c r="B67"/>
      <c r="C67"/>
      <c r="D67"/>
      <c r="E67"/>
      <c r="F67"/>
      <c r="G67"/>
    </row>
    <row r="68" spans="1:7" ht="40.5" customHeight="1" x14ac:dyDescent="0.25">
      <c r="A68"/>
      <c r="B68"/>
      <c r="C68"/>
      <c r="D68"/>
      <c r="E68"/>
      <c r="F68"/>
      <c r="G68"/>
    </row>
    <row r="69" spans="1:7" ht="40.5" customHeight="1" x14ac:dyDescent="0.25">
      <c r="A69"/>
      <c r="B69"/>
      <c r="C69"/>
      <c r="D69"/>
      <c r="E69"/>
      <c r="F69"/>
      <c r="G69"/>
    </row>
    <row r="70" spans="1:7" ht="40.5" customHeight="1" x14ac:dyDescent="0.25">
      <c r="A70"/>
      <c r="B70"/>
      <c r="C70"/>
      <c r="D70"/>
      <c r="E70"/>
      <c r="F70"/>
      <c r="G70"/>
    </row>
    <row r="71" spans="1:7" ht="40.5" customHeight="1" x14ac:dyDescent="0.25">
      <c r="A71"/>
      <c r="B71"/>
      <c r="C71"/>
      <c r="D71"/>
      <c r="E71"/>
      <c r="F71"/>
      <c r="G71"/>
    </row>
    <row r="72" spans="1:7" ht="40.5" customHeight="1" x14ac:dyDescent="0.25">
      <c r="A72"/>
      <c r="B72"/>
      <c r="C72"/>
      <c r="D72"/>
      <c r="E72"/>
      <c r="F72"/>
      <c r="G72"/>
    </row>
    <row r="73" spans="1:7" ht="40.5" customHeight="1" x14ac:dyDescent="0.25">
      <c r="A73"/>
      <c r="B73"/>
      <c r="C73"/>
      <c r="D73"/>
      <c r="E73"/>
      <c r="F73"/>
      <c r="G73"/>
    </row>
    <row r="74" spans="1:7" ht="40.5" customHeight="1" x14ac:dyDescent="0.25">
      <c r="A74"/>
      <c r="B74"/>
      <c r="C74"/>
      <c r="D74"/>
      <c r="E74"/>
      <c r="F74"/>
      <c r="G74"/>
    </row>
    <row r="75" spans="1:7" ht="40.5" customHeight="1" x14ac:dyDescent="0.25">
      <c r="A75"/>
      <c r="B75"/>
      <c r="C75"/>
      <c r="D75"/>
      <c r="E75"/>
      <c r="F75"/>
      <c r="G75"/>
    </row>
    <row r="76" spans="1:7" ht="40.5" customHeight="1" x14ac:dyDescent="0.25">
      <c r="A76"/>
      <c r="B76"/>
      <c r="C76"/>
      <c r="D76"/>
      <c r="E76"/>
      <c r="F76"/>
      <c r="G76"/>
    </row>
    <row r="77" spans="1:7" ht="40.5" customHeight="1" x14ac:dyDescent="0.25">
      <c r="A77"/>
      <c r="B77"/>
      <c r="C77"/>
      <c r="D77"/>
      <c r="E77"/>
      <c r="F77"/>
      <c r="G77"/>
    </row>
    <row r="78" spans="1:7" ht="40.5" customHeight="1" x14ac:dyDescent="0.25">
      <c r="A78"/>
      <c r="B78"/>
      <c r="C78"/>
      <c r="D78"/>
      <c r="E78"/>
      <c r="F78"/>
      <c r="G78"/>
    </row>
    <row r="79" spans="1:7" ht="40.5" customHeight="1" x14ac:dyDescent="0.25">
      <c r="A79"/>
      <c r="B79"/>
      <c r="C79"/>
      <c r="D79"/>
      <c r="E79"/>
      <c r="F79"/>
      <c r="G79"/>
    </row>
    <row r="80" spans="1:7" ht="40.5" customHeight="1" x14ac:dyDescent="0.25">
      <c r="A80"/>
      <c r="B80"/>
      <c r="C80"/>
      <c r="D80"/>
      <c r="E80"/>
      <c r="F80"/>
      <c r="G80"/>
    </row>
    <row r="81" spans="1:7" ht="40.5" customHeight="1" x14ac:dyDescent="0.25">
      <c r="A81"/>
      <c r="B81"/>
      <c r="C81"/>
      <c r="D81"/>
      <c r="E81"/>
      <c r="F81"/>
      <c r="G81"/>
    </row>
    <row r="82" spans="1:7" ht="40.5" customHeight="1" x14ac:dyDescent="0.25">
      <c r="A82"/>
      <c r="B82"/>
      <c r="C82"/>
      <c r="D82"/>
      <c r="E82"/>
      <c r="F82"/>
      <c r="G82"/>
    </row>
    <row r="83" spans="1:7" ht="40.5" customHeight="1" x14ac:dyDescent="0.25">
      <c r="A83"/>
      <c r="B83"/>
      <c r="C83"/>
      <c r="D83"/>
      <c r="E83"/>
      <c r="F83"/>
      <c r="G83"/>
    </row>
    <row r="84" spans="1:7" ht="40.5" customHeight="1" x14ac:dyDescent="0.25">
      <c r="A84"/>
      <c r="B84"/>
      <c r="C84"/>
      <c r="D84"/>
      <c r="E84"/>
      <c r="F84"/>
      <c r="G84"/>
    </row>
    <row r="85" spans="1:7" ht="40.5" customHeight="1" x14ac:dyDescent="0.25">
      <c r="A85"/>
      <c r="B85"/>
      <c r="C85"/>
      <c r="D85"/>
      <c r="E85"/>
      <c r="F85"/>
      <c r="G85"/>
    </row>
    <row r="86" spans="1:7" ht="40.5" customHeight="1" x14ac:dyDescent="0.25">
      <c r="A86"/>
      <c r="B86"/>
      <c r="C86"/>
      <c r="D86"/>
      <c r="E86"/>
      <c r="F86"/>
      <c r="G86"/>
    </row>
    <row r="87" spans="1:7" ht="40.5" customHeight="1" x14ac:dyDescent="0.25">
      <c r="A87"/>
      <c r="B87"/>
      <c r="C87"/>
      <c r="D87"/>
      <c r="E87"/>
      <c r="F87"/>
      <c r="G87"/>
    </row>
    <row r="88" spans="1:7" ht="40.5" customHeight="1" x14ac:dyDescent="0.25">
      <c r="A88"/>
      <c r="B88"/>
      <c r="C88"/>
      <c r="D88"/>
      <c r="E88"/>
      <c r="F88"/>
      <c r="G88"/>
    </row>
    <row r="89" spans="1:7" ht="40.5" customHeight="1" x14ac:dyDescent="0.25">
      <c r="A89"/>
      <c r="B89"/>
      <c r="C89"/>
      <c r="D89"/>
      <c r="E89"/>
      <c r="F89"/>
      <c r="G89"/>
    </row>
    <row r="90" spans="1:7" ht="40.5" customHeight="1" x14ac:dyDescent="0.25">
      <c r="A90"/>
      <c r="B90"/>
      <c r="C90"/>
      <c r="D90"/>
      <c r="E90"/>
      <c r="F90"/>
      <c r="G90"/>
    </row>
    <row r="91" spans="1:7" ht="40.5" customHeight="1" x14ac:dyDescent="0.25">
      <c r="A91"/>
      <c r="B91"/>
      <c r="C91"/>
      <c r="D91"/>
      <c r="E91"/>
      <c r="F91"/>
      <c r="G91"/>
    </row>
    <row r="92" spans="1:7" ht="40.5" customHeight="1" x14ac:dyDescent="0.25">
      <c r="A92"/>
      <c r="B92"/>
      <c r="C92"/>
      <c r="D92"/>
      <c r="E92"/>
      <c r="F92"/>
      <c r="G92"/>
    </row>
    <row r="93" spans="1:7" ht="40.5" customHeight="1" x14ac:dyDescent="0.25">
      <c r="A93"/>
      <c r="B93"/>
      <c r="C93"/>
      <c r="D93"/>
      <c r="E93"/>
      <c r="F93"/>
      <c r="G93"/>
    </row>
    <row r="94" spans="1:7" ht="40.5" customHeight="1" x14ac:dyDescent="0.25">
      <c r="A94"/>
      <c r="B94"/>
      <c r="C94"/>
      <c r="D94"/>
      <c r="E94"/>
      <c r="F94"/>
      <c r="G94"/>
    </row>
    <row r="95" spans="1:7" ht="40.5" customHeight="1" x14ac:dyDescent="0.25">
      <c r="A95"/>
      <c r="B95"/>
      <c r="C95"/>
      <c r="D95"/>
      <c r="E95"/>
      <c r="F95"/>
      <c r="G95"/>
    </row>
    <row r="96" spans="1:7" ht="40.5" customHeight="1" x14ac:dyDescent="0.25">
      <c r="A96"/>
      <c r="B96"/>
      <c r="C96"/>
      <c r="D96"/>
      <c r="E96"/>
      <c r="F96"/>
      <c r="G96"/>
    </row>
    <row r="97" spans="1:7" ht="40.5" customHeight="1" x14ac:dyDescent="0.25">
      <c r="A97"/>
      <c r="B97"/>
      <c r="C97"/>
      <c r="D97"/>
      <c r="E97"/>
      <c r="F97"/>
      <c r="G97"/>
    </row>
    <row r="98" spans="1:7" ht="40.5" customHeight="1" x14ac:dyDescent="0.25">
      <c r="A98"/>
      <c r="B98"/>
      <c r="C98"/>
      <c r="D98"/>
      <c r="E98"/>
      <c r="F98"/>
      <c r="G98"/>
    </row>
    <row r="99" spans="1:7" ht="40.5" customHeight="1" x14ac:dyDescent="0.25">
      <c r="A99"/>
      <c r="B99"/>
      <c r="C99"/>
      <c r="D99"/>
      <c r="E99"/>
      <c r="F99"/>
      <c r="G99"/>
    </row>
    <row r="100" spans="1:7" ht="40.5" customHeight="1" x14ac:dyDescent="0.25">
      <c r="A100"/>
      <c r="B100"/>
      <c r="C100"/>
      <c r="D100"/>
      <c r="E100"/>
      <c r="F100"/>
      <c r="G100"/>
    </row>
    <row r="101" spans="1:7" ht="40.5" customHeight="1" x14ac:dyDescent="0.25">
      <c r="A101"/>
      <c r="B101"/>
      <c r="C101"/>
      <c r="D101"/>
      <c r="E101"/>
      <c r="F101"/>
      <c r="G101"/>
    </row>
    <row r="102" spans="1:7" ht="40.5" customHeight="1" x14ac:dyDescent="0.25">
      <c r="A102"/>
      <c r="B102"/>
      <c r="C102"/>
      <c r="D102"/>
      <c r="E102"/>
      <c r="F102"/>
      <c r="G102"/>
    </row>
    <row r="103" spans="1:7" ht="40.5" customHeight="1" x14ac:dyDescent="0.25">
      <c r="A103"/>
      <c r="B103"/>
      <c r="C103"/>
      <c r="D103"/>
      <c r="E103"/>
      <c r="F103"/>
      <c r="G103"/>
    </row>
    <row r="104" spans="1:7" ht="40.5" customHeight="1" x14ac:dyDescent="0.25">
      <c r="A104"/>
      <c r="B104"/>
      <c r="C104"/>
      <c r="D104"/>
      <c r="E104"/>
      <c r="F104"/>
      <c r="G104"/>
    </row>
    <row r="105" spans="1:7" ht="40.5" customHeight="1" x14ac:dyDescent="0.25">
      <c r="A105"/>
      <c r="B105"/>
      <c r="C105"/>
      <c r="D105"/>
      <c r="E105"/>
      <c r="F105"/>
      <c r="G105"/>
    </row>
    <row r="106" spans="1:7" ht="40.5" customHeight="1" x14ac:dyDescent="0.25">
      <c r="A106"/>
      <c r="B106"/>
      <c r="C106"/>
      <c r="D106"/>
      <c r="E106"/>
      <c r="F106"/>
      <c r="G106"/>
    </row>
    <row r="107" spans="1:7" ht="40.5" customHeight="1" x14ac:dyDescent="0.25">
      <c r="A107"/>
      <c r="B107"/>
      <c r="C107"/>
      <c r="D107"/>
      <c r="E107"/>
      <c r="F107"/>
      <c r="G107"/>
    </row>
    <row r="108" spans="1:7" ht="40.5" customHeight="1" x14ac:dyDescent="0.25">
      <c r="A108"/>
      <c r="B108"/>
      <c r="C108"/>
      <c r="D108"/>
      <c r="E108"/>
      <c r="F108"/>
      <c r="G108"/>
    </row>
    <row r="109" spans="1:7" ht="40.5" customHeight="1" x14ac:dyDescent="0.25">
      <c r="A109"/>
      <c r="B109"/>
      <c r="C109"/>
      <c r="D109"/>
      <c r="E109"/>
      <c r="F109"/>
      <c r="G109"/>
    </row>
    <row r="110" spans="1:7" ht="40.5" customHeight="1" x14ac:dyDescent="0.25">
      <c r="A110"/>
      <c r="B110"/>
      <c r="C110"/>
      <c r="D110"/>
      <c r="E110"/>
      <c r="F110"/>
      <c r="G110"/>
    </row>
    <row r="111" spans="1:7" ht="40.5" customHeight="1" x14ac:dyDescent="0.25">
      <c r="A111"/>
      <c r="B111"/>
      <c r="C111"/>
      <c r="D111"/>
      <c r="E111"/>
      <c r="F111"/>
      <c r="G111"/>
    </row>
    <row r="112" spans="1:7" ht="40.5" customHeight="1" x14ac:dyDescent="0.25">
      <c r="A112"/>
      <c r="B112"/>
      <c r="C112"/>
      <c r="D112"/>
      <c r="E112"/>
      <c r="F112"/>
      <c r="G112"/>
    </row>
    <row r="113" spans="1:7" ht="40.5" customHeight="1" x14ac:dyDescent="0.25">
      <c r="A113"/>
      <c r="B113"/>
      <c r="C113"/>
      <c r="D113"/>
      <c r="E113"/>
      <c r="F113"/>
      <c r="G113"/>
    </row>
    <row r="114" spans="1:7" ht="40.5" customHeight="1" x14ac:dyDescent="0.25">
      <c r="A114"/>
      <c r="B114"/>
      <c r="C114"/>
      <c r="D114"/>
      <c r="E114"/>
      <c r="F114"/>
      <c r="G114"/>
    </row>
    <row r="115" spans="1:7" ht="40.5" customHeight="1" x14ac:dyDescent="0.25">
      <c r="A115"/>
      <c r="B115"/>
      <c r="C115"/>
      <c r="D115"/>
      <c r="E115"/>
      <c r="F115"/>
      <c r="G115"/>
    </row>
    <row r="116" spans="1:7" ht="40.5" customHeight="1" x14ac:dyDescent="0.25">
      <c r="A116"/>
      <c r="B116"/>
      <c r="C116"/>
      <c r="D116"/>
      <c r="E116"/>
      <c r="F116"/>
      <c r="G116"/>
    </row>
    <row r="117" spans="1:7" ht="40.5" customHeight="1" x14ac:dyDescent="0.25">
      <c r="A117"/>
      <c r="B117"/>
      <c r="C117"/>
      <c r="D117"/>
      <c r="E117"/>
      <c r="F117"/>
      <c r="G117"/>
    </row>
    <row r="118" spans="1:7" ht="40.5" customHeight="1" x14ac:dyDescent="0.25">
      <c r="A118"/>
      <c r="B118"/>
      <c r="C118"/>
      <c r="D118"/>
      <c r="E118"/>
      <c r="F118"/>
      <c r="G118"/>
    </row>
    <row r="119" spans="1:7" ht="40.5" customHeight="1" x14ac:dyDescent="0.25">
      <c r="A119"/>
      <c r="B119"/>
      <c r="C119"/>
      <c r="D119"/>
      <c r="E119"/>
      <c r="F119"/>
      <c r="G119"/>
    </row>
    <row r="120" spans="1:7" ht="40.5" customHeight="1" x14ac:dyDescent="0.25">
      <c r="A120"/>
      <c r="B120"/>
      <c r="C120"/>
      <c r="D120"/>
      <c r="E120"/>
      <c r="F120"/>
      <c r="G120"/>
    </row>
    <row r="121" spans="1:7" ht="40.5" customHeight="1" x14ac:dyDescent="0.25">
      <c r="A121"/>
      <c r="B121"/>
      <c r="C121"/>
      <c r="D121"/>
      <c r="E121"/>
      <c r="F121"/>
      <c r="G121"/>
    </row>
    <row r="122" spans="1:7" ht="40.5" customHeight="1" x14ac:dyDescent="0.25">
      <c r="A122"/>
      <c r="B122"/>
      <c r="C122"/>
      <c r="D122"/>
      <c r="E122"/>
      <c r="F122"/>
      <c r="G122"/>
    </row>
    <row r="123" spans="1:7" ht="40.5" customHeight="1" x14ac:dyDescent="0.25">
      <c r="A123"/>
      <c r="B123"/>
      <c r="C123"/>
      <c r="D123"/>
      <c r="E123"/>
      <c r="F123"/>
      <c r="G123"/>
    </row>
    <row r="124" spans="1:7" ht="40.5" customHeight="1" x14ac:dyDescent="0.25">
      <c r="A124"/>
      <c r="B124"/>
      <c r="C124"/>
      <c r="D124"/>
      <c r="E124"/>
      <c r="F124"/>
      <c r="G124"/>
    </row>
    <row r="125" spans="1:7" ht="40.5" customHeight="1" x14ac:dyDescent="0.25">
      <c r="A125"/>
      <c r="B125"/>
      <c r="C125"/>
      <c r="D125"/>
      <c r="E125"/>
      <c r="F125"/>
      <c r="G125"/>
    </row>
    <row r="126" spans="1:7" ht="40.5" customHeight="1" x14ac:dyDescent="0.25">
      <c r="A126"/>
      <c r="B126"/>
      <c r="C126"/>
      <c r="D126"/>
      <c r="E126"/>
      <c r="F126"/>
      <c r="G126"/>
    </row>
    <row r="127" spans="1:7" ht="40.5" customHeight="1" x14ac:dyDescent="0.25">
      <c r="A127"/>
      <c r="B127"/>
      <c r="C127"/>
      <c r="D127"/>
      <c r="E127"/>
      <c r="F127"/>
      <c r="G127"/>
    </row>
    <row r="128" spans="1:7" ht="40.5" customHeight="1" x14ac:dyDescent="0.25">
      <c r="A128"/>
      <c r="B128"/>
      <c r="C128"/>
      <c r="D128"/>
      <c r="E128"/>
      <c r="F128"/>
      <c r="G128"/>
    </row>
    <row r="129" spans="1:7" ht="40.5" customHeight="1" x14ac:dyDescent="0.25">
      <c r="A129"/>
      <c r="B129"/>
      <c r="C129"/>
      <c r="D129"/>
      <c r="E129"/>
      <c r="F129"/>
      <c r="G129"/>
    </row>
    <row r="130" spans="1:7" ht="40.5" customHeight="1" x14ac:dyDescent="0.25">
      <c r="A130"/>
      <c r="B130"/>
      <c r="C130"/>
      <c r="D130"/>
      <c r="E130"/>
      <c r="F130"/>
      <c r="G130"/>
    </row>
    <row r="131" spans="1:7" ht="40.5" customHeight="1" x14ac:dyDescent="0.25">
      <c r="A131"/>
      <c r="B131"/>
      <c r="C131"/>
      <c r="D131"/>
      <c r="E131"/>
      <c r="F131"/>
      <c r="G131"/>
    </row>
    <row r="132" spans="1:7" ht="40.5" customHeight="1" x14ac:dyDescent="0.25">
      <c r="A132"/>
      <c r="B132"/>
      <c r="C132"/>
      <c r="D132"/>
      <c r="E132"/>
      <c r="F132"/>
      <c r="G132"/>
    </row>
    <row r="133" spans="1:7" ht="40.5" customHeight="1" x14ac:dyDescent="0.25">
      <c r="A133"/>
      <c r="B133"/>
      <c r="C133"/>
      <c r="D133"/>
      <c r="E133"/>
      <c r="F133"/>
      <c r="G133"/>
    </row>
    <row r="134" spans="1:7" ht="40.5" customHeight="1" x14ac:dyDescent="0.25">
      <c r="A134"/>
      <c r="B134"/>
      <c r="C134"/>
      <c r="D134"/>
      <c r="E134"/>
      <c r="F134"/>
      <c r="G134"/>
    </row>
    <row r="135" spans="1:7" ht="40.5" customHeight="1" x14ac:dyDescent="0.25">
      <c r="A135"/>
      <c r="B135"/>
      <c r="C135"/>
      <c r="D135"/>
      <c r="E135"/>
      <c r="F135"/>
      <c r="G135"/>
    </row>
    <row r="136" spans="1:7" ht="40.5" customHeight="1" x14ac:dyDescent="0.25">
      <c r="A136"/>
      <c r="B136"/>
      <c r="C136"/>
      <c r="D136"/>
      <c r="E136"/>
      <c r="F136"/>
      <c r="G136"/>
    </row>
    <row r="137" spans="1:7" ht="40.5" customHeight="1" x14ac:dyDescent="0.25">
      <c r="A137"/>
      <c r="B137"/>
      <c r="C137"/>
      <c r="D137"/>
      <c r="E137"/>
      <c r="F137"/>
      <c r="G137"/>
    </row>
    <row r="138" spans="1:7" ht="40.5" customHeight="1" x14ac:dyDescent="0.25">
      <c r="A138"/>
      <c r="B138"/>
      <c r="C138"/>
      <c r="D138"/>
      <c r="E138"/>
      <c r="F138"/>
      <c r="G138"/>
    </row>
    <row r="139" spans="1:7" ht="40.5" customHeight="1" x14ac:dyDescent="0.25">
      <c r="A139"/>
      <c r="B139"/>
      <c r="C139"/>
      <c r="D139"/>
      <c r="E139"/>
      <c r="F139"/>
      <c r="G139"/>
    </row>
    <row r="140" spans="1:7" ht="40.5" customHeight="1" x14ac:dyDescent="0.25">
      <c r="A140"/>
      <c r="B140"/>
      <c r="C140"/>
      <c r="D140"/>
      <c r="E140"/>
      <c r="F140"/>
      <c r="G140"/>
    </row>
    <row r="141" spans="1:7" ht="40.5" customHeight="1" x14ac:dyDescent="0.25">
      <c r="A141"/>
      <c r="B141"/>
      <c r="C141"/>
      <c r="D141"/>
      <c r="E141"/>
      <c r="F141"/>
      <c r="G141"/>
    </row>
    <row r="142" spans="1:7" ht="40.5" customHeight="1" x14ac:dyDescent="0.25">
      <c r="A142"/>
      <c r="B142"/>
      <c r="C142"/>
      <c r="D142"/>
      <c r="E142"/>
      <c r="F142"/>
      <c r="G142"/>
    </row>
    <row r="143" spans="1:7" ht="40.5" customHeight="1" x14ac:dyDescent="0.25">
      <c r="A143"/>
      <c r="B143"/>
      <c r="C143"/>
      <c r="D143"/>
      <c r="E143"/>
      <c r="F143"/>
      <c r="G143"/>
    </row>
    <row r="144" spans="1:7" ht="40.5" customHeight="1" x14ac:dyDescent="0.25">
      <c r="A144"/>
      <c r="B144"/>
      <c r="C144"/>
      <c r="D144"/>
      <c r="E144"/>
      <c r="F144"/>
      <c r="G144"/>
    </row>
    <row r="145" spans="1:7" ht="40.5" customHeight="1" x14ac:dyDescent="0.25">
      <c r="A145"/>
      <c r="B145"/>
      <c r="C145"/>
      <c r="D145"/>
      <c r="E145"/>
      <c r="F145"/>
      <c r="G145"/>
    </row>
    <row r="146" spans="1:7" ht="40.5" customHeight="1" x14ac:dyDescent="0.25">
      <c r="A146"/>
      <c r="B146"/>
      <c r="C146"/>
      <c r="D146"/>
      <c r="E146"/>
      <c r="F146"/>
      <c r="G146"/>
    </row>
    <row r="147" spans="1:7" ht="40.5" customHeight="1" x14ac:dyDescent="0.25">
      <c r="A147"/>
      <c r="B147"/>
      <c r="C147"/>
      <c r="D147"/>
      <c r="E147"/>
      <c r="F147"/>
      <c r="G147"/>
    </row>
    <row r="148" spans="1:7" ht="40.5" customHeight="1" x14ac:dyDescent="0.25">
      <c r="A148"/>
      <c r="B148"/>
      <c r="C148"/>
      <c r="D148"/>
      <c r="E148"/>
      <c r="F148"/>
      <c r="G148"/>
    </row>
    <row r="149" spans="1:7" ht="40.5" customHeight="1" x14ac:dyDescent="0.25">
      <c r="A149"/>
      <c r="B149"/>
      <c r="C149"/>
      <c r="D149"/>
      <c r="E149"/>
      <c r="F149"/>
      <c r="G149"/>
    </row>
    <row r="150" spans="1:7" ht="40.5" customHeight="1" x14ac:dyDescent="0.25">
      <c r="A150"/>
      <c r="B150"/>
      <c r="C150"/>
      <c r="D150"/>
      <c r="E150"/>
      <c r="F150"/>
      <c r="G150"/>
    </row>
    <row r="151" spans="1:7" ht="40.5" customHeight="1" x14ac:dyDescent="0.25">
      <c r="A151"/>
      <c r="B151"/>
      <c r="C151"/>
      <c r="D151"/>
      <c r="E151"/>
      <c r="F151"/>
      <c r="G151"/>
    </row>
    <row r="152" spans="1:7" ht="40.5" customHeight="1" x14ac:dyDescent="0.25">
      <c r="A152"/>
      <c r="B152"/>
      <c r="C152"/>
      <c r="D152"/>
      <c r="E152"/>
      <c r="F152"/>
      <c r="G152"/>
    </row>
    <row r="153" spans="1:7" ht="40.5" customHeight="1" x14ac:dyDescent="0.25">
      <c r="A153"/>
      <c r="B153"/>
      <c r="C153"/>
      <c r="D153"/>
      <c r="E153"/>
      <c r="F153"/>
      <c r="G153"/>
    </row>
    <row r="154" spans="1:7" ht="40.5" customHeight="1" x14ac:dyDescent="0.25">
      <c r="A154"/>
      <c r="B154"/>
      <c r="C154"/>
      <c r="D154"/>
      <c r="E154"/>
      <c r="F154"/>
      <c r="G154"/>
    </row>
    <row r="155" spans="1:7" ht="40.5" customHeight="1" x14ac:dyDescent="0.25">
      <c r="A155"/>
      <c r="B155"/>
      <c r="C155"/>
      <c r="D155"/>
      <c r="E155"/>
      <c r="F155"/>
      <c r="G15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Suivis Enlèvements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2026-04-01T06:26:16Z</dcterms:created>
  <dcterms:modified xsi:type="dcterms:W3CDTF">2026-04-01T22:27:42Z</dcterms:modified>
</cp:coreProperties>
</file>