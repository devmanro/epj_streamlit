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_btw_linux_win\workspace\EPJ\epj_workstation\EPJ_PROJECT\logistics_app\"/>
    </mc:Choice>
  </mc:AlternateContent>
  <xr:revisionPtr revIDLastSave="0" documentId="13_ncr:1_{CDE2D6B8-C531-453D-AC42-54C5BB14B885}" xr6:coauthVersionLast="36" xr6:coauthVersionMax="36" xr10:uidLastSave="{00000000-0000-0000-0000-000000000000}"/>
  <bookViews>
    <workbookView xWindow="0" yWindow="0" windowWidth="28800" windowHeight="10905" xr2:uid="{42B0AE7F-BBF5-41A8-BDC5-CEB2B7C94F14}"/>
  </bookViews>
  <sheets>
    <sheet name="RST 23-03-26 M" sheetId="1" r:id="rId1"/>
  </sheets>
  <definedNames>
    <definedName name="_xlnm._FilterDatabase" localSheetId="0" hidden="1">'RST 23-03-26 M'!$A$1:$Z$2064</definedName>
    <definedName name="ChronologieNative_DATE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17" i="1" l="1"/>
  <c r="K2064" i="1" l="1"/>
  <c r="L2064" i="1" s="1"/>
  <c r="K2063" i="1"/>
  <c r="L2063" i="1" s="1"/>
  <c r="K2062" i="1"/>
  <c r="L2062" i="1" s="1"/>
  <c r="L2061" i="1"/>
  <c r="K2061" i="1"/>
  <c r="Z2060" i="1"/>
  <c r="Y2060" i="1"/>
  <c r="L2060" i="1"/>
  <c r="K2060" i="1"/>
  <c r="Z2059" i="1"/>
  <c r="Y2059" i="1"/>
  <c r="L2059" i="1"/>
  <c r="K2059" i="1"/>
  <c r="Z2058" i="1"/>
  <c r="Y2058" i="1"/>
  <c r="L2058" i="1"/>
  <c r="K2058" i="1"/>
  <c r="Z2057" i="1"/>
  <c r="Y2057" i="1"/>
  <c r="L2057" i="1"/>
  <c r="K2057" i="1"/>
  <c r="Z2056" i="1"/>
  <c r="Y2056" i="1"/>
  <c r="L2056" i="1"/>
  <c r="K2056" i="1"/>
  <c r="Z2055" i="1"/>
  <c r="Y2055" i="1"/>
  <c r="L2055" i="1"/>
  <c r="K2055" i="1"/>
  <c r="Z2054" i="1"/>
  <c r="Y2054" i="1"/>
  <c r="L2054" i="1"/>
  <c r="K2054" i="1"/>
  <c r="Z2053" i="1"/>
  <c r="Y2053" i="1"/>
  <c r="L2053" i="1"/>
  <c r="K2053" i="1"/>
  <c r="Z2052" i="1"/>
  <c r="Y2052" i="1"/>
  <c r="L2052" i="1"/>
  <c r="K2052" i="1"/>
  <c r="Z2051" i="1"/>
  <c r="Y2051" i="1"/>
  <c r="L2051" i="1"/>
  <c r="K2051" i="1"/>
  <c r="Z2050" i="1"/>
  <c r="Y2050" i="1"/>
  <c r="L2050" i="1"/>
  <c r="K2050" i="1"/>
  <c r="Z2049" i="1"/>
  <c r="Y2049" i="1"/>
  <c r="L2049" i="1"/>
  <c r="K2049" i="1"/>
  <c r="Z2048" i="1"/>
  <c r="Y2048" i="1"/>
  <c r="L2048" i="1"/>
  <c r="K2048" i="1"/>
  <c r="Z2047" i="1"/>
  <c r="Y2047" i="1"/>
  <c r="L2047" i="1"/>
  <c r="K2047" i="1"/>
  <c r="Z2046" i="1"/>
  <c r="Y2046" i="1"/>
  <c r="L2046" i="1"/>
  <c r="K2046" i="1"/>
  <c r="Z2045" i="1"/>
  <c r="Y2045" i="1"/>
  <c r="L2045" i="1"/>
  <c r="K2045" i="1"/>
  <c r="Z2044" i="1"/>
  <c r="Y2044" i="1"/>
  <c r="L2044" i="1"/>
  <c r="K2044" i="1"/>
  <c r="Z2043" i="1"/>
  <c r="Y2043" i="1"/>
  <c r="L2043" i="1"/>
  <c r="K2043" i="1"/>
  <c r="Z2042" i="1"/>
  <c r="Y2042" i="1"/>
  <c r="L2042" i="1"/>
  <c r="K2042" i="1"/>
  <c r="Z2041" i="1"/>
  <c r="Y2041" i="1"/>
  <c r="L2041" i="1"/>
  <c r="K2041" i="1"/>
  <c r="Z2040" i="1"/>
  <c r="Y2040" i="1"/>
  <c r="L2040" i="1"/>
  <c r="K2040" i="1"/>
  <c r="Z2039" i="1"/>
  <c r="Y2039" i="1"/>
  <c r="L2039" i="1"/>
  <c r="K2039" i="1"/>
  <c r="Z2038" i="1"/>
  <c r="Y2038" i="1"/>
  <c r="L2038" i="1"/>
  <c r="K2038" i="1"/>
  <c r="Z2037" i="1"/>
  <c r="Y2037" i="1"/>
  <c r="L2037" i="1"/>
  <c r="K2037" i="1"/>
  <c r="Z2036" i="1"/>
  <c r="Y2036" i="1"/>
  <c r="L2036" i="1"/>
  <c r="K2036" i="1"/>
  <c r="Z2035" i="1"/>
  <c r="Y2035" i="1"/>
  <c r="L2035" i="1"/>
  <c r="K2035" i="1"/>
  <c r="Z2034" i="1"/>
  <c r="Y2034" i="1"/>
  <c r="L2034" i="1"/>
  <c r="K2034" i="1"/>
  <c r="Z2033" i="1"/>
  <c r="Y2033" i="1"/>
  <c r="L2033" i="1"/>
  <c r="K2033" i="1"/>
  <c r="Z2032" i="1"/>
  <c r="Y2032" i="1"/>
  <c r="L2032" i="1"/>
  <c r="K2032" i="1"/>
  <c r="Z2031" i="1"/>
  <c r="Y2031" i="1"/>
  <c r="L2031" i="1"/>
  <c r="K2031" i="1"/>
  <c r="Z2030" i="1"/>
  <c r="Y2030" i="1"/>
  <c r="L2030" i="1"/>
  <c r="K2030" i="1"/>
  <c r="Z2029" i="1"/>
  <c r="Y2029" i="1"/>
  <c r="L2029" i="1"/>
  <c r="K2029" i="1"/>
  <c r="Z2028" i="1"/>
  <c r="Y2028" i="1"/>
  <c r="L2028" i="1"/>
  <c r="K2028" i="1"/>
  <c r="Z2027" i="1"/>
  <c r="Y2027" i="1"/>
  <c r="L2027" i="1"/>
  <c r="K2027" i="1"/>
  <c r="Z2026" i="1"/>
  <c r="Y2026" i="1"/>
  <c r="L2026" i="1"/>
  <c r="K2026" i="1"/>
  <c r="Z2025" i="1"/>
  <c r="Y2025" i="1"/>
  <c r="L2025" i="1"/>
  <c r="K2025" i="1"/>
  <c r="Z2024" i="1"/>
  <c r="Y2024" i="1"/>
  <c r="L2024" i="1"/>
  <c r="K2024" i="1"/>
  <c r="Z2023" i="1"/>
  <c r="Y2023" i="1"/>
  <c r="L2023" i="1"/>
  <c r="K2023" i="1"/>
  <c r="Z2022" i="1"/>
  <c r="Y2022" i="1"/>
  <c r="L2022" i="1"/>
  <c r="K2022" i="1"/>
  <c r="Z2021" i="1"/>
  <c r="Y2021" i="1"/>
  <c r="L2021" i="1"/>
  <c r="K2021" i="1"/>
  <c r="Z2020" i="1"/>
  <c r="Y2020" i="1"/>
  <c r="L2020" i="1"/>
  <c r="K2020" i="1"/>
  <c r="Z2019" i="1"/>
  <c r="Y2019" i="1"/>
  <c r="L2019" i="1"/>
  <c r="K2019" i="1"/>
  <c r="Z2018" i="1"/>
  <c r="Y2018" i="1"/>
  <c r="L2018" i="1"/>
  <c r="K2018" i="1"/>
  <c r="Z2017" i="1"/>
  <c r="Y2017" i="1"/>
  <c r="L2017" i="1"/>
  <c r="K2017" i="1"/>
  <c r="Z2016" i="1"/>
  <c r="Y2016" i="1"/>
  <c r="L2016" i="1"/>
  <c r="K2016" i="1"/>
  <c r="Z2015" i="1"/>
  <c r="Y2015" i="1"/>
  <c r="L2015" i="1"/>
  <c r="K2015" i="1"/>
  <c r="Z2014" i="1"/>
  <c r="Y2014" i="1"/>
  <c r="L2014" i="1"/>
  <c r="K2014" i="1"/>
  <c r="Z2013" i="1"/>
  <c r="Y2013" i="1"/>
  <c r="L2013" i="1"/>
  <c r="K2013" i="1"/>
  <c r="Z2012" i="1"/>
  <c r="Y2012" i="1"/>
  <c r="L2012" i="1"/>
  <c r="K2012" i="1"/>
  <c r="Z2011" i="1"/>
  <c r="Y2011" i="1"/>
  <c r="L2011" i="1"/>
  <c r="K2011" i="1"/>
  <c r="Z2010" i="1"/>
  <c r="Y2010" i="1"/>
  <c r="L2010" i="1"/>
  <c r="K2010" i="1"/>
  <c r="Z2009" i="1"/>
  <c r="Y2009" i="1"/>
  <c r="L2009" i="1"/>
  <c r="K2009" i="1"/>
  <c r="Z2008" i="1"/>
  <c r="Y2008" i="1"/>
  <c r="L2008" i="1"/>
  <c r="K2008" i="1"/>
  <c r="Z2007" i="1"/>
  <c r="Y2007" i="1"/>
  <c r="L2007" i="1"/>
  <c r="K2007" i="1"/>
  <c r="Z2006" i="1"/>
  <c r="Y2006" i="1"/>
  <c r="L2006" i="1"/>
  <c r="K2006" i="1"/>
  <c r="Z2005" i="1"/>
  <c r="Y2005" i="1"/>
  <c r="L2005" i="1"/>
  <c r="K2005" i="1"/>
  <c r="Z2004" i="1"/>
  <c r="Y2004" i="1"/>
  <c r="L2004" i="1"/>
  <c r="K2004" i="1"/>
  <c r="Z2003" i="1"/>
  <c r="Y2003" i="1"/>
  <c r="L2003" i="1"/>
  <c r="K2003" i="1"/>
  <c r="Z2002" i="1"/>
  <c r="Y2002" i="1"/>
  <c r="L2002" i="1"/>
  <c r="K2002" i="1"/>
  <c r="Z2001" i="1"/>
  <c r="Y2001" i="1"/>
  <c r="L2001" i="1"/>
  <c r="K2001" i="1"/>
  <c r="Z2000" i="1"/>
  <c r="Y2000" i="1"/>
  <c r="L2000" i="1"/>
  <c r="K2000" i="1"/>
  <c r="Z1999" i="1"/>
  <c r="Y1999" i="1"/>
  <c r="L1999" i="1"/>
  <c r="K1999" i="1"/>
  <c r="Z1998" i="1"/>
  <c r="Y1998" i="1"/>
  <c r="L1998" i="1"/>
  <c r="K1998" i="1"/>
  <c r="Z1997" i="1"/>
  <c r="Y1997" i="1"/>
  <c r="L1997" i="1"/>
  <c r="K1997" i="1"/>
  <c r="Z1996" i="1"/>
  <c r="Y1996" i="1"/>
  <c r="L1996" i="1"/>
  <c r="K1996" i="1"/>
  <c r="Z1995" i="1"/>
  <c r="Y1995" i="1"/>
  <c r="L1995" i="1"/>
  <c r="K1995" i="1"/>
  <c r="Z1994" i="1"/>
  <c r="Y1994" i="1"/>
  <c r="L1994" i="1"/>
  <c r="K1994" i="1"/>
  <c r="Z1993" i="1"/>
  <c r="Y1993" i="1"/>
  <c r="L1993" i="1"/>
  <c r="K1993" i="1"/>
  <c r="Z1992" i="1"/>
  <c r="Y1992" i="1"/>
  <c r="L1992" i="1"/>
  <c r="K1992" i="1"/>
  <c r="Z1991" i="1"/>
  <c r="Y1991" i="1"/>
  <c r="L1991" i="1"/>
  <c r="K1991" i="1"/>
  <c r="Z1990" i="1"/>
  <c r="Y1990" i="1"/>
  <c r="L1990" i="1"/>
  <c r="K1990" i="1"/>
  <c r="Z1989" i="1"/>
  <c r="Y1989" i="1"/>
  <c r="L1989" i="1"/>
  <c r="K1989" i="1"/>
  <c r="Z1988" i="1"/>
  <c r="Y1988" i="1"/>
  <c r="L1988" i="1"/>
  <c r="K1988" i="1"/>
  <c r="Z1987" i="1"/>
  <c r="Y1987" i="1"/>
  <c r="L1987" i="1"/>
  <c r="K1987" i="1"/>
  <c r="Z1986" i="1"/>
  <c r="Y1986" i="1"/>
  <c r="L1986" i="1"/>
  <c r="K1986" i="1"/>
  <c r="Z1985" i="1"/>
  <c r="Y1985" i="1"/>
  <c r="L1985" i="1"/>
  <c r="K1985" i="1"/>
  <c r="Z1984" i="1"/>
  <c r="Y1984" i="1"/>
  <c r="L1984" i="1"/>
  <c r="K1984" i="1"/>
  <c r="Z1983" i="1"/>
  <c r="Y1983" i="1"/>
  <c r="L1983" i="1"/>
  <c r="K1983" i="1"/>
  <c r="Z1982" i="1"/>
  <c r="Y1982" i="1"/>
  <c r="L1982" i="1"/>
  <c r="K1982" i="1"/>
  <c r="Z1981" i="1"/>
  <c r="Y1981" i="1"/>
  <c r="L1981" i="1"/>
  <c r="K1981" i="1"/>
  <c r="Z1980" i="1"/>
  <c r="Y1980" i="1"/>
  <c r="L1980" i="1"/>
  <c r="K1980" i="1"/>
  <c r="Z1979" i="1"/>
  <c r="Y1979" i="1"/>
  <c r="L1979" i="1"/>
  <c r="K1979" i="1"/>
  <c r="Z1978" i="1"/>
  <c r="Y1978" i="1"/>
  <c r="L1978" i="1"/>
  <c r="K1978" i="1"/>
  <c r="Z1977" i="1"/>
  <c r="Y1977" i="1"/>
  <c r="L1977" i="1"/>
  <c r="K1977" i="1"/>
  <c r="Z1976" i="1"/>
  <c r="Y1976" i="1"/>
  <c r="L1976" i="1"/>
  <c r="K1976" i="1"/>
  <c r="Z1975" i="1"/>
  <c r="Y1975" i="1"/>
  <c r="L1975" i="1"/>
  <c r="K1975" i="1"/>
  <c r="Z1974" i="1"/>
  <c r="Y1974" i="1"/>
  <c r="L1974" i="1"/>
  <c r="K1974" i="1"/>
  <c r="Z1973" i="1"/>
  <c r="Y1973" i="1"/>
  <c r="L1973" i="1"/>
  <c r="K1973" i="1"/>
  <c r="Z1972" i="1"/>
  <c r="Y1972" i="1"/>
  <c r="L1972" i="1"/>
  <c r="K1972" i="1"/>
  <c r="Z1971" i="1"/>
  <c r="Y1971" i="1"/>
  <c r="L1971" i="1"/>
  <c r="K1971" i="1"/>
  <c r="Z1970" i="1"/>
  <c r="Y1970" i="1"/>
  <c r="L1970" i="1"/>
  <c r="K1970" i="1"/>
  <c r="Z1969" i="1"/>
  <c r="Y1969" i="1"/>
  <c r="L1969" i="1"/>
  <c r="K1969" i="1"/>
  <c r="Z1968" i="1"/>
  <c r="Y1968" i="1"/>
  <c r="L1968" i="1"/>
  <c r="K1968" i="1"/>
  <c r="Z1967" i="1"/>
  <c r="Y1967" i="1"/>
  <c r="L1967" i="1"/>
  <c r="K1967" i="1"/>
  <c r="Z1966" i="1"/>
  <c r="Y1966" i="1"/>
  <c r="L1966" i="1"/>
  <c r="K1966" i="1"/>
  <c r="Z1965" i="1"/>
  <c r="Y1965" i="1"/>
  <c r="L1965" i="1"/>
  <c r="K1965" i="1"/>
  <c r="Z1964" i="1"/>
  <c r="Y1964" i="1"/>
  <c r="L1964" i="1"/>
  <c r="K1964" i="1"/>
  <c r="Z1963" i="1"/>
  <c r="Y1963" i="1"/>
  <c r="L1963" i="1"/>
  <c r="K1963" i="1"/>
  <c r="Z1962" i="1"/>
  <c r="Y1962" i="1"/>
  <c r="L1962" i="1"/>
  <c r="K1962" i="1"/>
  <c r="Z1961" i="1"/>
  <c r="Y1961" i="1"/>
  <c r="L1961" i="1"/>
  <c r="K1961" i="1"/>
  <c r="Z1960" i="1"/>
  <c r="Y1960" i="1"/>
  <c r="L1960" i="1"/>
  <c r="K1960" i="1"/>
  <c r="Z1959" i="1"/>
  <c r="Y1959" i="1"/>
  <c r="L1959" i="1"/>
  <c r="K1959" i="1"/>
  <c r="Z1958" i="1"/>
  <c r="Y1958" i="1"/>
  <c r="L1958" i="1"/>
  <c r="K1958" i="1"/>
  <c r="Z1957" i="1"/>
  <c r="Y1957" i="1"/>
  <c r="L1957" i="1"/>
  <c r="K1957" i="1"/>
  <c r="Z1956" i="1"/>
  <c r="Y1956" i="1"/>
  <c r="L1956" i="1"/>
  <c r="K1956" i="1"/>
  <c r="Z1955" i="1"/>
  <c r="Y1955" i="1"/>
  <c r="L1955" i="1"/>
  <c r="K1955" i="1"/>
  <c r="Z1954" i="1"/>
  <c r="Y1954" i="1"/>
  <c r="L1954" i="1"/>
  <c r="K1954" i="1"/>
  <c r="Z1953" i="1"/>
  <c r="Y1953" i="1"/>
  <c r="L1953" i="1"/>
  <c r="K1953" i="1"/>
  <c r="Z1952" i="1"/>
  <c r="Y1952" i="1"/>
  <c r="L1952" i="1"/>
  <c r="K1952" i="1"/>
  <c r="Z1951" i="1"/>
  <c r="Y1951" i="1"/>
  <c r="L1951" i="1"/>
  <c r="K1951" i="1"/>
  <c r="Z1950" i="1"/>
  <c r="Y1950" i="1"/>
  <c r="L1950" i="1"/>
  <c r="K1950" i="1"/>
  <c r="Z1949" i="1"/>
  <c r="Y1949" i="1"/>
  <c r="L1949" i="1"/>
  <c r="K1949" i="1"/>
  <c r="Z1948" i="1"/>
  <c r="Y1948" i="1"/>
  <c r="L1948" i="1"/>
  <c r="K1948" i="1"/>
  <c r="Z1947" i="1"/>
  <c r="Y1947" i="1"/>
  <c r="L1947" i="1"/>
  <c r="K1947" i="1"/>
  <c r="Z1946" i="1"/>
  <c r="Y1946" i="1"/>
  <c r="L1946" i="1"/>
  <c r="K1946" i="1"/>
  <c r="Z1945" i="1"/>
  <c r="Y1945" i="1"/>
  <c r="L1945" i="1"/>
  <c r="K1945" i="1"/>
  <c r="Z1944" i="1"/>
  <c r="Y1944" i="1"/>
  <c r="L1944" i="1"/>
  <c r="K1944" i="1"/>
  <c r="Z1943" i="1"/>
  <c r="Y1943" i="1"/>
  <c r="L1943" i="1"/>
  <c r="K1943" i="1"/>
  <c r="Z1942" i="1"/>
  <c r="Y1942" i="1"/>
  <c r="L1942" i="1"/>
  <c r="K1942" i="1"/>
  <c r="Z1941" i="1"/>
  <c r="Y1941" i="1"/>
  <c r="L1941" i="1"/>
  <c r="K1941" i="1"/>
  <c r="Z1940" i="1"/>
  <c r="Y1940" i="1"/>
  <c r="L1940" i="1"/>
  <c r="K1940" i="1"/>
  <c r="Z1939" i="1"/>
  <c r="Y1939" i="1"/>
  <c r="L1939" i="1"/>
  <c r="K1939" i="1"/>
  <c r="Z1938" i="1"/>
  <c r="Y1938" i="1"/>
  <c r="L1938" i="1"/>
  <c r="K1938" i="1"/>
  <c r="Z1937" i="1"/>
  <c r="Y1937" i="1"/>
  <c r="L1937" i="1"/>
  <c r="K1937" i="1"/>
  <c r="Z1936" i="1"/>
  <c r="Y1936" i="1"/>
  <c r="L1936" i="1"/>
  <c r="K1936" i="1"/>
  <c r="Z1935" i="1"/>
  <c r="Y1935" i="1"/>
  <c r="L1935" i="1"/>
  <c r="K1935" i="1"/>
  <c r="Z1934" i="1"/>
  <c r="Y1934" i="1"/>
  <c r="L1934" i="1"/>
  <c r="K1934" i="1"/>
  <c r="Z1933" i="1"/>
  <c r="Y1933" i="1"/>
  <c r="L1933" i="1"/>
  <c r="K1933" i="1"/>
  <c r="Z1932" i="1"/>
  <c r="Y1932" i="1"/>
  <c r="L1932" i="1"/>
  <c r="K1932" i="1"/>
  <c r="Z1931" i="1"/>
  <c r="Y1931" i="1"/>
  <c r="L1931" i="1"/>
  <c r="K1931" i="1"/>
  <c r="Z1930" i="1"/>
  <c r="Y1930" i="1"/>
  <c r="L1930" i="1"/>
  <c r="K1930" i="1"/>
  <c r="Z1929" i="1"/>
  <c r="Y1929" i="1"/>
  <c r="L1929" i="1"/>
  <c r="K1929" i="1"/>
  <c r="Z1928" i="1"/>
  <c r="Y1928" i="1"/>
  <c r="L1928" i="1"/>
  <c r="K1928" i="1"/>
  <c r="Z1927" i="1"/>
  <c r="Y1927" i="1"/>
  <c r="L1927" i="1"/>
  <c r="K1927" i="1"/>
  <c r="Z1926" i="1"/>
  <c r="Y1926" i="1"/>
  <c r="L1926" i="1"/>
  <c r="K1926" i="1"/>
  <c r="Z1925" i="1"/>
  <c r="Y1925" i="1"/>
  <c r="L1925" i="1"/>
  <c r="K1925" i="1"/>
  <c r="Z1924" i="1"/>
  <c r="Y1924" i="1"/>
  <c r="L1924" i="1"/>
  <c r="K1924" i="1"/>
  <c r="Z1923" i="1"/>
  <c r="Y1923" i="1"/>
  <c r="L1923" i="1"/>
  <c r="K1923" i="1"/>
  <c r="Z1922" i="1"/>
  <c r="Y1922" i="1"/>
  <c r="L1922" i="1"/>
  <c r="K1922" i="1"/>
  <c r="Z1921" i="1"/>
  <c r="Y1921" i="1"/>
  <c r="L1921" i="1"/>
  <c r="K1921" i="1"/>
  <c r="Z1920" i="1"/>
  <c r="Y1920" i="1"/>
  <c r="L1920" i="1"/>
  <c r="K1920" i="1"/>
  <c r="Z1919" i="1"/>
  <c r="Y1919" i="1"/>
  <c r="L1919" i="1"/>
  <c r="K1919" i="1"/>
  <c r="Z1918" i="1"/>
  <c r="Y1918" i="1"/>
  <c r="L1918" i="1"/>
  <c r="K1918" i="1"/>
  <c r="Z1917" i="1"/>
  <c r="Y1917" i="1"/>
  <c r="L1917" i="1"/>
  <c r="K1917" i="1"/>
  <c r="Z1916" i="1"/>
  <c r="Y1916" i="1"/>
  <c r="L1916" i="1"/>
  <c r="K1916" i="1"/>
  <c r="Z1915" i="1"/>
  <c r="Y1915" i="1"/>
  <c r="L1915" i="1"/>
  <c r="K1915" i="1"/>
  <c r="Z1914" i="1"/>
  <c r="Y1914" i="1"/>
  <c r="L1914" i="1"/>
  <c r="K1914" i="1"/>
  <c r="Z1913" i="1"/>
  <c r="Y1913" i="1"/>
  <c r="L1913" i="1"/>
  <c r="K1913" i="1"/>
  <c r="Z1912" i="1"/>
  <c r="Y1912" i="1"/>
  <c r="L1912" i="1"/>
  <c r="K1912" i="1"/>
  <c r="Z1911" i="1"/>
  <c r="Y1911" i="1"/>
  <c r="L1911" i="1"/>
  <c r="K1911" i="1"/>
  <c r="Z1910" i="1"/>
  <c r="Y1910" i="1"/>
  <c r="L1910" i="1"/>
  <c r="K1910" i="1"/>
  <c r="Z1909" i="1"/>
  <c r="Y1909" i="1"/>
  <c r="L1909" i="1"/>
  <c r="K1909" i="1"/>
  <c r="Z1908" i="1"/>
  <c r="Y1908" i="1"/>
  <c r="L1908" i="1"/>
  <c r="K1908" i="1"/>
  <c r="Z1907" i="1"/>
  <c r="Y1907" i="1"/>
  <c r="L1907" i="1"/>
  <c r="K1907" i="1"/>
  <c r="Z1906" i="1"/>
  <c r="Y1906" i="1"/>
  <c r="L1906" i="1"/>
  <c r="K1906" i="1"/>
  <c r="Z1905" i="1"/>
  <c r="Y1905" i="1"/>
  <c r="L1905" i="1"/>
  <c r="K1905" i="1"/>
  <c r="Z1904" i="1"/>
  <c r="Y1904" i="1"/>
  <c r="L1904" i="1"/>
  <c r="K1904" i="1"/>
  <c r="Z1903" i="1"/>
  <c r="Y1903" i="1"/>
  <c r="L1903" i="1"/>
  <c r="K1903" i="1"/>
  <c r="Z1902" i="1"/>
  <c r="Y1902" i="1"/>
  <c r="L1902" i="1"/>
  <c r="K1902" i="1"/>
  <c r="Z1901" i="1"/>
  <c r="Y1901" i="1"/>
  <c r="L1901" i="1"/>
  <c r="K1901" i="1"/>
  <c r="Z1900" i="1"/>
  <c r="Y1900" i="1"/>
  <c r="L1900" i="1"/>
  <c r="K1900" i="1"/>
  <c r="Z1899" i="1"/>
  <c r="Y1899" i="1"/>
  <c r="L1899" i="1"/>
  <c r="K1899" i="1"/>
  <c r="Z1898" i="1"/>
  <c r="Y1898" i="1"/>
  <c r="L1898" i="1"/>
  <c r="K1898" i="1"/>
  <c r="Z1897" i="1"/>
  <c r="Y1897" i="1"/>
  <c r="L1897" i="1"/>
  <c r="K1897" i="1"/>
  <c r="Z1896" i="1"/>
  <c r="Y1896" i="1"/>
  <c r="L1896" i="1"/>
  <c r="K1896" i="1"/>
  <c r="Z1895" i="1"/>
  <c r="Y1895" i="1"/>
  <c r="L1895" i="1"/>
  <c r="K1895" i="1"/>
  <c r="Z1894" i="1"/>
  <c r="Y1894" i="1"/>
  <c r="L1894" i="1"/>
  <c r="K1894" i="1"/>
  <c r="Z1893" i="1"/>
  <c r="Y1893" i="1"/>
  <c r="L1893" i="1"/>
  <c r="K1893" i="1"/>
  <c r="Z1892" i="1"/>
  <c r="Y1892" i="1"/>
  <c r="L1892" i="1"/>
  <c r="K1892" i="1"/>
  <c r="Z1891" i="1"/>
  <c r="Y1891" i="1"/>
  <c r="L1891" i="1"/>
  <c r="K1891" i="1"/>
  <c r="Z1890" i="1"/>
  <c r="Y1890" i="1"/>
  <c r="L1890" i="1"/>
  <c r="K1890" i="1"/>
  <c r="Z1889" i="1"/>
  <c r="Y1889" i="1"/>
  <c r="L1889" i="1"/>
  <c r="K1889" i="1"/>
  <c r="Z1888" i="1"/>
  <c r="Y1888" i="1"/>
  <c r="L1888" i="1"/>
  <c r="K1888" i="1"/>
  <c r="Z1887" i="1"/>
  <c r="Y1887" i="1"/>
  <c r="L1887" i="1"/>
  <c r="K1887" i="1"/>
  <c r="Z1886" i="1"/>
  <c r="Y1886" i="1"/>
  <c r="L1886" i="1"/>
  <c r="K1886" i="1"/>
  <c r="Z1885" i="1"/>
  <c r="Y1885" i="1"/>
  <c r="L1885" i="1"/>
  <c r="K1885" i="1"/>
  <c r="Z1884" i="1"/>
  <c r="Y1884" i="1"/>
  <c r="L1884" i="1"/>
  <c r="K1884" i="1"/>
  <c r="Z1883" i="1"/>
  <c r="Y1883" i="1"/>
  <c r="L1883" i="1"/>
  <c r="K1883" i="1"/>
  <c r="Z1882" i="1"/>
  <c r="Y1882" i="1"/>
  <c r="L1882" i="1"/>
  <c r="K1882" i="1"/>
  <c r="Z1881" i="1"/>
  <c r="Y1881" i="1"/>
  <c r="L1881" i="1"/>
  <c r="K1881" i="1"/>
  <c r="Z1880" i="1"/>
  <c r="Y1880" i="1"/>
  <c r="L1880" i="1"/>
  <c r="K1880" i="1"/>
  <c r="Z1879" i="1"/>
  <c r="Y1879" i="1"/>
  <c r="L1879" i="1"/>
  <c r="K1879" i="1"/>
  <c r="Z1878" i="1"/>
  <c r="Y1878" i="1"/>
  <c r="L1878" i="1"/>
  <c r="K1878" i="1"/>
  <c r="Z1877" i="1"/>
  <c r="Y1877" i="1"/>
  <c r="L1877" i="1"/>
  <c r="K1877" i="1"/>
  <c r="Z1876" i="1"/>
  <c r="Y1876" i="1"/>
  <c r="L1876" i="1"/>
  <c r="K1876" i="1"/>
  <c r="Z1875" i="1"/>
  <c r="Y1875" i="1"/>
  <c r="L1875" i="1"/>
  <c r="K1875" i="1"/>
  <c r="Z1874" i="1"/>
  <c r="Y1874" i="1"/>
  <c r="L1874" i="1"/>
  <c r="K1874" i="1"/>
  <c r="Z1873" i="1"/>
  <c r="Y1873" i="1"/>
  <c r="L1873" i="1"/>
  <c r="K1873" i="1"/>
  <c r="Z1872" i="1"/>
  <c r="Y1872" i="1"/>
  <c r="L1872" i="1"/>
  <c r="K1872" i="1"/>
  <c r="Z1871" i="1"/>
  <c r="Y1871" i="1"/>
  <c r="L1871" i="1"/>
  <c r="K1871" i="1"/>
  <c r="Z1870" i="1"/>
  <c r="Y1870" i="1"/>
  <c r="L1870" i="1"/>
  <c r="K1870" i="1"/>
  <c r="Z1869" i="1"/>
  <c r="Y1869" i="1"/>
  <c r="L1869" i="1"/>
  <c r="K1869" i="1"/>
  <c r="Z1868" i="1"/>
  <c r="Y1868" i="1"/>
  <c r="L1868" i="1"/>
  <c r="K1868" i="1"/>
  <c r="Z1867" i="1"/>
  <c r="Y1867" i="1"/>
  <c r="L1867" i="1"/>
  <c r="K1867" i="1"/>
  <c r="Z1866" i="1"/>
  <c r="Y1866" i="1"/>
  <c r="L1866" i="1"/>
  <c r="K1866" i="1"/>
  <c r="Z1865" i="1"/>
  <c r="Y1865" i="1"/>
  <c r="L1865" i="1"/>
  <c r="K1865" i="1"/>
  <c r="Z1864" i="1"/>
  <c r="Y1864" i="1"/>
  <c r="L1864" i="1"/>
  <c r="K1864" i="1"/>
  <c r="Z1863" i="1"/>
  <c r="Y1863" i="1"/>
  <c r="L1863" i="1"/>
  <c r="K1863" i="1"/>
  <c r="Z1862" i="1"/>
  <c r="Y1862" i="1"/>
  <c r="L1862" i="1"/>
  <c r="K1862" i="1"/>
  <c r="Z1861" i="1"/>
  <c r="Y1861" i="1"/>
  <c r="L1861" i="1"/>
  <c r="K1861" i="1"/>
  <c r="Z1860" i="1"/>
  <c r="Y1860" i="1"/>
  <c r="L1860" i="1"/>
  <c r="K1860" i="1"/>
  <c r="Z1859" i="1"/>
  <c r="Y1859" i="1"/>
  <c r="L1859" i="1"/>
  <c r="K1859" i="1"/>
  <c r="Z1858" i="1"/>
  <c r="Y1858" i="1"/>
  <c r="L1858" i="1"/>
  <c r="K1858" i="1"/>
  <c r="Z1857" i="1"/>
  <c r="Y1857" i="1"/>
  <c r="L1857" i="1"/>
  <c r="K1857" i="1"/>
  <c r="Z1856" i="1"/>
  <c r="Y1856" i="1"/>
  <c r="L1856" i="1"/>
  <c r="K1856" i="1"/>
  <c r="Z1855" i="1"/>
  <c r="Y1855" i="1"/>
  <c r="L1855" i="1"/>
  <c r="K1855" i="1"/>
  <c r="Z1854" i="1"/>
  <c r="Y1854" i="1"/>
  <c r="L1854" i="1"/>
  <c r="K1854" i="1"/>
  <c r="Z1853" i="1"/>
  <c r="Y1853" i="1"/>
  <c r="L1853" i="1"/>
  <c r="K1853" i="1"/>
  <c r="Z1852" i="1"/>
  <c r="Y1852" i="1"/>
  <c r="L1852" i="1"/>
  <c r="K1852" i="1"/>
  <c r="Z1851" i="1"/>
  <c r="Y1851" i="1"/>
  <c r="L1851" i="1"/>
  <c r="K1851" i="1"/>
  <c r="Z1850" i="1"/>
  <c r="Y1850" i="1"/>
  <c r="L1850" i="1"/>
  <c r="K1850" i="1"/>
  <c r="Z1849" i="1"/>
  <c r="Y1849" i="1"/>
  <c r="L1849" i="1"/>
  <c r="K1849" i="1"/>
  <c r="Z1848" i="1"/>
  <c r="Y1848" i="1"/>
  <c r="L1848" i="1"/>
  <c r="K1848" i="1"/>
  <c r="Z1847" i="1"/>
  <c r="Y1847" i="1"/>
  <c r="L1847" i="1"/>
  <c r="K1847" i="1"/>
  <c r="Z1846" i="1"/>
  <c r="Y1846" i="1"/>
  <c r="L1846" i="1"/>
  <c r="K1846" i="1"/>
  <c r="Z1845" i="1"/>
  <c r="Y1845" i="1"/>
  <c r="L1845" i="1"/>
  <c r="K1845" i="1"/>
  <c r="Z1844" i="1"/>
  <c r="Y1844" i="1"/>
  <c r="L1844" i="1"/>
  <c r="K1844" i="1"/>
  <c r="Z1843" i="1"/>
  <c r="Y1843" i="1"/>
  <c r="L1843" i="1"/>
  <c r="K1843" i="1"/>
  <c r="Z1842" i="1"/>
  <c r="Y1842" i="1"/>
  <c r="L1842" i="1"/>
  <c r="K1842" i="1"/>
  <c r="Z1841" i="1"/>
  <c r="Y1841" i="1"/>
  <c r="L1841" i="1"/>
  <c r="K1841" i="1"/>
  <c r="Z1840" i="1"/>
  <c r="Y1840" i="1"/>
  <c r="L1840" i="1"/>
  <c r="K1840" i="1"/>
  <c r="Z1839" i="1"/>
  <c r="Y1839" i="1"/>
  <c r="L1839" i="1"/>
  <c r="K1839" i="1"/>
  <c r="Z1838" i="1"/>
  <c r="Y1838" i="1"/>
  <c r="L1838" i="1"/>
  <c r="K1838" i="1"/>
  <c r="Z1837" i="1"/>
  <c r="Y1837" i="1"/>
  <c r="L1837" i="1"/>
  <c r="K1837" i="1"/>
  <c r="Z1836" i="1"/>
  <c r="Y1836" i="1"/>
  <c r="L1836" i="1"/>
  <c r="K1836" i="1"/>
  <c r="Z1835" i="1"/>
  <c r="Y1835" i="1"/>
  <c r="L1835" i="1"/>
  <c r="K1835" i="1"/>
  <c r="Z1834" i="1"/>
  <c r="Y1834" i="1"/>
  <c r="L1834" i="1"/>
  <c r="K1834" i="1"/>
  <c r="Z1833" i="1"/>
  <c r="Y1833" i="1"/>
  <c r="L1833" i="1"/>
  <c r="K1833" i="1"/>
  <c r="Z1832" i="1"/>
  <c r="Y1832" i="1"/>
  <c r="L1832" i="1"/>
  <c r="K1832" i="1"/>
  <c r="Z1831" i="1"/>
  <c r="Y1831" i="1"/>
  <c r="L1831" i="1"/>
  <c r="K1831" i="1"/>
  <c r="Z1830" i="1"/>
  <c r="Y1830" i="1"/>
  <c r="L1830" i="1"/>
  <c r="K1830" i="1"/>
  <c r="Z1829" i="1"/>
  <c r="Y1829" i="1"/>
  <c r="L1829" i="1"/>
  <c r="K1829" i="1"/>
  <c r="Z1828" i="1"/>
  <c r="Y1828" i="1"/>
  <c r="L1828" i="1"/>
  <c r="K1828" i="1"/>
  <c r="Z1827" i="1"/>
  <c r="Y1827" i="1"/>
  <c r="L1827" i="1"/>
  <c r="K1827" i="1"/>
  <c r="Z1826" i="1"/>
  <c r="Y1826" i="1"/>
  <c r="L1826" i="1"/>
  <c r="K1826" i="1"/>
  <c r="Z1825" i="1"/>
  <c r="Y1825" i="1"/>
  <c r="L1825" i="1"/>
  <c r="K1825" i="1"/>
  <c r="Z1824" i="1"/>
  <c r="Y1824" i="1"/>
  <c r="L1824" i="1"/>
  <c r="K1824" i="1"/>
  <c r="Z1823" i="1"/>
  <c r="Y1823" i="1"/>
  <c r="L1823" i="1"/>
  <c r="K1823" i="1"/>
  <c r="Z1822" i="1"/>
  <c r="Y1822" i="1"/>
  <c r="L1822" i="1"/>
  <c r="K1822" i="1"/>
  <c r="Z1821" i="1"/>
  <c r="Y1821" i="1"/>
  <c r="L1821" i="1"/>
  <c r="K1821" i="1"/>
  <c r="Z1820" i="1"/>
  <c r="Y1820" i="1"/>
  <c r="L1820" i="1"/>
  <c r="K1820" i="1"/>
  <c r="Z1819" i="1"/>
  <c r="Y1819" i="1"/>
  <c r="L1819" i="1"/>
  <c r="K1819" i="1"/>
  <c r="Z1818" i="1"/>
  <c r="Y1818" i="1"/>
  <c r="L1818" i="1"/>
  <c r="K1818" i="1"/>
  <c r="Z1817" i="1"/>
  <c r="Y1817" i="1"/>
  <c r="L1817" i="1"/>
  <c r="K1817" i="1"/>
  <c r="Z1816" i="1"/>
  <c r="Y1816" i="1"/>
  <c r="L1816" i="1"/>
  <c r="K1816" i="1"/>
  <c r="Z1815" i="1"/>
  <c r="Y1815" i="1"/>
  <c r="L1815" i="1"/>
  <c r="K1815" i="1"/>
  <c r="Z1814" i="1"/>
  <c r="Y1814" i="1"/>
  <c r="L1814" i="1"/>
  <c r="K1814" i="1"/>
  <c r="Z1813" i="1"/>
  <c r="Y1813" i="1"/>
  <c r="L1813" i="1"/>
  <c r="K1813" i="1"/>
  <c r="Z1812" i="1"/>
  <c r="Y1812" i="1"/>
  <c r="L1812" i="1"/>
  <c r="K1812" i="1"/>
  <c r="Z1811" i="1"/>
  <c r="Y1811" i="1"/>
  <c r="L1811" i="1"/>
  <c r="K1811" i="1"/>
  <c r="Z1810" i="1"/>
  <c r="Y1810" i="1"/>
  <c r="L1810" i="1"/>
  <c r="K1810" i="1"/>
  <c r="Z1809" i="1"/>
  <c r="Y1809" i="1"/>
  <c r="L1809" i="1"/>
  <c r="K1809" i="1"/>
  <c r="Z1808" i="1"/>
  <c r="Y1808" i="1"/>
  <c r="L1808" i="1"/>
  <c r="K1808" i="1"/>
  <c r="Z1807" i="1"/>
  <c r="Y1807" i="1"/>
  <c r="L1807" i="1"/>
  <c r="K1807" i="1"/>
  <c r="Z1806" i="1"/>
  <c r="Y1806" i="1"/>
  <c r="L1806" i="1"/>
  <c r="K1806" i="1"/>
  <c r="Z1805" i="1"/>
  <c r="Y1805" i="1"/>
  <c r="L1805" i="1"/>
  <c r="K1805" i="1"/>
  <c r="Z1804" i="1"/>
  <c r="Y1804" i="1"/>
  <c r="L1804" i="1"/>
  <c r="K1804" i="1"/>
  <c r="Z1803" i="1"/>
  <c r="Y1803" i="1"/>
  <c r="L1803" i="1"/>
  <c r="K1803" i="1"/>
  <c r="Z1802" i="1"/>
  <c r="Y1802" i="1"/>
  <c r="L1802" i="1"/>
  <c r="K1802" i="1"/>
  <c r="Z1801" i="1"/>
  <c r="Y1801" i="1"/>
  <c r="L1801" i="1"/>
  <c r="K1801" i="1"/>
  <c r="Z1800" i="1"/>
  <c r="Y1800" i="1"/>
  <c r="L1800" i="1"/>
  <c r="K1800" i="1"/>
  <c r="Z1799" i="1"/>
  <c r="Y1799" i="1"/>
  <c r="L1799" i="1"/>
  <c r="K1799" i="1"/>
  <c r="Z1798" i="1"/>
  <c r="Y1798" i="1"/>
  <c r="L1798" i="1"/>
  <c r="K1798" i="1"/>
  <c r="Z1797" i="1"/>
  <c r="Y1797" i="1"/>
  <c r="L1797" i="1"/>
  <c r="K1797" i="1"/>
  <c r="Z1796" i="1"/>
  <c r="Y1796" i="1"/>
  <c r="L1796" i="1"/>
  <c r="K1796" i="1"/>
  <c r="Z1795" i="1"/>
  <c r="Y1795" i="1"/>
  <c r="L1795" i="1"/>
  <c r="K1795" i="1"/>
  <c r="Z1794" i="1"/>
  <c r="Y1794" i="1"/>
  <c r="L1794" i="1"/>
  <c r="K1794" i="1"/>
  <c r="Z1793" i="1"/>
  <c r="Y1793" i="1"/>
  <c r="L1793" i="1"/>
  <c r="K1793" i="1"/>
  <c r="Z1792" i="1"/>
  <c r="Y1792" i="1"/>
  <c r="L1792" i="1"/>
  <c r="K1792" i="1"/>
  <c r="Z1791" i="1"/>
  <c r="Y1791" i="1"/>
  <c r="L1791" i="1"/>
  <c r="K1791" i="1"/>
  <c r="Z1790" i="1"/>
  <c r="Y1790" i="1"/>
  <c r="L1790" i="1"/>
  <c r="K1790" i="1"/>
  <c r="Z1789" i="1"/>
  <c r="Y1789" i="1"/>
  <c r="L1789" i="1"/>
  <c r="K1789" i="1"/>
  <c r="Z1788" i="1"/>
  <c r="Y1788" i="1"/>
  <c r="L1788" i="1"/>
  <c r="K1788" i="1"/>
  <c r="Z1787" i="1"/>
  <c r="Y1787" i="1"/>
  <c r="L1787" i="1"/>
  <c r="K1787" i="1"/>
  <c r="Z1786" i="1"/>
  <c r="Y1786" i="1"/>
  <c r="L1786" i="1"/>
  <c r="K1786" i="1"/>
  <c r="Z1785" i="1"/>
  <c r="Y1785" i="1"/>
  <c r="L1785" i="1"/>
  <c r="K1785" i="1"/>
  <c r="Z1784" i="1"/>
  <c r="Y1784" i="1"/>
  <c r="L1784" i="1"/>
  <c r="K1784" i="1"/>
  <c r="Z1783" i="1"/>
  <c r="Y1783" i="1"/>
  <c r="L1783" i="1"/>
  <c r="K1783" i="1"/>
  <c r="Z1782" i="1"/>
  <c r="Y1782" i="1"/>
  <c r="L1782" i="1"/>
  <c r="K1782" i="1"/>
  <c r="Z1781" i="1"/>
  <c r="Y1781" i="1"/>
  <c r="L1781" i="1"/>
  <c r="K1781" i="1"/>
  <c r="Z1780" i="1"/>
  <c r="Y1780" i="1"/>
  <c r="L1780" i="1"/>
  <c r="K1780" i="1"/>
  <c r="Z1779" i="1"/>
  <c r="Y1779" i="1"/>
  <c r="L1779" i="1"/>
  <c r="K1779" i="1"/>
  <c r="Z1778" i="1"/>
  <c r="Y1778" i="1"/>
  <c r="L1778" i="1"/>
  <c r="K1778" i="1"/>
  <c r="Z1777" i="1"/>
  <c r="Y1777" i="1"/>
  <c r="L1777" i="1"/>
  <c r="K1777" i="1"/>
  <c r="Z1776" i="1"/>
  <c r="Y1776" i="1"/>
  <c r="L1776" i="1"/>
  <c r="K1776" i="1"/>
  <c r="Z1775" i="1"/>
  <c r="Y1775" i="1"/>
  <c r="L1775" i="1"/>
  <c r="K1775" i="1"/>
  <c r="Z1774" i="1"/>
  <c r="Y1774" i="1"/>
  <c r="L1774" i="1"/>
  <c r="K1774" i="1"/>
  <c r="Z1773" i="1"/>
  <c r="Y1773" i="1"/>
  <c r="L1773" i="1"/>
  <c r="K1773" i="1"/>
  <c r="Z1772" i="1"/>
  <c r="Y1772" i="1"/>
  <c r="L1772" i="1"/>
  <c r="K1772" i="1"/>
  <c r="Z1771" i="1"/>
  <c r="Y1771" i="1"/>
  <c r="L1771" i="1"/>
  <c r="K1771" i="1"/>
  <c r="Z1770" i="1"/>
  <c r="Y1770" i="1"/>
  <c r="L1770" i="1"/>
  <c r="K1770" i="1"/>
  <c r="Z1769" i="1"/>
  <c r="Y1769" i="1"/>
  <c r="L1769" i="1"/>
  <c r="K1769" i="1"/>
  <c r="Z1768" i="1"/>
  <c r="Y1768" i="1"/>
  <c r="L1768" i="1"/>
  <c r="K1768" i="1"/>
  <c r="Z1767" i="1"/>
  <c r="Y1767" i="1"/>
  <c r="L1767" i="1"/>
  <c r="K1767" i="1"/>
  <c r="Z1766" i="1"/>
  <c r="Y1766" i="1"/>
  <c r="L1766" i="1"/>
  <c r="K1766" i="1"/>
  <c r="Z1765" i="1"/>
  <c r="Y1765" i="1"/>
  <c r="L1765" i="1"/>
  <c r="K1765" i="1"/>
  <c r="Z1764" i="1"/>
  <c r="Y1764" i="1"/>
  <c r="L1764" i="1"/>
  <c r="K1764" i="1"/>
  <c r="Z1763" i="1"/>
  <c r="Y1763" i="1"/>
  <c r="L1763" i="1"/>
  <c r="K1763" i="1"/>
  <c r="Z1762" i="1"/>
  <c r="Y1762" i="1"/>
  <c r="L1762" i="1"/>
  <c r="K1762" i="1"/>
  <c r="Z1761" i="1"/>
  <c r="Y1761" i="1"/>
  <c r="L1761" i="1"/>
  <c r="K1761" i="1"/>
  <c r="Z1760" i="1"/>
  <c r="Y1760" i="1"/>
  <c r="L1760" i="1"/>
  <c r="K1760" i="1"/>
  <c r="Z1759" i="1"/>
  <c r="Y1759" i="1"/>
  <c r="L1759" i="1"/>
  <c r="K1759" i="1"/>
  <c r="Z1758" i="1"/>
  <c r="Y1758" i="1"/>
  <c r="L1758" i="1"/>
  <c r="K1758" i="1"/>
  <c r="Z1757" i="1"/>
  <c r="Y1757" i="1"/>
  <c r="L1757" i="1"/>
  <c r="K1757" i="1"/>
  <c r="Z1756" i="1"/>
  <c r="Y1756" i="1"/>
  <c r="L1756" i="1"/>
  <c r="K1756" i="1"/>
  <c r="Z1755" i="1"/>
  <c r="Y1755" i="1"/>
  <c r="L1755" i="1"/>
  <c r="K1755" i="1"/>
  <c r="Z1754" i="1"/>
  <c r="Y1754" i="1"/>
  <c r="L1754" i="1"/>
  <c r="K1754" i="1"/>
  <c r="Z1753" i="1"/>
  <c r="Y1753" i="1"/>
  <c r="L1753" i="1"/>
  <c r="K1753" i="1"/>
  <c r="Z1752" i="1"/>
  <c r="Y1752" i="1"/>
  <c r="L1752" i="1"/>
  <c r="K1752" i="1"/>
  <c r="Z1751" i="1"/>
  <c r="Y1751" i="1"/>
  <c r="L1751" i="1"/>
  <c r="K1751" i="1"/>
  <c r="Z1750" i="1"/>
  <c r="Y1750" i="1"/>
  <c r="L1750" i="1"/>
  <c r="K1750" i="1"/>
  <c r="Z1749" i="1"/>
  <c r="Y1749" i="1"/>
  <c r="L1749" i="1"/>
  <c r="K1749" i="1"/>
  <c r="Z1748" i="1"/>
  <c r="Y1748" i="1"/>
  <c r="L1748" i="1"/>
  <c r="K1748" i="1"/>
  <c r="Z1747" i="1"/>
  <c r="Y1747" i="1"/>
  <c r="L1747" i="1"/>
  <c r="K1747" i="1"/>
  <c r="Z1746" i="1"/>
  <c r="Y1746" i="1"/>
  <c r="L1746" i="1"/>
  <c r="K1746" i="1"/>
  <c r="Z1745" i="1"/>
  <c r="Y1745" i="1"/>
  <c r="L1745" i="1"/>
  <c r="K1745" i="1"/>
  <c r="Z1744" i="1"/>
  <c r="Y1744" i="1"/>
  <c r="L1744" i="1"/>
  <c r="K1744" i="1"/>
  <c r="Z1743" i="1"/>
  <c r="Y1743" i="1"/>
  <c r="L1743" i="1"/>
  <c r="K1743" i="1"/>
  <c r="Z1742" i="1"/>
  <c r="Y1742" i="1"/>
  <c r="L1742" i="1"/>
  <c r="K1742" i="1"/>
  <c r="Z1741" i="1"/>
  <c r="Y1741" i="1"/>
  <c r="L1741" i="1"/>
  <c r="K1741" i="1"/>
  <c r="Z1740" i="1"/>
  <c r="Y1740" i="1"/>
  <c r="L1740" i="1"/>
  <c r="K1740" i="1"/>
  <c r="Z1739" i="1"/>
  <c r="Y1739" i="1"/>
  <c r="L1739" i="1"/>
  <c r="K1739" i="1"/>
  <c r="Z1738" i="1"/>
  <c r="Y1738" i="1"/>
  <c r="L1738" i="1"/>
  <c r="K1738" i="1"/>
  <c r="Z1737" i="1"/>
  <c r="Y1737" i="1"/>
  <c r="L1737" i="1"/>
  <c r="K1737" i="1"/>
  <c r="Z1736" i="1"/>
  <c r="Y1736" i="1"/>
  <c r="L1736" i="1"/>
  <c r="K1736" i="1"/>
  <c r="Z1735" i="1"/>
  <c r="Y1735" i="1"/>
  <c r="L1735" i="1"/>
  <c r="K1735" i="1"/>
  <c r="Z1734" i="1"/>
  <c r="Y1734" i="1"/>
  <c r="L1734" i="1"/>
  <c r="K1734" i="1"/>
  <c r="Z1733" i="1"/>
  <c r="Y1733" i="1"/>
  <c r="L1733" i="1"/>
  <c r="K1733" i="1"/>
  <c r="Z1732" i="1"/>
  <c r="Y1732" i="1"/>
  <c r="L1732" i="1"/>
  <c r="K1732" i="1"/>
  <c r="Z1731" i="1"/>
  <c r="Y1731" i="1"/>
  <c r="L1731" i="1"/>
  <c r="K1731" i="1"/>
  <c r="Z1730" i="1"/>
  <c r="Y1730" i="1"/>
  <c r="L1730" i="1"/>
  <c r="K1730" i="1"/>
  <c r="Z1729" i="1"/>
  <c r="Y1729" i="1"/>
  <c r="L1729" i="1"/>
  <c r="K1729" i="1"/>
  <c r="Z1728" i="1"/>
  <c r="Y1728" i="1"/>
  <c r="L1728" i="1"/>
  <c r="K1728" i="1"/>
  <c r="Z1727" i="1"/>
  <c r="Y1727" i="1"/>
  <c r="L1727" i="1"/>
  <c r="K1727" i="1"/>
  <c r="Z1726" i="1"/>
  <c r="Y1726" i="1"/>
  <c r="L1726" i="1"/>
  <c r="K1726" i="1"/>
  <c r="Z1725" i="1"/>
  <c r="Y1725" i="1"/>
  <c r="L1725" i="1"/>
  <c r="K1725" i="1"/>
  <c r="Z1724" i="1"/>
  <c r="Y1724" i="1"/>
  <c r="L1724" i="1"/>
  <c r="K1724" i="1"/>
  <c r="Z1723" i="1"/>
  <c r="Y1723" i="1"/>
  <c r="L1723" i="1"/>
  <c r="K1723" i="1"/>
  <c r="Z1722" i="1"/>
  <c r="Y1722" i="1"/>
  <c r="L1722" i="1"/>
  <c r="K1722" i="1"/>
  <c r="Z1721" i="1"/>
  <c r="Y1721" i="1"/>
  <c r="L1721" i="1"/>
  <c r="K1721" i="1"/>
  <c r="Z1720" i="1"/>
  <c r="Y1720" i="1"/>
  <c r="L1720" i="1"/>
  <c r="K1720" i="1"/>
  <c r="Z1719" i="1"/>
  <c r="Y1719" i="1"/>
  <c r="L1719" i="1"/>
  <c r="K1719" i="1"/>
  <c r="Z1718" i="1"/>
  <c r="Y1718" i="1"/>
  <c r="L1718" i="1"/>
  <c r="K1718" i="1"/>
  <c r="Z1717" i="1"/>
  <c r="Y1717" i="1"/>
  <c r="L1717" i="1"/>
  <c r="K1717" i="1"/>
  <c r="Z1716" i="1"/>
  <c r="Y1716" i="1"/>
  <c r="L1716" i="1"/>
  <c r="K1716" i="1"/>
  <c r="Z1715" i="1"/>
  <c r="Y1715" i="1"/>
  <c r="L1715" i="1"/>
  <c r="K1715" i="1"/>
  <c r="Z1714" i="1"/>
  <c r="Y1714" i="1"/>
  <c r="L1714" i="1"/>
  <c r="K1714" i="1"/>
  <c r="Z1713" i="1"/>
  <c r="Y1713" i="1"/>
  <c r="L1713" i="1"/>
  <c r="K1713" i="1"/>
  <c r="Z1712" i="1"/>
  <c r="Y1712" i="1"/>
  <c r="L1712" i="1"/>
  <c r="K1712" i="1"/>
  <c r="Z1711" i="1"/>
  <c r="Y1711" i="1"/>
  <c r="L1711" i="1"/>
  <c r="K1711" i="1"/>
  <c r="Z1710" i="1"/>
  <c r="Y1710" i="1"/>
  <c r="L1710" i="1"/>
  <c r="K1710" i="1"/>
  <c r="Z1709" i="1"/>
  <c r="Y1709" i="1"/>
  <c r="L1709" i="1"/>
  <c r="K1709" i="1"/>
  <c r="Z1708" i="1"/>
  <c r="Y1708" i="1"/>
  <c r="L1708" i="1"/>
  <c r="K1708" i="1"/>
  <c r="Z1707" i="1"/>
  <c r="Y1707" i="1"/>
  <c r="L1707" i="1"/>
  <c r="K1707" i="1"/>
  <c r="Z1706" i="1"/>
  <c r="Y1706" i="1"/>
  <c r="L1706" i="1"/>
  <c r="K1706" i="1"/>
  <c r="Z1705" i="1"/>
  <c r="Y1705" i="1"/>
  <c r="L1705" i="1"/>
  <c r="K1705" i="1"/>
  <c r="Z1704" i="1"/>
  <c r="Y1704" i="1"/>
  <c r="L1704" i="1"/>
  <c r="K1704" i="1"/>
  <c r="Z1703" i="1"/>
  <c r="Y1703" i="1"/>
  <c r="L1703" i="1"/>
  <c r="K1703" i="1"/>
  <c r="Z1702" i="1"/>
  <c r="Y1702" i="1"/>
  <c r="L1702" i="1"/>
  <c r="K1702" i="1"/>
  <c r="Z1701" i="1"/>
  <c r="Y1701" i="1"/>
  <c r="L1701" i="1"/>
  <c r="K1701" i="1"/>
  <c r="Z1700" i="1"/>
  <c r="Y1700" i="1"/>
  <c r="L1700" i="1"/>
  <c r="K1700" i="1"/>
  <c r="Z1699" i="1"/>
  <c r="Y1699" i="1"/>
  <c r="L1699" i="1"/>
  <c r="K1699" i="1"/>
  <c r="Z1698" i="1"/>
  <c r="Y1698" i="1"/>
  <c r="L1698" i="1"/>
  <c r="K1698" i="1"/>
  <c r="Z1697" i="1"/>
  <c r="Y1697" i="1"/>
  <c r="L1697" i="1"/>
  <c r="K1697" i="1"/>
  <c r="Z1696" i="1"/>
  <c r="Y1696" i="1"/>
  <c r="L1696" i="1"/>
  <c r="K1696" i="1"/>
  <c r="Z1695" i="1"/>
  <c r="Y1695" i="1"/>
  <c r="L1695" i="1"/>
  <c r="K1695" i="1"/>
  <c r="Z1694" i="1"/>
  <c r="Y1694" i="1"/>
  <c r="L1694" i="1"/>
  <c r="K1694" i="1"/>
  <c r="Z1693" i="1"/>
  <c r="Y1693" i="1"/>
  <c r="L1693" i="1"/>
  <c r="K1693" i="1"/>
  <c r="Z1692" i="1"/>
  <c r="Y1692" i="1"/>
  <c r="L1692" i="1"/>
  <c r="K1692" i="1"/>
  <c r="Z1691" i="1"/>
  <c r="Y1691" i="1"/>
  <c r="L1691" i="1"/>
  <c r="K1691" i="1"/>
  <c r="Z1690" i="1"/>
  <c r="Y1690" i="1"/>
  <c r="L1690" i="1"/>
  <c r="K1690" i="1"/>
  <c r="Z1689" i="1"/>
  <c r="Y1689" i="1"/>
  <c r="L1689" i="1"/>
  <c r="K1689" i="1"/>
  <c r="Z1688" i="1"/>
  <c r="Y1688" i="1"/>
  <c r="L1688" i="1"/>
  <c r="K1688" i="1"/>
  <c r="Z1687" i="1"/>
  <c r="Y1687" i="1"/>
  <c r="L1687" i="1"/>
  <c r="K1687" i="1"/>
  <c r="Z1686" i="1"/>
  <c r="Y1686" i="1"/>
  <c r="L1686" i="1"/>
  <c r="K1686" i="1"/>
  <c r="Z1685" i="1"/>
  <c r="Y1685" i="1"/>
  <c r="L1685" i="1"/>
  <c r="K1685" i="1"/>
  <c r="Z1684" i="1"/>
  <c r="Y1684" i="1"/>
  <c r="L1684" i="1"/>
  <c r="K1684" i="1"/>
  <c r="Z1683" i="1"/>
  <c r="Y1683" i="1"/>
  <c r="L1683" i="1"/>
  <c r="K1683" i="1"/>
  <c r="Z1682" i="1"/>
  <c r="Y1682" i="1"/>
  <c r="L1682" i="1"/>
  <c r="K1682" i="1"/>
  <c r="Z1681" i="1"/>
  <c r="Y1681" i="1"/>
  <c r="L1681" i="1"/>
  <c r="K1681" i="1"/>
  <c r="Z1680" i="1"/>
  <c r="Y1680" i="1"/>
  <c r="L1680" i="1"/>
  <c r="K1680" i="1"/>
  <c r="Z1679" i="1"/>
  <c r="Y1679" i="1"/>
  <c r="L1679" i="1"/>
  <c r="K1679" i="1"/>
  <c r="Z1678" i="1"/>
  <c r="Y1678" i="1"/>
  <c r="L1678" i="1"/>
  <c r="K1678" i="1"/>
  <c r="Z1677" i="1"/>
  <c r="Y1677" i="1"/>
  <c r="L1677" i="1"/>
  <c r="K1677" i="1"/>
  <c r="Z1676" i="1"/>
  <c r="Y1676" i="1"/>
  <c r="L1676" i="1"/>
  <c r="K1676" i="1"/>
  <c r="Z1675" i="1"/>
  <c r="Y1675" i="1"/>
  <c r="L1675" i="1"/>
  <c r="K1675" i="1"/>
  <c r="Z1674" i="1"/>
  <c r="Y1674" i="1"/>
  <c r="L1674" i="1"/>
  <c r="K1674" i="1"/>
  <c r="Z1673" i="1"/>
  <c r="Y1673" i="1"/>
  <c r="L1673" i="1"/>
  <c r="K1673" i="1"/>
  <c r="Z1672" i="1"/>
  <c r="Y1672" i="1"/>
  <c r="L1672" i="1"/>
  <c r="K1672" i="1"/>
  <c r="Z1671" i="1"/>
  <c r="Y1671" i="1"/>
  <c r="L1671" i="1"/>
  <c r="K1671" i="1"/>
  <c r="Z1670" i="1"/>
  <c r="Y1670" i="1"/>
  <c r="L1670" i="1"/>
  <c r="K1670" i="1"/>
  <c r="Z1669" i="1"/>
  <c r="Y1669" i="1"/>
  <c r="L1669" i="1"/>
  <c r="K1669" i="1"/>
  <c r="Z1668" i="1"/>
  <c r="Y1668" i="1"/>
  <c r="L1668" i="1"/>
  <c r="K1668" i="1"/>
  <c r="Z1667" i="1"/>
  <c r="Y1667" i="1"/>
  <c r="L1667" i="1"/>
  <c r="K1667" i="1"/>
  <c r="Z1666" i="1"/>
  <c r="Y1666" i="1"/>
  <c r="L1666" i="1"/>
  <c r="K1666" i="1"/>
  <c r="Z1665" i="1"/>
  <c r="Y1665" i="1"/>
  <c r="L1665" i="1"/>
  <c r="K1665" i="1"/>
  <c r="Z1664" i="1"/>
  <c r="Y1664" i="1"/>
  <c r="L1664" i="1"/>
  <c r="K1664" i="1"/>
  <c r="Z1663" i="1"/>
  <c r="Y1663" i="1"/>
  <c r="L1663" i="1"/>
  <c r="K1663" i="1"/>
  <c r="Z1662" i="1"/>
  <c r="Y1662" i="1"/>
  <c r="L1662" i="1"/>
  <c r="K1662" i="1"/>
  <c r="Z1661" i="1"/>
  <c r="Y1661" i="1"/>
  <c r="L1661" i="1"/>
  <c r="K1661" i="1"/>
  <c r="Z1660" i="1"/>
  <c r="Y1660" i="1"/>
  <c r="L1660" i="1"/>
  <c r="K1660" i="1"/>
  <c r="Z1659" i="1"/>
  <c r="Y1659" i="1"/>
  <c r="L1659" i="1"/>
  <c r="K1659" i="1"/>
  <c r="Z1658" i="1"/>
  <c r="Y1658" i="1"/>
  <c r="L1658" i="1"/>
  <c r="K1658" i="1"/>
  <c r="Z1657" i="1"/>
  <c r="Y1657" i="1"/>
  <c r="L1657" i="1"/>
  <c r="K1657" i="1"/>
  <c r="Z1656" i="1"/>
  <c r="Y1656" i="1"/>
  <c r="L1656" i="1"/>
  <c r="K1656" i="1"/>
  <c r="Z1655" i="1"/>
  <c r="Y1655" i="1"/>
  <c r="L1655" i="1"/>
  <c r="K1655" i="1"/>
  <c r="Z1654" i="1"/>
  <c r="Y1654" i="1"/>
  <c r="L1654" i="1"/>
  <c r="K1654" i="1"/>
  <c r="Z1653" i="1"/>
  <c r="Y1653" i="1"/>
  <c r="L1653" i="1"/>
  <c r="K1653" i="1"/>
  <c r="Z1652" i="1"/>
  <c r="Y1652" i="1"/>
  <c r="L1652" i="1"/>
  <c r="K1652" i="1"/>
  <c r="Z1651" i="1"/>
  <c r="Y1651" i="1"/>
  <c r="L1651" i="1"/>
  <c r="K1651" i="1"/>
  <c r="Z1650" i="1"/>
  <c r="Y1650" i="1"/>
  <c r="L1650" i="1"/>
  <c r="K1650" i="1"/>
  <c r="Z1649" i="1"/>
  <c r="Y1649" i="1"/>
  <c r="L1649" i="1"/>
  <c r="K1649" i="1"/>
  <c r="Z1648" i="1"/>
  <c r="Y1648" i="1"/>
  <c r="L1648" i="1"/>
  <c r="K1648" i="1"/>
  <c r="Z1647" i="1"/>
  <c r="Y1647" i="1"/>
  <c r="L1647" i="1"/>
  <c r="K1647" i="1"/>
  <c r="Z1646" i="1"/>
  <c r="Y1646" i="1"/>
  <c r="L1646" i="1"/>
  <c r="K1646" i="1"/>
  <c r="Z1645" i="1"/>
  <c r="Y1645" i="1"/>
  <c r="L1645" i="1"/>
  <c r="K1645" i="1"/>
  <c r="Z1644" i="1"/>
  <c r="Y1644" i="1"/>
  <c r="L1644" i="1"/>
  <c r="K1644" i="1"/>
  <c r="Z1643" i="1"/>
  <c r="Y1643" i="1"/>
  <c r="L1643" i="1"/>
  <c r="K1643" i="1"/>
  <c r="Z1642" i="1"/>
  <c r="Y1642" i="1"/>
  <c r="L1642" i="1"/>
  <c r="K1642" i="1"/>
  <c r="Z1641" i="1"/>
  <c r="Y1641" i="1"/>
  <c r="L1641" i="1"/>
  <c r="K1641" i="1"/>
  <c r="Z1640" i="1"/>
  <c r="Y1640" i="1"/>
  <c r="L1640" i="1"/>
  <c r="K1640" i="1"/>
  <c r="Z1639" i="1"/>
  <c r="Y1639" i="1"/>
  <c r="L1639" i="1"/>
  <c r="K1639" i="1"/>
  <c r="Z1638" i="1"/>
  <c r="Y1638" i="1"/>
  <c r="L1638" i="1"/>
  <c r="K1638" i="1"/>
  <c r="Z1637" i="1"/>
  <c r="Y1637" i="1"/>
  <c r="L1637" i="1"/>
  <c r="K1637" i="1"/>
  <c r="Z1636" i="1"/>
  <c r="Y1636" i="1"/>
  <c r="L1636" i="1"/>
  <c r="K1636" i="1"/>
  <c r="Z1635" i="1"/>
  <c r="Y1635" i="1"/>
  <c r="L1635" i="1"/>
  <c r="K1635" i="1"/>
  <c r="Z1634" i="1"/>
  <c r="Y1634" i="1"/>
  <c r="L1634" i="1"/>
  <c r="K1634" i="1"/>
  <c r="Z1633" i="1"/>
  <c r="Y1633" i="1"/>
  <c r="L1633" i="1"/>
  <c r="K1633" i="1"/>
  <c r="Z1632" i="1"/>
  <c r="Y1632" i="1"/>
  <c r="L1632" i="1"/>
  <c r="K1632" i="1"/>
  <c r="Z1631" i="1"/>
  <c r="Y1631" i="1"/>
  <c r="L1631" i="1"/>
  <c r="K1631" i="1"/>
  <c r="Z1630" i="1"/>
  <c r="Y1630" i="1"/>
  <c r="L1630" i="1"/>
  <c r="K1630" i="1"/>
  <c r="Z1629" i="1"/>
  <c r="Y1629" i="1"/>
  <c r="L1629" i="1"/>
  <c r="K1629" i="1"/>
  <c r="Z1628" i="1"/>
  <c r="Y1628" i="1"/>
  <c r="L1628" i="1"/>
  <c r="K1628" i="1"/>
  <c r="Z1627" i="1"/>
  <c r="Y1627" i="1"/>
  <c r="L1627" i="1"/>
  <c r="K1627" i="1"/>
  <c r="Z1626" i="1"/>
  <c r="Y1626" i="1"/>
  <c r="L1626" i="1"/>
  <c r="K1626" i="1"/>
  <c r="Z1625" i="1"/>
  <c r="Y1625" i="1"/>
  <c r="L1625" i="1"/>
  <c r="K1625" i="1"/>
  <c r="Z1624" i="1"/>
  <c r="Y1624" i="1"/>
  <c r="L1624" i="1"/>
  <c r="K1624" i="1"/>
  <c r="Z1623" i="1"/>
  <c r="Y1623" i="1"/>
  <c r="L1623" i="1"/>
  <c r="K1623" i="1"/>
  <c r="Z1622" i="1"/>
  <c r="Y1622" i="1"/>
  <c r="L1622" i="1"/>
  <c r="K1622" i="1"/>
  <c r="Z1621" i="1"/>
  <c r="Y1621" i="1"/>
  <c r="L1621" i="1"/>
  <c r="K1621" i="1"/>
  <c r="Z1620" i="1"/>
  <c r="Y1620" i="1"/>
  <c r="L1620" i="1"/>
  <c r="K1620" i="1"/>
  <c r="Z1619" i="1"/>
  <c r="Y1619" i="1"/>
  <c r="L1619" i="1"/>
  <c r="K1619" i="1"/>
  <c r="Z1618" i="1"/>
  <c r="Y1618" i="1"/>
  <c r="L1618" i="1"/>
  <c r="K1618" i="1"/>
  <c r="Z1617" i="1"/>
  <c r="Y1617" i="1"/>
  <c r="L1617" i="1"/>
  <c r="K1617" i="1"/>
  <c r="Z1616" i="1"/>
  <c r="Y1616" i="1"/>
  <c r="L1616" i="1"/>
  <c r="K1616" i="1"/>
  <c r="Z1615" i="1"/>
  <c r="Y1615" i="1"/>
  <c r="L1615" i="1"/>
  <c r="K1615" i="1"/>
  <c r="Z1614" i="1"/>
  <c r="Y1614" i="1"/>
  <c r="L1614" i="1"/>
  <c r="K1614" i="1"/>
  <c r="Z1613" i="1"/>
  <c r="Y1613" i="1"/>
  <c r="L1613" i="1"/>
  <c r="K1613" i="1"/>
  <c r="Z1612" i="1"/>
  <c r="Y1612" i="1"/>
  <c r="L1612" i="1"/>
  <c r="K1612" i="1"/>
  <c r="Z1611" i="1"/>
  <c r="Y1611" i="1"/>
  <c r="L1611" i="1"/>
  <c r="K1611" i="1"/>
  <c r="Z1610" i="1"/>
  <c r="Y1610" i="1"/>
  <c r="L1610" i="1"/>
  <c r="K1610" i="1"/>
  <c r="Z1609" i="1"/>
  <c r="Y1609" i="1"/>
  <c r="L1609" i="1"/>
  <c r="K1609" i="1"/>
  <c r="Z1608" i="1"/>
  <c r="Y1608" i="1"/>
  <c r="L1608" i="1"/>
  <c r="K1608" i="1"/>
  <c r="Z1607" i="1"/>
  <c r="Y1607" i="1"/>
  <c r="L1607" i="1"/>
  <c r="K1607" i="1"/>
  <c r="Z1606" i="1"/>
  <c r="Y1606" i="1"/>
  <c r="L1606" i="1"/>
  <c r="K1606" i="1"/>
  <c r="Z1605" i="1"/>
  <c r="Y1605" i="1"/>
  <c r="L1605" i="1"/>
  <c r="K1605" i="1"/>
  <c r="Z1604" i="1"/>
  <c r="Y1604" i="1"/>
  <c r="L1604" i="1"/>
  <c r="K1604" i="1"/>
  <c r="Z1603" i="1"/>
  <c r="Y1603" i="1"/>
  <c r="L1603" i="1"/>
  <c r="K1603" i="1"/>
  <c r="Z1602" i="1"/>
  <c r="Y1602" i="1"/>
  <c r="L1602" i="1"/>
  <c r="K1602" i="1"/>
  <c r="Z1601" i="1"/>
  <c r="Y1601" i="1"/>
  <c r="L1601" i="1"/>
  <c r="K1601" i="1"/>
  <c r="Z1600" i="1"/>
  <c r="Y1600" i="1"/>
  <c r="L1600" i="1"/>
  <c r="K1600" i="1"/>
  <c r="Z1599" i="1"/>
  <c r="Y1599" i="1"/>
  <c r="L1599" i="1"/>
  <c r="K1599" i="1"/>
  <c r="Z1598" i="1"/>
  <c r="Y1598" i="1"/>
  <c r="L1598" i="1"/>
  <c r="K1598" i="1"/>
  <c r="Z1597" i="1"/>
  <c r="Y1597" i="1"/>
  <c r="L1597" i="1"/>
  <c r="K1597" i="1"/>
  <c r="Z1596" i="1"/>
  <c r="Y1596" i="1"/>
  <c r="L1596" i="1"/>
  <c r="K1596" i="1"/>
  <c r="Z1595" i="1"/>
  <c r="Y1595" i="1"/>
  <c r="L1595" i="1"/>
  <c r="K1595" i="1"/>
  <c r="Z1594" i="1"/>
  <c r="Y1594" i="1"/>
  <c r="L1594" i="1"/>
  <c r="K1594" i="1"/>
  <c r="Z1593" i="1"/>
  <c r="Y1593" i="1"/>
  <c r="L1593" i="1"/>
  <c r="K1593" i="1"/>
  <c r="Z1592" i="1"/>
  <c r="Y1592" i="1"/>
  <c r="L1592" i="1"/>
  <c r="K1592" i="1"/>
  <c r="Z1591" i="1"/>
  <c r="Y1591" i="1"/>
  <c r="L1591" i="1"/>
  <c r="K1591" i="1"/>
  <c r="Z1590" i="1"/>
  <c r="Y1590" i="1"/>
  <c r="L1590" i="1"/>
  <c r="K1590" i="1"/>
  <c r="Z1589" i="1"/>
  <c r="Y1589" i="1"/>
  <c r="L1589" i="1"/>
  <c r="K1589" i="1"/>
  <c r="Z1588" i="1"/>
  <c r="Y1588" i="1"/>
  <c r="L1588" i="1"/>
  <c r="K1588" i="1"/>
  <c r="Z1587" i="1"/>
  <c r="Y1587" i="1"/>
  <c r="L1587" i="1"/>
  <c r="K1587" i="1"/>
  <c r="Z1586" i="1"/>
  <c r="Y1586" i="1"/>
  <c r="L1586" i="1"/>
  <c r="K1586" i="1"/>
  <c r="Z1585" i="1"/>
  <c r="Y1585" i="1"/>
  <c r="L1585" i="1"/>
  <c r="K1585" i="1"/>
  <c r="Z1584" i="1"/>
  <c r="Y1584" i="1"/>
  <c r="L1584" i="1"/>
  <c r="K1584" i="1"/>
  <c r="Z1583" i="1"/>
  <c r="Y1583" i="1"/>
  <c r="L1583" i="1"/>
  <c r="K1583" i="1"/>
  <c r="Z1582" i="1"/>
  <c r="Y1582" i="1"/>
  <c r="L1582" i="1"/>
  <c r="K1582" i="1"/>
  <c r="Z1581" i="1"/>
  <c r="Y1581" i="1"/>
  <c r="L1581" i="1"/>
  <c r="K1581" i="1"/>
  <c r="Z1580" i="1"/>
  <c r="Y1580" i="1"/>
  <c r="L1580" i="1"/>
  <c r="K1580" i="1"/>
  <c r="Z1579" i="1"/>
  <c r="Y1579" i="1"/>
  <c r="L1579" i="1"/>
  <c r="K1579" i="1"/>
  <c r="Z1578" i="1"/>
  <c r="Y1578" i="1"/>
  <c r="L1578" i="1"/>
  <c r="K1578" i="1"/>
  <c r="Z1577" i="1"/>
  <c r="Y1577" i="1"/>
  <c r="L1577" i="1"/>
  <c r="K1577" i="1"/>
  <c r="Z1576" i="1"/>
  <c r="Y1576" i="1"/>
  <c r="L1576" i="1"/>
  <c r="K1576" i="1"/>
  <c r="Z1575" i="1"/>
  <c r="Y1575" i="1"/>
  <c r="L1575" i="1"/>
  <c r="K1575" i="1"/>
  <c r="Z1574" i="1"/>
  <c r="Y1574" i="1"/>
  <c r="L1574" i="1"/>
  <c r="K1574" i="1"/>
  <c r="Z1573" i="1"/>
  <c r="Y1573" i="1"/>
  <c r="L1573" i="1"/>
  <c r="K1573" i="1"/>
  <c r="Z1572" i="1"/>
  <c r="Y1572" i="1"/>
  <c r="L1572" i="1"/>
  <c r="K1572" i="1"/>
  <c r="Z1571" i="1"/>
  <c r="Y1571" i="1"/>
  <c r="L1571" i="1"/>
  <c r="K1571" i="1"/>
  <c r="Z1570" i="1"/>
  <c r="Y1570" i="1"/>
  <c r="L1570" i="1"/>
  <c r="K1570" i="1"/>
  <c r="Z1569" i="1"/>
  <c r="Y1569" i="1"/>
  <c r="L1569" i="1"/>
  <c r="K1569" i="1"/>
  <c r="Z1568" i="1"/>
  <c r="Y1568" i="1"/>
  <c r="L1568" i="1"/>
  <c r="K1568" i="1"/>
  <c r="Z1567" i="1"/>
  <c r="Y1567" i="1"/>
  <c r="L1567" i="1"/>
  <c r="K1567" i="1"/>
  <c r="Z1566" i="1"/>
  <c r="Y1566" i="1"/>
  <c r="L1566" i="1"/>
  <c r="K1566" i="1"/>
  <c r="Z1565" i="1"/>
  <c r="Y1565" i="1"/>
  <c r="L1565" i="1"/>
  <c r="K1565" i="1"/>
  <c r="Z1564" i="1"/>
  <c r="Y1564" i="1"/>
  <c r="L1564" i="1"/>
  <c r="K1564" i="1"/>
  <c r="Z1563" i="1"/>
  <c r="Y1563" i="1"/>
  <c r="L1563" i="1"/>
  <c r="K1563" i="1"/>
  <c r="Z1562" i="1"/>
  <c r="Y1562" i="1"/>
  <c r="L1562" i="1"/>
  <c r="K1562" i="1"/>
  <c r="Z1561" i="1"/>
  <c r="Y1561" i="1"/>
  <c r="L1561" i="1"/>
  <c r="K1561" i="1"/>
  <c r="Z1560" i="1"/>
  <c r="Y1560" i="1"/>
  <c r="L1560" i="1"/>
  <c r="K1560" i="1"/>
  <c r="Z1559" i="1"/>
  <c r="Y1559" i="1"/>
  <c r="L1559" i="1"/>
  <c r="K1559" i="1"/>
  <c r="Z1558" i="1"/>
  <c r="Y1558" i="1"/>
  <c r="L1558" i="1"/>
  <c r="K1558" i="1"/>
  <c r="Z1557" i="1"/>
  <c r="Y1557" i="1"/>
  <c r="L1557" i="1"/>
  <c r="K1557" i="1"/>
  <c r="Z1556" i="1"/>
  <c r="Y1556" i="1"/>
  <c r="L1556" i="1"/>
  <c r="K1556" i="1"/>
  <c r="Z1555" i="1"/>
  <c r="Y1555" i="1"/>
  <c r="L1555" i="1"/>
  <c r="K1555" i="1"/>
  <c r="Z1554" i="1"/>
  <c r="Y1554" i="1"/>
  <c r="L1554" i="1"/>
  <c r="K1554" i="1"/>
  <c r="Z1553" i="1"/>
  <c r="Y1553" i="1"/>
  <c r="L1553" i="1"/>
  <c r="K1553" i="1"/>
  <c r="Z1552" i="1"/>
  <c r="Y1552" i="1"/>
  <c r="L1552" i="1"/>
  <c r="K1552" i="1"/>
  <c r="Z1551" i="1"/>
  <c r="Y1551" i="1"/>
  <c r="L1551" i="1"/>
  <c r="K1551" i="1"/>
  <c r="Z1550" i="1"/>
  <c r="Y1550" i="1"/>
  <c r="L1550" i="1"/>
  <c r="K1550" i="1"/>
  <c r="Z1549" i="1"/>
  <c r="Y1549" i="1"/>
  <c r="L1549" i="1"/>
  <c r="K1549" i="1"/>
  <c r="Z1548" i="1"/>
  <c r="Y1548" i="1"/>
  <c r="L1548" i="1"/>
  <c r="K1548" i="1"/>
  <c r="Z1547" i="1"/>
  <c r="Y1547" i="1"/>
  <c r="L1547" i="1"/>
  <c r="K1547" i="1"/>
  <c r="Z1546" i="1"/>
  <c r="Y1546" i="1"/>
  <c r="L1546" i="1"/>
  <c r="K1546" i="1"/>
  <c r="Z1545" i="1"/>
  <c r="Y1545" i="1"/>
  <c r="L1545" i="1"/>
  <c r="K1545" i="1"/>
  <c r="Z1544" i="1"/>
  <c r="Y1544" i="1"/>
  <c r="L1544" i="1"/>
  <c r="K1544" i="1"/>
  <c r="Z1543" i="1"/>
  <c r="Y1543" i="1"/>
  <c r="L1543" i="1"/>
  <c r="K1543" i="1"/>
  <c r="Z1542" i="1"/>
  <c r="Y1542" i="1"/>
  <c r="L1542" i="1"/>
  <c r="K1542" i="1"/>
  <c r="Z1541" i="1"/>
  <c r="Y1541" i="1"/>
  <c r="L1541" i="1"/>
  <c r="K1541" i="1"/>
  <c r="Z1540" i="1"/>
  <c r="Y1540" i="1"/>
  <c r="L1540" i="1"/>
  <c r="K1540" i="1"/>
  <c r="Z1539" i="1"/>
  <c r="Y1539" i="1"/>
  <c r="L1539" i="1"/>
  <c r="K1539" i="1"/>
  <c r="Z1538" i="1"/>
  <c r="Y1538" i="1"/>
  <c r="L1538" i="1"/>
  <c r="K1538" i="1"/>
  <c r="Z1537" i="1"/>
  <c r="Y1537" i="1"/>
  <c r="L1537" i="1"/>
  <c r="K1537" i="1"/>
  <c r="Z1536" i="1"/>
  <c r="Y1536" i="1"/>
  <c r="L1536" i="1"/>
  <c r="K1536" i="1"/>
  <c r="Z1535" i="1"/>
  <c r="Y1535" i="1"/>
  <c r="L1535" i="1"/>
  <c r="K1535" i="1"/>
  <c r="Z1534" i="1"/>
  <c r="Y1534" i="1"/>
  <c r="L1534" i="1"/>
  <c r="K1534" i="1"/>
  <c r="Z1533" i="1"/>
  <c r="Y1533" i="1"/>
  <c r="L1533" i="1"/>
  <c r="K1533" i="1"/>
  <c r="Z1532" i="1"/>
  <c r="Y1532" i="1"/>
  <c r="L1532" i="1"/>
  <c r="K1532" i="1"/>
  <c r="Z1531" i="1"/>
  <c r="Y1531" i="1"/>
  <c r="L1531" i="1"/>
  <c r="K1531" i="1"/>
  <c r="Z1530" i="1"/>
  <c r="Y1530" i="1"/>
  <c r="L1530" i="1"/>
  <c r="K1530" i="1"/>
  <c r="Z1529" i="1"/>
  <c r="Y1529" i="1"/>
  <c r="L1529" i="1"/>
  <c r="K1529" i="1"/>
  <c r="Z1528" i="1"/>
  <c r="Y1528" i="1"/>
  <c r="L1528" i="1"/>
  <c r="K1528" i="1"/>
  <c r="Z1527" i="1"/>
  <c r="Y1527" i="1"/>
  <c r="L1527" i="1"/>
  <c r="K1527" i="1"/>
  <c r="Z1526" i="1"/>
  <c r="Y1526" i="1"/>
  <c r="L1526" i="1"/>
  <c r="K1526" i="1"/>
  <c r="Z1525" i="1"/>
  <c r="Y1525" i="1"/>
  <c r="L1525" i="1"/>
  <c r="K1525" i="1"/>
  <c r="Z1524" i="1"/>
  <c r="Y1524" i="1"/>
  <c r="L1524" i="1"/>
  <c r="K1524" i="1"/>
  <c r="Z1523" i="1"/>
  <c r="Y1523" i="1"/>
  <c r="L1523" i="1"/>
  <c r="K1523" i="1"/>
  <c r="Z1522" i="1"/>
  <c r="Y1522" i="1"/>
  <c r="L1522" i="1"/>
  <c r="K1522" i="1"/>
  <c r="Z1521" i="1"/>
  <c r="Y1521" i="1"/>
  <c r="L1521" i="1"/>
  <c r="K1521" i="1"/>
  <c r="Z1520" i="1"/>
  <c r="Y1520" i="1"/>
  <c r="L1520" i="1"/>
  <c r="K1520" i="1"/>
  <c r="Z1519" i="1"/>
  <c r="Y1519" i="1"/>
  <c r="L1519" i="1"/>
  <c r="K1519" i="1"/>
  <c r="Z1518" i="1"/>
  <c r="Y1518" i="1"/>
  <c r="L1518" i="1"/>
  <c r="K1518" i="1"/>
  <c r="Z1517" i="1"/>
  <c r="Y1517" i="1"/>
  <c r="L1517" i="1"/>
  <c r="K1517" i="1"/>
  <c r="Z1516" i="1"/>
  <c r="Y1516" i="1"/>
  <c r="L1516" i="1"/>
  <c r="K1516" i="1"/>
  <c r="Z1515" i="1"/>
  <c r="Y1515" i="1"/>
  <c r="L1515" i="1"/>
  <c r="K1515" i="1"/>
  <c r="Z1514" i="1"/>
  <c r="Y1514" i="1"/>
  <c r="L1514" i="1"/>
  <c r="K1514" i="1"/>
  <c r="Z1513" i="1"/>
  <c r="Y1513" i="1"/>
  <c r="L1513" i="1"/>
  <c r="K1513" i="1"/>
  <c r="Z1512" i="1"/>
  <c r="Y1512" i="1"/>
  <c r="L1512" i="1"/>
  <c r="K1512" i="1"/>
  <c r="Z1511" i="1"/>
  <c r="Y1511" i="1"/>
  <c r="L1511" i="1"/>
  <c r="K1511" i="1"/>
  <c r="Z1510" i="1"/>
  <c r="Y1510" i="1"/>
  <c r="L1510" i="1"/>
  <c r="K1510" i="1"/>
  <c r="Z1509" i="1"/>
  <c r="Y1509" i="1"/>
  <c r="L1509" i="1"/>
  <c r="K1509" i="1"/>
  <c r="Z1508" i="1"/>
  <c r="Y1508" i="1"/>
  <c r="L1508" i="1"/>
  <c r="K1508" i="1"/>
  <c r="Z1507" i="1"/>
  <c r="Y1507" i="1"/>
  <c r="L1507" i="1"/>
  <c r="K1507" i="1"/>
  <c r="Z1506" i="1"/>
  <c r="Y1506" i="1"/>
  <c r="L1506" i="1"/>
  <c r="K1506" i="1"/>
  <c r="Z1505" i="1"/>
  <c r="Y1505" i="1"/>
  <c r="L1505" i="1"/>
  <c r="K1505" i="1"/>
  <c r="Z1504" i="1"/>
  <c r="Y1504" i="1"/>
  <c r="L1504" i="1"/>
  <c r="K1504" i="1"/>
  <c r="Z1503" i="1"/>
  <c r="Y1503" i="1"/>
  <c r="L1503" i="1"/>
  <c r="K1503" i="1"/>
  <c r="Z1502" i="1"/>
  <c r="Y1502" i="1"/>
  <c r="L1502" i="1"/>
  <c r="K1502" i="1"/>
  <c r="Z1501" i="1"/>
  <c r="Y1501" i="1"/>
  <c r="L1501" i="1"/>
  <c r="K1501" i="1"/>
  <c r="Z1500" i="1"/>
  <c r="Y1500" i="1"/>
  <c r="L1500" i="1"/>
  <c r="K1500" i="1"/>
  <c r="Z1499" i="1"/>
  <c r="Y1499" i="1"/>
  <c r="L1499" i="1"/>
  <c r="K1499" i="1"/>
  <c r="Z1498" i="1"/>
  <c r="Y1498" i="1"/>
  <c r="L1498" i="1"/>
  <c r="K1498" i="1"/>
  <c r="Z1497" i="1"/>
  <c r="Y1497" i="1"/>
  <c r="L1497" i="1"/>
  <c r="K1497" i="1"/>
  <c r="Z1496" i="1"/>
  <c r="Y1496" i="1"/>
  <c r="L1496" i="1"/>
  <c r="K1496" i="1"/>
  <c r="Z1495" i="1"/>
  <c r="Y1495" i="1"/>
  <c r="L1495" i="1"/>
  <c r="K1495" i="1"/>
  <c r="Z1494" i="1"/>
  <c r="Y1494" i="1"/>
  <c r="L1494" i="1"/>
  <c r="K1494" i="1"/>
  <c r="Z1493" i="1"/>
  <c r="Y1493" i="1"/>
  <c r="L1493" i="1"/>
  <c r="K1493" i="1"/>
  <c r="Z1492" i="1"/>
  <c r="Y1492" i="1"/>
  <c r="L1492" i="1"/>
  <c r="K1492" i="1"/>
  <c r="Z1491" i="1"/>
  <c r="Y1491" i="1"/>
  <c r="L1491" i="1"/>
  <c r="K1491" i="1"/>
  <c r="Z1490" i="1"/>
  <c r="Y1490" i="1"/>
  <c r="L1490" i="1"/>
  <c r="K1490" i="1"/>
  <c r="Z1489" i="1"/>
  <c r="Y1489" i="1"/>
  <c r="L1489" i="1"/>
  <c r="K1489" i="1"/>
  <c r="Z1488" i="1"/>
  <c r="Y1488" i="1"/>
  <c r="L1488" i="1"/>
  <c r="K1488" i="1"/>
  <c r="Z1487" i="1"/>
  <c r="Y1487" i="1"/>
  <c r="L1487" i="1"/>
  <c r="K1487" i="1"/>
  <c r="Z1486" i="1"/>
  <c r="Y1486" i="1"/>
  <c r="L1486" i="1"/>
  <c r="K1486" i="1"/>
  <c r="Z1485" i="1"/>
  <c r="Y1485" i="1"/>
  <c r="L1485" i="1"/>
  <c r="K1485" i="1"/>
  <c r="Z1484" i="1"/>
  <c r="Y1484" i="1"/>
  <c r="L1484" i="1"/>
  <c r="K1484" i="1"/>
  <c r="Z1483" i="1"/>
  <c r="Y1483" i="1"/>
  <c r="L1483" i="1"/>
  <c r="K1483" i="1"/>
  <c r="Z1482" i="1"/>
  <c r="Y1482" i="1"/>
  <c r="L1482" i="1"/>
  <c r="K1482" i="1"/>
  <c r="Z1481" i="1"/>
  <c r="Y1481" i="1"/>
  <c r="L1481" i="1"/>
  <c r="K1481" i="1"/>
  <c r="Z1480" i="1"/>
  <c r="Y1480" i="1"/>
  <c r="L1480" i="1"/>
  <c r="K1480" i="1"/>
  <c r="Z1479" i="1"/>
  <c r="Y1479" i="1"/>
  <c r="L1479" i="1"/>
  <c r="K1479" i="1"/>
  <c r="Z1478" i="1"/>
  <c r="Y1478" i="1"/>
  <c r="L1478" i="1"/>
  <c r="K1478" i="1"/>
  <c r="Z1477" i="1"/>
  <c r="Y1477" i="1"/>
  <c r="L1477" i="1"/>
  <c r="K1477" i="1"/>
  <c r="Z1476" i="1"/>
  <c r="Y1476" i="1"/>
  <c r="L1476" i="1"/>
  <c r="K1476" i="1"/>
  <c r="Z1475" i="1"/>
  <c r="Y1475" i="1"/>
  <c r="L1475" i="1"/>
  <c r="K1475" i="1"/>
  <c r="Z1474" i="1"/>
  <c r="Y1474" i="1"/>
  <c r="L1474" i="1"/>
  <c r="K1474" i="1"/>
  <c r="Z1473" i="1"/>
  <c r="Y1473" i="1"/>
  <c r="L1473" i="1"/>
  <c r="K1473" i="1"/>
  <c r="Z1472" i="1"/>
  <c r="Y1472" i="1"/>
  <c r="L1472" i="1"/>
  <c r="K1472" i="1"/>
  <c r="Z1471" i="1"/>
  <c r="Y1471" i="1"/>
  <c r="L1471" i="1"/>
  <c r="K1471" i="1"/>
  <c r="Z1470" i="1"/>
  <c r="Y1470" i="1"/>
  <c r="L1470" i="1"/>
  <c r="K1470" i="1"/>
  <c r="Z1469" i="1"/>
  <c r="Y1469" i="1"/>
  <c r="L1469" i="1"/>
  <c r="K1469" i="1"/>
  <c r="Z1468" i="1"/>
  <c r="Y1468" i="1"/>
  <c r="L1468" i="1"/>
  <c r="K1468" i="1"/>
  <c r="Z1467" i="1"/>
  <c r="Y1467" i="1"/>
  <c r="L1467" i="1"/>
  <c r="K1467" i="1"/>
  <c r="Z1466" i="1"/>
  <c r="Y1466" i="1"/>
  <c r="L1466" i="1"/>
  <c r="K1466" i="1"/>
  <c r="Z1465" i="1"/>
  <c r="Y1465" i="1"/>
  <c r="L1465" i="1"/>
  <c r="K1465" i="1"/>
  <c r="Z1464" i="1"/>
  <c r="Y1464" i="1"/>
  <c r="L1464" i="1"/>
  <c r="K1464" i="1"/>
  <c r="Z1463" i="1"/>
  <c r="Y1463" i="1"/>
  <c r="L1463" i="1"/>
  <c r="K1463" i="1"/>
  <c r="Z1462" i="1"/>
  <c r="Y1462" i="1"/>
  <c r="L1462" i="1"/>
  <c r="K1462" i="1"/>
  <c r="Z1461" i="1"/>
  <c r="Y1461" i="1"/>
  <c r="L1461" i="1"/>
  <c r="K1461" i="1"/>
  <c r="Z1460" i="1"/>
  <c r="Y1460" i="1"/>
  <c r="L1460" i="1"/>
  <c r="K1460" i="1"/>
  <c r="Z1459" i="1"/>
  <c r="Y1459" i="1"/>
  <c r="L1459" i="1"/>
  <c r="K1459" i="1"/>
  <c r="Z1458" i="1"/>
  <c r="Y1458" i="1"/>
  <c r="L1458" i="1"/>
  <c r="K1458" i="1"/>
  <c r="Z1457" i="1"/>
  <c r="Y1457" i="1"/>
  <c r="L1457" i="1"/>
  <c r="K1457" i="1"/>
  <c r="Z1456" i="1"/>
  <c r="Y1456" i="1"/>
  <c r="L1456" i="1"/>
  <c r="K1456" i="1"/>
  <c r="Z1455" i="1"/>
  <c r="Y1455" i="1"/>
  <c r="L1455" i="1"/>
  <c r="K1455" i="1"/>
  <c r="Z1454" i="1"/>
  <c r="Y1454" i="1"/>
  <c r="L1454" i="1"/>
  <c r="K1454" i="1"/>
  <c r="Z1453" i="1"/>
  <c r="Y1453" i="1"/>
  <c r="L1453" i="1"/>
  <c r="K1453" i="1"/>
  <c r="Z1452" i="1"/>
  <c r="Y1452" i="1"/>
  <c r="L1452" i="1"/>
  <c r="K1452" i="1"/>
  <c r="Z1451" i="1"/>
  <c r="Y1451" i="1"/>
  <c r="L1451" i="1"/>
  <c r="K1451" i="1"/>
  <c r="Z1450" i="1"/>
  <c r="Y1450" i="1"/>
  <c r="L1450" i="1"/>
  <c r="K1450" i="1"/>
  <c r="Z1449" i="1"/>
  <c r="Y1449" i="1"/>
  <c r="L1449" i="1"/>
  <c r="K1449" i="1"/>
  <c r="Z1448" i="1"/>
  <c r="Y1448" i="1"/>
  <c r="L1448" i="1"/>
  <c r="K1448" i="1"/>
  <c r="Z1447" i="1"/>
  <c r="Y1447" i="1"/>
  <c r="L1447" i="1"/>
  <c r="K1447" i="1"/>
  <c r="Z1446" i="1"/>
  <c r="Y1446" i="1"/>
  <c r="L1446" i="1"/>
  <c r="K1446" i="1"/>
  <c r="Z1445" i="1"/>
  <c r="Y1445" i="1"/>
  <c r="L1445" i="1"/>
  <c r="K1445" i="1"/>
  <c r="Z1444" i="1"/>
  <c r="Y1444" i="1"/>
  <c r="L1444" i="1"/>
  <c r="K1444" i="1"/>
  <c r="Z1443" i="1"/>
  <c r="Y1443" i="1"/>
  <c r="L1443" i="1"/>
  <c r="K1443" i="1"/>
  <c r="Z1442" i="1"/>
  <c r="Y1442" i="1"/>
  <c r="L1442" i="1"/>
  <c r="K1442" i="1"/>
  <c r="Z1441" i="1"/>
  <c r="Y1441" i="1"/>
  <c r="L1441" i="1"/>
  <c r="K1441" i="1"/>
  <c r="Z1440" i="1"/>
  <c r="Y1440" i="1"/>
  <c r="L1440" i="1"/>
  <c r="K1440" i="1"/>
  <c r="Z1439" i="1"/>
  <c r="Y1439" i="1"/>
  <c r="L1439" i="1"/>
  <c r="K1439" i="1"/>
  <c r="Z1438" i="1"/>
  <c r="Y1438" i="1"/>
  <c r="L1438" i="1"/>
  <c r="K1438" i="1"/>
  <c r="Y1437" i="1"/>
  <c r="P1437" i="1"/>
  <c r="O1437" i="1"/>
  <c r="N1437" i="1"/>
  <c r="Z1437" i="1" s="1"/>
  <c r="K1437" i="1"/>
  <c r="L1437" i="1" s="1"/>
  <c r="Z1436" i="1"/>
  <c r="Y1436" i="1"/>
  <c r="O1436" i="1"/>
  <c r="N1436" i="1"/>
  <c r="P1436" i="1" s="1"/>
  <c r="L1436" i="1"/>
  <c r="K1436" i="1"/>
  <c r="Y1435" i="1"/>
  <c r="N1435" i="1"/>
  <c r="L1435" i="1"/>
  <c r="K1435" i="1"/>
  <c r="Y1434" i="1"/>
  <c r="P1434" i="1"/>
  <c r="O1434" i="1"/>
  <c r="N1434" i="1"/>
  <c r="Z1434" i="1" s="1"/>
  <c r="K1434" i="1"/>
  <c r="L1434" i="1" s="1"/>
  <c r="Y1433" i="1"/>
  <c r="P1433" i="1"/>
  <c r="O1433" i="1"/>
  <c r="N1433" i="1"/>
  <c r="Z1433" i="1" s="1"/>
  <c r="K1433" i="1"/>
  <c r="L1433" i="1" s="1"/>
  <c r="Z1432" i="1"/>
  <c r="Y1432" i="1"/>
  <c r="N1432" i="1"/>
  <c r="L1432" i="1"/>
  <c r="K1432" i="1"/>
  <c r="Y1431" i="1"/>
  <c r="N1431" i="1"/>
  <c r="L1431" i="1"/>
  <c r="K1431" i="1"/>
  <c r="Y1430" i="1"/>
  <c r="P1430" i="1"/>
  <c r="O1430" i="1"/>
  <c r="N1430" i="1"/>
  <c r="Z1430" i="1" s="1"/>
  <c r="L1430" i="1"/>
  <c r="K1430" i="1"/>
  <c r="Y1429" i="1"/>
  <c r="P1429" i="1"/>
  <c r="O1429" i="1"/>
  <c r="N1429" i="1"/>
  <c r="Z1429" i="1" s="1"/>
  <c r="K1429" i="1"/>
  <c r="L1429" i="1" s="1"/>
  <c r="Z1428" i="1"/>
  <c r="Y1428" i="1"/>
  <c r="O1428" i="1"/>
  <c r="N1428" i="1"/>
  <c r="P1428" i="1" s="1"/>
  <c r="L1428" i="1"/>
  <c r="K1428" i="1"/>
  <c r="Z1427" i="1"/>
  <c r="Y1427" i="1"/>
  <c r="N1427" i="1"/>
  <c r="L1427" i="1"/>
  <c r="K1427" i="1"/>
  <c r="Y1426" i="1"/>
  <c r="P1426" i="1"/>
  <c r="O1426" i="1"/>
  <c r="N1426" i="1"/>
  <c r="Z1426" i="1" s="1"/>
  <c r="K1426" i="1"/>
  <c r="L1426" i="1" s="1"/>
  <c r="Y1425" i="1"/>
  <c r="P1425" i="1"/>
  <c r="O1425" i="1"/>
  <c r="N1425" i="1"/>
  <c r="Z1425" i="1" s="1"/>
  <c r="K1425" i="1"/>
  <c r="L1425" i="1" s="1"/>
  <c r="Z1424" i="1"/>
  <c r="Y1424" i="1"/>
  <c r="O1424" i="1"/>
  <c r="N1424" i="1"/>
  <c r="P1424" i="1" s="1"/>
  <c r="L1424" i="1"/>
  <c r="K1424" i="1"/>
  <c r="Y1423" i="1"/>
  <c r="N1423" i="1"/>
  <c r="L1423" i="1"/>
  <c r="K1423" i="1"/>
  <c r="Y1422" i="1"/>
  <c r="P1422" i="1"/>
  <c r="O1422" i="1"/>
  <c r="N1422" i="1"/>
  <c r="Z1422" i="1" s="1"/>
  <c r="K1422" i="1"/>
  <c r="L1422" i="1" s="1"/>
  <c r="Y1421" i="1"/>
  <c r="P1421" i="1"/>
  <c r="O1421" i="1"/>
  <c r="N1421" i="1"/>
  <c r="Z1421" i="1" s="1"/>
  <c r="K1421" i="1"/>
  <c r="L1421" i="1" s="1"/>
  <c r="Z1420" i="1"/>
  <c r="Y1420" i="1"/>
  <c r="O1420" i="1"/>
  <c r="N1420" i="1"/>
  <c r="P1420" i="1" s="1"/>
  <c r="L1420" i="1"/>
  <c r="K1420" i="1"/>
  <c r="Z1419" i="1"/>
  <c r="Y1419" i="1"/>
  <c r="N1419" i="1"/>
  <c r="L1419" i="1"/>
  <c r="K1419" i="1"/>
  <c r="Y1418" i="1"/>
  <c r="P1418" i="1"/>
  <c r="O1418" i="1"/>
  <c r="N1418" i="1"/>
  <c r="Z1418" i="1" s="1"/>
  <c r="K1418" i="1"/>
  <c r="L1418" i="1" s="1"/>
  <c r="Y1417" i="1"/>
  <c r="P1417" i="1"/>
  <c r="O1417" i="1"/>
  <c r="N1417" i="1"/>
  <c r="Z1417" i="1" s="1"/>
  <c r="K1417" i="1"/>
  <c r="L1417" i="1" s="1"/>
  <c r="Y1416" i="1"/>
  <c r="O1416" i="1"/>
  <c r="N1416" i="1"/>
  <c r="P1416" i="1" s="1"/>
  <c r="L1416" i="1"/>
  <c r="K1416" i="1"/>
  <c r="Z1415" i="1"/>
  <c r="Y1415" i="1"/>
  <c r="N1415" i="1"/>
  <c r="L1415" i="1"/>
  <c r="K1415" i="1"/>
  <c r="Y1414" i="1"/>
  <c r="P1414" i="1"/>
  <c r="O1414" i="1"/>
  <c r="N1414" i="1"/>
  <c r="Z1414" i="1" s="1"/>
  <c r="L1414" i="1"/>
  <c r="K1414" i="1"/>
  <c r="Y1413" i="1"/>
  <c r="P1413" i="1"/>
  <c r="O1413" i="1"/>
  <c r="N1413" i="1"/>
  <c r="Z1413" i="1" s="1"/>
  <c r="K1413" i="1"/>
  <c r="L1413" i="1" s="1"/>
  <c r="Z1412" i="1"/>
  <c r="Y1412" i="1"/>
  <c r="O1412" i="1"/>
  <c r="N1412" i="1"/>
  <c r="P1412" i="1" s="1"/>
  <c r="L1412" i="1"/>
  <c r="K1412" i="1"/>
  <c r="Y1411" i="1"/>
  <c r="N1411" i="1"/>
  <c r="L1411" i="1"/>
  <c r="K1411" i="1"/>
  <c r="Y1410" i="1"/>
  <c r="P1410" i="1"/>
  <c r="O1410" i="1"/>
  <c r="N1410" i="1"/>
  <c r="Z1410" i="1" s="1"/>
  <c r="K1410" i="1"/>
  <c r="L1410" i="1" s="1"/>
  <c r="Y1409" i="1"/>
  <c r="P1409" i="1"/>
  <c r="O1409" i="1"/>
  <c r="N1409" i="1"/>
  <c r="Z1409" i="1" s="1"/>
  <c r="K1409" i="1"/>
  <c r="L1409" i="1" s="1"/>
  <c r="Y1408" i="1"/>
  <c r="N1408" i="1"/>
  <c r="O1408" i="1" s="1"/>
  <c r="L1408" i="1"/>
  <c r="K1408" i="1"/>
  <c r="Z1407" i="1"/>
  <c r="Y1407" i="1"/>
  <c r="N1407" i="1"/>
  <c r="L1407" i="1"/>
  <c r="K1407" i="1"/>
  <c r="Y1406" i="1"/>
  <c r="P1406" i="1"/>
  <c r="O1406" i="1"/>
  <c r="N1406" i="1"/>
  <c r="Z1406" i="1" s="1"/>
  <c r="L1406" i="1"/>
  <c r="K1406" i="1"/>
  <c r="Y1405" i="1"/>
  <c r="P1405" i="1"/>
  <c r="O1405" i="1"/>
  <c r="N1405" i="1"/>
  <c r="Z1405" i="1" s="1"/>
  <c r="K1405" i="1"/>
  <c r="L1405" i="1" s="1"/>
  <c r="Z1404" i="1"/>
  <c r="Y1404" i="1"/>
  <c r="O1404" i="1"/>
  <c r="N1404" i="1"/>
  <c r="P1404" i="1" s="1"/>
  <c r="L1404" i="1"/>
  <c r="K1404" i="1"/>
  <c r="Y1403" i="1"/>
  <c r="N1403" i="1"/>
  <c r="L1403" i="1"/>
  <c r="K1403" i="1"/>
  <c r="Y1402" i="1"/>
  <c r="P1402" i="1"/>
  <c r="O1402" i="1"/>
  <c r="N1402" i="1"/>
  <c r="Z1402" i="1" s="1"/>
  <c r="K1402" i="1"/>
  <c r="L1402" i="1" s="1"/>
  <c r="Y1401" i="1"/>
  <c r="N1401" i="1"/>
  <c r="Z1401" i="1" s="1"/>
  <c r="L1401" i="1"/>
  <c r="K1401" i="1"/>
  <c r="Y1400" i="1"/>
  <c r="N1400" i="1"/>
  <c r="Z1400" i="1" s="1"/>
  <c r="L1400" i="1"/>
  <c r="K1400" i="1"/>
  <c r="Z1399" i="1"/>
  <c r="Y1399" i="1"/>
  <c r="N1399" i="1"/>
  <c r="K1399" i="1"/>
  <c r="L1399" i="1" s="1"/>
  <c r="Z1398" i="1"/>
  <c r="Y1398" i="1"/>
  <c r="N1398" i="1"/>
  <c r="K1398" i="1"/>
  <c r="L1398" i="1" s="1"/>
  <c r="Y1397" i="1"/>
  <c r="N1397" i="1"/>
  <c r="Z1397" i="1" s="1"/>
  <c r="L1397" i="1"/>
  <c r="K1397" i="1"/>
  <c r="Y1396" i="1"/>
  <c r="N1396" i="1"/>
  <c r="Z1396" i="1" s="1"/>
  <c r="L1396" i="1"/>
  <c r="K1396" i="1"/>
  <c r="Z1395" i="1"/>
  <c r="Y1395" i="1"/>
  <c r="N1395" i="1"/>
  <c r="K1395" i="1"/>
  <c r="L1395" i="1" s="1"/>
  <c r="Z1394" i="1"/>
  <c r="Y1394" i="1"/>
  <c r="N1394" i="1"/>
  <c r="K1394" i="1"/>
  <c r="L1394" i="1" s="1"/>
  <c r="Y1393" i="1"/>
  <c r="N1393" i="1"/>
  <c r="Z1393" i="1" s="1"/>
  <c r="L1393" i="1"/>
  <c r="K1393" i="1"/>
  <c r="Y1392" i="1"/>
  <c r="N1392" i="1"/>
  <c r="Z1392" i="1" s="1"/>
  <c r="L1392" i="1"/>
  <c r="K1392" i="1"/>
  <c r="Z1391" i="1"/>
  <c r="Y1391" i="1"/>
  <c r="N1391" i="1"/>
  <c r="K1391" i="1"/>
  <c r="L1391" i="1" s="1"/>
  <c r="Z1390" i="1"/>
  <c r="Y1390" i="1"/>
  <c r="N1390" i="1"/>
  <c r="L1390" i="1"/>
  <c r="K1390" i="1"/>
  <c r="Y1389" i="1"/>
  <c r="N1389" i="1"/>
  <c r="Z1389" i="1" s="1"/>
  <c r="L1389" i="1"/>
  <c r="K1389" i="1"/>
  <c r="Y1388" i="1"/>
  <c r="N1388" i="1"/>
  <c r="Z1388" i="1" s="1"/>
  <c r="L1388" i="1"/>
  <c r="K1388" i="1"/>
  <c r="Z1387" i="1"/>
  <c r="Y1387" i="1"/>
  <c r="N1387" i="1"/>
  <c r="K1387" i="1"/>
  <c r="L1387" i="1" s="1"/>
  <c r="Z1386" i="1"/>
  <c r="Y1386" i="1"/>
  <c r="N1386" i="1"/>
  <c r="K1386" i="1"/>
  <c r="L1386" i="1" s="1"/>
  <c r="Y1385" i="1"/>
  <c r="N1385" i="1"/>
  <c r="Z1385" i="1" s="1"/>
  <c r="L1385" i="1"/>
  <c r="K1385" i="1"/>
  <c r="Y1384" i="1"/>
  <c r="P1384" i="1"/>
  <c r="O1384" i="1"/>
  <c r="N1384" i="1"/>
  <c r="Z1384" i="1" s="1"/>
  <c r="K1384" i="1"/>
  <c r="L1384" i="1" s="1"/>
  <c r="Y1383" i="1"/>
  <c r="P1383" i="1"/>
  <c r="O1383" i="1"/>
  <c r="N1383" i="1"/>
  <c r="Z1383" i="1" s="1"/>
  <c r="K1383" i="1"/>
  <c r="L1383" i="1" s="1"/>
  <c r="Z1382" i="1"/>
  <c r="Y1382" i="1"/>
  <c r="O1382" i="1"/>
  <c r="N1382" i="1"/>
  <c r="P1382" i="1" s="1"/>
  <c r="L1382" i="1"/>
  <c r="K1382" i="1"/>
  <c r="Z1381" i="1"/>
  <c r="Y1381" i="1"/>
  <c r="N1381" i="1"/>
  <c r="L1381" i="1"/>
  <c r="K1381" i="1"/>
  <c r="Y1380" i="1"/>
  <c r="P1380" i="1"/>
  <c r="O1380" i="1"/>
  <c r="N1380" i="1"/>
  <c r="Z1380" i="1" s="1"/>
  <c r="K1380" i="1"/>
  <c r="L1380" i="1" s="1"/>
  <c r="Y1379" i="1"/>
  <c r="P1379" i="1"/>
  <c r="O1379" i="1"/>
  <c r="N1379" i="1"/>
  <c r="Z1379" i="1" s="1"/>
  <c r="K1379" i="1"/>
  <c r="L1379" i="1" s="1"/>
  <c r="Y1378" i="1"/>
  <c r="O1378" i="1"/>
  <c r="N1378" i="1"/>
  <c r="P1378" i="1" s="1"/>
  <c r="L1378" i="1"/>
  <c r="K1378" i="1"/>
  <c r="Z1377" i="1"/>
  <c r="Y1377" i="1"/>
  <c r="P1377" i="1"/>
  <c r="N1377" i="1"/>
  <c r="O1377" i="1" s="1"/>
  <c r="L1377" i="1"/>
  <c r="K1377" i="1"/>
  <c r="Y1376" i="1"/>
  <c r="P1376" i="1"/>
  <c r="O1376" i="1"/>
  <c r="N1376" i="1"/>
  <c r="Z1376" i="1" s="1"/>
  <c r="L1376" i="1"/>
  <c r="K1376" i="1"/>
  <c r="Z1375" i="1"/>
  <c r="Y1375" i="1"/>
  <c r="N1375" i="1"/>
  <c r="K1375" i="1"/>
  <c r="L1375" i="1" s="1"/>
  <c r="Y1374" i="1"/>
  <c r="N1374" i="1"/>
  <c r="L1374" i="1"/>
  <c r="K1374" i="1"/>
  <c r="Z1373" i="1"/>
  <c r="Y1373" i="1"/>
  <c r="P1373" i="1"/>
  <c r="N1373" i="1"/>
  <c r="O1373" i="1" s="1"/>
  <c r="K1373" i="1"/>
  <c r="L1373" i="1" s="1"/>
  <c r="Y1372" i="1"/>
  <c r="P1372" i="1"/>
  <c r="O1372" i="1"/>
  <c r="N1372" i="1"/>
  <c r="Z1372" i="1" s="1"/>
  <c r="L1372" i="1"/>
  <c r="K1372" i="1"/>
  <c r="Z1371" i="1"/>
  <c r="Y1371" i="1"/>
  <c r="P1371" i="1"/>
  <c r="N1371" i="1"/>
  <c r="O1371" i="1" s="1"/>
  <c r="K1371" i="1"/>
  <c r="L1371" i="1" s="1"/>
  <c r="Y1370" i="1"/>
  <c r="N1370" i="1"/>
  <c r="L1370" i="1"/>
  <c r="K1370" i="1"/>
  <c r="Z1369" i="1"/>
  <c r="Y1369" i="1"/>
  <c r="P1369" i="1"/>
  <c r="N1369" i="1"/>
  <c r="O1369" i="1" s="1"/>
  <c r="K1369" i="1"/>
  <c r="L1369" i="1" s="1"/>
  <c r="Y1368" i="1"/>
  <c r="P1368" i="1"/>
  <c r="O1368" i="1"/>
  <c r="N1368" i="1"/>
  <c r="Z1368" i="1" s="1"/>
  <c r="L1368" i="1"/>
  <c r="K1368" i="1"/>
  <c r="Y1367" i="1"/>
  <c r="P1367" i="1"/>
  <c r="N1367" i="1"/>
  <c r="O1367" i="1" s="1"/>
  <c r="K1367" i="1"/>
  <c r="L1367" i="1" s="1"/>
  <c r="Z1366" i="1"/>
  <c r="Y1366" i="1"/>
  <c r="O1366" i="1"/>
  <c r="N1366" i="1"/>
  <c r="P1366" i="1" s="1"/>
  <c r="L1366" i="1"/>
  <c r="K1366" i="1"/>
  <c r="Z1365" i="1"/>
  <c r="Y1365" i="1"/>
  <c r="P1365" i="1"/>
  <c r="N1365" i="1"/>
  <c r="O1365" i="1" s="1"/>
  <c r="L1365" i="1"/>
  <c r="K1365" i="1"/>
  <c r="Y1364" i="1"/>
  <c r="P1364" i="1"/>
  <c r="O1364" i="1"/>
  <c r="N1364" i="1"/>
  <c r="Z1364" i="1" s="1"/>
  <c r="L1364" i="1"/>
  <c r="K1364" i="1"/>
  <c r="Y1363" i="1"/>
  <c r="N1363" i="1"/>
  <c r="K1363" i="1"/>
  <c r="L1363" i="1" s="1"/>
  <c r="Y1362" i="1"/>
  <c r="O1362" i="1"/>
  <c r="N1362" i="1"/>
  <c r="P1362" i="1" s="1"/>
  <c r="L1362" i="1"/>
  <c r="K1362" i="1"/>
  <c r="Z1361" i="1"/>
  <c r="Y1361" i="1"/>
  <c r="P1361" i="1"/>
  <c r="N1361" i="1"/>
  <c r="O1361" i="1" s="1"/>
  <c r="L1361" i="1"/>
  <c r="K1361" i="1"/>
  <c r="Y1360" i="1"/>
  <c r="P1360" i="1"/>
  <c r="O1360" i="1"/>
  <c r="N1360" i="1"/>
  <c r="Z1360" i="1" s="1"/>
  <c r="L1360" i="1"/>
  <c r="K1360" i="1"/>
  <c r="Y1359" i="1"/>
  <c r="N1359" i="1"/>
  <c r="K1359" i="1"/>
  <c r="L1359" i="1" s="1"/>
  <c r="Y1358" i="1"/>
  <c r="N1358" i="1"/>
  <c r="L1358" i="1"/>
  <c r="K1358" i="1"/>
  <c r="Z1357" i="1"/>
  <c r="Y1357" i="1"/>
  <c r="P1357" i="1"/>
  <c r="N1357" i="1"/>
  <c r="O1357" i="1" s="1"/>
  <c r="K1357" i="1"/>
  <c r="L1357" i="1" s="1"/>
  <c r="Y1356" i="1"/>
  <c r="P1356" i="1"/>
  <c r="O1356" i="1"/>
  <c r="N1356" i="1"/>
  <c r="Z1356" i="1" s="1"/>
  <c r="L1356" i="1"/>
  <c r="K1356" i="1"/>
  <c r="Z1355" i="1"/>
  <c r="Y1355" i="1"/>
  <c r="P1355" i="1"/>
  <c r="N1355" i="1"/>
  <c r="O1355" i="1" s="1"/>
  <c r="K1355" i="1"/>
  <c r="L1355" i="1" s="1"/>
  <c r="Z1354" i="1"/>
  <c r="Y1354" i="1"/>
  <c r="N1354" i="1"/>
  <c r="L1354" i="1"/>
  <c r="K1354" i="1"/>
  <c r="Z1353" i="1"/>
  <c r="Y1353" i="1"/>
  <c r="P1353" i="1"/>
  <c r="N1353" i="1"/>
  <c r="O1353" i="1" s="1"/>
  <c r="K1353" i="1"/>
  <c r="L1353" i="1" s="1"/>
  <c r="Y1352" i="1"/>
  <c r="P1352" i="1"/>
  <c r="O1352" i="1"/>
  <c r="N1352" i="1"/>
  <c r="Z1352" i="1" s="1"/>
  <c r="L1352" i="1"/>
  <c r="K1352" i="1"/>
  <c r="Y1351" i="1"/>
  <c r="P1351" i="1"/>
  <c r="N1351" i="1"/>
  <c r="O1351" i="1" s="1"/>
  <c r="K1351" i="1"/>
  <c r="L1351" i="1" s="1"/>
  <c r="Z1350" i="1"/>
  <c r="Y1350" i="1"/>
  <c r="O1350" i="1"/>
  <c r="N1350" i="1"/>
  <c r="P1350" i="1" s="1"/>
  <c r="L1350" i="1"/>
  <c r="K1350" i="1"/>
  <c r="Z1349" i="1"/>
  <c r="Y1349" i="1"/>
  <c r="P1349" i="1"/>
  <c r="N1349" i="1"/>
  <c r="O1349" i="1" s="1"/>
  <c r="L1349" i="1"/>
  <c r="K1349" i="1"/>
  <c r="Y1348" i="1"/>
  <c r="P1348" i="1"/>
  <c r="O1348" i="1"/>
  <c r="N1348" i="1"/>
  <c r="Z1348" i="1" s="1"/>
  <c r="L1348" i="1"/>
  <c r="K1348" i="1"/>
  <c r="Y1347" i="1"/>
  <c r="N1347" i="1"/>
  <c r="K1347" i="1"/>
  <c r="L1347" i="1" s="1"/>
  <c r="Y1346" i="1"/>
  <c r="O1346" i="1"/>
  <c r="N1346" i="1"/>
  <c r="P1346" i="1" s="1"/>
  <c r="L1346" i="1"/>
  <c r="K1346" i="1"/>
  <c r="Z1345" i="1"/>
  <c r="Y1345" i="1"/>
  <c r="P1345" i="1"/>
  <c r="N1345" i="1"/>
  <c r="O1345" i="1" s="1"/>
  <c r="L1345" i="1"/>
  <c r="K1345" i="1"/>
  <c r="Y1344" i="1"/>
  <c r="N1344" i="1"/>
  <c r="L1344" i="1"/>
  <c r="K1344" i="1"/>
  <c r="Z1343" i="1"/>
  <c r="Y1343" i="1"/>
  <c r="P1343" i="1"/>
  <c r="N1343" i="1"/>
  <c r="O1343" i="1" s="1"/>
  <c r="K1343" i="1"/>
  <c r="L1343" i="1" s="1"/>
  <c r="Y1342" i="1"/>
  <c r="P1342" i="1"/>
  <c r="O1342" i="1"/>
  <c r="N1342" i="1"/>
  <c r="Z1342" i="1" s="1"/>
  <c r="L1342" i="1"/>
  <c r="K1342" i="1"/>
  <c r="Y1341" i="1"/>
  <c r="N1341" i="1"/>
  <c r="K1341" i="1"/>
  <c r="L1341" i="1" s="1"/>
  <c r="Y1340" i="1"/>
  <c r="N1340" i="1"/>
  <c r="L1340" i="1"/>
  <c r="K1340" i="1"/>
  <c r="Z1339" i="1"/>
  <c r="Y1339" i="1"/>
  <c r="P1339" i="1"/>
  <c r="N1339" i="1"/>
  <c r="O1339" i="1" s="1"/>
  <c r="K1339" i="1"/>
  <c r="L1339" i="1" s="1"/>
  <c r="Y1338" i="1"/>
  <c r="P1338" i="1"/>
  <c r="O1338" i="1"/>
  <c r="N1338" i="1"/>
  <c r="Z1338" i="1" s="1"/>
  <c r="L1338" i="1"/>
  <c r="K1338" i="1"/>
  <c r="Y1337" i="1"/>
  <c r="N1337" i="1"/>
  <c r="K1337" i="1"/>
  <c r="L1337" i="1" s="1"/>
  <c r="Y1336" i="1"/>
  <c r="O1336" i="1"/>
  <c r="N1336" i="1"/>
  <c r="L1336" i="1"/>
  <c r="K1336" i="1"/>
  <c r="Z1335" i="1"/>
  <c r="Y1335" i="1"/>
  <c r="P1335" i="1"/>
  <c r="N1335" i="1"/>
  <c r="O1335" i="1" s="1"/>
  <c r="L1335" i="1"/>
  <c r="K1335" i="1"/>
  <c r="Y1334" i="1"/>
  <c r="P1334" i="1"/>
  <c r="O1334" i="1"/>
  <c r="N1334" i="1"/>
  <c r="Z1334" i="1" s="1"/>
  <c r="L1334" i="1"/>
  <c r="K1334" i="1"/>
  <c r="Z1333" i="1"/>
  <c r="Y1333" i="1"/>
  <c r="N1333" i="1"/>
  <c r="K1333" i="1"/>
  <c r="L1333" i="1" s="1"/>
  <c r="Y1332" i="1"/>
  <c r="O1332" i="1"/>
  <c r="N1332" i="1"/>
  <c r="L1332" i="1"/>
  <c r="K1332" i="1"/>
  <c r="Z1331" i="1"/>
  <c r="Y1331" i="1"/>
  <c r="P1331" i="1"/>
  <c r="N1331" i="1"/>
  <c r="O1331" i="1" s="1"/>
  <c r="L1331" i="1"/>
  <c r="K1331" i="1"/>
  <c r="Y1330" i="1"/>
  <c r="P1330" i="1"/>
  <c r="O1330" i="1"/>
  <c r="N1330" i="1"/>
  <c r="Z1330" i="1" s="1"/>
  <c r="L1330" i="1"/>
  <c r="K1330" i="1"/>
  <c r="Z1329" i="1"/>
  <c r="Y1329" i="1"/>
  <c r="N1329" i="1"/>
  <c r="K1329" i="1"/>
  <c r="L1329" i="1" s="1"/>
  <c r="Y1328" i="1"/>
  <c r="N1328" i="1"/>
  <c r="L1328" i="1"/>
  <c r="K1328" i="1"/>
  <c r="Z1327" i="1"/>
  <c r="Y1327" i="1"/>
  <c r="P1327" i="1"/>
  <c r="N1327" i="1"/>
  <c r="O1327" i="1" s="1"/>
  <c r="K1327" i="1"/>
  <c r="L1327" i="1" s="1"/>
  <c r="Y1326" i="1"/>
  <c r="P1326" i="1"/>
  <c r="O1326" i="1"/>
  <c r="N1326" i="1"/>
  <c r="Z1326" i="1" s="1"/>
  <c r="L1326" i="1"/>
  <c r="K1326" i="1"/>
  <c r="Y1325" i="1"/>
  <c r="N1325" i="1"/>
  <c r="K1325" i="1"/>
  <c r="L1325" i="1" s="1"/>
  <c r="Y1324" i="1"/>
  <c r="N1324" i="1"/>
  <c r="L1324" i="1"/>
  <c r="K1324" i="1"/>
  <c r="Z1323" i="1"/>
  <c r="Y1323" i="1"/>
  <c r="P1323" i="1"/>
  <c r="N1323" i="1"/>
  <c r="O1323" i="1" s="1"/>
  <c r="K1323" i="1"/>
  <c r="L1323" i="1" s="1"/>
  <c r="Y1322" i="1"/>
  <c r="P1322" i="1"/>
  <c r="O1322" i="1"/>
  <c r="N1322" i="1"/>
  <c r="Z1322" i="1" s="1"/>
  <c r="L1322" i="1"/>
  <c r="K1322" i="1"/>
  <c r="Y1321" i="1"/>
  <c r="N1321" i="1"/>
  <c r="K1321" i="1"/>
  <c r="L1321" i="1" s="1"/>
  <c r="Y1320" i="1"/>
  <c r="N1320" i="1"/>
  <c r="L1320" i="1"/>
  <c r="K1320" i="1"/>
  <c r="Z1319" i="1"/>
  <c r="Y1319" i="1"/>
  <c r="P1319" i="1"/>
  <c r="N1319" i="1"/>
  <c r="O1319" i="1" s="1"/>
  <c r="K1319" i="1"/>
  <c r="L1319" i="1" s="1"/>
  <c r="Y1318" i="1"/>
  <c r="P1318" i="1"/>
  <c r="O1318" i="1"/>
  <c r="N1318" i="1"/>
  <c r="Z1318" i="1" s="1"/>
  <c r="L1318" i="1"/>
  <c r="K1318" i="1"/>
  <c r="Z1317" i="1"/>
  <c r="Y1317" i="1"/>
  <c r="N1317" i="1"/>
  <c r="K1317" i="1"/>
  <c r="L1317" i="1" s="1"/>
  <c r="Y1316" i="1"/>
  <c r="O1316" i="1"/>
  <c r="N1316" i="1"/>
  <c r="L1316" i="1"/>
  <c r="K1316" i="1"/>
  <c r="Z1315" i="1"/>
  <c r="Y1315" i="1"/>
  <c r="P1315" i="1"/>
  <c r="N1315" i="1"/>
  <c r="O1315" i="1" s="1"/>
  <c r="L1315" i="1"/>
  <c r="K1315" i="1"/>
  <c r="Y1314" i="1"/>
  <c r="P1314" i="1"/>
  <c r="O1314" i="1"/>
  <c r="N1314" i="1"/>
  <c r="Z1314" i="1" s="1"/>
  <c r="L1314" i="1"/>
  <c r="K1314" i="1"/>
  <c r="Z1313" i="1"/>
  <c r="Y1313" i="1"/>
  <c r="N1313" i="1"/>
  <c r="K1313" i="1"/>
  <c r="L1313" i="1" s="1"/>
  <c r="Y1312" i="1"/>
  <c r="N1312" i="1"/>
  <c r="L1312" i="1"/>
  <c r="K1312" i="1"/>
  <c r="Z1311" i="1"/>
  <c r="Y1311" i="1"/>
  <c r="P1311" i="1"/>
  <c r="N1311" i="1"/>
  <c r="O1311" i="1" s="1"/>
  <c r="K1311" i="1"/>
  <c r="L1311" i="1" s="1"/>
  <c r="Y1310" i="1"/>
  <c r="P1310" i="1"/>
  <c r="O1310" i="1"/>
  <c r="N1310" i="1"/>
  <c r="Z1310" i="1" s="1"/>
  <c r="L1310" i="1"/>
  <c r="K1310" i="1"/>
  <c r="Y1309" i="1"/>
  <c r="N1309" i="1"/>
  <c r="K1309" i="1"/>
  <c r="L1309" i="1" s="1"/>
  <c r="Y1308" i="1"/>
  <c r="N1308" i="1"/>
  <c r="L1308" i="1"/>
  <c r="K1308" i="1"/>
  <c r="Z1307" i="1"/>
  <c r="Y1307" i="1"/>
  <c r="P1307" i="1"/>
  <c r="N1307" i="1"/>
  <c r="O1307" i="1" s="1"/>
  <c r="K1307" i="1"/>
  <c r="L1307" i="1" s="1"/>
  <c r="Y1306" i="1"/>
  <c r="P1306" i="1"/>
  <c r="O1306" i="1"/>
  <c r="N1306" i="1"/>
  <c r="Z1306" i="1" s="1"/>
  <c r="L1306" i="1"/>
  <c r="K1306" i="1"/>
  <c r="Y1305" i="1"/>
  <c r="N1305" i="1"/>
  <c r="K1305" i="1"/>
  <c r="L1305" i="1" s="1"/>
  <c r="Y1304" i="1"/>
  <c r="O1304" i="1"/>
  <c r="N1304" i="1"/>
  <c r="L1304" i="1"/>
  <c r="K1304" i="1"/>
  <c r="Z1303" i="1"/>
  <c r="Y1303" i="1"/>
  <c r="P1303" i="1"/>
  <c r="N1303" i="1"/>
  <c r="O1303" i="1" s="1"/>
  <c r="L1303" i="1"/>
  <c r="K1303" i="1"/>
  <c r="Y1302" i="1"/>
  <c r="P1302" i="1"/>
  <c r="O1302" i="1"/>
  <c r="N1302" i="1"/>
  <c r="Z1302" i="1" s="1"/>
  <c r="L1302" i="1"/>
  <c r="K1302" i="1"/>
  <c r="Z1301" i="1"/>
  <c r="Y1301" i="1"/>
  <c r="N1301" i="1"/>
  <c r="K1301" i="1"/>
  <c r="L1301" i="1" s="1"/>
  <c r="Y1300" i="1"/>
  <c r="O1300" i="1"/>
  <c r="N1300" i="1"/>
  <c r="L1300" i="1"/>
  <c r="K1300" i="1"/>
  <c r="Z1299" i="1"/>
  <c r="Y1299" i="1"/>
  <c r="P1299" i="1"/>
  <c r="N1299" i="1"/>
  <c r="O1299" i="1" s="1"/>
  <c r="L1299" i="1"/>
  <c r="K1299" i="1"/>
  <c r="Y1298" i="1"/>
  <c r="P1298" i="1"/>
  <c r="O1298" i="1"/>
  <c r="N1298" i="1"/>
  <c r="Z1298" i="1" s="1"/>
  <c r="L1298" i="1"/>
  <c r="K1298" i="1"/>
  <c r="Z1297" i="1"/>
  <c r="Y1297" i="1"/>
  <c r="N1297" i="1"/>
  <c r="K1297" i="1"/>
  <c r="L1297" i="1" s="1"/>
  <c r="Y1296" i="1"/>
  <c r="N1296" i="1"/>
  <c r="L1296" i="1"/>
  <c r="K1296" i="1"/>
  <c r="Z1295" i="1"/>
  <c r="Y1295" i="1"/>
  <c r="P1295" i="1"/>
  <c r="N1295" i="1"/>
  <c r="O1295" i="1" s="1"/>
  <c r="K1295" i="1"/>
  <c r="L1295" i="1" s="1"/>
  <c r="Y1294" i="1"/>
  <c r="P1294" i="1"/>
  <c r="O1294" i="1"/>
  <c r="N1294" i="1"/>
  <c r="Z1294" i="1" s="1"/>
  <c r="L1294" i="1"/>
  <c r="K1294" i="1"/>
  <c r="Y1293" i="1"/>
  <c r="N1293" i="1"/>
  <c r="K1293" i="1"/>
  <c r="L1293" i="1" s="1"/>
  <c r="Y1292" i="1"/>
  <c r="N1292" i="1"/>
  <c r="L1292" i="1"/>
  <c r="K1292" i="1"/>
  <c r="Z1291" i="1"/>
  <c r="Y1291" i="1"/>
  <c r="P1291" i="1"/>
  <c r="N1291" i="1"/>
  <c r="O1291" i="1" s="1"/>
  <c r="K1291" i="1"/>
  <c r="L1291" i="1" s="1"/>
  <c r="Y1290" i="1"/>
  <c r="P1290" i="1"/>
  <c r="O1290" i="1"/>
  <c r="N1290" i="1"/>
  <c r="Z1290" i="1" s="1"/>
  <c r="L1290" i="1"/>
  <c r="K1290" i="1"/>
  <c r="Y1289" i="1"/>
  <c r="N1289" i="1"/>
  <c r="K1289" i="1"/>
  <c r="L1289" i="1" s="1"/>
  <c r="Y1288" i="1"/>
  <c r="N1288" i="1"/>
  <c r="L1288" i="1"/>
  <c r="K1288" i="1"/>
  <c r="Z1287" i="1"/>
  <c r="Y1287" i="1"/>
  <c r="P1287" i="1"/>
  <c r="N1287" i="1"/>
  <c r="O1287" i="1" s="1"/>
  <c r="K1287" i="1"/>
  <c r="L1287" i="1" s="1"/>
  <c r="Y1286" i="1"/>
  <c r="P1286" i="1"/>
  <c r="O1286" i="1"/>
  <c r="N1286" i="1"/>
  <c r="Z1286" i="1" s="1"/>
  <c r="L1286" i="1"/>
  <c r="K1286" i="1"/>
  <c r="Z1285" i="1"/>
  <c r="Y1285" i="1"/>
  <c r="N1285" i="1"/>
  <c r="K1285" i="1"/>
  <c r="L1285" i="1" s="1"/>
  <c r="Y1284" i="1"/>
  <c r="O1284" i="1"/>
  <c r="N1284" i="1"/>
  <c r="L1284" i="1"/>
  <c r="K1284" i="1"/>
  <c r="Z1283" i="1"/>
  <c r="Y1283" i="1"/>
  <c r="P1283" i="1"/>
  <c r="N1283" i="1"/>
  <c r="O1283" i="1" s="1"/>
  <c r="L1283" i="1"/>
  <c r="K1283" i="1"/>
  <c r="Y1282" i="1"/>
  <c r="P1282" i="1"/>
  <c r="O1282" i="1"/>
  <c r="N1282" i="1"/>
  <c r="Z1282" i="1" s="1"/>
  <c r="L1282" i="1"/>
  <c r="K1282" i="1"/>
  <c r="Z1281" i="1"/>
  <c r="Y1281" i="1"/>
  <c r="N1281" i="1"/>
  <c r="K1281" i="1"/>
  <c r="L1281" i="1" s="1"/>
  <c r="Y1280" i="1"/>
  <c r="N1280" i="1"/>
  <c r="L1280" i="1"/>
  <c r="K1280" i="1"/>
  <c r="Z1279" i="1"/>
  <c r="Y1279" i="1"/>
  <c r="P1279" i="1"/>
  <c r="N1279" i="1"/>
  <c r="O1279" i="1" s="1"/>
  <c r="K1279" i="1"/>
  <c r="L1279" i="1" s="1"/>
  <c r="Y1278" i="1"/>
  <c r="P1278" i="1"/>
  <c r="O1278" i="1"/>
  <c r="N1278" i="1"/>
  <c r="Z1278" i="1" s="1"/>
  <c r="L1278" i="1"/>
  <c r="K1278" i="1"/>
  <c r="Y1277" i="1"/>
  <c r="N1277" i="1"/>
  <c r="K1277" i="1"/>
  <c r="L1277" i="1" s="1"/>
  <c r="Y1276" i="1"/>
  <c r="N1276" i="1"/>
  <c r="L1276" i="1"/>
  <c r="K1276" i="1"/>
  <c r="Z1275" i="1"/>
  <c r="Y1275" i="1"/>
  <c r="P1275" i="1"/>
  <c r="N1275" i="1"/>
  <c r="O1275" i="1" s="1"/>
  <c r="K1275" i="1"/>
  <c r="L1275" i="1" s="1"/>
  <c r="Y1274" i="1"/>
  <c r="P1274" i="1"/>
  <c r="O1274" i="1"/>
  <c r="N1274" i="1"/>
  <c r="Z1274" i="1" s="1"/>
  <c r="L1274" i="1"/>
  <c r="K1274" i="1"/>
  <c r="Y1273" i="1"/>
  <c r="N1273" i="1"/>
  <c r="K1273" i="1"/>
  <c r="L1273" i="1" s="1"/>
  <c r="Y1272" i="1"/>
  <c r="O1272" i="1"/>
  <c r="N1272" i="1"/>
  <c r="L1272" i="1"/>
  <c r="K1272" i="1"/>
  <c r="Z1271" i="1"/>
  <c r="Y1271" i="1"/>
  <c r="P1271" i="1"/>
  <c r="N1271" i="1"/>
  <c r="O1271" i="1" s="1"/>
  <c r="L1271" i="1"/>
  <c r="K1271" i="1"/>
  <c r="Y1270" i="1"/>
  <c r="P1270" i="1"/>
  <c r="O1270" i="1"/>
  <c r="N1270" i="1"/>
  <c r="Z1270" i="1" s="1"/>
  <c r="L1270" i="1"/>
  <c r="K1270" i="1"/>
  <c r="Z1269" i="1"/>
  <c r="Y1269" i="1"/>
  <c r="N1269" i="1"/>
  <c r="K1269" i="1"/>
  <c r="L1269" i="1" s="1"/>
  <c r="Y1268" i="1"/>
  <c r="O1268" i="1"/>
  <c r="N1268" i="1"/>
  <c r="L1268" i="1"/>
  <c r="K1268" i="1"/>
  <c r="Z1267" i="1"/>
  <c r="Y1267" i="1"/>
  <c r="P1267" i="1"/>
  <c r="N1267" i="1"/>
  <c r="O1267" i="1" s="1"/>
  <c r="L1267" i="1"/>
  <c r="K1267" i="1"/>
  <c r="Y1266" i="1"/>
  <c r="P1266" i="1"/>
  <c r="O1266" i="1"/>
  <c r="N1266" i="1"/>
  <c r="Z1266" i="1" s="1"/>
  <c r="L1266" i="1"/>
  <c r="K1266" i="1"/>
  <c r="Z1265" i="1"/>
  <c r="Y1265" i="1"/>
  <c r="N1265" i="1"/>
  <c r="K1265" i="1"/>
  <c r="L1265" i="1" s="1"/>
  <c r="Y1264" i="1"/>
  <c r="N1264" i="1"/>
  <c r="L1264" i="1"/>
  <c r="K1264" i="1"/>
  <c r="Z1263" i="1"/>
  <c r="Y1263" i="1"/>
  <c r="P1263" i="1"/>
  <c r="N1263" i="1"/>
  <c r="O1263" i="1" s="1"/>
  <c r="K1263" i="1"/>
  <c r="L1263" i="1" s="1"/>
  <c r="Y1262" i="1"/>
  <c r="P1262" i="1"/>
  <c r="O1262" i="1"/>
  <c r="N1262" i="1"/>
  <c r="Z1262" i="1" s="1"/>
  <c r="L1262" i="1"/>
  <c r="K1262" i="1"/>
  <c r="Y1261" i="1"/>
  <c r="N1261" i="1"/>
  <c r="K1261" i="1"/>
  <c r="L1261" i="1" s="1"/>
  <c r="Y1260" i="1"/>
  <c r="N1260" i="1"/>
  <c r="L1260" i="1"/>
  <c r="K1260" i="1"/>
  <c r="Z1259" i="1"/>
  <c r="Y1259" i="1"/>
  <c r="P1259" i="1"/>
  <c r="N1259" i="1"/>
  <c r="O1259" i="1" s="1"/>
  <c r="K1259" i="1"/>
  <c r="L1259" i="1" s="1"/>
  <c r="Y1258" i="1"/>
  <c r="P1258" i="1"/>
  <c r="O1258" i="1"/>
  <c r="N1258" i="1"/>
  <c r="Z1258" i="1" s="1"/>
  <c r="L1258" i="1"/>
  <c r="K1258" i="1"/>
  <c r="Y1257" i="1"/>
  <c r="N1257" i="1"/>
  <c r="K1257" i="1"/>
  <c r="L1257" i="1" s="1"/>
  <c r="Y1256" i="1"/>
  <c r="N1256" i="1"/>
  <c r="L1256" i="1"/>
  <c r="K1256" i="1"/>
  <c r="Z1255" i="1"/>
  <c r="Y1255" i="1"/>
  <c r="P1255" i="1"/>
  <c r="N1255" i="1"/>
  <c r="O1255" i="1" s="1"/>
  <c r="K1255" i="1"/>
  <c r="L1255" i="1" s="1"/>
  <c r="Y1254" i="1"/>
  <c r="P1254" i="1"/>
  <c r="O1254" i="1"/>
  <c r="N1254" i="1"/>
  <c r="Z1254" i="1" s="1"/>
  <c r="L1254" i="1"/>
  <c r="K1254" i="1"/>
  <c r="Z1253" i="1"/>
  <c r="Y1253" i="1"/>
  <c r="N1253" i="1"/>
  <c r="K1253" i="1"/>
  <c r="L1253" i="1" s="1"/>
  <c r="Y1252" i="1"/>
  <c r="O1252" i="1"/>
  <c r="N1252" i="1"/>
  <c r="L1252" i="1"/>
  <c r="K1252" i="1"/>
  <c r="Z1251" i="1"/>
  <c r="Y1251" i="1"/>
  <c r="P1251" i="1"/>
  <c r="N1251" i="1"/>
  <c r="O1251" i="1" s="1"/>
  <c r="L1251" i="1"/>
  <c r="K1251" i="1"/>
  <c r="Y1250" i="1"/>
  <c r="P1250" i="1"/>
  <c r="O1250" i="1"/>
  <c r="N1250" i="1"/>
  <c r="Z1250" i="1" s="1"/>
  <c r="L1250" i="1"/>
  <c r="K1250" i="1"/>
  <c r="Z1249" i="1"/>
  <c r="Y1249" i="1"/>
  <c r="N1249" i="1"/>
  <c r="K1249" i="1"/>
  <c r="L1249" i="1" s="1"/>
  <c r="Y1248" i="1"/>
  <c r="N1248" i="1"/>
  <c r="L1248" i="1"/>
  <c r="K1248" i="1"/>
  <c r="Z1247" i="1"/>
  <c r="Y1247" i="1"/>
  <c r="P1247" i="1"/>
  <c r="N1247" i="1"/>
  <c r="O1247" i="1" s="1"/>
  <c r="K1247" i="1"/>
  <c r="L1247" i="1" s="1"/>
  <c r="Y1246" i="1"/>
  <c r="P1246" i="1"/>
  <c r="O1246" i="1"/>
  <c r="N1246" i="1"/>
  <c r="Z1246" i="1" s="1"/>
  <c r="L1246" i="1"/>
  <c r="K1246" i="1"/>
  <c r="Y1245" i="1"/>
  <c r="N1245" i="1"/>
  <c r="K1245" i="1"/>
  <c r="L1245" i="1" s="1"/>
  <c r="Y1244" i="1"/>
  <c r="N1244" i="1"/>
  <c r="L1244" i="1"/>
  <c r="K1244" i="1"/>
  <c r="Z1243" i="1"/>
  <c r="Y1243" i="1"/>
  <c r="P1243" i="1"/>
  <c r="N1243" i="1"/>
  <c r="O1243" i="1" s="1"/>
  <c r="K1243" i="1"/>
  <c r="L1243" i="1" s="1"/>
  <c r="Y1242" i="1"/>
  <c r="P1242" i="1"/>
  <c r="O1242" i="1"/>
  <c r="N1242" i="1"/>
  <c r="Z1242" i="1" s="1"/>
  <c r="L1242" i="1"/>
  <c r="K1242" i="1"/>
  <c r="Y1241" i="1"/>
  <c r="N1241" i="1"/>
  <c r="K1241" i="1"/>
  <c r="L1241" i="1" s="1"/>
  <c r="Y1240" i="1"/>
  <c r="O1240" i="1"/>
  <c r="N1240" i="1"/>
  <c r="L1240" i="1"/>
  <c r="K1240" i="1"/>
  <c r="Z1239" i="1"/>
  <c r="Y1239" i="1"/>
  <c r="P1239" i="1"/>
  <c r="N1239" i="1"/>
  <c r="O1239" i="1" s="1"/>
  <c r="L1239" i="1"/>
  <c r="K1239" i="1"/>
  <c r="Y1238" i="1"/>
  <c r="P1238" i="1"/>
  <c r="O1238" i="1"/>
  <c r="N1238" i="1"/>
  <c r="Z1238" i="1" s="1"/>
  <c r="L1238" i="1"/>
  <c r="K1238" i="1"/>
  <c r="Z1237" i="1"/>
  <c r="Y1237" i="1"/>
  <c r="N1237" i="1"/>
  <c r="K1237" i="1"/>
  <c r="L1237" i="1" s="1"/>
  <c r="Y1236" i="1"/>
  <c r="O1236" i="1"/>
  <c r="N1236" i="1"/>
  <c r="L1236" i="1"/>
  <c r="K1236" i="1"/>
  <c r="Z1235" i="1"/>
  <c r="Y1235" i="1"/>
  <c r="P1235" i="1"/>
  <c r="N1235" i="1"/>
  <c r="O1235" i="1" s="1"/>
  <c r="L1235" i="1"/>
  <c r="K1235" i="1"/>
  <c r="Y1234" i="1"/>
  <c r="P1234" i="1"/>
  <c r="O1234" i="1"/>
  <c r="N1234" i="1"/>
  <c r="Z1234" i="1" s="1"/>
  <c r="L1234" i="1"/>
  <c r="K1234" i="1"/>
  <c r="Z1233" i="1"/>
  <c r="Y1233" i="1"/>
  <c r="N1233" i="1"/>
  <c r="K1233" i="1"/>
  <c r="L1233" i="1" s="1"/>
  <c r="Y1232" i="1"/>
  <c r="N1232" i="1"/>
  <c r="L1232" i="1"/>
  <c r="K1232" i="1"/>
  <c r="Z1231" i="1"/>
  <c r="Y1231" i="1"/>
  <c r="P1231" i="1"/>
  <c r="N1231" i="1"/>
  <c r="O1231" i="1" s="1"/>
  <c r="K1231" i="1"/>
  <c r="L1231" i="1" s="1"/>
  <c r="Y1230" i="1"/>
  <c r="P1230" i="1"/>
  <c r="O1230" i="1"/>
  <c r="N1230" i="1"/>
  <c r="Z1230" i="1" s="1"/>
  <c r="L1230" i="1"/>
  <c r="K1230" i="1"/>
  <c r="Y1229" i="1"/>
  <c r="N1229" i="1"/>
  <c r="K1229" i="1"/>
  <c r="L1229" i="1" s="1"/>
  <c r="Y1228" i="1"/>
  <c r="N1228" i="1"/>
  <c r="L1228" i="1"/>
  <c r="K1228" i="1"/>
  <c r="Z1227" i="1"/>
  <c r="Y1227" i="1"/>
  <c r="P1227" i="1"/>
  <c r="N1227" i="1"/>
  <c r="O1227" i="1" s="1"/>
  <c r="K1227" i="1"/>
  <c r="L1227" i="1" s="1"/>
  <c r="Y1226" i="1"/>
  <c r="P1226" i="1"/>
  <c r="O1226" i="1"/>
  <c r="N1226" i="1"/>
  <c r="Z1226" i="1" s="1"/>
  <c r="L1226" i="1"/>
  <c r="K1226" i="1"/>
  <c r="Y1225" i="1"/>
  <c r="N1225" i="1"/>
  <c r="K1225" i="1"/>
  <c r="L1225" i="1" s="1"/>
  <c r="Y1224" i="1"/>
  <c r="N1224" i="1"/>
  <c r="L1224" i="1"/>
  <c r="K1224" i="1"/>
  <c r="Z1223" i="1"/>
  <c r="Y1223" i="1"/>
  <c r="P1223" i="1"/>
  <c r="N1223" i="1"/>
  <c r="O1223" i="1" s="1"/>
  <c r="K1223" i="1"/>
  <c r="L1223" i="1" s="1"/>
  <c r="Y1222" i="1"/>
  <c r="P1222" i="1"/>
  <c r="O1222" i="1"/>
  <c r="N1222" i="1"/>
  <c r="Z1222" i="1" s="1"/>
  <c r="L1222" i="1"/>
  <c r="K1222" i="1"/>
  <c r="Z1221" i="1"/>
  <c r="Y1221" i="1"/>
  <c r="N1221" i="1"/>
  <c r="K1221" i="1"/>
  <c r="L1221" i="1" s="1"/>
  <c r="Y1220" i="1"/>
  <c r="O1220" i="1"/>
  <c r="N1220" i="1"/>
  <c r="L1220" i="1"/>
  <c r="K1220" i="1"/>
  <c r="Z1219" i="1"/>
  <c r="Y1219" i="1"/>
  <c r="P1219" i="1"/>
  <c r="N1219" i="1"/>
  <c r="O1219" i="1" s="1"/>
  <c r="L1219" i="1"/>
  <c r="K1219" i="1"/>
  <c r="Y1218" i="1"/>
  <c r="P1218" i="1"/>
  <c r="O1218" i="1"/>
  <c r="N1218" i="1"/>
  <c r="Z1218" i="1" s="1"/>
  <c r="L1218" i="1"/>
  <c r="K1218" i="1"/>
  <c r="Z1217" i="1"/>
  <c r="Y1217" i="1"/>
  <c r="N1217" i="1"/>
  <c r="K1217" i="1"/>
  <c r="L1217" i="1" s="1"/>
  <c r="Y1216" i="1"/>
  <c r="N1216" i="1"/>
  <c r="L1216" i="1"/>
  <c r="K1216" i="1"/>
  <c r="Z1215" i="1"/>
  <c r="Y1215" i="1"/>
  <c r="P1215" i="1"/>
  <c r="N1215" i="1"/>
  <c r="O1215" i="1" s="1"/>
  <c r="K1215" i="1"/>
  <c r="L1215" i="1" s="1"/>
  <c r="Y1214" i="1"/>
  <c r="P1214" i="1"/>
  <c r="O1214" i="1"/>
  <c r="N1214" i="1"/>
  <c r="Z1214" i="1" s="1"/>
  <c r="L1214" i="1"/>
  <c r="K1214" i="1"/>
  <c r="Y1213" i="1"/>
  <c r="N1213" i="1"/>
  <c r="K1213" i="1"/>
  <c r="L1213" i="1" s="1"/>
  <c r="Y1212" i="1"/>
  <c r="N1212" i="1"/>
  <c r="L1212" i="1"/>
  <c r="K1212" i="1"/>
  <c r="Z1211" i="1"/>
  <c r="Y1211" i="1"/>
  <c r="P1211" i="1"/>
  <c r="N1211" i="1"/>
  <c r="O1211" i="1" s="1"/>
  <c r="K1211" i="1"/>
  <c r="L1211" i="1" s="1"/>
  <c r="Y1210" i="1"/>
  <c r="P1210" i="1"/>
  <c r="O1210" i="1"/>
  <c r="N1210" i="1"/>
  <c r="Z1210" i="1" s="1"/>
  <c r="L1210" i="1"/>
  <c r="K1210" i="1"/>
  <c r="Y1209" i="1"/>
  <c r="N1209" i="1"/>
  <c r="K1209" i="1"/>
  <c r="L1209" i="1" s="1"/>
  <c r="Y1208" i="1"/>
  <c r="O1208" i="1"/>
  <c r="N1208" i="1"/>
  <c r="L1208" i="1"/>
  <c r="K1208" i="1"/>
  <c r="Z1207" i="1"/>
  <c r="Y1207" i="1"/>
  <c r="P1207" i="1"/>
  <c r="N1207" i="1"/>
  <c r="O1207" i="1" s="1"/>
  <c r="L1207" i="1"/>
  <c r="K1207" i="1"/>
  <c r="Y1206" i="1"/>
  <c r="P1206" i="1"/>
  <c r="O1206" i="1"/>
  <c r="N1206" i="1"/>
  <c r="Z1206" i="1" s="1"/>
  <c r="L1206" i="1"/>
  <c r="K1206" i="1"/>
  <c r="Z1205" i="1"/>
  <c r="Y1205" i="1"/>
  <c r="N1205" i="1"/>
  <c r="K1205" i="1"/>
  <c r="L1205" i="1" s="1"/>
  <c r="Y1204" i="1"/>
  <c r="O1204" i="1"/>
  <c r="N1204" i="1"/>
  <c r="L1204" i="1"/>
  <c r="K1204" i="1"/>
  <c r="Z1203" i="1"/>
  <c r="Y1203" i="1"/>
  <c r="P1203" i="1"/>
  <c r="N1203" i="1"/>
  <c r="O1203" i="1" s="1"/>
  <c r="L1203" i="1"/>
  <c r="K1203" i="1"/>
  <c r="Y1202" i="1"/>
  <c r="P1202" i="1"/>
  <c r="O1202" i="1"/>
  <c r="N1202" i="1"/>
  <c r="Z1202" i="1" s="1"/>
  <c r="L1202" i="1"/>
  <c r="K1202" i="1"/>
  <c r="Z1201" i="1"/>
  <c r="Y1201" i="1"/>
  <c r="N1201" i="1"/>
  <c r="K1201" i="1"/>
  <c r="L1201" i="1" s="1"/>
  <c r="Y1200" i="1"/>
  <c r="N1200" i="1"/>
  <c r="L1200" i="1"/>
  <c r="K1200" i="1"/>
  <c r="Z1199" i="1"/>
  <c r="Y1199" i="1"/>
  <c r="P1199" i="1"/>
  <c r="N1199" i="1"/>
  <c r="O1199" i="1" s="1"/>
  <c r="K1199" i="1"/>
  <c r="L1199" i="1" s="1"/>
  <c r="Y1198" i="1"/>
  <c r="P1198" i="1"/>
  <c r="O1198" i="1"/>
  <c r="N1198" i="1"/>
  <c r="Z1198" i="1" s="1"/>
  <c r="L1198" i="1"/>
  <c r="K1198" i="1"/>
  <c r="Y1197" i="1"/>
  <c r="N1197" i="1"/>
  <c r="K1197" i="1"/>
  <c r="L1197" i="1" s="1"/>
  <c r="Y1196" i="1"/>
  <c r="N1196" i="1"/>
  <c r="L1196" i="1"/>
  <c r="K1196" i="1"/>
  <c r="Z1195" i="1"/>
  <c r="Y1195" i="1"/>
  <c r="P1195" i="1"/>
  <c r="N1195" i="1"/>
  <c r="O1195" i="1" s="1"/>
  <c r="K1195" i="1"/>
  <c r="L1195" i="1" s="1"/>
  <c r="Y1194" i="1"/>
  <c r="P1194" i="1"/>
  <c r="O1194" i="1"/>
  <c r="N1194" i="1"/>
  <c r="Z1194" i="1" s="1"/>
  <c r="L1194" i="1"/>
  <c r="K1194" i="1"/>
  <c r="Y1193" i="1"/>
  <c r="N1193" i="1"/>
  <c r="K1193" i="1"/>
  <c r="L1193" i="1" s="1"/>
  <c r="Y1192" i="1"/>
  <c r="N1192" i="1"/>
  <c r="L1192" i="1"/>
  <c r="K1192" i="1"/>
  <c r="Z1191" i="1"/>
  <c r="Y1191" i="1"/>
  <c r="P1191" i="1"/>
  <c r="N1191" i="1"/>
  <c r="O1191" i="1" s="1"/>
  <c r="K1191" i="1"/>
  <c r="L1191" i="1" s="1"/>
  <c r="Y1190" i="1"/>
  <c r="N1190" i="1"/>
  <c r="L1190" i="1"/>
  <c r="K1190" i="1"/>
  <c r="Y1189" i="1"/>
  <c r="P1189" i="1"/>
  <c r="N1189" i="1"/>
  <c r="O1189" i="1" s="1"/>
  <c r="K1189" i="1"/>
  <c r="L1189" i="1" s="1"/>
  <c r="Y1188" i="1"/>
  <c r="P1188" i="1"/>
  <c r="O1188" i="1"/>
  <c r="N1188" i="1"/>
  <c r="Z1188" i="1" s="1"/>
  <c r="L1188" i="1"/>
  <c r="K1188" i="1"/>
  <c r="Y1187" i="1"/>
  <c r="P1187" i="1"/>
  <c r="O1187" i="1"/>
  <c r="N1187" i="1"/>
  <c r="Z1187" i="1" s="1"/>
  <c r="K1187" i="1"/>
  <c r="L1187" i="1" s="1"/>
  <c r="Z1186" i="1"/>
  <c r="Y1186" i="1"/>
  <c r="N1186" i="1"/>
  <c r="L1186" i="1"/>
  <c r="K1186" i="1"/>
  <c r="Y1185" i="1"/>
  <c r="P1185" i="1"/>
  <c r="N1185" i="1"/>
  <c r="O1185" i="1" s="1"/>
  <c r="K1185" i="1"/>
  <c r="L1185" i="1" s="1"/>
  <c r="Y1184" i="1"/>
  <c r="P1184" i="1"/>
  <c r="O1184" i="1"/>
  <c r="N1184" i="1"/>
  <c r="Z1184" i="1" s="1"/>
  <c r="L1184" i="1"/>
  <c r="K1184" i="1"/>
  <c r="Y1183" i="1"/>
  <c r="P1183" i="1"/>
  <c r="O1183" i="1"/>
  <c r="N1183" i="1"/>
  <c r="Z1183" i="1" s="1"/>
  <c r="K1183" i="1"/>
  <c r="L1183" i="1" s="1"/>
  <c r="Z1182" i="1"/>
  <c r="Y1182" i="1"/>
  <c r="N1182" i="1"/>
  <c r="L1182" i="1"/>
  <c r="K1182" i="1"/>
  <c r="Y1181" i="1"/>
  <c r="P1181" i="1"/>
  <c r="N1181" i="1"/>
  <c r="O1181" i="1" s="1"/>
  <c r="K1181" i="1"/>
  <c r="L1181" i="1" s="1"/>
  <c r="Y1180" i="1"/>
  <c r="P1180" i="1"/>
  <c r="O1180" i="1"/>
  <c r="N1180" i="1"/>
  <c r="Z1180" i="1" s="1"/>
  <c r="L1180" i="1"/>
  <c r="K1180" i="1"/>
  <c r="Y1179" i="1"/>
  <c r="P1179" i="1"/>
  <c r="O1179" i="1"/>
  <c r="N1179" i="1"/>
  <c r="Z1179" i="1" s="1"/>
  <c r="K1179" i="1"/>
  <c r="L1179" i="1" s="1"/>
  <c r="Z1178" i="1"/>
  <c r="Y1178" i="1"/>
  <c r="N1178" i="1"/>
  <c r="L1178" i="1"/>
  <c r="K1178" i="1"/>
  <c r="Y1177" i="1"/>
  <c r="P1177" i="1"/>
  <c r="N1177" i="1"/>
  <c r="O1177" i="1" s="1"/>
  <c r="K1177" i="1"/>
  <c r="L1177" i="1" s="1"/>
  <c r="Y1176" i="1"/>
  <c r="P1176" i="1"/>
  <c r="O1176" i="1"/>
  <c r="N1176" i="1"/>
  <c r="Z1176" i="1" s="1"/>
  <c r="L1176" i="1"/>
  <c r="K1176" i="1"/>
  <c r="Y1175" i="1"/>
  <c r="P1175" i="1"/>
  <c r="O1175" i="1"/>
  <c r="N1175" i="1"/>
  <c r="Z1175" i="1" s="1"/>
  <c r="K1175" i="1"/>
  <c r="L1175" i="1" s="1"/>
  <c r="Z1174" i="1"/>
  <c r="Y1174" i="1"/>
  <c r="N1174" i="1"/>
  <c r="L1174" i="1"/>
  <c r="K1174" i="1"/>
  <c r="Y1173" i="1"/>
  <c r="P1173" i="1"/>
  <c r="N1173" i="1"/>
  <c r="O1173" i="1" s="1"/>
  <c r="K1173" i="1"/>
  <c r="L1173" i="1" s="1"/>
  <c r="Y1172" i="1"/>
  <c r="P1172" i="1"/>
  <c r="O1172" i="1"/>
  <c r="N1172" i="1"/>
  <c r="Z1172" i="1" s="1"/>
  <c r="L1172" i="1"/>
  <c r="K1172" i="1"/>
  <c r="Y1171" i="1"/>
  <c r="P1171" i="1"/>
  <c r="O1171" i="1"/>
  <c r="N1171" i="1"/>
  <c r="Z1171" i="1" s="1"/>
  <c r="K1171" i="1"/>
  <c r="L1171" i="1" s="1"/>
  <c r="Z1170" i="1"/>
  <c r="Y1170" i="1"/>
  <c r="N1170" i="1"/>
  <c r="L1170" i="1"/>
  <c r="K1170" i="1"/>
  <c r="Y1169" i="1"/>
  <c r="P1169" i="1"/>
  <c r="N1169" i="1"/>
  <c r="O1169" i="1" s="1"/>
  <c r="K1169" i="1"/>
  <c r="L1169" i="1" s="1"/>
  <c r="Y1168" i="1"/>
  <c r="P1168" i="1"/>
  <c r="O1168" i="1"/>
  <c r="N1168" i="1"/>
  <c r="Z1168" i="1" s="1"/>
  <c r="L1168" i="1"/>
  <c r="K1168" i="1"/>
  <c r="Y1167" i="1"/>
  <c r="P1167" i="1"/>
  <c r="O1167" i="1"/>
  <c r="N1167" i="1"/>
  <c r="Z1167" i="1" s="1"/>
  <c r="K1167" i="1"/>
  <c r="L1167" i="1" s="1"/>
  <c r="Z1166" i="1"/>
  <c r="Y1166" i="1"/>
  <c r="N1166" i="1"/>
  <c r="L1166" i="1"/>
  <c r="K1166" i="1"/>
  <c r="Y1165" i="1"/>
  <c r="P1165" i="1"/>
  <c r="N1165" i="1"/>
  <c r="O1165" i="1" s="1"/>
  <c r="K1165" i="1"/>
  <c r="L1165" i="1" s="1"/>
  <c r="Y1164" i="1"/>
  <c r="P1164" i="1"/>
  <c r="O1164" i="1"/>
  <c r="N1164" i="1"/>
  <c r="Z1164" i="1" s="1"/>
  <c r="L1164" i="1"/>
  <c r="K1164" i="1"/>
  <c r="Y1163" i="1"/>
  <c r="P1163" i="1"/>
  <c r="O1163" i="1"/>
  <c r="N1163" i="1"/>
  <c r="Z1163" i="1" s="1"/>
  <c r="K1163" i="1"/>
  <c r="L1163" i="1" s="1"/>
  <c r="Z1162" i="1"/>
  <c r="Y1162" i="1"/>
  <c r="N1162" i="1"/>
  <c r="L1162" i="1"/>
  <c r="K1162" i="1"/>
  <c r="Y1161" i="1"/>
  <c r="P1161" i="1"/>
  <c r="N1161" i="1"/>
  <c r="O1161" i="1" s="1"/>
  <c r="K1161" i="1"/>
  <c r="L1161" i="1" s="1"/>
  <c r="Y1160" i="1"/>
  <c r="P1160" i="1"/>
  <c r="O1160" i="1"/>
  <c r="N1160" i="1"/>
  <c r="Z1160" i="1" s="1"/>
  <c r="L1160" i="1"/>
  <c r="K1160" i="1"/>
  <c r="Y1159" i="1"/>
  <c r="P1159" i="1"/>
  <c r="O1159" i="1"/>
  <c r="N1159" i="1"/>
  <c r="Z1159" i="1" s="1"/>
  <c r="K1159" i="1"/>
  <c r="L1159" i="1" s="1"/>
  <c r="Z1158" i="1"/>
  <c r="Y1158" i="1"/>
  <c r="N1158" i="1"/>
  <c r="L1158" i="1"/>
  <c r="K1158" i="1"/>
  <c r="Y1157" i="1"/>
  <c r="P1157" i="1"/>
  <c r="N1157" i="1"/>
  <c r="O1157" i="1" s="1"/>
  <c r="K1157" i="1"/>
  <c r="L1157" i="1" s="1"/>
  <c r="Y1156" i="1"/>
  <c r="P1156" i="1"/>
  <c r="O1156" i="1"/>
  <c r="N1156" i="1"/>
  <c r="Z1156" i="1" s="1"/>
  <c r="L1156" i="1"/>
  <c r="K1156" i="1"/>
  <c r="Y1155" i="1"/>
  <c r="P1155" i="1"/>
  <c r="O1155" i="1"/>
  <c r="N1155" i="1"/>
  <c r="Z1155" i="1" s="1"/>
  <c r="K1155" i="1"/>
  <c r="L1155" i="1" s="1"/>
  <c r="Z1154" i="1"/>
  <c r="Y1154" i="1"/>
  <c r="N1154" i="1"/>
  <c r="L1154" i="1"/>
  <c r="K1154" i="1"/>
  <c r="Y1153" i="1"/>
  <c r="P1153" i="1"/>
  <c r="N1153" i="1"/>
  <c r="O1153" i="1" s="1"/>
  <c r="K1153" i="1"/>
  <c r="L1153" i="1" s="1"/>
  <c r="Y1152" i="1"/>
  <c r="P1152" i="1"/>
  <c r="O1152" i="1"/>
  <c r="N1152" i="1"/>
  <c r="Z1152" i="1" s="1"/>
  <c r="L1152" i="1"/>
  <c r="K1152" i="1"/>
  <c r="Y1151" i="1"/>
  <c r="P1151" i="1"/>
  <c r="O1151" i="1"/>
  <c r="N1151" i="1"/>
  <c r="Z1151" i="1" s="1"/>
  <c r="K1151" i="1"/>
  <c r="L1151" i="1" s="1"/>
  <c r="Z1150" i="1"/>
  <c r="Y1150" i="1"/>
  <c r="N1150" i="1"/>
  <c r="L1150" i="1"/>
  <c r="K1150" i="1"/>
  <c r="Y1149" i="1"/>
  <c r="P1149" i="1"/>
  <c r="N1149" i="1"/>
  <c r="O1149" i="1" s="1"/>
  <c r="K1149" i="1"/>
  <c r="L1149" i="1" s="1"/>
  <c r="Y1148" i="1"/>
  <c r="P1148" i="1"/>
  <c r="O1148" i="1"/>
  <c r="N1148" i="1"/>
  <c r="Z1148" i="1" s="1"/>
  <c r="L1148" i="1"/>
  <c r="K1148" i="1"/>
  <c r="Y1147" i="1"/>
  <c r="N1147" i="1"/>
  <c r="Z1147" i="1" s="1"/>
  <c r="L1147" i="1"/>
  <c r="K1147" i="1"/>
  <c r="Y1146" i="1"/>
  <c r="N1146" i="1"/>
  <c r="Z1146" i="1" s="1"/>
  <c r="L1146" i="1"/>
  <c r="K1146" i="1"/>
  <c r="Z1145" i="1"/>
  <c r="Y1145" i="1"/>
  <c r="N1145" i="1"/>
  <c r="K1145" i="1"/>
  <c r="L1145" i="1" s="1"/>
  <c r="Z1144" i="1"/>
  <c r="Y1144" i="1"/>
  <c r="N1144" i="1"/>
  <c r="K1144" i="1"/>
  <c r="L1144" i="1" s="1"/>
  <c r="Z1143" i="1"/>
  <c r="Y1143" i="1"/>
  <c r="N1143" i="1"/>
  <c r="L1143" i="1"/>
  <c r="K1143" i="1"/>
  <c r="Y1142" i="1"/>
  <c r="N1142" i="1"/>
  <c r="Z1142" i="1" s="1"/>
  <c r="L1142" i="1"/>
  <c r="K1142" i="1"/>
  <c r="Y1141" i="1"/>
  <c r="N1141" i="1"/>
  <c r="Z1141" i="1" s="1"/>
  <c r="K1141" i="1"/>
  <c r="L1141" i="1" s="1"/>
  <c r="Z1140" i="1"/>
  <c r="Y1140" i="1"/>
  <c r="N1140" i="1"/>
  <c r="L1140" i="1"/>
  <c r="K1140" i="1"/>
  <c r="Y1139" i="1"/>
  <c r="N1139" i="1"/>
  <c r="Z1139" i="1" s="1"/>
  <c r="L1139" i="1"/>
  <c r="K1139" i="1"/>
  <c r="Y1138" i="1"/>
  <c r="N1138" i="1"/>
  <c r="Z1138" i="1" s="1"/>
  <c r="L1138" i="1"/>
  <c r="K1138" i="1"/>
  <c r="Z1137" i="1"/>
  <c r="Y1137" i="1"/>
  <c r="N1137" i="1"/>
  <c r="K1137" i="1"/>
  <c r="L1137" i="1" s="1"/>
  <c r="Z1136" i="1"/>
  <c r="Y1136" i="1"/>
  <c r="N1136" i="1"/>
  <c r="K1136" i="1"/>
  <c r="L1136" i="1" s="1"/>
  <c r="Z1135" i="1"/>
  <c r="Y1135" i="1"/>
  <c r="N1135" i="1"/>
  <c r="K1135" i="1"/>
  <c r="L1135" i="1" s="1"/>
  <c r="Y1134" i="1"/>
  <c r="N1134" i="1"/>
  <c r="Z1134" i="1" s="1"/>
  <c r="L1134" i="1"/>
  <c r="K1134" i="1"/>
  <c r="Y1133" i="1"/>
  <c r="P1133" i="1"/>
  <c r="N1133" i="1"/>
  <c r="L1133" i="1"/>
  <c r="K1133" i="1"/>
  <c r="Y1132" i="1"/>
  <c r="N1132" i="1"/>
  <c r="Z1132" i="1" s="1"/>
  <c r="L1132" i="1"/>
  <c r="K1132" i="1"/>
  <c r="Z1131" i="1"/>
  <c r="Y1131" i="1"/>
  <c r="N1131" i="1"/>
  <c r="K1131" i="1"/>
  <c r="L1131" i="1" s="1"/>
  <c r="Z1130" i="1"/>
  <c r="Y1130" i="1"/>
  <c r="N1130" i="1"/>
  <c r="K1130" i="1"/>
  <c r="L1130" i="1" s="1"/>
  <c r="Z1129" i="1"/>
  <c r="Y1129" i="1"/>
  <c r="N1129" i="1"/>
  <c r="L1129" i="1"/>
  <c r="K1129" i="1"/>
  <c r="Y1128" i="1"/>
  <c r="N1128" i="1"/>
  <c r="Z1128" i="1" s="1"/>
  <c r="L1128" i="1"/>
  <c r="K1128" i="1"/>
  <c r="Y1127" i="1"/>
  <c r="N1127" i="1"/>
  <c r="Z1127" i="1" s="1"/>
  <c r="L1127" i="1"/>
  <c r="K1127" i="1"/>
  <c r="Z1126" i="1"/>
  <c r="Y1126" i="1"/>
  <c r="N1126" i="1"/>
  <c r="K1126" i="1"/>
  <c r="L1126" i="1" s="1"/>
  <c r="Z1125" i="1"/>
  <c r="Y1125" i="1"/>
  <c r="N1125" i="1"/>
  <c r="L1125" i="1"/>
  <c r="K1125" i="1"/>
  <c r="Y1124" i="1"/>
  <c r="N1124" i="1"/>
  <c r="Z1124" i="1" s="1"/>
  <c r="L1124" i="1"/>
  <c r="K1124" i="1"/>
  <c r="Y1123" i="1"/>
  <c r="N1123" i="1"/>
  <c r="Z1123" i="1" s="1"/>
  <c r="L1123" i="1"/>
  <c r="K1123" i="1"/>
  <c r="Z1122" i="1"/>
  <c r="Y1122" i="1"/>
  <c r="N1122" i="1"/>
  <c r="K1122" i="1"/>
  <c r="L1122" i="1" s="1"/>
  <c r="Z1121" i="1"/>
  <c r="Y1121" i="1"/>
  <c r="N1121" i="1"/>
  <c r="K1121" i="1"/>
  <c r="L1121" i="1" s="1"/>
  <c r="Y1120" i="1"/>
  <c r="N1120" i="1"/>
  <c r="Z1120" i="1" s="1"/>
  <c r="L1120" i="1"/>
  <c r="K1120" i="1"/>
  <c r="Y1119" i="1"/>
  <c r="N1119" i="1"/>
  <c r="Z1119" i="1" s="1"/>
  <c r="L1119" i="1"/>
  <c r="K1119" i="1"/>
  <c r="Z1118" i="1"/>
  <c r="Y1118" i="1"/>
  <c r="N1118" i="1"/>
  <c r="K1118" i="1"/>
  <c r="L1118" i="1" s="1"/>
  <c r="Z1117" i="1"/>
  <c r="Y1117" i="1"/>
  <c r="N1117" i="1"/>
  <c r="L1117" i="1"/>
  <c r="K1117" i="1"/>
  <c r="Y1116" i="1"/>
  <c r="N1116" i="1"/>
  <c r="L1116" i="1"/>
  <c r="K1116" i="1"/>
  <c r="Y1115" i="1"/>
  <c r="P1115" i="1"/>
  <c r="O1115" i="1"/>
  <c r="N1115" i="1"/>
  <c r="Z1115" i="1" s="1"/>
  <c r="L1115" i="1"/>
  <c r="K1115" i="1"/>
  <c r="Y1114" i="1"/>
  <c r="P1114" i="1"/>
  <c r="O1114" i="1"/>
  <c r="N1114" i="1"/>
  <c r="Z1114" i="1" s="1"/>
  <c r="K1114" i="1"/>
  <c r="L1114" i="1" s="1"/>
  <c r="Y1113" i="1"/>
  <c r="O1113" i="1"/>
  <c r="N1113" i="1"/>
  <c r="P1113" i="1" s="1"/>
  <c r="L1113" i="1"/>
  <c r="K1113" i="1"/>
  <c r="Z1112" i="1"/>
  <c r="Y1112" i="1"/>
  <c r="N1112" i="1"/>
  <c r="L1112" i="1"/>
  <c r="K1112" i="1"/>
  <c r="Y1111" i="1"/>
  <c r="P1111" i="1"/>
  <c r="O1111" i="1"/>
  <c r="N1111" i="1"/>
  <c r="Z1111" i="1" s="1"/>
  <c r="L1111" i="1"/>
  <c r="K1111" i="1"/>
  <c r="Y1110" i="1"/>
  <c r="P1110" i="1"/>
  <c r="O1110" i="1"/>
  <c r="N1110" i="1"/>
  <c r="Z1110" i="1" s="1"/>
  <c r="K1110" i="1"/>
  <c r="L1110" i="1" s="1"/>
  <c r="Y1109" i="1"/>
  <c r="N1109" i="1"/>
  <c r="L1109" i="1"/>
  <c r="K1109" i="1"/>
  <c r="Z1108" i="1"/>
  <c r="Y1108" i="1"/>
  <c r="N1108" i="1"/>
  <c r="K1108" i="1"/>
  <c r="L1108" i="1" s="1"/>
  <c r="Z1107" i="1"/>
  <c r="Y1107" i="1"/>
  <c r="N1107" i="1"/>
  <c r="L1107" i="1"/>
  <c r="K1107" i="1"/>
  <c r="Y1106" i="1"/>
  <c r="N1106" i="1"/>
  <c r="Z1106" i="1" s="1"/>
  <c r="L1106" i="1"/>
  <c r="K1106" i="1"/>
  <c r="Y1105" i="1"/>
  <c r="N1105" i="1"/>
  <c r="Z1105" i="1" s="1"/>
  <c r="L1105" i="1"/>
  <c r="K1105" i="1"/>
  <c r="Z1104" i="1"/>
  <c r="Y1104" i="1"/>
  <c r="N1104" i="1"/>
  <c r="K1104" i="1"/>
  <c r="L1104" i="1" s="1"/>
  <c r="Z1103" i="1"/>
  <c r="Y1103" i="1"/>
  <c r="N1103" i="1"/>
  <c r="K1103" i="1"/>
  <c r="L1103" i="1" s="1"/>
  <c r="Y1102" i="1"/>
  <c r="P1102" i="1"/>
  <c r="O1102" i="1"/>
  <c r="N1102" i="1"/>
  <c r="Z1102" i="1" s="1"/>
  <c r="K1102" i="1"/>
  <c r="L1102" i="1" s="1"/>
  <c r="Y1101" i="1"/>
  <c r="O1101" i="1"/>
  <c r="N1101" i="1"/>
  <c r="L1101" i="1"/>
  <c r="K1101" i="1"/>
  <c r="Z1100" i="1"/>
  <c r="Y1100" i="1"/>
  <c r="N1100" i="1"/>
  <c r="L1100" i="1"/>
  <c r="K1100" i="1"/>
  <c r="Y1099" i="1"/>
  <c r="P1099" i="1"/>
  <c r="O1099" i="1"/>
  <c r="N1099" i="1"/>
  <c r="Z1099" i="1" s="1"/>
  <c r="L1099" i="1"/>
  <c r="K1099" i="1"/>
  <c r="Y1098" i="1"/>
  <c r="P1098" i="1"/>
  <c r="O1098" i="1"/>
  <c r="N1098" i="1"/>
  <c r="Z1098" i="1" s="1"/>
  <c r="K1098" i="1"/>
  <c r="L1098" i="1" s="1"/>
  <c r="Z1097" i="1"/>
  <c r="Y1097" i="1"/>
  <c r="O1097" i="1"/>
  <c r="N1097" i="1"/>
  <c r="P1097" i="1" s="1"/>
  <c r="L1097" i="1"/>
  <c r="K1097" i="1"/>
  <c r="Y1096" i="1"/>
  <c r="N1096" i="1"/>
  <c r="L1096" i="1"/>
  <c r="K1096" i="1"/>
  <c r="Y1095" i="1"/>
  <c r="P1095" i="1"/>
  <c r="O1095" i="1"/>
  <c r="N1095" i="1"/>
  <c r="Z1095" i="1" s="1"/>
  <c r="K1095" i="1"/>
  <c r="L1095" i="1" s="1"/>
  <c r="Y1094" i="1"/>
  <c r="P1094" i="1"/>
  <c r="O1094" i="1"/>
  <c r="N1094" i="1"/>
  <c r="Z1094" i="1" s="1"/>
  <c r="K1094" i="1"/>
  <c r="L1094" i="1" s="1"/>
  <c r="Y1093" i="1"/>
  <c r="N1093" i="1"/>
  <c r="L1093" i="1"/>
  <c r="K1093" i="1"/>
  <c r="Z1092" i="1"/>
  <c r="Y1092" i="1"/>
  <c r="N1092" i="1"/>
  <c r="L1092" i="1"/>
  <c r="K1092" i="1"/>
  <c r="Y1091" i="1"/>
  <c r="P1091" i="1"/>
  <c r="O1091" i="1"/>
  <c r="N1091" i="1"/>
  <c r="Z1091" i="1" s="1"/>
  <c r="L1091" i="1"/>
  <c r="K1091" i="1"/>
  <c r="Y1090" i="1"/>
  <c r="P1090" i="1"/>
  <c r="O1090" i="1"/>
  <c r="N1090" i="1"/>
  <c r="Z1090" i="1" s="1"/>
  <c r="K1090" i="1"/>
  <c r="L1090" i="1" s="1"/>
  <c r="Z1089" i="1"/>
  <c r="Y1089" i="1"/>
  <c r="O1089" i="1"/>
  <c r="N1089" i="1"/>
  <c r="P1089" i="1" s="1"/>
  <c r="L1089" i="1"/>
  <c r="K1089" i="1"/>
  <c r="Y1088" i="1"/>
  <c r="N1088" i="1"/>
  <c r="L1088" i="1"/>
  <c r="K1088" i="1"/>
  <c r="Y1087" i="1"/>
  <c r="P1087" i="1"/>
  <c r="O1087" i="1"/>
  <c r="N1087" i="1"/>
  <c r="Z1087" i="1" s="1"/>
  <c r="K1087" i="1"/>
  <c r="L1087" i="1" s="1"/>
  <c r="Y1086" i="1"/>
  <c r="P1086" i="1"/>
  <c r="O1086" i="1"/>
  <c r="N1086" i="1"/>
  <c r="Z1086" i="1" s="1"/>
  <c r="K1086" i="1"/>
  <c r="L1086" i="1" s="1"/>
  <c r="Y1085" i="1"/>
  <c r="N1085" i="1"/>
  <c r="L1085" i="1"/>
  <c r="K1085" i="1"/>
  <c r="Y1084" i="1"/>
  <c r="P1084" i="1"/>
  <c r="O1084" i="1"/>
  <c r="N1084" i="1"/>
  <c r="Z1084" i="1" s="1"/>
  <c r="L1084" i="1"/>
  <c r="K1084" i="1"/>
  <c r="Y1083" i="1"/>
  <c r="P1083" i="1"/>
  <c r="O1083" i="1"/>
  <c r="N1083" i="1"/>
  <c r="Z1083" i="1" s="1"/>
  <c r="K1083" i="1"/>
  <c r="L1083" i="1" s="1"/>
  <c r="Y1082" i="1"/>
  <c r="N1082" i="1"/>
  <c r="L1082" i="1"/>
  <c r="K1082" i="1"/>
  <c r="Y1081" i="1"/>
  <c r="N1081" i="1"/>
  <c r="L1081" i="1"/>
  <c r="K1081" i="1"/>
  <c r="Y1080" i="1"/>
  <c r="P1080" i="1"/>
  <c r="O1080" i="1"/>
  <c r="N1080" i="1"/>
  <c r="Z1080" i="1" s="1"/>
  <c r="K1080" i="1"/>
  <c r="L1080" i="1" s="1"/>
  <c r="Y1079" i="1"/>
  <c r="P1079" i="1"/>
  <c r="O1079" i="1"/>
  <c r="N1079" i="1"/>
  <c r="Z1079" i="1" s="1"/>
  <c r="K1079" i="1"/>
  <c r="L1079" i="1" s="1"/>
  <c r="Y1078" i="1"/>
  <c r="O1078" i="1"/>
  <c r="N1078" i="1"/>
  <c r="P1078" i="1" s="1"/>
  <c r="L1078" i="1"/>
  <c r="K1078" i="1"/>
  <c r="Z1077" i="1"/>
  <c r="Y1077" i="1"/>
  <c r="N1077" i="1"/>
  <c r="L1077" i="1"/>
  <c r="K1077" i="1"/>
  <c r="Y1076" i="1"/>
  <c r="P1076" i="1"/>
  <c r="O1076" i="1"/>
  <c r="N1076" i="1"/>
  <c r="Z1076" i="1" s="1"/>
  <c r="L1076" i="1"/>
  <c r="K1076" i="1"/>
  <c r="Y1075" i="1"/>
  <c r="O1075" i="1"/>
  <c r="N1075" i="1"/>
  <c r="P1075" i="1" s="1"/>
  <c r="L1075" i="1"/>
  <c r="K1075" i="1"/>
  <c r="Y1074" i="1"/>
  <c r="P1074" i="1"/>
  <c r="O1074" i="1"/>
  <c r="N1074" i="1"/>
  <c r="L1074" i="1"/>
  <c r="K1074" i="1"/>
  <c r="Y1073" i="1"/>
  <c r="P1073" i="1"/>
  <c r="O1073" i="1"/>
  <c r="N1073" i="1"/>
  <c r="Z1073" i="1" s="1"/>
  <c r="K1073" i="1"/>
  <c r="L1073" i="1" s="1"/>
  <c r="Z1072" i="1"/>
  <c r="Y1072" i="1"/>
  <c r="O1072" i="1"/>
  <c r="N1072" i="1"/>
  <c r="P1072" i="1" s="1"/>
  <c r="L1072" i="1"/>
  <c r="K1072" i="1"/>
  <c r="Y1071" i="1"/>
  <c r="N1071" i="1"/>
  <c r="L1071" i="1"/>
  <c r="K1071" i="1"/>
  <c r="Y1070" i="1"/>
  <c r="P1070" i="1"/>
  <c r="O1070" i="1"/>
  <c r="N1070" i="1"/>
  <c r="Z1070" i="1" s="1"/>
  <c r="K1070" i="1"/>
  <c r="L1070" i="1" s="1"/>
  <c r="Y1069" i="1"/>
  <c r="P1069" i="1"/>
  <c r="O1069" i="1"/>
  <c r="N1069" i="1"/>
  <c r="Z1069" i="1" s="1"/>
  <c r="K1069" i="1"/>
  <c r="L1069" i="1" s="1"/>
  <c r="Y1068" i="1"/>
  <c r="N1068" i="1"/>
  <c r="L1068" i="1"/>
  <c r="K1068" i="1"/>
  <c r="Z1067" i="1"/>
  <c r="Y1067" i="1"/>
  <c r="N1067" i="1"/>
  <c r="L1067" i="1"/>
  <c r="K1067" i="1"/>
  <c r="Y1066" i="1"/>
  <c r="P1066" i="1"/>
  <c r="O1066" i="1"/>
  <c r="N1066" i="1"/>
  <c r="Z1066" i="1" s="1"/>
  <c r="L1066" i="1"/>
  <c r="K1066" i="1"/>
  <c r="Y1065" i="1"/>
  <c r="P1065" i="1"/>
  <c r="O1065" i="1"/>
  <c r="N1065" i="1"/>
  <c r="Z1065" i="1" s="1"/>
  <c r="K1065" i="1"/>
  <c r="L1065" i="1" s="1"/>
  <c r="Z1064" i="1"/>
  <c r="Y1064" i="1"/>
  <c r="O1064" i="1"/>
  <c r="N1064" i="1"/>
  <c r="P1064" i="1" s="1"/>
  <c r="L1064" i="1"/>
  <c r="K1064" i="1"/>
  <c r="Y1063" i="1"/>
  <c r="N1063" i="1"/>
  <c r="L1063" i="1"/>
  <c r="K1063" i="1"/>
  <c r="Y1062" i="1"/>
  <c r="P1062" i="1"/>
  <c r="O1062" i="1"/>
  <c r="N1062" i="1"/>
  <c r="Z1062" i="1" s="1"/>
  <c r="K1062" i="1"/>
  <c r="L1062" i="1" s="1"/>
  <c r="Y1061" i="1"/>
  <c r="P1061" i="1"/>
  <c r="O1061" i="1"/>
  <c r="N1061" i="1"/>
  <c r="Z1061" i="1" s="1"/>
  <c r="K1061" i="1"/>
  <c r="L1061" i="1" s="1"/>
  <c r="Y1060" i="1"/>
  <c r="N1060" i="1"/>
  <c r="L1060" i="1"/>
  <c r="K1060" i="1"/>
  <c r="Z1059" i="1"/>
  <c r="Y1059" i="1"/>
  <c r="N1059" i="1"/>
  <c r="L1059" i="1"/>
  <c r="K1059" i="1"/>
  <c r="Y1058" i="1"/>
  <c r="P1058" i="1"/>
  <c r="O1058" i="1"/>
  <c r="N1058" i="1"/>
  <c r="Z1058" i="1" s="1"/>
  <c r="L1058" i="1"/>
  <c r="K1058" i="1"/>
  <c r="Y1057" i="1"/>
  <c r="P1057" i="1"/>
  <c r="O1057" i="1"/>
  <c r="N1057" i="1"/>
  <c r="Z1057" i="1" s="1"/>
  <c r="K1057" i="1"/>
  <c r="L1057" i="1" s="1"/>
  <c r="Z1056" i="1"/>
  <c r="Y1056" i="1"/>
  <c r="O1056" i="1"/>
  <c r="N1056" i="1"/>
  <c r="P1056" i="1" s="1"/>
  <c r="L1056" i="1"/>
  <c r="K1056" i="1"/>
  <c r="Y1055" i="1"/>
  <c r="N1055" i="1"/>
  <c r="L1055" i="1"/>
  <c r="K1055" i="1"/>
  <c r="Y1054" i="1"/>
  <c r="P1054" i="1"/>
  <c r="O1054" i="1"/>
  <c r="N1054" i="1"/>
  <c r="Z1054" i="1" s="1"/>
  <c r="K1054" i="1"/>
  <c r="L1054" i="1" s="1"/>
  <c r="Y1053" i="1"/>
  <c r="P1053" i="1"/>
  <c r="O1053" i="1"/>
  <c r="N1053" i="1"/>
  <c r="Z1053" i="1" s="1"/>
  <c r="K1053" i="1"/>
  <c r="L1053" i="1" s="1"/>
  <c r="Y1052" i="1"/>
  <c r="O1052" i="1"/>
  <c r="N1052" i="1"/>
  <c r="L1052" i="1"/>
  <c r="K1052" i="1"/>
  <c r="Y1051" i="1"/>
  <c r="P1051" i="1"/>
  <c r="O1051" i="1"/>
  <c r="N1051" i="1"/>
  <c r="L1051" i="1"/>
  <c r="K1051" i="1"/>
  <c r="Y1050" i="1"/>
  <c r="P1050" i="1"/>
  <c r="O1050" i="1"/>
  <c r="N1050" i="1"/>
  <c r="Z1050" i="1" s="1"/>
  <c r="K1050" i="1"/>
  <c r="L1050" i="1" s="1"/>
  <c r="Y1049" i="1"/>
  <c r="O1049" i="1"/>
  <c r="N1049" i="1"/>
  <c r="P1049" i="1" s="1"/>
  <c r="L1049" i="1"/>
  <c r="K1049" i="1"/>
  <c r="Z1048" i="1"/>
  <c r="Y1048" i="1"/>
  <c r="N1048" i="1"/>
  <c r="L1048" i="1"/>
  <c r="K1048" i="1"/>
  <c r="Y1047" i="1"/>
  <c r="P1047" i="1"/>
  <c r="O1047" i="1"/>
  <c r="N1047" i="1"/>
  <c r="Z1047" i="1" s="1"/>
  <c r="L1047" i="1"/>
  <c r="K1047" i="1"/>
  <c r="Y1046" i="1"/>
  <c r="P1046" i="1"/>
  <c r="O1046" i="1"/>
  <c r="N1046" i="1"/>
  <c r="Z1046" i="1" s="1"/>
  <c r="K1046" i="1"/>
  <c r="L1046" i="1" s="1"/>
  <c r="Z1045" i="1"/>
  <c r="Y1045" i="1"/>
  <c r="N1045" i="1"/>
  <c r="L1045" i="1"/>
  <c r="K1045" i="1"/>
  <c r="Y1044" i="1"/>
  <c r="N1044" i="1"/>
  <c r="L1044" i="1"/>
  <c r="K1044" i="1"/>
  <c r="Y1043" i="1"/>
  <c r="P1043" i="1"/>
  <c r="O1043" i="1"/>
  <c r="N1043" i="1"/>
  <c r="Z1043" i="1" s="1"/>
  <c r="L1043" i="1"/>
  <c r="K1043" i="1"/>
  <c r="Y1042" i="1"/>
  <c r="P1042" i="1"/>
  <c r="O1042" i="1"/>
  <c r="N1042" i="1"/>
  <c r="Z1042" i="1" s="1"/>
  <c r="K1042" i="1"/>
  <c r="L1042" i="1" s="1"/>
  <c r="Y1041" i="1"/>
  <c r="O1041" i="1"/>
  <c r="N1041" i="1"/>
  <c r="P1041" i="1" s="1"/>
  <c r="L1041" i="1"/>
  <c r="K1041" i="1"/>
  <c r="Z1040" i="1"/>
  <c r="Y1040" i="1"/>
  <c r="N1040" i="1"/>
  <c r="L1040" i="1"/>
  <c r="K1040" i="1"/>
  <c r="Y1039" i="1"/>
  <c r="P1039" i="1"/>
  <c r="O1039" i="1"/>
  <c r="N1039" i="1"/>
  <c r="K1039" i="1"/>
  <c r="L1039" i="1" s="1"/>
  <c r="Y1038" i="1"/>
  <c r="O1038" i="1"/>
  <c r="N1038" i="1"/>
  <c r="P1038" i="1" s="1"/>
  <c r="L1038" i="1"/>
  <c r="K1038" i="1"/>
  <c r="Z1037" i="1"/>
  <c r="Y1037" i="1"/>
  <c r="N1037" i="1"/>
  <c r="L1037" i="1"/>
  <c r="K1037" i="1"/>
  <c r="Y1036" i="1"/>
  <c r="P1036" i="1"/>
  <c r="O1036" i="1"/>
  <c r="N1036" i="1"/>
  <c r="Z1036" i="1" s="1"/>
  <c r="L1036" i="1"/>
  <c r="K1036" i="1"/>
  <c r="Y1035" i="1"/>
  <c r="P1035" i="1"/>
  <c r="O1035" i="1"/>
  <c r="N1035" i="1"/>
  <c r="Z1035" i="1" s="1"/>
  <c r="K1035" i="1"/>
  <c r="L1035" i="1" s="1"/>
  <c r="Z1034" i="1"/>
  <c r="Y1034" i="1"/>
  <c r="N1034" i="1"/>
  <c r="L1034" i="1"/>
  <c r="K1034" i="1"/>
  <c r="Y1033" i="1"/>
  <c r="N1033" i="1"/>
  <c r="L1033" i="1"/>
  <c r="K1033" i="1"/>
  <c r="Y1032" i="1"/>
  <c r="P1032" i="1"/>
  <c r="O1032" i="1"/>
  <c r="N1032" i="1"/>
  <c r="Z1032" i="1" s="1"/>
  <c r="L1032" i="1"/>
  <c r="K1032" i="1"/>
  <c r="Y1031" i="1"/>
  <c r="P1031" i="1"/>
  <c r="O1031" i="1"/>
  <c r="N1031" i="1"/>
  <c r="Z1031" i="1" s="1"/>
  <c r="K1031" i="1"/>
  <c r="L1031" i="1" s="1"/>
  <c r="Y1030" i="1"/>
  <c r="O1030" i="1"/>
  <c r="N1030" i="1"/>
  <c r="P1030" i="1" s="1"/>
  <c r="L1030" i="1"/>
  <c r="K1030" i="1"/>
  <c r="Z1029" i="1"/>
  <c r="Y1029" i="1"/>
  <c r="N1029" i="1"/>
  <c r="L1029" i="1"/>
  <c r="K1029" i="1"/>
  <c r="Y1028" i="1"/>
  <c r="P1028" i="1"/>
  <c r="O1028" i="1"/>
  <c r="N1028" i="1"/>
  <c r="Z1028" i="1" s="1"/>
  <c r="L1028" i="1"/>
  <c r="K1028" i="1"/>
  <c r="Y1027" i="1"/>
  <c r="P1027" i="1"/>
  <c r="O1027" i="1"/>
  <c r="N1027" i="1"/>
  <c r="Z1027" i="1" s="1"/>
  <c r="K1027" i="1"/>
  <c r="L1027" i="1" s="1"/>
  <c r="Y1026" i="1"/>
  <c r="N1026" i="1"/>
  <c r="L1026" i="1"/>
  <c r="K1026" i="1"/>
  <c r="Y1025" i="1"/>
  <c r="N1025" i="1"/>
  <c r="L1025" i="1"/>
  <c r="K1025" i="1"/>
  <c r="Y1024" i="1"/>
  <c r="P1024" i="1"/>
  <c r="O1024" i="1"/>
  <c r="N1024" i="1"/>
  <c r="Z1024" i="1" s="1"/>
  <c r="K1024" i="1"/>
  <c r="L1024" i="1" s="1"/>
  <c r="Y1023" i="1"/>
  <c r="P1023" i="1"/>
  <c r="O1023" i="1"/>
  <c r="N1023" i="1"/>
  <c r="Z1023" i="1" s="1"/>
  <c r="K1023" i="1"/>
  <c r="L1023" i="1" s="1"/>
  <c r="Y1022" i="1"/>
  <c r="O1022" i="1"/>
  <c r="N1022" i="1"/>
  <c r="P1022" i="1" s="1"/>
  <c r="L1022" i="1"/>
  <c r="K1022" i="1"/>
  <c r="Z1021" i="1"/>
  <c r="Y1021" i="1"/>
  <c r="N1021" i="1"/>
  <c r="L1021" i="1"/>
  <c r="K1021" i="1"/>
  <c r="Y1020" i="1"/>
  <c r="P1020" i="1"/>
  <c r="O1020" i="1"/>
  <c r="N1020" i="1"/>
  <c r="Z1020" i="1" s="1"/>
  <c r="L1020" i="1"/>
  <c r="K1020" i="1"/>
  <c r="Y1019" i="1"/>
  <c r="P1019" i="1"/>
  <c r="O1019" i="1"/>
  <c r="N1019" i="1"/>
  <c r="Z1019" i="1" s="1"/>
  <c r="K1019" i="1"/>
  <c r="L1019" i="1" s="1"/>
  <c r="Y1018" i="1"/>
  <c r="N1018" i="1"/>
  <c r="L1018" i="1"/>
  <c r="K1018" i="1"/>
  <c r="Y1017" i="1"/>
  <c r="N1017" i="1"/>
  <c r="L1017" i="1"/>
  <c r="K1017" i="1"/>
  <c r="Y1016" i="1"/>
  <c r="P1016" i="1"/>
  <c r="O1016" i="1"/>
  <c r="N1016" i="1"/>
  <c r="Z1016" i="1" s="1"/>
  <c r="K1016" i="1"/>
  <c r="L1016" i="1" s="1"/>
  <c r="Y1015" i="1"/>
  <c r="P1015" i="1"/>
  <c r="O1015" i="1"/>
  <c r="N1015" i="1"/>
  <c r="Z1015" i="1" s="1"/>
  <c r="K1015" i="1"/>
  <c r="L1015" i="1" s="1"/>
  <c r="Y1014" i="1"/>
  <c r="O1014" i="1"/>
  <c r="N1014" i="1"/>
  <c r="P1014" i="1" s="1"/>
  <c r="L1014" i="1"/>
  <c r="K1014" i="1"/>
  <c r="Z1013" i="1"/>
  <c r="Y1013" i="1"/>
  <c r="N1013" i="1"/>
  <c r="L1013" i="1"/>
  <c r="K1013" i="1"/>
  <c r="Y1012" i="1"/>
  <c r="P1012" i="1"/>
  <c r="O1012" i="1"/>
  <c r="N1012" i="1"/>
  <c r="Z1012" i="1" s="1"/>
  <c r="L1012" i="1"/>
  <c r="K1012" i="1"/>
  <c r="Y1011" i="1"/>
  <c r="P1011" i="1"/>
  <c r="O1011" i="1"/>
  <c r="N1011" i="1"/>
  <c r="Z1011" i="1" s="1"/>
  <c r="K1011" i="1"/>
  <c r="L1011" i="1" s="1"/>
  <c r="Z1010" i="1"/>
  <c r="Y1010" i="1"/>
  <c r="N1010" i="1"/>
  <c r="L1010" i="1"/>
  <c r="K1010" i="1"/>
  <c r="Y1009" i="1"/>
  <c r="N1009" i="1"/>
  <c r="L1009" i="1"/>
  <c r="K1009" i="1"/>
  <c r="Y1008" i="1"/>
  <c r="P1008" i="1"/>
  <c r="O1008" i="1"/>
  <c r="N1008" i="1"/>
  <c r="Z1008" i="1" s="1"/>
  <c r="L1008" i="1"/>
  <c r="K1008" i="1"/>
  <c r="Y1007" i="1"/>
  <c r="P1007" i="1"/>
  <c r="O1007" i="1"/>
  <c r="N1007" i="1"/>
  <c r="Z1007" i="1" s="1"/>
  <c r="K1007" i="1"/>
  <c r="L1007" i="1" s="1"/>
  <c r="Y1006" i="1"/>
  <c r="O1006" i="1"/>
  <c r="N1006" i="1"/>
  <c r="P1006" i="1" s="1"/>
  <c r="L1006" i="1"/>
  <c r="K1006" i="1"/>
  <c r="Z1005" i="1"/>
  <c r="Y1005" i="1"/>
  <c r="N1005" i="1"/>
  <c r="L1005" i="1"/>
  <c r="K1005" i="1"/>
  <c r="Y1004" i="1"/>
  <c r="P1004" i="1"/>
  <c r="O1004" i="1"/>
  <c r="N1004" i="1"/>
  <c r="Z1004" i="1" s="1"/>
  <c r="L1004" i="1"/>
  <c r="K1004" i="1"/>
  <c r="Y1003" i="1"/>
  <c r="P1003" i="1"/>
  <c r="O1003" i="1"/>
  <c r="N1003" i="1"/>
  <c r="Z1003" i="1" s="1"/>
  <c r="K1003" i="1"/>
  <c r="L1003" i="1" s="1"/>
  <c r="Z1002" i="1"/>
  <c r="Y1002" i="1"/>
  <c r="N1002" i="1"/>
  <c r="L1002" i="1"/>
  <c r="K1002" i="1"/>
  <c r="Y1001" i="1"/>
  <c r="N1001" i="1"/>
  <c r="L1001" i="1"/>
  <c r="K1001" i="1"/>
  <c r="Y1000" i="1"/>
  <c r="P1000" i="1"/>
  <c r="O1000" i="1"/>
  <c r="N1000" i="1"/>
  <c r="Z1000" i="1" s="1"/>
  <c r="L1000" i="1"/>
  <c r="K1000" i="1"/>
  <c r="Y999" i="1"/>
  <c r="P999" i="1"/>
  <c r="O999" i="1"/>
  <c r="N999" i="1"/>
  <c r="Z999" i="1" s="1"/>
  <c r="K999" i="1"/>
  <c r="L999" i="1" s="1"/>
  <c r="Y998" i="1"/>
  <c r="O998" i="1"/>
  <c r="N998" i="1"/>
  <c r="P998" i="1" s="1"/>
  <c r="L998" i="1"/>
  <c r="K998" i="1"/>
  <c r="Z997" i="1"/>
  <c r="Y997" i="1"/>
  <c r="N997" i="1"/>
  <c r="L997" i="1"/>
  <c r="K997" i="1"/>
  <c r="Y996" i="1"/>
  <c r="P996" i="1"/>
  <c r="O996" i="1"/>
  <c r="N996" i="1"/>
  <c r="Z996" i="1" s="1"/>
  <c r="L996" i="1"/>
  <c r="K996" i="1"/>
  <c r="Y995" i="1"/>
  <c r="P995" i="1"/>
  <c r="O995" i="1"/>
  <c r="N995" i="1"/>
  <c r="Z995" i="1" s="1"/>
  <c r="K995" i="1"/>
  <c r="L995" i="1" s="1"/>
  <c r="Y994" i="1"/>
  <c r="N994" i="1"/>
  <c r="L994" i="1"/>
  <c r="K994" i="1"/>
  <c r="Y993" i="1"/>
  <c r="N993" i="1"/>
  <c r="L993" i="1"/>
  <c r="K993" i="1"/>
  <c r="Y992" i="1"/>
  <c r="P992" i="1"/>
  <c r="O992" i="1"/>
  <c r="N992" i="1"/>
  <c r="Z992" i="1" s="1"/>
  <c r="K992" i="1"/>
  <c r="L992" i="1" s="1"/>
  <c r="Y991" i="1"/>
  <c r="P991" i="1"/>
  <c r="O991" i="1"/>
  <c r="N991" i="1"/>
  <c r="Z991" i="1" s="1"/>
  <c r="K991" i="1"/>
  <c r="L991" i="1" s="1"/>
  <c r="Y990" i="1"/>
  <c r="O990" i="1"/>
  <c r="N990" i="1"/>
  <c r="P990" i="1" s="1"/>
  <c r="L990" i="1"/>
  <c r="K990" i="1"/>
  <c r="Z989" i="1"/>
  <c r="Y989" i="1"/>
  <c r="N989" i="1"/>
  <c r="L989" i="1"/>
  <c r="K989" i="1"/>
  <c r="Y988" i="1"/>
  <c r="P988" i="1"/>
  <c r="O988" i="1"/>
  <c r="N988" i="1"/>
  <c r="Z988" i="1" s="1"/>
  <c r="L988" i="1"/>
  <c r="K988" i="1"/>
  <c r="Y987" i="1"/>
  <c r="P987" i="1"/>
  <c r="O987" i="1"/>
  <c r="N987" i="1"/>
  <c r="Z987" i="1" s="1"/>
  <c r="K987" i="1"/>
  <c r="L987" i="1" s="1"/>
  <c r="Y986" i="1"/>
  <c r="N986" i="1"/>
  <c r="L986" i="1"/>
  <c r="K986" i="1"/>
  <c r="Y985" i="1"/>
  <c r="N985" i="1"/>
  <c r="L985" i="1"/>
  <c r="K985" i="1"/>
  <c r="Y984" i="1"/>
  <c r="P984" i="1"/>
  <c r="O984" i="1"/>
  <c r="N984" i="1"/>
  <c r="Z984" i="1" s="1"/>
  <c r="L984" i="1"/>
  <c r="K984" i="1"/>
  <c r="Y983" i="1"/>
  <c r="P983" i="1"/>
  <c r="O983" i="1"/>
  <c r="N983" i="1"/>
  <c r="Z983" i="1" s="1"/>
  <c r="K983" i="1"/>
  <c r="L983" i="1" s="1"/>
  <c r="Y982" i="1"/>
  <c r="O982" i="1"/>
  <c r="N982" i="1"/>
  <c r="P982" i="1" s="1"/>
  <c r="K982" i="1"/>
  <c r="L982" i="1" s="1"/>
  <c r="Y981" i="1"/>
  <c r="P981" i="1"/>
  <c r="N981" i="1"/>
  <c r="O981" i="1" s="1"/>
  <c r="K981" i="1"/>
  <c r="L981" i="1" s="1"/>
  <c r="Y980" i="1"/>
  <c r="P980" i="1"/>
  <c r="O980" i="1"/>
  <c r="N980" i="1"/>
  <c r="Z980" i="1" s="1"/>
  <c r="K980" i="1"/>
  <c r="L980" i="1" s="1"/>
  <c r="Y979" i="1"/>
  <c r="O979" i="1"/>
  <c r="N979" i="1"/>
  <c r="K979" i="1"/>
  <c r="L979" i="1" s="1"/>
  <c r="Y978" i="1"/>
  <c r="N978" i="1"/>
  <c r="L978" i="1"/>
  <c r="K978" i="1"/>
  <c r="Y977" i="1"/>
  <c r="P977" i="1"/>
  <c r="O977" i="1"/>
  <c r="N977" i="1"/>
  <c r="K977" i="1"/>
  <c r="L977" i="1" s="1"/>
  <c r="Y976" i="1"/>
  <c r="N976" i="1"/>
  <c r="L976" i="1"/>
  <c r="K976" i="1"/>
  <c r="Y975" i="1"/>
  <c r="P975" i="1"/>
  <c r="N975" i="1"/>
  <c r="O975" i="1" s="1"/>
  <c r="L975" i="1"/>
  <c r="K975" i="1"/>
  <c r="Y974" i="1"/>
  <c r="P974" i="1"/>
  <c r="O974" i="1"/>
  <c r="N974" i="1"/>
  <c r="Z974" i="1" s="1"/>
  <c r="K974" i="1"/>
  <c r="L974" i="1" s="1"/>
  <c r="Y973" i="1"/>
  <c r="O973" i="1"/>
  <c r="N973" i="1"/>
  <c r="P973" i="1" s="1"/>
  <c r="K973" i="1"/>
  <c r="L973" i="1" s="1"/>
  <c r="Z972" i="1"/>
  <c r="Y972" i="1"/>
  <c r="N972" i="1"/>
  <c r="L972" i="1"/>
  <c r="K972" i="1"/>
  <c r="Y971" i="1"/>
  <c r="P971" i="1"/>
  <c r="N971" i="1"/>
  <c r="O971" i="1" s="1"/>
  <c r="K971" i="1"/>
  <c r="L971" i="1" s="1"/>
  <c r="Y970" i="1"/>
  <c r="P970" i="1"/>
  <c r="O970" i="1"/>
  <c r="N970" i="1"/>
  <c r="Z970" i="1" s="1"/>
  <c r="K970" i="1"/>
  <c r="L970" i="1" s="1"/>
  <c r="Y969" i="1"/>
  <c r="O969" i="1"/>
  <c r="N969" i="1"/>
  <c r="P969" i="1" s="1"/>
  <c r="K969" i="1"/>
  <c r="L969" i="1" s="1"/>
  <c r="Z968" i="1"/>
  <c r="Y968" i="1"/>
  <c r="N968" i="1"/>
  <c r="L968" i="1"/>
  <c r="K968" i="1"/>
  <c r="Y967" i="1"/>
  <c r="P967" i="1"/>
  <c r="O967" i="1"/>
  <c r="N967" i="1"/>
  <c r="K967" i="1"/>
  <c r="L967" i="1" s="1"/>
  <c r="Y966" i="1"/>
  <c r="O966" i="1"/>
  <c r="N966" i="1"/>
  <c r="K966" i="1"/>
  <c r="L966" i="1" s="1"/>
  <c r="Y965" i="1"/>
  <c r="P965" i="1"/>
  <c r="N965" i="1"/>
  <c r="O965" i="1" s="1"/>
  <c r="L965" i="1"/>
  <c r="K965" i="1"/>
  <c r="Y964" i="1"/>
  <c r="P964" i="1"/>
  <c r="O964" i="1"/>
  <c r="N964" i="1"/>
  <c r="Z964" i="1" s="1"/>
  <c r="K964" i="1"/>
  <c r="L964" i="1" s="1"/>
  <c r="Y963" i="1"/>
  <c r="N963" i="1"/>
  <c r="K963" i="1"/>
  <c r="L963" i="1" s="1"/>
  <c r="Y962" i="1"/>
  <c r="N962" i="1"/>
  <c r="L962" i="1"/>
  <c r="K962" i="1"/>
  <c r="Y961" i="1"/>
  <c r="P961" i="1"/>
  <c r="N961" i="1"/>
  <c r="O961" i="1" s="1"/>
  <c r="L961" i="1"/>
  <c r="K961" i="1"/>
  <c r="Y960" i="1"/>
  <c r="P960" i="1"/>
  <c r="O960" i="1"/>
  <c r="N960" i="1"/>
  <c r="Z960" i="1" s="1"/>
  <c r="K960" i="1"/>
  <c r="L960" i="1" s="1"/>
  <c r="Z959" i="1"/>
  <c r="Y959" i="1"/>
  <c r="N959" i="1"/>
  <c r="K959" i="1"/>
  <c r="L959" i="1" s="1"/>
  <c r="Y958" i="1"/>
  <c r="N958" i="1"/>
  <c r="L958" i="1"/>
  <c r="K958" i="1"/>
  <c r="Y957" i="1"/>
  <c r="P957" i="1"/>
  <c r="N957" i="1"/>
  <c r="O957" i="1" s="1"/>
  <c r="L957" i="1"/>
  <c r="K957" i="1"/>
  <c r="Y956" i="1"/>
  <c r="P956" i="1"/>
  <c r="O956" i="1"/>
  <c r="N956" i="1"/>
  <c r="Z956" i="1" s="1"/>
  <c r="K956" i="1"/>
  <c r="L956" i="1" s="1"/>
  <c r="Y955" i="1"/>
  <c r="N955" i="1"/>
  <c r="L955" i="1"/>
  <c r="K955" i="1"/>
  <c r="Y954" i="1"/>
  <c r="P954" i="1"/>
  <c r="N954" i="1"/>
  <c r="O954" i="1" s="1"/>
  <c r="L954" i="1"/>
  <c r="K954" i="1"/>
  <c r="Y953" i="1"/>
  <c r="P953" i="1"/>
  <c r="O953" i="1"/>
  <c r="N953" i="1"/>
  <c r="Z953" i="1" s="1"/>
  <c r="K953" i="1"/>
  <c r="L953" i="1" s="1"/>
  <c r="Y952" i="1"/>
  <c r="O952" i="1"/>
  <c r="N952" i="1"/>
  <c r="P952" i="1" s="1"/>
  <c r="K952" i="1"/>
  <c r="L952" i="1" s="1"/>
  <c r="Z951" i="1"/>
  <c r="Y951" i="1"/>
  <c r="N951" i="1"/>
  <c r="L951" i="1"/>
  <c r="K951" i="1"/>
  <c r="Y950" i="1"/>
  <c r="P950" i="1"/>
  <c r="N950" i="1"/>
  <c r="O950" i="1" s="1"/>
  <c r="K950" i="1"/>
  <c r="L950" i="1" s="1"/>
  <c r="Y949" i="1"/>
  <c r="P949" i="1"/>
  <c r="O949" i="1"/>
  <c r="N949" i="1"/>
  <c r="Z949" i="1" s="1"/>
  <c r="K949" i="1"/>
  <c r="L949" i="1" s="1"/>
  <c r="Y948" i="1"/>
  <c r="O948" i="1"/>
  <c r="N948" i="1"/>
  <c r="P948" i="1" s="1"/>
  <c r="K948" i="1"/>
  <c r="L948" i="1" s="1"/>
  <c r="Z947" i="1"/>
  <c r="Y947" i="1"/>
  <c r="N947" i="1"/>
  <c r="L947" i="1"/>
  <c r="K947" i="1"/>
  <c r="Y946" i="1"/>
  <c r="P946" i="1"/>
  <c r="N946" i="1"/>
  <c r="O946" i="1" s="1"/>
  <c r="K946" i="1"/>
  <c r="L946" i="1" s="1"/>
  <c r="Y945" i="1"/>
  <c r="P945" i="1"/>
  <c r="O945" i="1"/>
  <c r="N945" i="1"/>
  <c r="Z945" i="1" s="1"/>
  <c r="K945" i="1"/>
  <c r="L945" i="1" s="1"/>
  <c r="Y944" i="1"/>
  <c r="O944" i="1"/>
  <c r="N944" i="1"/>
  <c r="P944" i="1" s="1"/>
  <c r="K944" i="1"/>
  <c r="L944" i="1" s="1"/>
  <c r="Z943" i="1"/>
  <c r="Y943" i="1"/>
  <c r="N943" i="1"/>
  <c r="L943" i="1"/>
  <c r="K943" i="1"/>
  <c r="Y942" i="1"/>
  <c r="P942" i="1"/>
  <c r="N942" i="1"/>
  <c r="O942" i="1" s="1"/>
  <c r="L942" i="1"/>
  <c r="K942" i="1"/>
  <c r="Y941" i="1"/>
  <c r="P941" i="1"/>
  <c r="O941" i="1"/>
  <c r="N941" i="1"/>
  <c r="Z941" i="1" s="1"/>
  <c r="K941" i="1"/>
  <c r="L941" i="1" s="1"/>
  <c r="Y940" i="1"/>
  <c r="O940" i="1"/>
  <c r="N940" i="1"/>
  <c r="P940" i="1" s="1"/>
  <c r="K940" i="1"/>
  <c r="L940" i="1" s="1"/>
  <c r="Z939" i="1"/>
  <c r="Y939" i="1"/>
  <c r="N939" i="1"/>
  <c r="L939" i="1"/>
  <c r="K939" i="1"/>
  <c r="Y938" i="1"/>
  <c r="P938" i="1"/>
  <c r="N938" i="1"/>
  <c r="O938" i="1" s="1"/>
  <c r="L938" i="1"/>
  <c r="K938" i="1"/>
  <c r="Y937" i="1"/>
  <c r="P937" i="1"/>
  <c r="O937" i="1"/>
  <c r="N937" i="1"/>
  <c r="Z937" i="1" s="1"/>
  <c r="K937" i="1"/>
  <c r="L937" i="1" s="1"/>
  <c r="Y936" i="1"/>
  <c r="O936" i="1"/>
  <c r="N936" i="1"/>
  <c r="P936" i="1" s="1"/>
  <c r="K936" i="1"/>
  <c r="L936" i="1" s="1"/>
  <c r="Z935" i="1"/>
  <c r="Y935" i="1"/>
  <c r="N935" i="1"/>
  <c r="L935" i="1"/>
  <c r="K935" i="1"/>
  <c r="Y934" i="1"/>
  <c r="P934" i="1"/>
  <c r="N934" i="1"/>
  <c r="O934" i="1" s="1"/>
  <c r="L934" i="1"/>
  <c r="K934" i="1"/>
  <c r="Y933" i="1"/>
  <c r="P933" i="1"/>
  <c r="O933" i="1"/>
  <c r="N933" i="1"/>
  <c r="Z933" i="1" s="1"/>
  <c r="K933" i="1"/>
  <c r="L933" i="1" s="1"/>
  <c r="Y932" i="1"/>
  <c r="O932" i="1"/>
  <c r="N932" i="1"/>
  <c r="P932" i="1" s="1"/>
  <c r="K932" i="1"/>
  <c r="L932" i="1" s="1"/>
  <c r="Z931" i="1"/>
  <c r="Y931" i="1"/>
  <c r="N931" i="1"/>
  <c r="L931" i="1"/>
  <c r="K931" i="1"/>
  <c r="Y930" i="1"/>
  <c r="P930" i="1"/>
  <c r="N930" i="1"/>
  <c r="O930" i="1" s="1"/>
  <c r="K930" i="1"/>
  <c r="L930" i="1" s="1"/>
  <c r="Y929" i="1"/>
  <c r="P929" i="1"/>
  <c r="O929" i="1"/>
  <c r="N929" i="1"/>
  <c r="Z929" i="1" s="1"/>
  <c r="K929" i="1"/>
  <c r="L929" i="1" s="1"/>
  <c r="Y928" i="1"/>
  <c r="O928" i="1"/>
  <c r="N928" i="1"/>
  <c r="P928" i="1" s="1"/>
  <c r="K928" i="1"/>
  <c r="L928" i="1" s="1"/>
  <c r="Z927" i="1"/>
  <c r="Y927" i="1"/>
  <c r="O927" i="1"/>
  <c r="N927" i="1"/>
  <c r="P927" i="1" s="1"/>
  <c r="L927" i="1"/>
  <c r="K927" i="1"/>
  <c r="Y926" i="1"/>
  <c r="P926" i="1"/>
  <c r="N926" i="1"/>
  <c r="L926" i="1"/>
  <c r="K926" i="1"/>
  <c r="Y925" i="1"/>
  <c r="P925" i="1"/>
  <c r="O925" i="1"/>
  <c r="N925" i="1"/>
  <c r="Z925" i="1" s="1"/>
  <c r="L925" i="1"/>
  <c r="K925" i="1"/>
  <c r="Y924" i="1"/>
  <c r="P924" i="1"/>
  <c r="O924" i="1"/>
  <c r="N924" i="1"/>
  <c r="Z924" i="1" s="1"/>
  <c r="K924" i="1"/>
  <c r="L924" i="1" s="1"/>
  <c r="Z923" i="1"/>
  <c r="Y923" i="1"/>
  <c r="O923" i="1"/>
  <c r="N923" i="1"/>
  <c r="P923" i="1" s="1"/>
  <c r="L923" i="1"/>
  <c r="K923" i="1"/>
  <c r="Y922" i="1"/>
  <c r="N922" i="1"/>
  <c r="L922" i="1"/>
  <c r="K922" i="1"/>
  <c r="Y921" i="1"/>
  <c r="N921" i="1"/>
  <c r="L921" i="1"/>
  <c r="K921" i="1"/>
  <c r="Y920" i="1"/>
  <c r="P920" i="1"/>
  <c r="O920" i="1"/>
  <c r="N920" i="1"/>
  <c r="Z920" i="1" s="1"/>
  <c r="K920" i="1"/>
  <c r="L920" i="1" s="1"/>
  <c r="Y919" i="1"/>
  <c r="N919" i="1"/>
  <c r="L919" i="1"/>
  <c r="K919" i="1"/>
  <c r="Y918" i="1"/>
  <c r="N918" i="1"/>
  <c r="L918" i="1"/>
  <c r="K918" i="1"/>
  <c r="Y917" i="1"/>
  <c r="P917" i="1"/>
  <c r="O917" i="1"/>
  <c r="N917" i="1"/>
  <c r="Z917" i="1" s="1"/>
  <c r="L917" i="1"/>
  <c r="K917" i="1"/>
  <c r="Y916" i="1"/>
  <c r="P916" i="1"/>
  <c r="O916" i="1"/>
  <c r="N916" i="1"/>
  <c r="Z916" i="1" s="1"/>
  <c r="K916" i="1"/>
  <c r="L916" i="1" s="1"/>
  <c r="Y915" i="1"/>
  <c r="O915" i="1"/>
  <c r="N915" i="1"/>
  <c r="P915" i="1" s="1"/>
  <c r="L915" i="1"/>
  <c r="K915" i="1"/>
  <c r="Z914" i="1"/>
  <c r="Y914" i="1"/>
  <c r="N914" i="1"/>
  <c r="L914" i="1"/>
  <c r="K914" i="1"/>
  <c r="Y913" i="1"/>
  <c r="P913" i="1"/>
  <c r="O913" i="1"/>
  <c r="N913" i="1"/>
  <c r="Z913" i="1" s="1"/>
  <c r="L913" i="1"/>
  <c r="K913" i="1"/>
  <c r="Y912" i="1"/>
  <c r="P912" i="1"/>
  <c r="O912" i="1"/>
  <c r="N912" i="1"/>
  <c r="Z912" i="1" s="1"/>
  <c r="K912" i="1"/>
  <c r="L912" i="1" s="1"/>
  <c r="Z911" i="1"/>
  <c r="Y911" i="1"/>
  <c r="N911" i="1"/>
  <c r="L911" i="1"/>
  <c r="K911" i="1"/>
  <c r="Y910" i="1"/>
  <c r="N910" i="1"/>
  <c r="L910" i="1"/>
  <c r="K910" i="1"/>
  <c r="Y909" i="1"/>
  <c r="P909" i="1"/>
  <c r="O909" i="1"/>
  <c r="N909" i="1"/>
  <c r="Z909" i="1" s="1"/>
  <c r="L909" i="1"/>
  <c r="K909" i="1"/>
  <c r="Y908" i="1"/>
  <c r="P908" i="1"/>
  <c r="O908" i="1"/>
  <c r="N908" i="1"/>
  <c r="Z908" i="1" s="1"/>
  <c r="K908" i="1"/>
  <c r="L908" i="1" s="1"/>
  <c r="Y907" i="1"/>
  <c r="O907" i="1"/>
  <c r="N907" i="1"/>
  <c r="P907" i="1" s="1"/>
  <c r="L907" i="1"/>
  <c r="K907" i="1"/>
  <c r="Z906" i="1"/>
  <c r="Y906" i="1"/>
  <c r="N906" i="1"/>
  <c r="L906" i="1"/>
  <c r="K906" i="1"/>
  <c r="Y905" i="1"/>
  <c r="P905" i="1"/>
  <c r="O905" i="1"/>
  <c r="N905" i="1"/>
  <c r="Z905" i="1" s="1"/>
  <c r="L905" i="1"/>
  <c r="K905" i="1"/>
  <c r="Y904" i="1"/>
  <c r="P904" i="1"/>
  <c r="O904" i="1"/>
  <c r="N904" i="1"/>
  <c r="Z904" i="1" s="1"/>
  <c r="K904" i="1"/>
  <c r="L904" i="1" s="1"/>
  <c r="Y903" i="1"/>
  <c r="N903" i="1"/>
  <c r="L903" i="1"/>
  <c r="K903" i="1"/>
  <c r="Y902" i="1"/>
  <c r="N902" i="1"/>
  <c r="L902" i="1"/>
  <c r="K902" i="1"/>
  <c r="Y901" i="1"/>
  <c r="P901" i="1"/>
  <c r="O901" i="1"/>
  <c r="N901" i="1"/>
  <c r="Z901" i="1" s="1"/>
  <c r="K901" i="1"/>
  <c r="L901" i="1" s="1"/>
  <c r="Y900" i="1"/>
  <c r="P900" i="1"/>
  <c r="O900" i="1"/>
  <c r="N900" i="1"/>
  <c r="Z900" i="1" s="1"/>
  <c r="K900" i="1"/>
  <c r="L900" i="1" s="1"/>
  <c r="Y899" i="1"/>
  <c r="O899" i="1"/>
  <c r="N899" i="1"/>
  <c r="P899" i="1" s="1"/>
  <c r="L899" i="1"/>
  <c r="K899" i="1"/>
  <c r="Z898" i="1"/>
  <c r="Y898" i="1"/>
  <c r="N898" i="1"/>
  <c r="L898" i="1"/>
  <c r="K898" i="1"/>
  <c r="Y897" i="1"/>
  <c r="P897" i="1"/>
  <c r="O897" i="1"/>
  <c r="N897" i="1"/>
  <c r="Z897" i="1" s="1"/>
  <c r="L897" i="1"/>
  <c r="K897" i="1"/>
  <c r="Y896" i="1"/>
  <c r="P896" i="1"/>
  <c r="O896" i="1"/>
  <c r="N896" i="1"/>
  <c r="Z896" i="1" s="1"/>
  <c r="K896" i="1"/>
  <c r="L896" i="1" s="1"/>
  <c r="Y895" i="1"/>
  <c r="N895" i="1"/>
  <c r="Z895" i="1" s="1"/>
  <c r="L895" i="1"/>
  <c r="K895" i="1"/>
  <c r="Y894" i="1"/>
  <c r="N894" i="1"/>
  <c r="L894" i="1"/>
  <c r="K894" i="1"/>
  <c r="Y893" i="1"/>
  <c r="P893" i="1"/>
  <c r="O893" i="1"/>
  <c r="N893" i="1"/>
  <c r="Z893" i="1" s="1"/>
  <c r="K893" i="1"/>
  <c r="L893" i="1" s="1"/>
  <c r="Y892" i="1"/>
  <c r="P892" i="1"/>
  <c r="O892" i="1"/>
  <c r="N892" i="1"/>
  <c r="Z892" i="1" s="1"/>
  <c r="K892" i="1"/>
  <c r="L892" i="1" s="1"/>
  <c r="Y891" i="1"/>
  <c r="O891" i="1"/>
  <c r="N891" i="1"/>
  <c r="P891" i="1" s="1"/>
  <c r="L891" i="1"/>
  <c r="K891" i="1"/>
  <c r="Z890" i="1"/>
  <c r="Y890" i="1"/>
  <c r="N890" i="1"/>
  <c r="L890" i="1"/>
  <c r="K890" i="1"/>
  <c r="Y889" i="1"/>
  <c r="P889" i="1"/>
  <c r="O889" i="1"/>
  <c r="N889" i="1"/>
  <c r="Z889" i="1" s="1"/>
  <c r="L889" i="1"/>
  <c r="K889" i="1"/>
  <c r="Y888" i="1"/>
  <c r="O888" i="1"/>
  <c r="N888" i="1"/>
  <c r="Z888" i="1" s="1"/>
  <c r="K888" i="1"/>
  <c r="L888" i="1" s="1"/>
  <c r="G888" i="1"/>
  <c r="P888" i="1" s="1"/>
  <c r="Y887" i="1"/>
  <c r="O887" i="1"/>
  <c r="N887" i="1"/>
  <c r="Z887" i="1" s="1"/>
  <c r="K887" i="1"/>
  <c r="L887" i="1" s="1"/>
  <c r="G887" i="1"/>
  <c r="P887" i="1" s="1"/>
  <c r="Y886" i="1"/>
  <c r="O886" i="1"/>
  <c r="N886" i="1"/>
  <c r="Z886" i="1" s="1"/>
  <c r="K886" i="1"/>
  <c r="L886" i="1" s="1"/>
  <c r="G886" i="1"/>
  <c r="P886" i="1" s="1"/>
  <c r="Y885" i="1"/>
  <c r="O885" i="1"/>
  <c r="N885" i="1"/>
  <c r="Z885" i="1" s="1"/>
  <c r="K885" i="1"/>
  <c r="L885" i="1" s="1"/>
  <c r="G885" i="1"/>
  <c r="P885" i="1" s="1"/>
  <c r="Y884" i="1"/>
  <c r="O884" i="1"/>
  <c r="N884" i="1"/>
  <c r="Z884" i="1" s="1"/>
  <c r="K884" i="1"/>
  <c r="L884" i="1" s="1"/>
  <c r="G884" i="1"/>
  <c r="P884" i="1" s="1"/>
  <c r="Y883" i="1"/>
  <c r="O883" i="1"/>
  <c r="N883" i="1"/>
  <c r="Z883" i="1" s="1"/>
  <c r="K883" i="1"/>
  <c r="L883" i="1" s="1"/>
  <c r="G883" i="1"/>
  <c r="P883" i="1" s="1"/>
  <c r="Y882" i="1"/>
  <c r="O882" i="1"/>
  <c r="N882" i="1"/>
  <c r="Z882" i="1" s="1"/>
  <c r="K882" i="1"/>
  <c r="L882" i="1" s="1"/>
  <c r="G882" i="1"/>
  <c r="P882" i="1" s="1"/>
  <c r="Y881" i="1"/>
  <c r="O881" i="1"/>
  <c r="N881" i="1"/>
  <c r="Z881" i="1" s="1"/>
  <c r="K881" i="1"/>
  <c r="L881" i="1" s="1"/>
  <c r="G881" i="1"/>
  <c r="P881" i="1" s="1"/>
  <c r="Y880" i="1"/>
  <c r="P880" i="1"/>
  <c r="O880" i="1"/>
  <c r="N880" i="1"/>
  <c r="Z880" i="1" s="1"/>
  <c r="K880" i="1"/>
  <c r="L880" i="1" s="1"/>
  <c r="Z879" i="1"/>
  <c r="Y879" i="1"/>
  <c r="N879" i="1"/>
  <c r="L879" i="1"/>
  <c r="K879" i="1"/>
  <c r="Y878" i="1"/>
  <c r="N878" i="1"/>
  <c r="L878" i="1"/>
  <c r="K878" i="1"/>
  <c r="Y877" i="1"/>
  <c r="P877" i="1"/>
  <c r="O877" i="1"/>
  <c r="N877" i="1"/>
  <c r="Z877" i="1" s="1"/>
  <c r="L877" i="1"/>
  <c r="K877" i="1"/>
  <c r="Y876" i="1"/>
  <c r="P876" i="1"/>
  <c r="O876" i="1"/>
  <c r="N876" i="1"/>
  <c r="Z876" i="1" s="1"/>
  <c r="K876" i="1"/>
  <c r="L876" i="1" s="1"/>
  <c r="Y875" i="1"/>
  <c r="O875" i="1"/>
  <c r="N875" i="1"/>
  <c r="P875" i="1" s="1"/>
  <c r="L875" i="1"/>
  <c r="K875" i="1"/>
  <c r="Y874" i="1"/>
  <c r="P874" i="1"/>
  <c r="O874" i="1"/>
  <c r="N874" i="1"/>
  <c r="L874" i="1"/>
  <c r="K874" i="1"/>
  <c r="Y873" i="1"/>
  <c r="P873" i="1"/>
  <c r="O873" i="1"/>
  <c r="N873" i="1"/>
  <c r="Z873" i="1" s="1"/>
  <c r="K873" i="1"/>
  <c r="L873" i="1" s="1"/>
  <c r="Z872" i="1"/>
  <c r="Y872" i="1"/>
  <c r="O872" i="1"/>
  <c r="N872" i="1"/>
  <c r="P872" i="1" s="1"/>
  <c r="L872" i="1"/>
  <c r="K872" i="1"/>
  <c r="Y871" i="1"/>
  <c r="N871" i="1"/>
  <c r="L871" i="1"/>
  <c r="K871" i="1"/>
  <c r="Y870" i="1"/>
  <c r="P870" i="1"/>
  <c r="O870" i="1"/>
  <c r="N870" i="1"/>
  <c r="Z870" i="1" s="1"/>
  <c r="K870" i="1"/>
  <c r="L870" i="1" s="1"/>
  <c r="Y869" i="1"/>
  <c r="O869" i="1"/>
  <c r="N869" i="1"/>
  <c r="P869" i="1" s="1"/>
  <c r="L869" i="1"/>
  <c r="K869" i="1"/>
  <c r="Y868" i="1"/>
  <c r="P868" i="1"/>
  <c r="O868" i="1"/>
  <c r="N868" i="1"/>
  <c r="L868" i="1"/>
  <c r="K868" i="1"/>
  <c r="Y867" i="1"/>
  <c r="P867" i="1"/>
  <c r="O867" i="1"/>
  <c r="N867" i="1"/>
  <c r="Z867" i="1" s="1"/>
  <c r="K867" i="1"/>
  <c r="L867" i="1" s="1"/>
  <c r="Y866" i="1"/>
  <c r="N866" i="1"/>
  <c r="L866" i="1"/>
  <c r="K866" i="1"/>
  <c r="Y865" i="1"/>
  <c r="N865" i="1"/>
  <c r="L865" i="1"/>
  <c r="K865" i="1"/>
  <c r="Y864" i="1"/>
  <c r="P864" i="1"/>
  <c r="O864" i="1"/>
  <c r="N864" i="1"/>
  <c r="Z864" i="1" s="1"/>
  <c r="K864" i="1"/>
  <c r="L864" i="1" s="1"/>
  <c r="Y863" i="1"/>
  <c r="P863" i="1"/>
  <c r="O863" i="1"/>
  <c r="N863" i="1"/>
  <c r="Z863" i="1" s="1"/>
  <c r="K863" i="1"/>
  <c r="L863" i="1" s="1"/>
  <c r="Y862" i="1"/>
  <c r="O862" i="1"/>
  <c r="N862" i="1"/>
  <c r="P862" i="1" s="1"/>
  <c r="L862" i="1"/>
  <c r="K862" i="1"/>
  <c r="Z861" i="1"/>
  <c r="Y861" i="1"/>
  <c r="N861" i="1"/>
  <c r="L861" i="1"/>
  <c r="K861" i="1"/>
  <c r="Y860" i="1"/>
  <c r="P860" i="1"/>
  <c r="O860" i="1"/>
  <c r="N860" i="1"/>
  <c r="Z860" i="1" s="1"/>
  <c r="L860" i="1"/>
  <c r="K860" i="1"/>
  <c r="Y859" i="1"/>
  <c r="P859" i="1"/>
  <c r="O859" i="1"/>
  <c r="N859" i="1"/>
  <c r="Z859" i="1" s="1"/>
  <c r="K859" i="1"/>
  <c r="L859" i="1" s="1"/>
  <c r="Z858" i="1"/>
  <c r="Y858" i="1"/>
  <c r="N858" i="1"/>
  <c r="L858" i="1"/>
  <c r="K858" i="1"/>
  <c r="Y857" i="1"/>
  <c r="N857" i="1"/>
  <c r="L857" i="1"/>
  <c r="K857" i="1"/>
  <c r="Y856" i="1"/>
  <c r="P856" i="1"/>
  <c r="O856" i="1"/>
  <c r="N856" i="1"/>
  <c r="Z856" i="1" s="1"/>
  <c r="L856" i="1"/>
  <c r="K856" i="1"/>
  <c r="Y855" i="1"/>
  <c r="P855" i="1"/>
  <c r="O855" i="1"/>
  <c r="N855" i="1"/>
  <c r="Z855" i="1" s="1"/>
  <c r="K855" i="1"/>
  <c r="L855" i="1" s="1"/>
  <c r="Y854" i="1"/>
  <c r="O854" i="1"/>
  <c r="N854" i="1"/>
  <c r="P854" i="1" s="1"/>
  <c r="L854" i="1"/>
  <c r="K854" i="1"/>
  <c r="Y853" i="1"/>
  <c r="P853" i="1"/>
  <c r="O853" i="1"/>
  <c r="N853" i="1"/>
  <c r="L853" i="1"/>
  <c r="K853" i="1"/>
  <c r="Y852" i="1"/>
  <c r="P852" i="1"/>
  <c r="O852" i="1"/>
  <c r="N852" i="1"/>
  <c r="Z852" i="1" s="1"/>
  <c r="K852" i="1"/>
  <c r="L852" i="1" s="1"/>
  <c r="Z851" i="1"/>
  <c r="Y851" i="1"/>
  <c r="O851" i="1"/>
  <c r="N851" i="1"/>
  <c r="P851" i="1" s="1"/>
  <c r="L851" i="1"/>
  <c r="K851" i="1"/>
  <c r="Y850" i="1"/>
  <c r="N850" i="1"/>
  <c r="L850" i="1"/>
  <c r="K850" i="1"/>
  <c r="Y849" i="1"/>
  <c r="P849" i="1"/>
  <c r="O849" i="1"/>
  <c r="N849" i="1"/>
  <c r="K849" i="1"/>
  <c r="L849" i="1" s="1"/>
  <c r="Y848" i="1"/>
  <c r="N848" i="1"/>
  <c r="L848" i="1"/>
  <c r="K848" i="1"/>
  <c r="Y847" i="1"/>
  <c r="P847" i="1"/>
  <c r="O847" i="1"/>
  <c r="N847" i="1"/>
  <c r="Z847" i="1" s="1"/>
  <c r="K847" i="1"/>
  <c r="L847" i="1" s="1"/>
  <c r="Y846" i="1"/>
  <c r="N846" i="1"/>
  <c r="L846" i="1"/>
  <c r="K846" i="1"/>
  <c r="Y845" i="1"/>
  <c r="N845" i="1"/>
  <c r="L845" i="1"/>
  <c r="K845" i="1"/>
  <c r="Y844" i="1"/>
  <c r="P844" i="1"/>
  <c r="O844" i="1"/>
  <c r="N844" i="1"/>
  <c r="Z844" i="1" s="1"/>
  <c r="L844" i="1"/>
  <c r="K844" i="1"/>
  <c r="Y843" i="1"/>
  <c r="P843" i="1"/>
  <c r="O843" i="1"/>
  <c r="N843" i="1"/>
  <c r="Z843" i="1" s="1"/>
  <c r="K843" i="1"/>
  <c r="L843" i="1" s="1"/>
  <c r="Y842" i="1"/>
  <c r="O842" i="1"/>
  <c r="N842" i="1"/>
  <c r="P842" i="1" s="1"/>
  <c r="L842" i="1"/>
  <c r="K842" i="1"/>
  <c r="Z841" i="1"/>
  <c r="Y841" i="1"/>
  <c r="N841" i="1"/>
  <c r="L841" i="1"/>
  <c r="K841" i="1"/>
  <c r="Y840" i="1"/>
  <c r="P840" i="1"/>
  <c r="O840" i="1"/>
  <c r="N840" i="1"/>
  <c r="K840" i="1"/>
  <c r="L840" i="1" s="1"/>
  <c r="Y839" i="1"/>
  <c r="O839" i="1"/>
  <c r="N839" i="1"/>
  <c r="P839" i="1" s="1"/>
  <c r="L839" i="1"/>
  <c r="K839" i="1"/>
  <c r="Y838" i="1"/>
  <c r="P838" i="1"/>
  <c r="O838" i="1"/>
  <c r="N838" i="1"/>
  <c r="L838" i="1"/>
  <c r="K838" i="1"/>
  <c r="Y837" i="1"/>
  <c r="N837" i="1"/>
  <c r="P837" i="1" s="1"/>
  <c r="L837" i="1"/>
  <c r="K837" i="1"/>
  <c r="Y836" i="1"/>
  <c r="P836" i="1"/>
  <c r="O836" i="1"/>
  <c r="N836" i="1"/>
  <c r="K836" i="1"/>
  <c r="L836" i="1" s="1"/>
  <c r="Y835" i="1"/>
  <c r="N835" i="1"/>
  <c r="L835" i="1"/>
  <c r="K835" i="1"/>
  <c r="Y834" i="1"/>
  <c r="N834" i="1"/>
  <c r="L834" i="1"/>
  <c r="K834" i="1"/>
  <c r="Y833" i="1"/>
  <c r="P833" i="1"/>
  <c r="O833" i="1"/>
  <c r="N833" i="1"/>
  <c r="K833" i="1"/>
  <c r="L833" i="1" s="1"/>
  <c r="Y832" i="1"/>
  <c r="N832" i="1"/>
  <c r="L832" i="1"/>
  <c r="K832" i="1"/>
  <c r="Y831" i="1"/>
  <c r="P831" i="1"/>
  <c r="O831" i="1"/>
  <c r="N831" i="1"/>
  <c r="K831" i="1"/>
  <c r="L831" i="1" s="1"/>
  <c r="Y830" i="1"/>
  <c r="N830" i="1"/>
  <c r="L830" i="1"/>
  <c r="K830" i="1"/>
  <c r="Y829" i="1"/>
  <c r="P829" i="1"/>
  <c r="O829" i="1"/>
  <c r="N829" i="1"/>
  <c r="K829" i="1"/>
  <c r="L829" i="1" s="1"/>
  <c r="Y828" i="1"/>
  <c r="N828" i="1"/>
  <c r="L828" i="1"/>
  <c r="K828" i="1"/>
  <c r="Y827" i="1"/>
  <c r="P827" i="1"/>
  <c r="O827" i="1"/>
  <c r="N827" i="1"/>
  <c r="K827" i="1"/>
  <c r="L827" i="1" s="1"/>
  <c r="Y826" i="1"/>
  <c r="P826" i="1"/>
  <c r="O826" i="1"/>
  <c r="N826" i="1"/>
  <c r="Z826" i="1" s="1"/>
  <c r="K826" i="1"/>
  <c r="L826" i="1" s="1"/>
  <c r="Y825" i="1"/>
  <c r="O825" i="1"/>
  <c r="N825" i="1"/>
  <c r="L825" i="1"/>
  <c r="K825" i="1"/>
  <c r="Z824" i="1"/>
  <c r="Y824" i="1"/>
  <c r="N824" i="1"/>
  <c r="L824" i="1"/>
  <c r="K824" i="1"/>
  <c r="Y823" i="1"/>
  <c r="P823" i="1"/>
  <c r="O823" i="1"/>
  <c r="N823" i="1"/>
  <c r="K823" i="1"/>
  <c r="L823" i="1" s="1"/>
  <c r="Y822" i="1"/>
  <c r="N822" i="1"/>
  <c r="L822" i="1"/>
  <c r="K822" i="1"/>
  <c r="Y821" i="1"/>
  <c r="P821" i="1"/>
  <c r="O821" i="1"/>
  <c r="N821" i="1"/>
  <c r="K821" i="1"/>
  <c r="L821" i="1" s="1"/>
  <c r="Y820" i="1"/>
  <c r="O820" i="1"/>
  <c r="N820" i="1"/>
  <c r="P820" i="1" s="1"/>
  <c r="L820" i="1"/>
  <c r="K820" i="1"/>
  <c r="Z819" i="1"/>
  <c r="Y819" i="1"/>
  <c r="N819" i="1"/>
  <c r="L819" i="1"/>
  <c r="K819" i="1"/>
  <c r="Y818" i="1"/>
  <c r="P818" i="1"/>
  <c r="O818" i="1"/>
  <c r="N818" i="1"/>
  <c r="Z818" i="1" s="1"/>
  <c r="L818" i="1"/>
  <c r="K818" i="1"/>
  <c r="Y817" i="1"/>
  <c r="P817" i="1"/>
  <c r="O817" i="1"/>
  <c r="N817" i="1"/>
  <c r="Z817" i="1" s="1"/>
  <c r="K817" i="1"/>
  <c r="L817" i="1" s="1"/>
  <c r="Z816" i="1"/>
  <c r="Y816" i="1"/>
  <c r="N816" i="1"/>
  <c r="L816" i="1"/>
  <c r="K816" i="1"/>
  <c r="Y815" i="1"/>
  <c r="N815" i="1"/>
  <c r="L815" i="1"/>
  <c r="K815" i="1"/>
  <c r="Y814" i="1"/>
  <c r="P814" i="1"/>
  <c r="O814" i="1"/>
  <c r="N814" i="1"/>
  <c r="K814" i="1"/>
  <c r="L814" i="1" s="1"/>
  <c r="Y813" i="1"/>
  <c r="N813" i="1"/>
  <c r="L813" i="1"/>
  <c r="K813" i="1"/>
  <c r="Y812" i="1"/>
  <c r="N812" i="1"/>
  <c r="L812" i="1"/>
  <c r="K812" i="1"/>
  <c r="Y811" i="1"/>
  <c r="P811" i="1"/>
  <c r="O811" i="1"/>
  <c r="N811" i="1"/>
  <c r="K811" i="1"/>
  <c r="L811" i="1" s="1"/>
  <c r="Y810" i="1"/>
  <c r="N810" i="1"/>
  <c r="L810" i="1"/>
  <c r="K810" i="1"/>
  <c r="Y809" i="1"/>
  <c r="P809" i="1"/>
  <c r="O809" i="1"/>
  <c r="N809" i="1"/>
  <c r="Z809" i="1" s="1"/>
  <c r="L809" i="1"/>
  <c r="K809" i="1"/>
  <c r="Y808" i="1"/>
  <c r="P808" i="1"/>
  <c r="O808" i="1"/>
  <c r="N808" i="1"/>
  <c r="Z808" i="1" s="1"/>
  <c r="K808" i="1"/>
  <c r="L808" i="1" s="1"/>
  <c r="Z807" i="1"/>
  <c r="Y807" i="1"/>
  <c r="O807" i="1"/>
  <c r="N807" i="1"/>
  <c r="P807" i="1" s="1"/>
  <c r="L807" i="1"/>
  <c r="K807" i="1"/>
  <c r="Y806" i="1"/>
  <c r="N806" i="1"/>
  <c r="L806" i="1"/>
  <c r="K806" i="1"/>
  <c r="Y805" i="1"/>
  <c r="P805" i="1"/>
  <c r="O805" i="1"/>
  <c r="N805" i="1"/>
  <c r="Z805" i="1" s="1"/>
  <c r="K805" i="1"/>
  <c r="L805" i="1" s="1"/>
  <c r="Y804" i="1"/>
  <c r="P804" i="1"/>
  <c r="O804" i="1"/>
  <c r="N804" i="1"/>
  <c r="Z804" i="1" s="1"/>
  <c r="K804" i="1"/>
  <c r="L804" i="1" s="1"/>
  <c r="Y803" i="1"/>
  <c r="O803" i="1"/>
  <c r="N803" i="1"/>
  <c r="L803" i="1"/>
  <c r="K803" i="1"/>
  <c r="Y802" i="1"/>
  <c r="P802" i="1"/>
  <c r="O802" i="1"/>
  <c r="N802" i="1"/>
  <c r="L802" i="1"/>
  <c r="K802" i="1"/>
  <c r="Y801" i="1"/>
  <c r="N801" i="1"/>
  <c r="L801" i="1"/>
  <c r="K801" i="1"/>
  <c r="Y800" i="1"/>
  <c r="N800" i="1"/>
  <c r="L800" i="1"/>
  <c r="K800" i="1"/>
  <c r="Y799" i="1"/>
  <c r="P799" i="1"/>
  <c r="O799" i="1"/>
  <c r="N799" i="1"/>
  <c r="Z799" i="1" s="1"/>
  <c r="K799" i="1"/>
  <c r="L799" i="1" s="1"/>
  <c r="Y798" i="1"/>
  <c r="N798" i="1"/>
  <c r="L798" i="1"/>
  <c r="K798" i="1"/>
  <c r="Y797" i="1"/>
  <c r="P797" i="1"/>
  <c r="O797" i="1"/>
  <c r="N797" i="1"/>
  <c r="K797" i="1"/>
  <c r="L797" i="1" s="1"/>
  <c r="Y796" i="1"/>
  <c r="O796" i="1"/>
  <c r="N796" i="1"/>
  <c r="P796" i="1" s="1"/>
  <c r="L796" i="1"/>
  <c r="K796" i="1"/>
  <c r="Y795" i="1"/>
  <c r="N795" i="1"/>
  <c r="L795" i="1"/>
  <c r="K795" i="1"/>
  <c r="Y794" i="1"/>
  <c r="P794" i="1"/>
  <c r="O794" i="1"/>
  <c r="N794" i="1"/>
  <c r="K794" i="1"/>
  <c r="L794" i="1" s="1"/>
  <c r="Y793" i="1"/>
  <c r="N793" i="1"/>
  <c r="L793" i="1"/>
  <c r="K793" i="1"/>
  <c r="Y792" i="1"/>
  <c r="P792" i="1"/>
  <c r="O792" i="1"/>
  <c r="N792" i="1"/>
  <c r="K792" i="1"/>
  <c r="L792" i="1" s="1"/>
  <c r="Z791" i="1"/>
  <c r="Y791" i="1"/>
  <c r="N791" i="1"/>
  <c r="L791" i="1"/>
  <c r="K791" i="1"/>
  <c r="Y790" i="1"/>
  <c r="P790" i="1"/>
  <c r="O790" i="1"/>
  <c r="N790" i="1"/>
  <c r="K790" i="1"/>
  <c r="L790" i="1" s="1"/>
  <c r="Y789" i="1"/>
  <c r="O789" i="1"/>
  <c r="N789" i="1"/>
  <c r="P789" i="1" s="1"/>
  <c r="L789" i="1"/>
  <c r="K789" i="1"/>
  <c r="Y788" i="1"/>
  <c r="P788" i="1"/>
  <c r="O788" i="1"/>
  <c r="N788" i="1"/>
  <c r="L788" i="1"/>
  <c r="K788" i="1"/>
  <c r="Y787" i="1"/>
  <c r="P787" i="1"/>
  <c r="O787" i="1"/>
  <c r="N787" i="1"/>
  <c r="Z787" i="1" s="1"/>
  <c r="K787" i="1"/>
  <c r="L787" i="1" s="1"/>
  <c r="Y786" i="1"/>
  <c r="N786" i="1"/>
  <c r="Z786" i="1" s="1"/>
  <c r="L786" i="1"/>
  <c r="K786" i="1"/>
  <c r="Y785" i="1"/>
  <c r="P785" i="1"/>
  <c r="O785" i="1"/>
  <c r="N785" i="1"/>
  <c r="K785" i="1"/>
  <c r="L785" i="1" s="1"/>
  <c r="Y784" i="1"/>
  <c r="P784" i="1"/>
  <c r="O784" i="1"/>
  <c r="N784" i="1"/>
  <c r="Z784" i="1" s="1"/>
  <c r="K784" i="1"/>
  <c r="L784" i="1" s="1"/>
  <c r="Y783" i="1"/>
  <c r="N783" i="1"/>
  <c r="O783" i="1" s="1"/>
  <c r="L783" i="1"/>
  <c r="K783" i="1"/>
  <c r="Z782" i="1"/>
  <c r="Y782" i="1"/>
  <c r="N782" i="1"/>
  <c r="L782" i="1"/>
  <c r="K782" i="1"/>
  <c r="Y781" i="1"/>
  <c r="P781" i="1"/>
  <c r="O781" i="1"/>
  <c r="N781" i="1"/>
  <c r="Z781" i="1" s="1"/>
  <c r="L781" i="1"/>
  <c r="K781" i="1"/>
  <c r="Y780" i="1"/>
  <c r="P780" i="1"/>
  <c r="O780" i="1"/>
  <c r="N780" i="1"/>
  <c r="Z780" i="1" s="1"/>
  <c r="K780" i="1"/>
  <c r="L780" i="1" s="1"/>
  <c r="Z779" i="1"/>
  <c r="Y779" i="1"/>
  <c r="O779" i="1"/>
  <c r="N779" i="1"/>
  <c r="P779" i="1" s="1"/>
  <c r="L779" i="1"/>
  <c r="K779" i="1"/>
  <c r="Y778" i="1"/>
  <c r="N778" i="1"/>
  <c r="L778" i="1"/>
  <c r="K778" i="1"/>
  <c r="Y777" i="1"/>
  <c r="P777" i="1"/>
  <c r="O777" i="1"/>
  <c r="N777" i="1"/>
  <c r="Z777" i="1" s="1"/>
  <c r="K777" i="1"/>
  <c r="L777" i="1" s="1"/>
  <c r="Y776" i="1"/>
  <c r="O776" i="1"/>
  <c r="N776" i="1"/>
  <c r="P776" i="1" s="1"/>
  <c r="L776" i="1"/>
  <c r="K776" i="1"/>
  <c r="Y775" i="1"/>
  <c r="P775" i="1"/>
  <c r="O775" i="1"/>
  <c r="N775" i="1"/>
  <c r="L775" i="1"/>
  <c r="K775" i="1"/>
  <c r="Y774" i="1"/>
  <c r="O774" i="1"/>
  <c r="N774" i="1"/>
  <c r="P774" i="1" s="1"/>
  <c r="L774" i="1"/>
  <c r="K774" i="1"/>
  <c r="Y773" i="1"/>
  <c r="P773" i="1"/>
  <c r="O773" i="1"/>
  <c r="N773" i="1"/>
  <c r="L773" i="1"/>
  <c r="K773" i="1"/>
  <c r="Y772" i="1"/>
  <c r="P772" i="1"/>
  <c r="O772" i="1"/>
  <c r="N772" i="1"/>
  <c r="Z772" i="1" s="1"/>
  <c r="K772" i="1"/>
  <c r="L772" i="1" s="1"/>
  <c r="Z771" i="1"/>
  <c r="Y771" i="1"/>
  <c r="O771" i="1"/>
  <c r="N771" i="1"/>
  <c r="P771" i="1" s="1"/>
  <c r="L771" i="1"/>
  <c r="K771" i="1"/>
  <c r="Y770" i="1"/>
  <c r="P770" i="1"/>
  <c r="O770" i="1"/>
  <c r="N770" i="1"/>
  <c r="L770" i="1"/>
  <c r="K770" i="1"/>
  <c r="Y769" i="1"/>
  <c r="P769" i="1"/>
  <c r="O769" i="1"/>
  <c r="N769" i="1"/>
  <c r="Z769" i="1" s="1"/>
  <c r="K769" i="1"/>
  <c r="L769" i="1" s="1"/>
  <c r="Y768" i="1"/>
  <c r="N768" i="1"/>
  <c r="L768" i="1"/>
  <c r="K768" i="1"/>
  <c r="Y767" i="1"/>
  <c r="N767" i="1"/>
  <c r="L767" i="1"/>
  <c r="K767" i="1"/>
  <c r="Y766" i="1"/>
  <c r="P766" i="1"/>
  <c r="O766" i="1"/>
  <c r="N766" i="1"/>
  <c r="Z766" i="1" s="1"/>
  <c r="K766" i="1"/>
  <c r="L766" i="1" s="1"/>
  <c r="Y765" i="1"/>
  <c r="P765" i="1"/>
  <c r="O765" i="1"/>
  <c r="N765" i="1"/>
  <c r="Z765" i="1" s="1"/>
  <c r="K765" i="1"/>
  <c r="L765" i="1" s="1"/>
  <c r="Y764" i="1"/>
  <c r="O764" i="1"/>
  <c r="N764" i="1"/>
  <c r="P764" i="1" s="1"/>
  <c r="L764" i="1"/>
  <c r="K764" i="1"/>
  <c r="Y763" i="1"/>
  <c r="P763" i="1"/>
  <c r="O763" i="1"/>
  <c r="N763" i="1"/>
  <c r="L763" i="1"/>
  <c r="K763" i="1"/>
  <c r="Y762" i="1"/>
  <c r="O762" i="1"/>
  <c r="N762" i="1"/>
  <c r="P762" i="1" s="1"/>
  <c r="L762" i="1"/>
  <c r="K762" i="1"/>
  <c r="Y761" i="1"/>
  <c r="P761" i="1"/>
  <c r="O761" i="1"/>
  <c r="N761" i="1"/>
  <c r="L761" i="1"/>
  <c r="K761" i="1"/>
  <c r="Y760" i="1"/>
  <c r="N760" i="1"/>
  <c r="L760" i="1"/>
  <c r="K760" i="1"/>
  <c r="Y759" i="1"/>
  <c r="P759" i="1"/>
  <c r="O759" i="1"/>
  <c r="N759" i="1"/>
  <c r="K759" i="1"/>
  <c r="L759" i="1" s="1"/>
  <c r="Y758" i="1"/>
  <c r="O758" i="1"/>
  <c r="N758" i="1"/>
  <c r="P758" i="1" s="1"/>
  <c r="L758" i="1"/>
  <c r="K758" i="1"/>
  <c r="Y757" i="1"/>
  <c r="P757" i="1"/>
  <c r="O757" i="1"/>
  <c r="N757" i="1"/>
  <c r="L757" i="1"/>
  <c r="K757" i="1"/>
  <c r="Y756" i="1"/>
  <c r="O756" i="1"/>
  <c r="N756" i="1"/>
  <c r="P756" i="1" s="1"/>
  <c r="L756" i="1"/>
  <c r="K756" i="1"/>
  <c r="Z755" i="1"/>
  <c r="Y755" i="1"/>
  <c r="N755" i="1"/>
  <c r="L755" i="1"/>
  <c r="K755" i="1"/>
  <c r="Y754" i="1"/>
  <c r="P754" i="1"/>
  <c r="O754" i="1"/>
  <c r="N754" i="1"/>
  <c r="K754" i="1"/>
  <c r="L754" i="1" s="1"/>
  <c r="Y753" i="1"/>
  <c r="N753" i="1"/>
  <c r="L753" i="1"/>
  <c r="K753" i="1"/>
  <c r="Y752" i="1"/>
  <c r="P752" i="1"/>
  <c r="O752" i="1"/>
  <c r="N752" i="1"/>
  <c r="K752" i="1"/>
  <c r="L752" i="1" s="1"/>
  <c r="Z751" i="1"/>
  <c r="Y751" i="1"/>
  <c r="O751" i="1"/>
  <c r="N751" i="1"/>
  <c r="P751" i="1" s="1"/>
  <c r="L751" i="1"/>
  <c r="K751" i="1"/>
  <c r="Y750" i="1"/>
  <c r="N750" i="1"/>
  <c r="L750" i="1"/>
  <c r="K750" i="1"/>
  <c r="Y749" i="1"/>
  <c r="P749" i="1"/>
  <c r="O749" i="1"/>
  <c r="N749" i="1"/>
  <c r="Z749" i="1" s="1"/>
  <c r="K749" i="1"/>
  <c r="L749" i="1" s="1"/>
  <c r="Y748" i="1"/>
  <c r="O748" i="1"/>
  <c r="N748" i="1"/>
  <c r="P748" i="1" s="1"/>
  <c r="L748" i="1"/>
  <c r="K748" i="1"/>
  <c r="Y747" i="1"/>
  <c r="P747" i="1"/>
  <c r="O747" i="1"/>
  <c r="N747" i="1"/>
  <c r="L747" i="1"/>
  <c r="K747" i="1"/>
  <c r="Y746" i="1"/>
  <c r="P746" i="1"/>
  <c r="O746" i="1"/>
  <c r="N746" i="1"/>
  <c r="Z746" i="1" s="1"/>
  <c r="K746" i="1"/>
  <c r="L746" i="1" s="1"/>
  <c r="Y745" i="1"/>
  <c r="N745" i="1"/>
  <c r="L745" i="1"/>
  <c r="K745" i="1"/>
  <c r="Y744" i="1"/>
  <c r="P744" i="1"/>
  <c r="O744" i="1"/>
  <c r="N744" i="1"/>
  <c r="Z744" i="1" s="1"/>
  <c r="L744" i="1"/>
  <c r="K744" i="1"/>
  <c r="Y743" i="1"/>
  <c r="O743" i="1"/>
  <c r="N743" i="1"/>
  <c r="P743" i="1" s="1"/>
  <c r="L743" i="1"/>
  <c r="K743" i="1"/>
  <c r="Y742" i="1"/>
  <c r="P742" i="1"/>
  <c r="O742" i="1"/>
  <c r="N742" i="1"/>
  <c r="L742" i="1"/>
  <c r="K742" i="1"/>
  <c r="Y741" i="1"/>
  <c r="P741" i="1"/>
  <c r="O741" i="1"/>
  <c r="N741" i="1"/>
  <c r="Z741" i="1" s="1"/>
  <c r="K741" i="1"/>
  <c r="L741" i="1" s="1"/>
  <c r="Y740" i="1"/>
  <c r="N740" i="1"/>
  <c r="L740" i="1"/>
  <c r="K740" i="1"/>
  <c r="Y739" i="1"/>
  <c r="P739" i="1"/>
  <c r="O739" i="1"/>
  <c r="N739" i="1"/>
  <c r="Z739" i="1" s="1"/>
  <c r="K739" i="1"/>
  <c r="L739" i="1" s="1"/>
  <c r="Y738" i="1"/>
  <c r="P738" i="1"/>
  <c r="O738" i="1"/>
  <c r="N738" i="1"/>
  <c r="Z738" i="1" s="1"/>
  <c r="K738" i="1"/>
  <c r="L738" i="1" s="1"/>
  <c r="Y737" i="1"/>
  <c r="N737" i="1"/>
  <c r="L737" i="1"/>
  <c r="K737" i="1"/>
  <c r="Z736" i="1"/>
  <c r="Y736" i="1"/>
  <c r="N736" i="1"/>
  <c r="L736" i="1"/>
  <c r="K736" i="1"/>
  <c r="Y735" i="1"/>
  <c r="P735" i="1"/>
  <c r="O735" i="1"/>
  <c r="N735" i="1"/>
  <c r="K735" i="1"/>
  <c r="L735" i="1" s="1"/>
  <c r="Y734" i="1"/>
  <c r="N734" i="1"/>
  <c r="O734" i="1" s="1"/>
  <c r="L734" i="1"/>
  <c r="K734" i="1"/>
  <c r="Y733" i="1"/>
  <c r="P733" i="1"/>
  <c r="O733" i="1"/>
  <c r="N733" i="1"/>
  <c r="K733" i="1"/>
  <c r="L733" i="1" s="1"/>
  <c r="Y732" i="1"/>
  <c r="P732" i="1"/>
  <c r="O732" i="1"/>
  <c r="N732" i="1"/>
  <c r="Z732" i="1" s="1"/>
  <c r="K732" i="1"/>
  <c r="L732" i="1" s="1"/>
  <c r="Y731" i="1"/>
  <c r="N731" i="1"/>
  <c r="L731" i="1"/>
  <c r="K731" i="1"/>
  <c r="Y730" i="1"/>
  <c r="P730" i="1"/>
  <c r="O730" i="1"/>
  <c r="N730" i="1"/>
  <c r="Z730" i="1" s="1"/>
  <c r="K730" i="1"/>
  <c r="L730" i="1" s="1"/>
  <c r="Y729" i="1"/>
  <c r="O729" i="1"/>
  <c r="N729" i="1"/>
  <c r="P729" i="1" s="1"/>
  <c r="L729" i="1"/>
  <c r="K729" i="1"/>
  <c r="Y728" i="1"/>
  <c r="P728" i="1"/>
  <c r="O728" i="1"/>
  <c r="N728" i="1"/>
  <c r="L728" i="1"/>
  <c r="K728" i="1"/>
  <c r="Y727" i="1"/>
  <c r="P727" i="1"/>
  <c r="O727" i="1"/>
  <c r="N727" i="1"/>
  <c r="Z727" i="1" s="1"/>
  <c r="K727" i="1"/>
  <c r="L727" i="1" s="1"/>
  <c r="Y726" i="1"/>
  <c r="N726" i="1"/>
  <c r="Z726" i="1" s="1"/>
  <c r="L726" i="1"/>
  <c r="K726" i="1"/>
  <c r="Y725" i="1"/>
  <c r="N725" i="1"/>
  <c r="L725" i="1"/>
  <c r="K725" i="1"/>
  <c r="Y724" i="1"/>
  <c r="P724" i="1"/>
  <c r="O724" i="1"/>
  <c r="N724" i="1"/>
  <c r="Z724" i="1" s="1"/>
  <c r="K724" i="1"/>
  <c r="L724" i="1" s="1"/>
  <c r="Y723" i="1"/>
  <c r="N723" i="1"/>
  <c r="L723" i="1"/>
  <c r="K723" i="1"/>
  <c r="Y722" i="1"/>
  <c r="P722" i="1"/>
  <c r="O722" i="1"/>
  <c r="N722" i="1"/>
  <c r="K722" i="1"/>
  <c r="L722" i="1" s="1"/>
  <c r="Y721" i="1"/>
  <c r="P721" i="1"/>
  <c r="O721" i="1"/>
  <c r="N721" i="1"/>
  <c r="Z721" i="1" s="1"/>
  <c r="K721" i="1"/>
  <c r="L721" i="1" s="1"/>
  <c r="Y720" i="1"/>
  <c r="O720" i="1"/>
  <c r="N720" i="1"/>
  <c r="L720" i="1"/>
  <c r="K720" i="1"/>
  <c r="Z719" i="1"/>
  <c r="Y719" i="1"/>
  <c r="N719" i="1"/>
  <c r="L719" i="1"/>
  <c r="K719" i="1"/>
  <c r="Y718" i="1"/>
  <c r="P718" i="1"/>
  <c r="O718" i="1"/>
  <c r="N718" i="1"/>
  <c r="Z718" i="1" s="1"/>
  <c r="L718" i="1"/>
  <c r="K718" i="1"/>
  <c r="Y717" i="1"/>
  <c r="O717" i="1"/>
  <c r="N717" i="1"/>
  <c r="P717" i="1" s="1"/>
  <c r="L717" i="1"/>
  <c r="K717" i="1"/>
  <c r="Z716" i="1"/>
  <c r="Y716" i="1"/>
  <c r="N716" i="1"/>
  <c r="L716" i="1"/>
  <c r="K716" i="1"/>
  <c r="Y715" i="1"/>
  <c r="P715" i="1"/>
  <c r="O715" i="1"/>
  <c r="N715" i="1"/>
  <c r="Z715" i="1" s="1"/>
  <c r="L715" i="1"/>
  <c r="K715" i="1"/>
  <c r="Y714" i="1"/>
  <c r="O714" i="1"/>
  <c r="N714" i="1"/>
  <c r="P714" i="1" s="1"/>
  <c r="L714" i="1"/>
  <c r="K714" i="1"/>
  <c r="Z713" i="1"/>
  <c r="Y713" i="1"/>
  <c r="N713" i="1"/>
  <c r="L713" i="1"/>
  <c r="K713" i="1"/>
  <c r="Y712" i="1"/>
  <c r="P712" i="1"/>
  <c r="O712" i="1"/>
  <c r="N712" i="1"/>
  <c r="K712" i="1"/>
  <c r="L712" i="1" s="1"/>
  <c r="Y711" i="1"/>
  <c r="N711" i="1"/>
  <c r="L711" i="1"/>
  <c r="K711" i="1"/>
  <c r="Z710" i="1"/>
  <c r="Y710" i="1"/>
  <c r="N710" i="1"/>
  <c r="L710" i="1"/>
  <c r="K710" i="1"/>
  <c r="Y709" i="1"/>
  <c r="P709" i="1"/>
  <c r="O709" i="1"/>
  <c r="N709" i="1"/>
  <c r="K709" i="1"/>
  <c r="L709" i="1" s="1"/>
  <c r="Y708" i="1"/>
  <c r="N708" i="1"/>
  <c r="O708" i="1" s="1"/>
  <c r="L708" i="1"/>
  <c r="K708" i="1"/>
  <c r="Z707" i="1"/>
  <c r="Y707" i="1"/>
  <c r="N707" i="1"/>
  <c r="L707" i="1"/>
  <c r="K707" i="1"/>
  <c r="Y706" i="1"/>
  <c r="P706" i="1"/>
  <c r="O706" i="1"/>
  <c r="N706" i="1"/>
  <c r="Z706" i="1" s="1"/>
  <c r="L706" i="1"/>
  <c r="K706" i="1"/>
  <c r="Y705" i="1"/>
  <c r="P705" i="1"/>
  <c r="O705" i="1"/>
  <c r="N705" i="1"/>
  <c r="Z705" i="1" s="1"/>
  <c r="K705" i="1"/>
  <c r="L705" i="1" s="1"/>
  <c r="Y704" i="1"/>
  <c r="N704" i="1"/>
  <c r="L704" i="1"/>
  <c r="K704" i="1"/>
  <c r="Y703" i="1"/>
  <c r="P703" i="1"/>
  <c r="O703" i="1"/>
  <c r="N703" i="1"/>
  <c r="K703" i="1"/>
  <c r="L703" i="1" s="1"/>
  <c r="Y702" i="1"/>
  <c r="N702" i="1"/>
  <c r="L702" i="1"/>
  <c r="K702" i="1"/>
  <c r="Y701" i="1"/>
  <c r="P701" i="1"/>
  <c r="O701" i="1"/>
  <c r="N701" i="1"/>
  <c r="K701" i="1"/>
  <c r="L701" i="1" s="1"/>
  <c r="Y700" i="1"/>
  <c r="N700" i="1"/>
  <c r="L700" i="1"/>
  <c r="K700" i="1"/>
  <c r="Y699" i="1"/>
  <c r="P699" i="1"/>
  <c r="O699" i="1"/>
  <c r="N699" i="1"/>
  <c r="Z699" i="1" s="1"/>
  <c r="L699" i="1"/>
  <c r="K699" i="1"/>
  <c r="Y698" i="1"/>
  <c r="O698" i="1"/>
  <c r="N698" i="1"/>
  <c r="P698" i="1" s="1"/>
  <c r="L698" i="1"/>
  <c r="K698" i="1"/>
  <c r="Y697" i="1"/>
  <c r="P697" i="1"/>
  <c r="O697" i="1"/>
  <c r="N697" i="1"/>
  <c r="L697" i="1"/>
  <c r="K697" i="1"/>
  <c r="Y696" i="1"/>
  <c r="N696" i="1"/>
  <c r="P696" i="1" s="1"/>
  <c r="L696" i="1"/>
  <c r="K696" i="1"/>
  <c r="Y695" i="1"/>
  <c r="P695" i="1"/>
  <c r="O695" i="1"/>
  <c r="N695" i="1"/>
  <c r="K695" i="1"/>
  <c r="L695" i="1" s="1"/>
  <c r="Y694" i="1"/>
  <c r="N694" i="1"/>
  <c r="L694" i="1"/>
  <c r="K694" i="1"/>
  <c r="Y693" i="1"/>
  <c r="N693" i="1"/>
  <c r="L693" i="1"/>
  <c r="K693" i="1"/>
  <c r="Y692" i="1"/>
  <c r="P692" i="1"/>
  <c r="O692" i="1"/>
  <c r="N692" i="1"/>
  <c r="K692" i="1"/>
  <c r="L692" i="1" s="1"/>
  <c r="Y691" i="1"/>
  <c r="N691" i="1"/>
  <c r="L691" i="1"/>
  <c r="K691" i="1"/>
  <c r="Y690" i="1"/>
  <c r="N690" i="1"/>
  <c r="L690" i="1"/>
  <c r="K690" i="1"/>
  <c r="Y689" i="1"/>
  <c r="P689" i="1"/>
  <c r="O689" i="1"/>
  <c r="N689" i="1"/>
  <c r="K689" i="1"/>
  <c r="L689" i="1" s="1"/>
  <c r="Z688" i="1"/>
  <c r="Y688" i="1"/>
  <c r="N688" i="1"/>
  <c r="L688" i="1"/>
  <c r="K688" i="1"/>
  <c r="Y687" i="1"/>
  <c r="P687" i="1"/>
  <c r="O687" i="1"/>
  <c r="N687" i="1"/>
  <c r="K687" i="1"/>
  <c r="L687" i="1" s="1"/>
  <c r="Y686" i="1"/>
  <c r="O686" i="1"/>
  <c r="N686" i="1"/>
  <c r="P686" i="1" s="1"/>
  <c r="L686" i="1"/>
  <c r="K686" i="1"/>
  <c r="Y685" i="1"/>
  <c r="P685" i="1"/>
  <c r="O685" i="1"/>
  <c r="N685" i="1"/>
  <c r="L685" i="1"/>
  <c r="K685" i="1"/>
  <c r="Y684" i="1"/>
  <c r="O684" i="1"/>
  <c r="N684" i="1"/>
  <c r="P684" i="1" s="1"/>
  <c r="L684" i="1"/>
  <c r="K684" i="1"/>
  <c r="Y683" i="1"/>
  <c r="P683" i="1"/>
  <c r="O683" i="1"/>
  <c r="N683" i="1"/>
  <c r="L683" i="1"/>
  <c r="K683" i="1"/>
  <c r="Y682" i="1"/>
  <c r="O682" i="1"/>
  <c r="N682" i="1"/>
  <c r="P682" i="1" s="1"/>
  <c r="L682" i="1"/>
  <c r="K682" i="1"/>
  <c r="Z681" i="1"/>
  <c r="Y681" i="1"/>
  <c r="N681" i="1"/>
  <c r="L681" i="1"/>
  <c r="K681" i="1"/>
  <c r="Y680" i="1"/>
  <c r="P680" i="1"/>
  <c r="O680" i="1"/>
  <c r="N680" i="1"/>
  <c r="K680" i="1"/>
  <c r="L680" i="1" s="1"/>
  <c r="Y679" i="1"/>
  <c r="N679" i="1"/>
  <c r="L679" i="1"/>
  <c r="K679" i="1"/>
  <c r="Y678" i="1"/>
  <c r="P678" i="1"/>
  <c r="O678" i="1"/>
  <c r="N678" i="1"/>
  <c r="K678" i="1"/>
  <c r="L678" i="1" s="1"/>
  <c r="Y677" i="1"/>
  <c r="N677" i="1"/>
  <c r="L677" i="1"/>
  <c r="K677" i="1"/>
  <c r="Y676" i="1"/>
  <c r="P676" i="1"/>
  <c r="O676" i="1"/>
  <c r="N676" i="1"/>
  <c r="Z676" i="1" s="1"/>
  <c r="K676" i="1"/>
  <c r="L676" i="1" s="1"/>
  <c r="Y675" i="1"/>
  <c r="P675" i="1"/>
  <c r="O675" i="1"/>
  <c r="N675" i="1"/>
  <c r="Z675" i="1" s="1"/>
  <c r="K675" i="1"/>
  <c r="L675" i="1" s="1"/>
  <c r="Y674" i="1"/>
  <c r="N674" i="1"/>
  <c r="O674" i="1" s="1"/>
  <c r="L674" i="1"/>
  <c r="K674" i="1"/>
  <c r="Z673" i="1"/>
  <c r="Y673" i="1"/>
  <c r="N673" i="1"/>
  <c r="L673" i="1"/>
  <c r="K673" i="1"/>
  <c r="Y672" i="1"/>
  <c r="P672" i="1"/>
  <c r="O672" i="1"/>
  <c r="N672" i="1"/>
  <c r="Z672" i="1" s="1"/>
  <c r="L672" i="1"/>
  <c r="K672" i="1"/>
  <c r="Y671" i="1"/>
  <c r="P671" i="1"/>
  <c r="O671" i="1"/>
  <c r="N671" i="1"/>
  <c r="Z671" i="1" s="1"/>
  <c r="K671" i="1"/>
  <c r="L671" i="1" s="1"/>
  <c r="Z670" i="1"/>
  <c r="Y670" i="1"/>
  <c r="O670" i="1"/>
  <c r="N670" i="1"/>
  <c r="P670" i="1" s="1"/>
  <c r="L670" i="1"/>
  <c r="K670" i="1"/>
  <c r="Y669" i="1"/>
  <c r="P669" i="1"/>
  <c r="O669" i="1"/>
  <c r="N669" i="1"/>
  <c r="L669" i="1"/>
  <c r="K669" i="1"/>
  <c r="Y668" i="1"/>
  <c r="P668" i="1"/>
  <c r="O668" i="1"/>
  <c r="N668" i="1"/>
  <c r="Z668" i="1" s="1"/>
  <c r="K668" i="1"/>
  <c r="L668" i="1" s="1"/>
  <c r="Z667" i="1"/>
  <c r="Y667" i="1"/>
  <c r="N667" i="1"/>
  <c r="L667" i="1"/>
  <c r="K667" i="1"/>
  <c r="Y666" i="1"/>
  <c r="N666" i="1"/>
  <c r="L666" i="1"/>
  <c r="K666" i="1"/>
  <c r="Y665" i="1"/>
  <c r="P665" i="1"/>
  <c r="O665" i="1"/>
  <c r="N665" i="1"/>
  <c r="K665" i="1"/>
  <c r="L665" i="1" s="1"/>
  <c r="Y664" i="1"/>
  <c r="N664" i="1"/>
  <c r="L664" i="1"/>
  <c r="K664" i="1"/>
  <c r="Y663" i="1"/>
  <c r="P663" i="1"/>
  <c r="O663" i="1"/>
  <c r="N663" i="1"/>
  <c r="K663" i="1"/>
  <c r="L663" i="1" s="1"/>
  <c r="Y662" i="1"/>
  <c r="N662" i="1"/>
  <c r="L662" i="1"/>
  <c r="K662" i="1"/>
  <c r="Y661" i="1"/>
  <c r="P661" i="1"/>
  <c r="O661" i="1"/>
  <c r="N661" i="1"/>
  <c r="K661" i="1"/>
  <c r="L661" i="1" s="1"/>
  <c r="Y660" i="1"/>
  <c r="N660" i="1"/>
  <c r="L660" i="1"/>
  <c r="K660" i="1"/>
  <c r="Y659" i="1"/>
  <c r="P659" i="1"/>
  <c r="O659" i="1"/>
  <c r="N659" i="1"/>
  <c r="K659" i="1"/>
  <c r="L659" i="1" s="1"/>
  <c r="Y658" i="1"/>
  <c r="N658" i="1"/>
  <c r="L658" i="1"/>
  <c r="K658" i="1"/>
  <c r="Y657" i="1"/>
  <c r="P657" i="1"/>
  <c r="O657" i="1"/>
  <c r="N657" i="1"/>
  <c r="Z657" i="1" s="1"/>
  <c r="L657" i="1"/>
  <c r="K657" i="1"/>
  <c r="Y656" i="1"/>
  <c r="P656" i="1"/>
  <c r="O656" i="1"/>
  <c r="N656" i="1"/>
  <c r="Z656" i="1" s="1"/>
  <c r="K656" i="1"/>
  <c r="L656" i="1" s="1"/>
  <c r="Y655" i="1"/>
  <c r="N655" i="1"/>
  <c r="L655" i="1"/>
  <c r="K655" i="1"/>
  <c r="Y654" i="1"/>
  <c r="P654" i="1"/>
  <c r="O654" i="1"/>
  <c r="N654" i="1"/>
  <c r="K654" i="1"/>
  <c r="L654" i="1" s="1"/>
  <c r="Z653" i="1"/>
  <c r="Y653" i="1"/>
  <c r="O653" i="1"/>
  <c r="N653" i="1"/>
  <c r="P653" i="1" s="1"/>
  <c r="L653" i="1"/>
  <c r="K653" i="1"/>
  <c r="Y652" i="1"/>
  <c r="P652" i="1"/>
  <c r="O652" i="1"/>
  <c r="N652" i="1"/>
  <c r="L652" i="1"/>
  <c r="K652" i="1"/>
  <c r="Y651" i="1"/>
  <c r="O651" i="1"/>
  <c r="N651" i="1"/>
  <c r="P651" i="1" s="1"/>
  <c r="L651" i="1"/>
  <c r="K651" i="1"/>
  <c r="Y650" i="1"/>
  <c r="P650" i="1"/>
  <c r="O650" i="1"/>
  <c r="N650" i="1"/>
  <c r="L650" i="1"/>
  <c r="K650" i="1"/>
  <c r="Y649" i="1"/>
  <c r="O649" i="1"/>
  <c r="N649" i="1"/>
  <c r="P649" i="1" s="1"/>
  <c r="L649" i="1"/>
  <c r="K649" i="1"/>
  <c r="Z648" i="1"/>
  <c r="Y648" i="1"/>
  <c r="N648" i="1"/>
  <c r="L648" i="1"/>
  <c r="K648" i="1"/>
  <c r="Y647" i="1"/>
  <c r="P647" i="1"/>
  <c r="O647" i="1"/>
  <c r="N647" i="1"/>
  <c r="K647" i="1"/>
  <c r="L647" i="1" s="1"/>
  <c r="Y646" i="1"/>
  <c r="N646" i="1"/>
  <c r="L646" i="1"/>
  <c r="K646" i="1"/>
  <c r="Y645" i="1"/>
  <c r="P645" i="1"/>
  <c r="O645" i="1"/>
  <c r="N645" i="1"/>
  <c r="K645" i="1"/>
  <c r="L645" i="1" s="1"/>
  <c r="Y644" i="1"/>
  <c r="N644" i="1"/>
  <c r="L644" i="1"/>
  <c r="K644" i="1"/>
  <c r="Y643" i="1"/>
  <c r="P643" i="1"/>
  <c r="O643" i="1"/>
  <c r="N643" i="1"/>
  <c r="K643" i="1"/>
  <c r="L643" i="1" s="1"/>
  <c r="Y642" i="1"/>
  <c r="P642" i="1"/>
  <c r="O642" i="1"/>
  <c r="N642" i="1"/>
  <c r="Z642" i="1" s="1"/>
  <c r="K642" i="1"/>
  <c r="L642" i="1" s="1"/>
  <c r="Y641" i="1"/>
  <c r="N641" i="1"/>
  <c r="L641" i="1"/>
  <c r="K641" i="1"/>
  <c r="Y640" i="1"/>
  <c r="P640" i="1"/>
  <c r="O640" i="1"/>
  <c r="N640" i="1"/>
  <c r="K640" i="1"/>
  <c r="L640" i="1" s="1"/>
  <c r="Y639" i="1"/>
  <c r="P639" i="1"/>
  <c r="N639" i="1"/>
  <c r="O639" i="1" s="1"/>
  <c r="K639" i="1"/>
  <c r="L639" i="1" s="1"/>
  <c r="Y638" i="1"/>
  <c r="N638" i="1"/>
  <c r="K638" i="1"/>
  <c r="L638" i="1" s="1"/>
  <c r="Y637" i="1"/>
  <c r="N637" i="1"/>
  <c r="L637" i="1"/>
  <c r="K637" i="1"/>
  <c r="Y636" i="1"/>
  <c r="P636" i="1"/>
  <c r="O636" i="1"/>
  <c r="N636" i="1"/>
  <c r="K636" i="1"/>
  <c r="L636" i="1" s="1"/>
  <c r="Y635" i="1"/>
  <c r="P635" i="1"/>
  <c r="N635" i="1"/>
  <c r="O635" i="1" s="1"/>
  <c r="K635" i="1"/>
  <c r="L635" i="1" s="1"/>
  <c r="Y634" i="1"/>
  <c r="N634" i="1"/>
  <c r="K634" i="1"/>
  <c r="L634" i="1" s="1"/>
  <c r="Y633" i="1"/>
  <c r="N633" i="1"/>
  <c r="L633" i="1"/>
  <c r="K633" i="1"/>
  <c r="Y632" i="1"/>
  <c r="P632" i="1"/>
  <c r="O632" i="1"/>
  <c r="N632" i="1"/>
  <c r="Z632" i="1" s="1"/>
  <c r="K632" i="1"/>
  <c r="L632" i="1" s="1"/>
  <c r="Z631" i="1"/>
  <c r="Y631" i="1"/>
  <c r="N631" i="1"/>
  <c r="P631" i="1" s="1"/>
  <c r="K631" i="1"/>
  <c r="L631" i="1" s="1"/>
  <c r="Y630" i="1"/>
  <c r="O630" i="1"/>
  <c r="N630" i="1"/>
  <c r="P630" i="1" s="1"/>
  <c r="L630" i="1"/>
  <c r="K630" i="1"/>
  <c r="Y629" i="1"/>
  <c r="N629" i="1"/>
  <c r="Z629" i="1" s="1"/>
  <c r="L629" i="1"/>
  <c r="K629" i="1"/>
  <c r="Y628" i="1"/>
  <c r="P628" i="1"/>
  <c r="O628" i="1"/>
  <c r="N628" i="1"/>
  <c r="K628" i="1"/>
  <c r="L628" i="1" s="1"/>
  <c r="Y627" i="1"/>
  <c r="P627" i="1"/>
  <c r="N627" i="1"/>
  <c r="O627" i="1" s="1"/>
  <c r="K627" i="1"/>
  <c r="L627" i="1" s="1"/>
  <c r="Y626" i="1"/>
  <c r="N626" i="1"/>
  <c r="K626" i="1"/>
  <c r="L626" i="1" s="1"/>
  <c r="Y625" i="1"/>
  <c r="N625" i="1"/>
  <c r="L625" i="1"/>
  <c r="K625" i="1"/>
  <c r="Y624" i="1"/>
  <c r="P624" i="1"/>
  <c r="O624" i="1"/>
  <c r="N624" i="1"/>
  <c r="K624" i="1"/>
  <c r="L624" i="1" s="1"/>
  <c r="Y623" i="1"/>
  <c r="P623" i="1"/>
  <c r="N623" i="1"/>
  <c r="O623" i="1" s="1"/>
  <c r="K623" i="1"/>
  <c r="L623" i="1" s="1"/>
  <c r="Y622" i="1"/>
  <c r="N622" i="1"/>
  <c r="K622" i="1"/>
  <c r="L622" i="1" s="1"/>
  <c r="Y621" i="1"/>
  <c r="O621" i="1"/>
  <c r="N621" i="1"/>
  <c r="L621" i="1"/>
  <c r="K621" i="1"/>
  <c r="Z620" i="1"/>
  <c r="Y620" i="1"/>
  <c r="P620" i="1"/>
  <c r="N620" i="1"/>
  <c r="O620" i="1" s="1"/>
  <c r="L620" i="1"/>
  <c r="K620" i="1"/>
  <c r="Y619" i="1"/>
  <c r="P619" i="1"/>
  <c r="O619" i="1"/>
  <c r="N619" i="1"/>
  <c r="Z619" i="1" s="1"/>
  <c r="L619" i="1"/>
  <c r="K619" i="1"/>
  <c r="Z618" i="1"/>
  <c r="Y618" i="1"/>
  <c r="N618" i="1"/>
  <c r="K618" i="1"/>
  <c r="L618" i="1" s="1"/>
  <c r="Y617" i="1"/>
  <c r="O617" i="1"/>
  <c r="N617" i="1"/>
  <c r="L617" i="1"/>
  <c r="K617" i="1"/>
  <c r="Y616" i="1"/>
  <c r="N616" i="1"/>
  <c r="L616" i="1"/>
  <c r="K616" i="1"/>
  <c r="Y615" i="1"/>
  <c r="P615" i="1"/>
  <c r="O615" i="1"/>
  <c r="N615" i="1"/>
  <c r="Z615" i="1" s="1"/>
  <c r="K615" i="1"/>
  <c r="L615" i="1" s="1"/>
  <c r="Y614" i="1"/>
  <c r="P614" i="1"/>
  <c r="O614" i="1"/>
  <c r="N614" i="1"/>
  <c r="Z614" i="1" s="1"/>
  <c r="K614" i="1"/>
  <c r="L614" i="1" s="1"/>
  <c r="Y613" i="1"/>
  <c r="N613" i="1"/>
  <c r="P613" i="1" s="1"/>
  <c r="L613" i="1"/>
  <c r="K613" i="1"/>
  <c r="Y612" i="1"/>
  <c r="P612" i="1"/>
  <c r="O612" i="1"/>
  <c r="N612" i="1"/>
  <c r="K612" i="1"/>
  <c r="L612" i="1" s="1"/>
  <c r="Y611" i="1"/>
  <c r="N611" i="1"/>
  <c r="P611" i="1" s="1"/>
  <c r="L611" i="1"/>
  <c r="K611" i="1"/>
  <c r="Y610" i="1"/>
  <c r="P610" i="1"/>
  <c r="O610" i="1"/>
  <c r="N610" i="1"/>
  <c r="K610" i="1"/>
  <c r="L610" i="1" s="1"/>
  <c r="Y609" i="1"/>
  <c r="O609" i="1"/>
  <c r="N609" i="1"/>
  <c r="P609" i="1" s="1"/>
  <c r="L609" i="1"/>
  <c r="K609" i="1"/>
  <c r="Y608" i="1"/>
  <c r="P608" i="1"/>
  <c r="O608" i="1"/>
  <c r="N608" i="1"/>
  <c r="L608" i="1"/>
  <c r="K608" i="1"/>
  <c r="Y607" i="1"/>
  <c r="O607" i="1"/>
  <c r="N607" i="1"/>
  <c r="P607" i="1" s="1"/>
  <c r="L607" i="1"/>
  <c r="K607" i="1"/>
  <c r="Y606" i="1"/>
  <c r="P606" i="1"/>
  <c r="O606" i="1"/>
  <c r="N606" i="1"/>
  <c r="L606" i="1"/>
  <c r="K606" i="1"/>
  <c r="Y605" i="1"/>
  <c r="N605" i="1"/>
  <c r="P605" i="1" s="1"/>
  <c r="L605" i="1"/>
  <c r="K605" i="1"/>
  <c r="Y604" i="1"/>
  <c r="P604" i="1"/>
  <c r="O604" i="1"/>
  <c r="N604" i="1"/>
  <c r="K604" i="1"/>
  <c r="L604" i="1" s="1"/>
  <c r="Y603" i="1"/>
  <c r="P603" i="1"/>
  <c r="O603" i="1"/>
  <c r="N603" i="1"/>
  <c r="Z603" i="1" s="1"/>
  <c r="K603" i="1"/>
  <c r="L603" i="1" s="1"/>
  <c r="Y602" i="1"/>
  <c r="O602" i="1"/>
  <c r="N602" i="1"/>
  <c r="P602" i="1" s="1"/>
  <c r="L602" i="1"/>
  <c r="K602" i="1"/>
  <c r="Z601" i="1"/>
  <c r="Y601" i="1"/>
  <c r="N601" i="1"/>
  <c r="L601" i="1"/>
  <c r="K601" i="1"/>
  <c r="Y600" i="1"/>
  <c r="P600" i="1"/>
  <c r="O600" i="1"/>
  <c r="N600" i="1"/>
  <c r="Z600" i="1" s="1"/>
  <c r="L600" i="1"/>
  <c r="K600" i="1"/>
  <c r="Y599" i="1"/>
  <c r="O599" i="1"/>
  <c r="N599" i="1"/>
  <c r="P599" i="1" s="1"/>
  <c r="L599" i="1"/>
  <c r="K599" i="1"/>
  <c r="Z598" i="1"/>
  <c r="Y598" i="1"/>
  <c r="N598" i="1"/>
  <c r="L598" i="1"/>
  <c r="K598" i="1"/>
  <c r="Y597" i="1"/>
  <c r="P597" i="1"/>
  <c r="O597" i="1"/>
  <c r="N597" i="1"/>
  <c r="Z597" i="1" s="1"/>
  <c r="L597" i="1"/>
  <c r="K597" i="1"/>
  <c r="Y596" i="1"/>
  <c r="O596" i="1"/>
  <c r="N596" i="1"/>
  <c r="P596" i="1" s="1"/>
  <c r="L596" i="1"/>
  <c r="K596" i="1"/>
  <c r="Y595" i="1"/>
  <c r="P595" i="1"/>
  <c r="O595" i="1"/>
  <c r="N595" i="1"/>
  <c r="L595" i="1"/>
  <c r="K595" i="1"/>
  <c r="Y594" i="1"/>
  <c r="N594" i="1"/>
  <c r="P594" i="1" s="1"/>
  <c r="L594" i="1"/>
  <c r="K594" i="1"/>
  <c r="Z593" i="1"/>
  <c r="Y593" i="1"/>
  <c r="N593" i="1"/>
  <c r="L593" i="1"/>
  <c r="K593" i="1"/>
  <c r="Y592" i="1"/>
  <c r="P592" i="1"/>
  <c r="O592" i="1"/>
  <c r="N592" i="1"/>
  <c r="Z592" i="1" s="1"/>
  <c r="L592" i="1"/>
  <c r="K592" i="1"/>
  <c r="Y591" i="1"/>
  <c r="N591" i="1"/>
  <c r="P591" i="1" s="1"/>
  <c r="L591" i="1"/>
  <c r="K591" i="1"/>
  <c r="Z590" i="1"/>
  <c r="Y590" i="1"/>
  <c r="N590" i="1"/>
  <c r="L590" i="1"/>
  <c r="K590" i="1"/>
  <c r="Y589" i="1"/>
  <c r="P589" i="1"/>
  <c r="O589" i="1"/>
  <c r="N589" i="1"/>
  <c r="K589" i="1"/>
  <c r="L589" i="1" s="1"/>
  <c r="Y588" i="1"/>
  <c r="N588" i="1"/>
  <c r="L588" i="1"/>
  <c r="K588" i="1"/>
  <c r="Y587" i="1"/>
  <c r="P587" i="1"/>
  <c r="O587" i="1"/>
  <c r="N587" i="1"/>
  <c r="Z587" i="1" s="1"/>
  <c r="L587" i="1"/>
  <c r="K587" i="1"/>
  <c r="Y586" i="1"/>
  <c r="P586" i="1"/>
  <c r="O586" i="1"/>
  <c r="N586" i="1"/>
  <c r="Z586" i="1" s="1"/>
  <c r="K586" i="1"/>
  <c r="L586" i="1" s="1"/>
  <c r="Y585" i="1"/>
  <c r="N585" i="1"/>
  <c r="L585" i="1"/>
  <c r="K585" i="1"/>
  <c r="Y584" i="1"/>
  <c r="P584" i="1"/>
  <c r="O584" i="1"/>
  <c r="N584" i="1"/>
  <c r="K584" i="1"/>
  <c r="L584" i="1" s="1"/>
  <c r="Y583" i="1"/>
  <c r="N583" i="1"/>
  <c r="P583" i="1" s="1"/>
  <c r="L583" i="1"/>
  <c r="K583" i="1"/>
  <c r="Z582" i="1"/>
  <c r="Y582" i="1"/>
  <c r="N582" i="1"/>
  <c r="L582" i="1"/>
  <c r="K582" i="1"/>
  <c r="Y581" i="1"/>
  <c r="P581" i="1"/>
  <c r="O581" i="1"/>
  <c r="N581" i="1"/>
  <c r="Z581" i="1" s="1"/>
  <c r="L581" i="1"/>
  <c r="K581" i="1"/>
  <c r="Y580" i="1"/>
  <c r="N580" i="1"/>
  <c r="P580" i="1" s="1"/>
  <c r="L580" i="1"/>
  <c r="K580" i="1"/>
  <c r="Z579" i="1"/>
  <c r="Y579" i="1"/>
  <c r="N579" i="1"/>
  <c r="L579" i="1"/>
  <c r="K579" i="1"/>
  <c r="Y578" i="1"/>
  <c r="P578" i="1"/>
  <c r="O578" i="1"/>
  <c r="N578" i="1"/>
  <c r="Z578" i="1" s="1"/>
  <c r="L578" i="1"/>
  <c r="K578" i="1"/>
  <c r="Y577" i="1"/>
  <c r="N577" i="1"/>
  <c r="P577" i="1" s="1"/>
  <c r="L577" i="1"/>
  <c r="K577" i="1"/>
  <c r="Z576" i="1"/>
  <c r="Y576" i="1"/>
  <c r="N576" i="1"/>
  <c r="L576" i="1"/>
  <c r="K576" i="1"/>
  <c r="Y575" i="1"/>
  <c r="P575" i="1"/>
  <c r="O575" i="1"/>
  <c r="N575" i="1"/>
  <c r="Z575" i="1" s="1"/>
  <c r="L575" i="1"/>
  <c r="K575" i="1"/>
  <c r="Y574" i="1"/>
  <c r="P574" i="1"/>
  <c r="O574" i="1"/>
  <c r="N574" i="1"/>
  <c r="Z574" i="1" s="1"/>
  <c r="K574" i="1"/>
  <c r="L574" i="1" s="1"/>
  <c r="Z573" i="1"/>
  <c r="Y573" i="1"/>
  <c r="O573" i="1"/>
  <c r="N573" i="1"/>
  <c r="P573" i="1" s="1"/>
  <c r="L573" i="1"/>
  <c r="K573" i="1"/>
  <c r="Y572" i="1"/>
  <c r="N572" i="1"/>
  <c r="L572" i="1"/>
  <c r="K572" i="1"/>
  <c r="Y571" i="1"/>
  <c r="P571" i="1"/>
  <c r="O571" i="1"/>
  <c r="N571" i="1"/>
  <c r="Z571" i="1" s="1"/>
  <c r="K571" i="1"/>
  <c r="L571" i="1" s="1"/>
  <c r="Y570" i="1"/>
  <c r="P570" i="1"/>
  <c r="O570" i="1"/>
  <c r="N570" i="1"/>
  <c r="Z570" i="1" s="1"/>
  <c r="K570" i="1"/>
  <c r="L570" i="1" s="1"/>
  <c r="Y569" i="1"/>
  <c r="N569" i="1"/>
  <c r="L569" i="1"/>
  <c r="K569" i="1"/>
  <c r="Y568" i="1"/>
  <c r="P568" i="1"/>
  <c r="O568" i="1"/>
  <c r="N568" i="1"/>
  <c r="K568" i="1"/>
  <c r="L568" i="1" s="1"/>
  <c r="Y567" i="1"/>
  <c r="N567" i="1"/>
  <c r="L567" i="1"/>
  <c r="K567" i="1"/>
  <c r="Y566" i="1"/>
  <c r="P566" i="1"/>
  <c r="O566" i="1"/>
  <c r="N566" i="1"/>
  <c r="Z566" i="1" s="1"/>
  <c r="K566" i="1"/>
  <c r="L566" i="1" s="1"/>
  <c r="Y565" i="1"/>
  <c r="P565" i="1"/>
  <c r="O565" i="1"/>
  <c r="N565" i="1"/>
  <c r="Z565" i="1" s="1"/>
  <c r="K565" i="1"/>
  <c r="L565" i="1" s="1"/>
  <c r="Y564" i="1"/>
  <c r="N564" i="1"/>
  <c r="L564" i="1"/>
  <c r="K564" i="1"/>
  <c r="Y563" i="1"/>
  <c r="P563" i="1"/>
  <c r="O563" i="1"/>
  <c r="N563" i="1"/>
  <c r="K563" i="1"/>
  <c r="L563" i="1" s="1"/>
  <c r="Y562" i="1"/>
  <c r="O562" i="1"/>
  <c r="N562" i="1"/>
  <c r="P562" i="1" s="1"/>
  <c r="L562" i="1"/>
  <c r="K562" i="1"/>
  <c r="Y561" i="1"/>
  <c r="P561" i="1"/>
  <c r="O561" i="1"/>
  <c r="N561" i="1"/>
  <c r="L561" i="1"/>
  <c r="K561" i="1"/>
  <c r="Y560" i="1"/>
  <c r="P560" i="1"/>
  <c r="O560" i="1"/>
  <c r="N560" i="1"/>
  <c r="Z560" i="1" s="1"/>
  <c r="K560" i="1"/>
  <c r="L560" i="1" s="1"/>
  <c r="Z559" i="1"/>
  <c r="Y559" i="1"/>
  <c r="O559" i="1"/>
  <c r="N559" i="1"/>
  <c r="P559" i="1" s="1"/>
  <c r="L559" i="1"/>
  <c r="K559" i="1"/>
  <c r="Y558" i="1"/>
  <c r="N558" i="1"/>
  <c r="L558" i="1"/>
  <c r="K558" i="1"/>
  <c r="Y557" i="1"/>
  <c r="P557" i="1"/>
  <c r="O557" i="1"/>
  <c r="N557" i="1"/>
  <c r="Z557" i="1" s="1"/>
  <c r="K557" i="1"/>
  <c r="L557" i="1" s="1"/>
  <c r="Y556" i="1"/>
  <c r="P556" i="1"/>
  <c r="O556" i="1"/>
  <c r="N556" i="1"/>
  <c r="Z556" i="1" s="1"/>
  <c r="K556" i="1"/>
  <c r="L556" i="1" s="1"/>
  <c r="Y555" i="1"/>
  <c r="N555" i="1"/>
  <c r="P555" i="1" s="1"/>
  <c r="L555" i="1"/>
  <c r="K555" i="1"/>
  <c r="Z554" i="1"/>
  <c r="Y554" i="1"/>
  <c r="N554" i="1"/>
  <c r="L554" i="1"/>
  <c r="K554" i="1"/>
  <c r="Y553" i="1"/>
  <c r="P553" i="1"/>
  <c r="O553" i="1"/>
  <c r="N553" i="1"/>
  <c r="Z553" i="1" s="1"/>
  <c r="L553" i="1"/>
  <c r="K553" i="1"/>
  <c r="Y552" i="1"/>
  <c r="P552" i="1"/>
  <c r="O552" i="1"/>
  <c r="N552" i="1"/>
  <c r="Z552" i="1" s="1"/>
  <c r="K552" i="1"/>
  <c r="L552" i="1" s="1"/>
  <c r="Z551" i="1"/>
  <c r="Y551" i="1"/>
  <c r="O551" i="1"/>
  <c r="N551" i="1"/>
  <c r="P551" i="1" s="1"/>
  <c r="L551" i="1"/>
  <c r="K551" i="1"/>
  <c r="Y550" i="1"/>
  <c r="P550" i="1"/>
  <c r="O550" i="1"/>
  <c r="N550" i="1"/>
  <c r="L550" i="1"/>
  <c r="K550" i="1"/>
  <c r="Y549" i="1"/>
  <c r="O549" i="1"/>
  <c r="N549" i="1"/>
  <c r="P549" i="1" s="1"/>
  <c r="L549" i="1"/>
  <c r="K549" i="1"/>
  <c r="Z548" i="1"/>
  <c r="Y548" i="1"/>
  <c r="N548" i="1"/>
  <c r="L548" i="1"/>
  <c r="K548" i="1"/>
  <c r="Y547" i="1"/>
  <c r="P547" i="1"/>
  <c r="O547" i="1"/>
  <c r="N547" i="1"/>
  <c r="K547" i="1"/>
  <c r="L547" i="1" s="1"/>
  <c r="Y546" i="1"/>
  <c r="O546" i="1"/>
  <c r="N546" i="1"/>
  <c r="P546" i="1" s="1"/>
  <c r="L546" i="1"/>
  <c r="K546" i="1"/>
  <c r="Y545" i="1"/>
  <c r="P545" i="1"/>
  <c r="O545" i="1"/>
  <c r="N545" i="1"/>
  <c r="L545" i="1"/>
  <c r="K545" i="1"/>
  <c r="Y544" i="1"/>
  <c r="P544" i="1"/>
  <c r="O544" i="1"/>
  <c r="N544" i="1"/>
  <c r="Z544" i="1" s="1"/>
  <c r="K544" i="1"/>
  <c r="L544" i="1" s="1"/>
  <c r="Z543" i="1"/>
  <c r="Y543" i="1"/>
  <c r="O543" i="1"/>
  <c r="N543" i="1"/>
  <c r="P543" i="1" s="1"/>
  <c r="L543" i="1"/>
  <c r="K543" i="1"/>
  <c r="Y542" i="1"/>
  <c r="N542" i="1"/>
  <c r="L542" i="1"/>
  <c r="K542" i="1"/>
  <c r="Y541" i="1"/>
  <c r="P541" i="1"/>
  <c r="O541" i="1"/>
  <c r="N541" i="1"/>
  <c r="Z541" i="1" s="1"/>
  <c r="K541" i="1"/>
  <c r="L541" i="1" s="1"/>
  <c r="Y540" i="1"/>
  <c r="P540" i="1"/>
  <c r="O540" i="1"/>
  <c r="N540" i="1"/>
  <c r="Z540" i="1" s="1"/>
  <c r="K540" i="1"/>
  <c r="L540" i="1" s="1"/>
  <c r="Y539" i="1"/>
  <c r="N539" i="1"/>
  <c r="P539" i="1" s="1"/>
  <c r="L539" i="1"/>
  <c r="K539" i="1"/>
  <c r="Z538" i="1"/>
  <c r="Y538" i="1"/>
  <c r="N538" i="1"/>
  <c r="L538" i="1"/>
  <c r="K538" i="1"/>
  <c r="Y537" i="1"/>
  <c r="P537" i="1"/>
  <c r="O537" i="1"/>
  <c r="N537" i="1"/>
  <c r="Z537" i="1" s="1"/>
  <c r="L537" i="1"/>
  <c r="K537" i="1"/>
  <c r="Y536" i="1"/>
  <c r="N536" i="1"/>
  <c r="P536" i="1" s="1"/>
  <c r="L536" i="1"/>
  <c r="K536" i="1"/>
  <c r="Y535" i="1"/>
  <c r="P535" i="1"/>
  <c r="O535" i="1"/>
  <c r="N535" i="1"/>
  <c r="K535" i="1"/>
  <c r="L535" i="1" s="1"/>
  <c r="Y534" i="1"/>
  <c r="N534" i="1"/>
  <c r="P534" i="1" s="1"/>
  <c r="L534" i="1"/>
  <c r="K534" i="1"/>
  <c r="Y533" i="1"/>
  <c r="N533" i="1"/>
  <c r="Z533" i="1" s="1"/>
  <c r="L533" i="1"/>
  <c r="K533" i="1"/>
  <c r="Y532" i="1"/>
  <c r="P532" i="1"/>
  <c r="O532" i="1"/>
  <c r="N532" i="1"/>
  <c r="Z532" i="1" s="1"/>
  <c r="K532" i="1"/>
  <c r="L532" i="1" s="1"/>
  <c r="Y531" i="1"/>
  <c r="P531" i="1"/>
  <c r="O531" i="1"/>
  <c r="N531" i="1"/>
  <c r="Z531" i="1" s="1"/>
  <c r="K531" i="1"/>
  <c r="L531" i="1" s="1"/>
  <c r="Y530" i="1"/>
  <c r="O530" i="1"/>
  <c r="N530" i="1"/>
  <c r="P530" i="1" s="1"/>
  <c r="L530" i="1"/>
  <c r="K530" i="1"/>
  <c r="Z529" i="1"/>
  <c r="Y529" i="1"/>
  <c r="N529" i="1"/>
  <c r="L529" i="1"/>
  <c r="K529" i="1"/>
  <c r="Y528" i="1"/>
  <c r="P528" i="1"/>
  <c r="O528" i="1"/>
  <c r="N528" i="1"/>
  <c r="Z528" i="1" s="1"/>
  <c r="L528" i="1"/>
  <c r="K528" i="1"/>
  <c r="Y527" i="1"/>
  <c r="P527" i="1"/>
  <c r="O527" i="1"/>
  <c r="N527" i="1"/>
  <c r="Z527" i="1" s="1"/>
  <c r="K527" i="1"/>
  <c r="L527" i="1" s="1"/>
  <c r="Z526" i="1"/>
  <c r="Y526" i="1"/>
  <c r="N526" i="1"/>
  <c r="P526" i="1" s="1"/>
  <c r="L526" i="1"/>
  <c r="K526" i="1"/>
  <c r="Y525" i="1"/>
  <c r="N525" i="1"/>
  <c r="Z525" i="1" s="1"/>
  <c r="L525" i="1"/>
  <c r="K525" i="1"/>
  <c r="Y524" i="1"/>
  <c r="P524" i="1"/>
  <c r="O524" i="1"/>
  <c r="N524" i="1"/>
  <c r="Z524" i="1" s="1"/>
  <c r="K524" i="1"/>
  <c r="L524" i="1" s="1"/>
  <c r="Y523" i="1"/>
  <c r="P523" i="1"/>
  <c r="O523" i="1"/>
  <c r="N523" i="1"/>
  <c r="Z523" i="1" s="1"/>
  <c r="K523" i="1"/>
  <c r="L523" i="1" s="1"/>
  <c r="Y522" i="1"/>
  <c r="O522" i="1"/>
  <c r="N522" i="1"/>
  <c r="P522" i="1" s="1"/>
  <c r="L522" i="1"/>
  <c r="K522" i="1"/>
  <c r="Y521" i="1"/>
  <c r="P521" i="1"/>
  <c r="O521" i="1"/>
  <c r="N521" i="1"/>
  <c r="L521" i="1"/>
  <c r="K521" i="1"/>
  <c r="Y520" i="1"/>
  <c r="N520" i="1"/>
  <c r="P520" i="1" s="1"/>
  <c r="L520" i="1"/>
  <c r="K520" i="1"/>
  <c r="Z519" i="1"/>
  <c r="Y519" i="1"/>
  <c r="N519" i="1"/>
  <c r="L519" i="1"/>
  <c r="K519" i="1"/>
  <c r="Y518" i="1"/>
  <c r="P518" i="1"/>
  <c r="O518" i="1"/>
  <c r="N518" i="1"/>
  <c r="K518" i="1"/>
  <c r="L518" i="1" s="1"/>
  <c r="Y517" i="1"/>
  <c r="N517" i="1"/>
  <c r="L517" i="1"/>
  <c r="K517" i="1"/>
  <c r="Y516" i="1"/>
  <c r="P516" i="1"/>
  <c r="O516" i="1"/>
  <c r="N516" i="1"/>
  <c r="Z516" i="1" s="1"/>
  <c r="L516" i="1"/>
  <c r="K516" i="1"/>
  <c r="Y515" i="1"/>
  <c r="P515" i="1"/>
  <c r="O515" i="1"/>
  <c r="N515" i="1"/>
  <c r="Z515" i="1" s="1"/>
  <c r="K515" i="1"/>
  <c r="L515" i="1" s="1"/>
  <c r="Y514" i="1"/>
  <c r="N514" i="1"/>
  <c r="L514" i="1"/>
  <c r="K514" i="1"/>
  <c r="Y513" i="1"/>
  <c r="P513" i="1"/>
  <c r="O513" i="1"/>
  <c r="N513" i="1"/>
  <c r="Z513" i="1" s="1"/>
  <c r="L513" i="1"/>
  <c r="K513" i="1"/>
  <c r="Y512" i="1"/>
  <c r="P512" i="1"/>
  <c r="O512" i="1"/>
  <c r="N512" i="1"/>
  <c r="Z512" i="1" s="1"/>
  <c r="K512" i="1"/>
  <c r="L512" i="1" s="1"/>
  <c r="Z511" i="1"/>
  <c r="Y511" i="1"/>
  <c r="O511" i="1"/>
  <c r="N511" i="1"/>
  <c r="P511" i="1" s="1"/>
  <c r="L511" i="1"/>
  <c r="K511" i="1"/>
  <c r="Y510" i="1"/>
  <c r="N510" i="1"/>
  <c r="L510" i="1"/>
  <c r="K510" i="1"/>
  <c r="Y509" i="1"/>
  <c r="P509" i="1"/>
  <c r="O509" i="1"/>
  <c r="N509" i="1"/>
  <c r="Z509" i="1" s="1"/>
  <c r="K509" i="1"/>
  <c r="L509" i="1" s="1"/>
  <c r="Y508" i="1"/>
  <c r="P508" i="1"/>
  <c r="O508" i="1"/>
  <c r="N508" i="1"/>
  <c r="Z508" i="1" s="1"/>
  <c r="K508" i="1"/>
  <c r="L508" i="1" s="1"/>
  <c r="Y507" i="1"/>
  <c r="N507" i="1"/>
  <c r="L507" i="1"/>
  <c r="K507" i="1"/>
  <c r="Y506" i="1"/>
  <c r="P506" i="1"/>
  <c r="O506" i="1"/>
  <c r="N506" i="1"/>
  <c r="K506" i="1"/>
  <c r="L506" i="1" s="1"/>
  <c r="Y505" i="1"/>
  <c r="O505" i="1"/>
  <c r="N505" i="1"/>
  <c r="P505" i="1" s="1"/>
  <c r="L505" i="1"/>
  <c r="K505" i="1"/>
  <c r="Z504" i="1"/>
  <c r="Y504" i="1"/>
  <c r="N504" i="1"/>
  <c r="L504" i="1"/>
  <c r="K504" i="1"/>
  <c r="Y503" i="1"/>
  <c r="P503" i="1"/>
  <c r="O503" i="1"/>
  <c r="N503" i="1"/>
  <c r="Z503" i="1" s="1"/>
  <c r="L503" i="1"/>
  <c r="K503" i="1"/>
  <c r="Y502" i="1"/>
  <c r="P502" i="1"/>
  <c r="O502" i="1"/>
  <c r="N502" i="1"/>
  <c r="Z502" i="1" s="1"/>
  <c r="K502" i="1"/>
  <c r="L502" i="1" s="1"/>
  <c r="Z501" i="1"/>
  <c r="Y501" i="1"/>
  <c r="N501" i="1"/>
  <c r="P501" i="1" s="1"/>
  <c r="L501" i="1"/>
  <c r="K501" i="1"/>
  <c r="Y500" i="1"/>
  <c r="P500" i="1"/>
  <c r="O500" i="1"/>
  <c r="N500" i="1"/>
  <c r="K500" i="1"/>
  <c r="L500" i="1" s="1"/>
  <c r="Y499" i="1"/>
  <c r="P499" i="1"/>
  <c r="O499" i="1"/>
  <c r="N499" i="1"/>
  <c r="Z499" i="1" s="1"/>
  <c r="K499" i="1"/>
  <c r="L499" i="1" s="1"/>
  <c r="Y498" i="1"/>
  <c r="N498" i="1"/>
  <c r="P498" i="1" s="1"/>
  <c r="L498" i="1"/>
  <c r="K498" i="1"/>
  <c r="Y497" i="1"/>
  <c r="P497" i="1"/>
  <c r="O497" i="1"/>
  <c r="N497" i="1"/>
  <c r="K497" i="1"/>
  <c r="L497" i="1" s="1"/>
  <c r="Y496" i="1"/>
  <c r="P496" i="1"/>
  <c r="O496" i="1"/>
  <c r="N496" i="1"/>
  <c r="Z496" i="1" s="1"/>
  <c r="K496" i="1"/>
  <c r="L496" i="1" s="1"/>
  <c r="Y495" i="1"/>
  <c r="O495" i="1"/>
  <c r="N495" i="1"/>
  <c r="P495" i="1" s="1"/>
  <c r="L495" i="1"/>
  <c r="K495" i="1"/>
  <c r="Y494" i="1"/>
  <c r="P494" i="1"/>
  <c r="O494" i="1"/>
  <c r="N494" i="1"/>
  <c r="L494" i="1"/>
  <c r="K494" i="1"/>
  <c r="Y493" i="1"/>
  <c r="P493" i="1"/>
  <c r="O493" i="1"/>
  <c r="N493" i="1"/>
  <c r="Z493" i="1" s="1"/>
  <c r="K493" i="1"/>
  <c r="L493" i="1" s="1"/>
  <c r="Y492" i="1"/>
  <c r="N492" i="1"/>
  <c r="L492" i="1"/>
  <c r="K492" i="1"/>
  <c r="Y491" i="1"/>
  <c r="P491" i="1"/>
  <c r="O491" i="1"/>
  <c r="N491" i="1"/>
  <c r="K491" i="1"/>
  <c r="L491" i="1" s="1"/>
  <c r="Y490" i="1"/>
  <c r="N490" i="1"/>
  <c r="L490" i="1"/>
  <c r="K490" i="1"/>
  <c r="Y489" i="1"/>
  <c r="P489" i="1"/>
  <c r="O489" i="1"/>
  <c r="N489" i="1"/>
  <c r="Z489" i="1" s="1"/>
  <c r="L489" i="1"/>
  <c r="K489" i="1"/>
  <c r="Y488" i="1"/>
  <c r="P488" i="1"/>
  <c r="O488" i="1"/>
  <c r="N488" i="1"/>
  <c r="Z488" i="1" s="1"/>
  <c r="K488" i="1"/>
  <c r="L488" i="1" s="1"/>
  <c r="Y487" i="1"/>
  <c r="N487" i="1"/>
  <c r="L487" i="1"/>
  <c r="K487" i="1"/>
  <c r="Y486" i="1"/>
  <c r="P486" i="1"/>
  <c r="O486" i="1"/>
  <c r="N486" i="1"/>
  <c r="Z486" i="1" s="1"/>
  <c r="K486" i="1"/>
  <c r="L486" i="1" s="1"/>
  <c r="Y485" i="1"/>
  <c r="P485" i="1"/>
  <c r="O485" i="1"/>
  <c r="N485" i="1"/>
  <c r="Z485" i="1" s="1"/>
  <c r="K485" i="1"/>
  <c r="L485" i="1" s="1"/>
  <c r="Y484" i="1"/>
  <c r="O484" i="1"/>
  <c r="N484" i="1"/>
  <c r="P484" i="1" s="1"/>
  <c r="L484" i="1"/>
  <c r="K484" i="1"/>
  <c r="Z483" i="1"/>
  <c r="Y483" i="1"/>
  <c r="N483" i="1"/>
  <c r="L483" i="1"/>
  <c r="K483" i="1"/>
  <c r="Y482" i="1"/>
  <c r="P482" i="1"/>
  <c r="O482" i="1"/>
  <c r="N482" i="1"/>
  <c r="K482" i="1"/>
  <c r="L482" i="1" s="1"/>
  <c r="Y481" i="1"/>
  <c r="N481" i="1"/>
  <c r="L481" i="1"/>
  <c r="K481" i="1"/>
  <c r="Y480" i="1"/>
  <c r="P480" i="1"/>
  <c r="O480" i="1"/>
  <c r="N480" i="1"/>
  <c r="K480" i="1"/>
  <c r="L480" i="1" s="1"/>
  <c r="Y479" i="1"/>
  <c r="N479" i="1"/>
  <c r="L479" i="1"/>
  <c r="K479" i="1"/>
  <c r="Y478" i="1"/>
  <c r="P478" i="1"/>
  <c r="O478" i="1"/>
  <c r="N478" i="1"/>
  <c r="Z478" i="1" s="1"/>
  <c r="K478" i="1"/>
  <c r="L478" i="1" s="1"/>
  <c r="Y477" i="1"/>
  <c r="N477" i="1"/>
  <c r="P477" i="1" s="1"/>
  <c r="L477" i="1"/>
  <c r="K477" i="1"/>
  <c r="Y476" i="1"/>
  <c r="N476" i="1"/>
  <c r="Z476" i="1" s="1"/>
  <c r="L476" i="1"/>
  <c r="K476" i="1"/>
  <c r="Y475" i="1"/>
  <c r="P475" i="1"/>
  <c r="O475" i="1"/>
  <c r="N475" i="1"/>
  <c r="K475" i="1"/>
  <c r="L475" i="1" s="1"/>
  <c r="Y474" i="1"/>
  <c r="N474" i="1"/>
  <c r="L474" i="1"/>
  <c r="K474" i="1"/>
  <c r="Y473" i="1"/>
  <c r="P473" i="1"/>
  <c r="O473" i="1"/>
  <c r="N473" i="1"/>
  <c r="Z473" i="1" s="1"/>
  <c r="L473" i="1"/>
  <c r="K473" i="1"/>
  <c r="Y472" i="1"/>
  <c r="P472" i="1"/>
  <c r="O472" i="1"/>
  <c r="N472" i="1"/>
  <c r="Z472" i="1" s="1"/>
  <c r="K472" i="1"/>
  <c r="L472" i="1" s="1"/>
  <c r="Z471" i="1"/>
  <c r="Y471" i="1"/>
  <c r="O471" i="1"/>
  <c r="N471" i="1"/>
  <c r="P471" i="1" s="1"/>
  <c r="L471" i="1"/>
  <c r="K471" i="1"/>
  <c r="Y470" i="1"/>
  <c r="N470" i="1"/>
  <c r="L470" i="1"/>
  <c r="K470" i="1"/>
  <c r="Y469" i="1"/>
  <c r="P469" i="1"/>
  <c r="O469" i="1"/>
  <c r="N469" i="1"/>
  <c r="K469" i="1"/>
  <c r="L469" i="1" s="1"/>
  <c r="Y468" i="1"/>
  <c r="N468" i="1"/>
  <c r="L468" i="1"/>
  <c r="K468" i="1"/>
  <c r="Y467" i="1"/>
  <c r="P467" i="1"/>
  <c r="O467" i="1"/>
  <c r="N467" i="1"/>
  <c r="Z467" i="1" s="1"/>
  <c r="K467" i="1"/>
  <c r="L467" i="1" s="1"/>
  <c r="Y466" i="1"/>
  <c r="N466" i="1"/>
  <c r="P466" i="1" s="1"/>
  <c r="L466" i="1"/>
  <c r="K466" i="1"/>
  <c r="Y465" i="1"/>
  <c r="N465" i="1"/>
  <c r="L465" i="1"/>
  <c r="K465" i="1"/>
  <c r="Y464" i="1"/>
  <c r="P464" i="1"/>
  <c r="O464" i="1"/>
  <c r="N464" i="1"/>
  <c r="Z464" i="1" s="1"/>
  <c r="K464" i="1"/>
  <c r="L464" i="1" s="1"/>
  <c r="Y463" i="1"/>
  <c r="P463" i="1"/>
  <c r="O463" i="1"/>
  <c r="N463" i="1"/>
  <c r="Z463" i="1" s="1"/>
  <c r="K463" i="1"/>
  <c r="L463" i="1" s="1"/>
  <c r="Y462" i="1"/>
  <c r="O462" i="1"/>
  <c r="N462" i="1"/>
  <c r="P462" i="1" s="1"/>
  <c r="L462" i="1"/>
  <c r="K462" i="1"/>
  <c r="Z461" i="1"/>
  <c r="Y461" i="1"/>
  <c r="N461" i="1"/>
  <c r="L461" i="1"/>
  <c r="K461" i="1"/>
  <c r="Y460" i="1"/>
  <c r="P460" i="1"/>
  <c r="O460" i="1"/>
  <c r="N460" i="1"/>
  <c r="K460" i="1"/>
  <c r="L460" i="1" s="1"/>
  <c r="Y459" i="1"/>
  <c r="N459" i="1"/>
  <c r="L459" i="1"/>
  <c r="K459" i="1"/>
  <c r="Y458" i="1"/>
  <c r="P458" i="1"/>
  <c r="O458" i="1"/>
  <c r="N458" i="1"/>
  <c r="K458" i="1"/>
  <c r="L458" i="1" s="1"/>
  <c r="Z457" i="1"/>
  <c r="Y457" i="1"/>
  <c r="O457" i="1"/>
  <c r="N457" i="1"/>
  <c r="P457" i="1" s="1"/>
  <c r="L457" i="1"/>
  <c r="K457" i="1"/>
  <c r="Y456" i="1"/>
  <c r="P456" i="1"/>
  <c r="O456" i="1"/>
  <c r="N456" i="1"/>
  <c r="L456" i="1"/>
  <c r="K456" i="1"/>
  <c r="Y455" i="1"/>
  <c r="P455" i="1"/>
  <c r="O455" i="1"/>
  <c r="N455" i="1"/>
  <c r="Z455" i="1" s="1"/>
  <c r="K455" i="1"/>
  <c r="L455" i="1" s="1"/>
  <c r="Y454" i="1"/>
  <c r="N454" i="1"/>
  <c r="L454" i="1"/>
  <c r="K454" i="1"/>
  <c r="Y453" i="1"/>
  <c r="P453" i="1"/>
  <c r="O453" i="1"/>
  <c r="N453" i="1"/>
  <c r="Z453" i="1" s="1"/>
  <c r="L453" i="1"/>
  <c r="K453" i="1"/>
  <c r="Y452" i="1"/>
  <c r="N452" i="1"/>
  <c r="P452" i="1" s="1"/>
  <c r="L452" i="1"/>
  <c r="K452" i="1"/>
  <c r="Z451" i="1"/>
  <c r="Y451" i="1"/>
  <c r="N451" i="1"/>
  <c r="L451" i="1"/>
  <c r="K451" i="1"/>
  <c r="Y450" i="1"/>
  <c r="P450" i="1"/>
  <c r="O450" i="1"/>
  <c r="N450" i="1"/>
  <c r="Z450" i="1" s="1"/>
  <c r="L450" i="1"/>
  <c r="K450" i="1"/>
  <c r="Y449" i="1"/>
  <c r="P449" i="1"/>
  <c r="O449" i="1"/>
  <c r="N449" i="1"/>
  <c r="Z449" i="1" s="1"/>
  <c r="K449" i="1"/>
  <c r="L449" i="1" s="1"/>
  <c r="Z448" i="1"/>
  <c r="Y448" i="1"/>
  <c r="O448" i="1"/>
  <c r="N448" i="1"/>
  <c r="P448" i="1" s="1"/>
  <c r="L448" i="1"/>
  <c r="K448" i="1"/>
  <c r="Y447" i="1"/>
  <c r="N447" i="1"/>
  <c r="L447" i="1"/>
  <c r="K447" i="1"/>
  <c r="Y446" i="1"/>
  <c r="P446" i="1"/>
  <c r="O446" i="1"/>
  <c r="N446" i="1"/>
  <c r="Z446" i="1" s="1"/>
  <c r="K446" i="1"/>
  <c r="L446" i="1" s="1"/>
  <c r="Y445" i="1"/>
  <c r="P445" i="1"/>
  <c r="O445" i="1"/>
  <c r="N445" i="1"/>
  <c r="Z445" i="1" s="1"/>
  <c r="K445" i="1"/>
  <c r="L445" i="1" s="1"/>
  <c r="Y444" i="1"/>
  <c r="N444" i="1"/>
  <c r="P444" i="1" s="1"/>
  <c r="L444" i="1"/>
  <c r="K444" i="1"/>
  <c r="Z443" i="1"/>
  <c r="Y443" i="1"/>
  <c r="N443" i="1"/>
  <c r="L443" i="1"/>
  <c r="K443" i="1"/>
  <c r="Y442" i="1"/>
  <c r="P442" i="1"/>
  <c r="O442" i="1"/>
  <c r="N442" i="1"/>
  <c r="K442" i="1"/>
  <c r="L442" i="1" s="1"/>
  <c r="Y441" i="1"/>
  <c r="N441" i="1"/>
  <c r="L441" i="1"/>
  <c r="K441" i="1"/>
  <c r="Y440" i="1"/>
  <c r="P440" i="1"/>
  <c r="O440" i="1"/>
  <c r="N440" i="1"/>
  <c r="Z440" i="1" s="1"/>
  <c r="L440" i="1"/>
  <c r="K440" i="1"/>
  <c r="Y439" i="1"/>
  <c r="P439" i="1"/>
  <c r="O439" i="1"/>
  <c r="N439" i="1"/>
  <c r="Z439" i="1" s="1"/>
  <c r="K439" i="1"/>
  <c r="L439" i="1" s="1"/>
  <c r="Z438" i="1"/>
  <c r="Y438" i="1"/>
  <c r="N438" i="1"/>
  <c r="P438" i="1" s="1"/>
  <c r="L438" i="1"/>
  <c r="K438" i="1"/>
  <c r="Y437" i="1"/>
  <c r="P437" i="1"/>
  <c r="O437" i="1"/>
  <c r="N437" i="1"/>
  <c r="K437" i="1"/>
  <c r="L437" i="1" s="1"/>
  <c r="Y436" i="1"/>
  <c r="O436" i="1"/>
  <c r="N436" i="1"/>
  <c r="P436" i="1" s="1"/>
  <c r="L436" i="1"/>
  <c r="K436" i="1"/>
  <c r="Y435" i="1"/>
  <c r="N435" i="1"/>
  <c r="L435" i="1"/>
  <c r="K435" i="1"/>
  <c r="Y434" i="1"/>
  <c r="P434" i="1"/>
  <c r="O434" i="1"/>
  <c r="N434" i="1"/>
  <c r="K434" i="1"/>
  <c r="L434" i="1" s="1"/>
  <c r="Z433" i="1"/>
  <c r="Y433" i="1"/>
  <c r="O433" i="1"/>
  <c r="N433" i="1"/>
  <c r="P433" i="1" s="1"/>
  <c r="L433" i="1"/>
  <c r="K433" i="1"/>
  <c r="Y432" i="1"/>
  <c r="P432" i="1"/>
  <c r="O432" i="1"/>
  <c r="N432" i="1"/>
  <c r="L432" i="1"/>
  <c r="K432" i="1"/>
  <c r="Y431" i="1"/>
  <c r="O431" i="1"/>
  <c r="N431" i="1"/>
  <c r="P431" i="1" s="1"/>
  <c r="L431" i="1"/>
  <c r="K431" i="1"/>
  <c r="Z430" i="1"/>
  <c r="Y430" i="1"/>
  <c r="N430" i="1"/>
  <c r="L430" i="1"/>
  <c r="K430" i="1"/>
  <c r="Y429" i="1"/>
  <c r="P429" i="1"/>
  <c r="O429" i="1"/>
  <c r="N429" i="1"/>
  <c r="Z429" i="1" s="1"/>
  <c r="L429" i="1"/>
  <c r="K429" i="1"/>
  <c r="Y428" i="1"/>
  <c r="P428" i="1"/>
  <c r="O428" i="1"/>
  <c r="N428" i="1"/>
  <c r="Z428" i="1" s="1"/>
  <c r="K428" i="1"/>
  <c r="L428" i="1" s="1"/>
  <c r="Z427" i="1"/>
  <c r="Y427" i="1"/>
  <c r="N427" i="1"/>
  <c r="P427" i="1" s="1"/>
  <c r="L427" i="1"/>
  <c r="K427" i="1"/>
  <c r="Y426" i="1"/>
  <c r="N426" i="1"/>
  <c r="Z426" i="1" s="1"/>
  <c r="L426" i="1"/>
  <c r="K426" i="1"/>
  <c r="Y425" i="1"/>
  <c r="P425" i="1"/>
  <c r="O425" i="1"/>
  <c r="N425" i="1"/>
  <c r="Z425" i="1" s="1"/>
  <c r="K425" i="1"/>
  <c r="L425" i="1" s="1"/>
  <c r="Y424" i="1"/>
  <c r="P424" i="1"/>
  <c r="O424" i="1"/>
  <c r="N424" i="1"/>
  <c r="Z424" i="1" s="1"/>
  <c r="K424" i="1"/>
  <c r="L424" i="1" s="1"/>
  <c r="Y423" i="1"/>
  <c r="O423" i="1"/>
  <c r="N423" i="1"/>
  <c r="P423" i="1" s="1"/>
  <c r="L423" i="1"/>
  <c r="K423" i="1"/>
  <c r="Z422" i="1"/>
  <c r="Y422" i="1"/>
  <c r="N422" i="1"/>
  <c r="L422" i="1"/>
  <c r="K422" i="1"/>
  <c r="Y421" i="1"/>
  <c r="P421" i="1"/>
  <c r="O421" i="1"/>
  <c r="N421" i="1"/>
  <c r="Z421" i="1" s="1"/>
  <c r="L421" i="1"/>
  <c r="K421" i="1"/>
  <c r="Y420" i="1"/>
  <c r="P420" i="1"/>
  <c r="O420" i="1"/>
  <c r="N420" i="1"/>
  <c r="Z420" i="1" s="1"/>
  <c r="K420" i="1"/>
  <c r="L420" i="1" s="1"/>
  <c r="Z419" i="1"/>
  <c r="Y419" i="1"/>
  <c r="N419" i="1"/>
  <c r="P419" i="1" s="1"/>
  <c r="L419" i="1"/>
  <c r="K419" i="1"/>
  <c r="Y418" i="1"/>
  <c r="N418" i="1"/>
  <c r="L418" i="1"/>
  <c r="K418" i="1"/>
  <c r="Y417" i="1"/>
  <c r="P417" i="1"/>
  <c r="O417" i="1"/>
  <c r="N417" i="1"/>
  <c r="Z417" i="1" s="1"/>
  <c r="K417" i="1"/>
  <c r="L417" i="1" s="1"/>
  <c r="Y416" i="1"/>
  <c r="N416" i="1"/>
  <c r="P416" i="1" s="1"/>
  <c r="L416" i="1"/>
  <c r="K416" i="1"/>
  <c r="Y415" i="1"/>
  <c r="N415" i="1"/>
  <c r="L415" i="1"/>
  <c r="K415" i="1"/>
  <c r="Y414" i="1"/>
  <c r="P414" i="1"/>
  <c r="O414" i="1"/>
  <c r="N414" i="1"/>
  <c r="K414" i="1"/>
  <c r="L414" i="1" s="1"/>
  <c r="Y413" i="1"/>
  <c r="N413" i="1"/>
  <c r="L413" i="1"/>
  <c r="K413" i="1"/>
  <c r="Y412" i="1"/>
  <c r="P412" i="1"/>
  <c r="O412" i="1"/>
  <c r="N412" i="1"/>
  <c r="Z412" i="1" s="1"/>
  <c r="L412" i="1"/>
  <c r="K412" i="1"/>
  <c r="Y411" i="1"/>
  <c r="N411" i="1"/>
  <c r="P411" i="1" s="1"/>
  <c r="L411" i="1"/>
  <c r="K411" i="1"/>
  <c r="Y410" i="1"/>
  <c r="P410" i="1"/>
  <c r="O410" i="1"/>
  <c r="N410" i="1"/>
  <c r="K410" i="1"/>
  <c r="L410" i="1" s="1"/>
  <c r="Y409" i="1"/>
  <c r="N409" i="1"/>
  <c r="P409" i="1" s="1"/>
  <c r="L409" i="1"/>
  <c r="K409" i="1"/>
  <c r="Y408" i="1"/>
  <c r="P408" i="1"/>
  <c r="O408" i="1"/>
  <c r="N408" i="1"/>
  <c r="K408" i="1"/>
  <c r="L408" i="1" s="1"/>
  <c r="Y407" i="1"/>
  <c r="P407" i="1"/>
  <c r="O407" i="1"/>
  <c r="N407" i="1"/>
  <c r="Z407" i="1" s="1"/>
  <c r="K407" i="1"/>
  <c r="L407" i="1" s="1"/>
  <c r="Y406" i="1"/>
  <c r="N406" i="1"/>
  <c r="P406" i="1" s="1"/>
  <c r="L406" i="1"/>
  <c r="K406" i="1"/>
  <c r="Y405" i="1"/>
  <c r="P405" i="1"/>
  <c r="O405" i="1"/>
  <c r="N405" i="1"/>
  <c r="K405" i="1"/>
  <c r="L405" i="1" s="1"/>
  <c r="Y404" i="1"/>
  <c r="P404" i="1"/>
  <c r="O404" i="1"/>
  <c r="N404" i="1"/>
  <c r="Z404" i="1" s="1"/>
  <c r="K404" i="1"/>
  <c r="L404" i="1" s="1"/>
  <c r="Y403" i="1"/>
  <c r="N403" i="1"/>
  <c r="L403" i="1"/>
  <c r="K403" i="1"/>
  <c r="Y402" i="1"/>
  <c r="P402" i="1"/>
  <c r="O402" i="1"/>
  <c r="N402" i="1"/>
  <c r="Z402" i="1" s="1"/>
  <c r="K402" i="1"/>
  <c r="L402" i="1" s="1"/>
  <c r="Y401" i="1"/>
  <c r="P401" i="1"/>
  <c r="O401" i="1"/>
  <c r="N401" i="1"/>
  <c r="Z401" i="1" s="1"/>
  <c r="K401" i="1"/>
  <c r="L401" i="1" s="1"/>
  <c r="Y400" i="1"/>
  <c r="N400" i="1"/>
  <c r="P400" i="1" s="1"/>
  <c r="L400" i="1"/>
  <c r="K400" i="1"/>
  <c r="Y399" i="1"/>
  <c r="P399" i="1"/>
  <c r="O399" i="1"/>
  <c r="N399" i="1"/>
  <c r="K399" i="1"/>
  <c r="L399" i="1" s="1"/>
  <c r="Y398" i="1"/>
  <c r="P398" i="1"/>
  <c r="O398" i="1"/>
  <c r="N398" i="1"/>
  <c r="Z398" i="1" s="1"/>
  <c r="K398" i="1"/>
  <c r="L398" i="1" s="1"/>
  <c r="Y397" i="1"/>
  <c r="O397" i="1"/>
  <c r="N397" i="1"/>
  <c r="P397" i="1" s="1"/>
  <c r="L397" i="1"/>
  <c r="K397" i="1"/>
  <c r="Z396" i="1"/>
  <c r="Y396" i="1"/>
  <c r="N396" i="1"/>
  <c r="L396" i="1"/>
  <c r="K396" i="1"/>
  <c r="Y395" i="1"/>
  <c r="P395" i="1"/>
  <c r="O395" i="1"/>
  <c r="N395" i="1"/>
  <c r="Z395" i="1" s="1"/>
  <c r="L395" i="1"/>
  <c r="K395" i="1"/>
  <c r="Y394" i="1"/>
  <c r="P394" i="1"/>
  <c r="O394" i="1"/>
  <c r="N394" i="1"/>
  <c r="Z394" i="1" s="1"/>
  <c r="K394" i="1"/>
  <c r="L394" i="1" s="1"/>
  <c r="Y393" i="1"/>
  <c r="N393" i="1"/>
  <c r="L393" i="1"/>
  <c r="K393" i="1"/>
  <c r="Y392" i="1"/>
  <c r="P392" i="1"/>
  <c r="O392" i="1"/>
  <c r="N392" i="1"/>
  <c r="Z392" i="1" s="1"/>
  <c r="L392" i="1"/>
  <c r="K392" i="1"/>
  <c r="Y391" i="1"/>
  <c r="P391" i="1"/>
  <c r="O391" i="1"/>
  <c r="N391" i="1"/>
  <c r="Z391" i="1" s="1"/>
  <c r="K391" i="1"/>
  <c r="L391" i="1" s="1"/>
  <c r="Z390" i="1"/>
  <c r="Y390" i="1"/>
  <c r="O390" i="1"/>
  <c r="N390" i="1"/>
  <c r="P390" i="1" s="1"/>
  <c r="L390" i="1"/>
  <c r="K390" i="1"/>
  <c r="Y389" i="1"/>
  <c r="P389" i="1"/>
  <c r="O389" i="1"/>
  <c r="N389" i="1"/>
  <c r="L389" i="1"/>
  <c r="K389" i="1"/>
  <c r="Y388" i="1"/>
  <c r="P388" i="1"/>
  <c r="O388" i="1"/>
  <c r="N388" i="1"/>
  <c r="Z388" i="1" s="1"/>
  <c r="K388" i="1"/>
  <c r="L388" i="1" s="1"/>
  <c r="Y387" i="1"/>
  <c r="N387" i="1"/>
  <c r="L387" i="1"/>
  <c r="K387" i="1"/>
  <c r="Y386" i="1"/>
  <c r="P386" i="1"/>
  <c r="O386" i="1"/>
  <c r="N386" i="1"/>
  <c r="K386" i="1"/>
  <c r="L386" i="1" s="1"/>
  <c r="Y385" i="1"/>
  <c r="N385" i="1"/>
  <c r="P385" i="1" s="1"/>
  <c r="L385" i="1"/>
  <c r="K385" i="1"/>
  <c r="Z384" i="1"/>
  <c r="Y384" i="1"/>
  <c r="N384" i="1"/>
  <c r="L384" i="1"/>
  <c r="K384" i="1"/>
  <c r="Y383" i="1"/>
  <c r="P383" i="1"/>
  <c r="O383" i="1"/>
  <c r="N383" i="1"/>
  <c r="K383" i="1"/>
  <c r="L383" i="1" s="1"/>
  <c r="Y382" i="1"/>
  <c r="N382" i="1"/>
  <c r="L382" i="1"/>
  <c r="K382" i="1"/>
  <c r="Y381" i="1"/>
  <c r="P381" i="1"/>
  <c r="O381" i="1"/>
  <c r="N381" i="1"/>
  <c r="K381" i="1"/>
  <c r="L381" i="1" s="1"/>
  <c r="Y380" i="1"/>
  <c r="O380" i="1"/>
  <c r="N380" i="1"/>
  <c r="P380" i="1" s="1"/>
  <c r="L380" i="1"/>
  <c r="K380" i="1"/>
  <c r="Z379" i="1"/>
  <c r="Y379" i="1"/>
  <c r="N379" i="1"/>
  <c r="L379" i="1"/>
  <c r="K379" i="1"/>
  <c r="Y378" i="1"/>
  <c r="P378" i="1"/>
  <c r="O378" i="1"/>
  <c r="N378" i="1"/>
  <c r="Z378" i="1" s="1"/>
  <c r="L378" i="1"/>
  <c r="K378" i="1"/>
  <c r="Y377" i="1"/>
  <c r="P377" i="1"/>
  <c r="O377" i="1"/>
  <c r="N377" i="1"/>
  <c r="Z377" i="1" s="1"/>
  <c r="K377" i="1"/>
  <c r="L377" i="1" s="1"/>
  <c r="Z376" i="1"/>
  <c r="Y376" i="1"/>
  <c r="N376" i="1"/>
  <c r="P376" i="1" s="1"/>
  <c r="L376" i="1"/>
  <c r="K376" i="1"/>
  <c r="Y375" i="1"/>
  <c r="N375" i="1"/>
  <c r="Z375" i="1" s="1"/>
  <c r="L375" i="1"/>
  <c r="K375" i="1"/>
  <c r="Y374" i="1"/>
  <c r="P374" i="1"/>
  <c r="O374" i="1"/>
  <c r="N374" i="1"/>
  <c r="Z374" i="1" s="1"/>
  <c r="K374" i="1"/>
  <c r="L374" i="1" s="1"/>
  <c r="Y373" i="1"/>
  <c r="P373" i="1"/>
  <c r="O373" i="1"/>
  <c r="N373" i="1"/>
  <c r="Z373" i="1" s="1"/>
  <c r="K373" i="1"/>
  <c r="L373" i="1" s="1"/>
  <c r="Y372" i="1"/>
  <c r="O372" i="1"/>
  <c r="N372" i="1"/>
  <c r="P372" i="1" s="1"/>
  <c r="L372" i="1"/>
  <c r="K372" i="1"/>
  <c r="Z371" i="1"/>
  <c r="Y371" i="1"/>
  <c r="N371" i="1"/>
  <c r="L371" i="1"/>
  <c r="K371" i="1"/>
  <c r="Y370" i="1"/>
  <c r="P370" i="1"/>
  <c r="O370" i="1"/>
  <c r="N370" i="1"/>
  <c r="Z370" i="1" s="1"/>
  <c r="L370" i="1"/>
  <c r="K370" i="1"/>
  <c r="Y369" i="1"/>
  <c r="P369" i="1"/>
  <c r="O369" i="1"/>
  <c r="N369" i="1"/>
  <c r="Z369" i="1" s="1"/>
  <c r="K369" i="1"/>
  <c r="L369" i="1" s="1"/>
  <c r="Z368" i="1"/>
  <c r="Y368" i="1"/>
  <c r="N368" i="1"/>
  <c r="P368" i="1" s="1"/>
  <c r="L368" i="1"/>
  <c r="K368" i="1"/>
  <c r="Y367" i="1"/>
  <c r="N367" i="1"/>
  <c r="Z367" i="1" s="1"/>
  <c r="L367" i="1"/>
  <c r="K367" i="1"/>
  <c r="Y366" i="1"/>
  <c r="P366" i="1"/>
  <c r="O366" i="1"/>
  <c r="N366" i="1"/>
  <c r="Z366" i="1" s="1"/>
  <c r="K366" i="1"/>
  <c r="L366" i="1" s="1"/>
  <c r="Y365" i="1"/>
  <c r="P365" i="1"/>
  <c r="O365" i="1"/>
  <c r="N365" i="1"/>
  <c r="Z365" i="1" s="1"/>
  <c r="K365" i="1"/>
  <c r="L365" i="1" s="1"/>
  <c r="Y364" i="1"/>
  <c r="N364" i="1"/>
  <c r="Y363" i="1"/>
  <c r="N363" i="1"/>
  <c r="L363" i="1"/>
  <c r="K363" i="1"/>
  <c r="Y362" i="1"/>
  <c r="P362" i="1"/>
  <c r="O362" i="1"/>
  <c r="N362" i="1"/>
  <c r="Z362" i="1" s="1"/>
  <c r="L362" i="1"/>
  <c r="K362" i="1"/>
  <c r="Y361" i="1"/>
  <c r="P361" i="1"/>
  <c r="O361" i="1"/>
  <c r="N361" i="1"/>
  <c r="Z361" i="1" s="1"/>
  <c r="K361" i="1"/>
  <c r="L361" i="1" s="1"/>
  <c r="Z360" i="1"/>
  <c r="Y360" i="1"/>
  <c r="O360" i="1"/>
  <c r="N360" i="1"/>
  <c r="P360" i="1" s="1"/>
  <c r="L360" i="1"/>
  <c r="K360" i="1"/>
  <c r="Y359" i="1"/>
  <c r="N359" i="1"/>
  <c r="L359" i="1"/>
  <c r="K359" i="1"/>
  <c r="Y358" i="1"/>
  <c r="P358" i="1"/>
  <c r="O358" i="1"/>
  <c r="N358" i="1"/>
  <c r="K358" i="1"/>
  <c r="L358" i="1" s="1"/>
  <c r="Z357" i="1"/>
  <c r="Y357" i="1"/>
  <c r="O357" i="1"/>
  <c r="N357" i="1"/>
  <c r="P357" i="1" s="1"/>
  <c r="L357" i="1"/>
  <c r="K357" i="1"/>
  <c r="Y356" i="1"/>
  <c r="N356" i="1"/>
  <c r="L356" i="1"/>
  <c r="K356" i="1"/>
  <c r="Y355" i="1"/>
  <c r="P355" i="1"/>
  <c r="O355" i="1"/>
  <c r="N355" i="1"/>
  <c r="Z355" i="1" s="1"/>
  <c r="K355" i="1"/>
  <c r="L355" i="1" s="1"/>
  <c r="Y354" i="1"/>
  <c r="O354" i="1"/>
  <c r="N354" i="1"/>
  <c r="P354" i="1" s="1"/>
  <c r="L354" i="1"/>
  <c r="K354" i="1"/>
  <c r="Y353" i="1"/>
  <c r="N353" i="1"/>
  <c r="L353" i="1"/>
  <c r="K353" i="1"/>
  <c r="Y352" i="1"/>
  <c r="P352" i="1"/>
  <c r="O352" i="1"/>
  <c r="N352" i="1"/>
  <c r="Z352" i="1" s="1"/>
  <c r="K352" i="1"/>
  <c r="L352" i="1" s="1"/>
  <c r="Y351" i="1"/>
  <c r="P351" i="1"/>
  <c r="O351" i="1"/>
  <c r="N351" i="1"/>
  <c r="Z351" i="1" s="1"/>
  <c r="K351" i="1"/>
  <c r="L351" i="1" s="1"/>
  <c r="Y350" i="1"/>
  <c r="N350" i="1"/>
  <c r="P350" i="1" s="1"/>
  <c r="L350" i="1"/>
  <c r="K350" i="1"/>
  <c r="Z349" i="1"/>
  <c r="Y349" i="1"/>
  <c r="N349" i="1"/>
  <c r="L349" i="1"/>
  <c r="K349" i="1"/>
  <c r="Y348" i="1"/>
  <c r="P348" i="1"/>
  <c r="O348" i="1"/>
  <c r="N348" i="1"/>
  <c r="Z348" i="1" s="1"/>
  <c r="L348" i="1"/>
  <c r="K348" i="1"/>
  <c r="Y347" i="1"/>
  <c r="P347" i="1"/>
  <c r="O347" i="1"/>
  <c r="N347" i="1"/>
  <c r="Z347" i="1" s="1"/>
  <c r="K347" i="1"/>
  <c r="L347" i="1" s="1"/>
  <c r="Z346" i="1"/>
  <c r="Y346" i="1"/>
  <c r="O346" i="1"/>
  <c r="N346" i="1"/>
  <c r="P346" i="1" s="1"/>
  <c r="L346" i="1"/>
  <c r="K346" i="1"/>
  <c r="Y345" i="1"/>
  <c r="N345" i="1"/>
  <c r="L345" i="1"/>
  <c r="K345" i="1"/>
  <c r="Y344" i="1"/>
  <c r="P344" i="1"/>
  <c r="O344" i="1"/>
  <c r="N344" i="1"/>
  <c r="K344" i="1"/>
  <c r="L344" i="1" s="1"/>
  <c r="Z343" i="1"/>
  <c r="Y343" i="1"/>
  <c r="O343" i="1"/>
  <c r="N343" i="1"/>
  <c r="P343" i="1" s="1"/>
  <c r="L343" i="1"/>
  <c r="K343" i="1"/>
  <c r="Y342" i="1"/>
  <c r="N342" i="1"/>
  <c r="L342" i="1"/>
  <c r="K342" i="1"/>
  <c r="Y341" i="1"/>
  <c r="P341" i="1"/>
  <c r="O341" i="1"/>
  <c r="N341" i="1"/>
  <c r="Z341" i="1" s="1"/>
  <c r="K341" i="1"/>
  <c r="L341" i="1" s="1"/>
  <c r="Y340" i="1"/>
  <c r="P340" i="1"/>
  <c r="O340" i="1"/>
  <c r="N340" i="1"/>
  <c r="Z340" i="1" s="1"/>
  <c r="K340" i="1"/>
  <c r="L340" i="1" s="1"/>
  <c r="Y339" i="1"/>
  <c r="N339" i="1"/>
  <c r="P339" i="1" s="1"/>
  <c r="L339" i="1"/>
  <c r="K339" i="1"/>
  <c r="Z338" i="1"/>
  <c r="Y338" i="1"/>
  <c r="N338" i="1"/>
  <c r="L338" i="1"/>
  <c r="K338" i="1"/>
  <c r="Y337" i="1"/>
  <c r="P337" i="1"/>
  <c r="O337" i="1"/>
  <c r="N337" i="1"/>
  <c r="Z337" i="1" s="1"/>
  <c r="L337" i="1"/>
  <c r="K337" i="1"/>
  <c r="Y336" i="1"/>
  <c r="P336" i="1"/>
  <c r="O336" i="1"/>
  <c r="N336" i="1"/>
  <c r="Z336" i="1" s="1"/>
  <c r="K336" i="1"/>
  <c r="L336" i="1" s="1"/>
  <c r="Z335" i="1"/>
  <c r="Y335" i="1"/>
  <c r="O335" i="1"/>
  <c r="N335" i="1"/>
  <c r="P335" i="1" s="1"/>
  <c r="L335" i="1"/>
  <c r="K335" i="1"/>
  <c r="Y334" i="1"/>
  <c r="N334" i="1"/>
  <c r="L334" i="1"/>
  <c r="K334" i="1"/>
  <c r="Y333" i="1"/>
  <c r="P333" i="1"/>
  <c r="O333" i="1"/>
  <c r="N333" i="1"/>
  <c r="K333" i="1"/>
  <c r="L333" i="1" s="1"/>
  <c r="Z332" i="1"/>
  <c r="Y332" i="1"/>
  <c r="O332" i="1"/>
  <c r="N332" i="1"/>
  <c r="P332" i="1" s="1"/>
  <c r="L332" i="1"/>
  <c r="K332" i="1"/>
  <c r="Y331" i="1"/>
  <c r="N331" i="1"/>
  <c r="L331" i="1"/>
  <c r="K331" i="1"/>
  <c r="Y330" i="1"/>
  <c r="P330" i="1"/>
  <c r="O330" i="1"/>
  <c r="N330" i="1"/>
  <c r="Z330" i="1" s="1"/>
  <c r="K330" i="1"/>
  <c r="L330" i="1" s="1"/>
  <c r="Y329" i="1"/>
  <c r="P329" i="1"/>
  <c r="O329" i="1"/>
  <c r="N329" i="1"/>
  <c r="Z329" i="1" s="1"/>
  <c r="K329" i="1"/>
  <c r="L329" i="1" s="1"/>
  <c r="Y328" i="1"/>
  <c r="N328" i="1"/>
  <c r="P328" i="1" s="1"/>
  <c r="L328" i="1"/>
  <c r="K328" i="1"/>
  <c r="Z327" i="1"/>
  <c r="Y327" i="1"/>
  <c r="N327" i="1"/>
  <c r="L327" i="1"/>
  <c r="K327" i="1"/>
  <c r="Y326" i="1"/>
  <c r="P326" i="1"/>
  <c r="O326" i="1"/>
  <c r="N326" i="1"/>
  <c r="Z326" i="1" s="1"/>
  <c r="L326" i="1"/>
  <c r="K326" i="1"/>
  <c r="Y325" i="1"/>
  <c r="P325" i="1"/>
  <c r="O325" i="1"/>
  <c r="N325" i="1"/>
  <c r="Z325" i="1" s="1"/>
  <c r="K325" i="1"/>
  <c r="L325" i="1" s="1"/>
  <c r="Z324" i="1"/>
  <c r="Y324" i="1"/>
  <c r="O324" i="1"/>
  <c r="N324" i="1"/>
  <c r="P324" i="1" s="1"/>
  <c r="L324" i="1"/>
  <c r="K324" i="1"/>
  <c r="Y323" i="1"/>
  <c r="N323" i="1"/>
  <c r="L323" i="1"/>
  <c r="K323" i="1"/>
  <c r="Y322" i="1"/>
  <c r="P322" i="1"/>
  <c r="O322" i="1"/>
  <c r="N322" i="1"/>
  <c r="Z322" i="1" s="1"/>
  <c r="K322" i="1"/>
  <c r="L322" i="1" s="1"/>
  <c r="Y321" i="1"/>
  <c r="P321" i="1"/>
  <c r="O321" i="1"/>
  <c r="N321" i="1"/>
  <c r="Z321" i="1" s="1"/>
  <c r="K321" i="1"/>
  <c r="L321" i="1" s="1"/>
  <c r="Y320" i="1"/>
  <c r="N320" i="1"/>
  <c r="P320" i="1" s="1"/>
  <c r="L320" i="1"/>
  <c r="K320" i="1"/>
  <c r="Z319" i="1"/>
  <c r="Y319" i="1"/>
  <c r="N319" i="1"/>
  <c r="L319" i="1"/>
  <c r="K319" i="1"/>
  <c r="Y318" i="1"/>
  <c r="P318" i="1"/>
  <c r="O318" i="1"/>
  <c r="N318" i="1"/>
  <c r="Z318" i="1" s="1"/>
  <c r="L318" i="1"/>
  <c r="K318" i="1"/>
  <c r="Y317" i="1"/>
  <c r="P317" i="1"/>
  <c r="O317" i="1"/>
  <c r="Z317" i="1"/>
  <c r="K317" i="1"/>
  <c r="L317" i="1" s="1"/>
  <c r="Z316" i="1"/>
  <c r="Y316" i="1"/>
  <c r="O316" i="1"/>
  <c r="N316" i="1"/>
  <c r="P316" i="1" s="1"/>
  <c r="L316" i="1"/>
  <c r="K316" i="1"/>
  <c r="Y315" i="1"/>
  <c r="N315" i="1"/>
  <c r="L315" i="1"/>
  <c r="K315" i="1"/>
  <c r="Y314" i="1"/>
  <c r="P314" i="1"/>
  <c r="O314" i="1"/>
  <c r="N314" i="1"/>
  <c r="Z314" i="1" s="1"/>
  <c r="K314" i="1"/>
  <c r="L314" i="1" s="1"/>
  <c r="Y313" i="1"/>
  <c r="P313" i="1"/>
  <c r="O313" i="1"/>
  <c r="N313" i="1"/>
  <c r="Z313" i="1" s="1"/>
  <c r="K313" i="1"/>
  <c r="L313" i="1" s="1"/>
  <c r="Y312" i="1"/>
  <c r="N312" i="1"/>
  <c r="P312" i="1" s="1"/>
  <c r="L312" i="1"/>
  <c r="K312" i="1"/>
  <c r="Z311" i="1"/>
  <c r="Y311" i="1"/>
  <c r="N311" i="1"/>
  <c r="L311" i="1"/>
  <c r="K311" i="1"/>
  <c r="Y310" i="1"/>
  <c r="P310" i="1"/>
  <c r="O310" i="1"/>
  <c r="N310" i="1"/>
  <c r="Z310" i="1" s="1"/>
  <c r="L310" i="1"/>
  <c r="K310" i="1"/>
  <c r="Y309" i="1"/>
  <c r="P309" i="1"/>
  <c r="O309" i="1"/>
  <c r="N309" i="1"/>
  <c r="Z309" i="1" s="1"/>
  <c r="K309" i="1"/>
  <c r="L309" i="1" s="1"/>
  <c r="Z308" i="1"/>
  <c r="Y308" i="1"/>
  <c r="O308" i="1"/>
  <c r="N308" i="1"/>
  <c r="P308" i="1" s="1"/>
  <c r="L308" i="1"/>
  <c r="K308" i="1"/>
  <c r="Y307" i="1"/>
  <c r="N307" i="1"/>
  <c r="L307" i="1"/>
  <c r="K307" i="1"/>
  <c r="Y306" i="1"/>
  <c r="P306" i="1"/>
  <c r="O306" i="1"/>
  <c r="N306" i="1"/>
  <c r="Z306" i="1" s="1"/>
  <c r="K306" i="1"/>
  <c r="L306" i="1" s="1"/>
  <c r="Y305" i="1"/>
  <c r="P305" i="1"/>
  <c r="O305" i="1"/>
  <c r="N305" i="1"/>
  <c r="Z305" i="1" s="1"/>
  <c r="K305" i="1"/>
  <c r="L305" i="1" s="1"/>
  <c r="Y304" i="1"/>
  <c r="N304" i="1"/>
  <c r="P304" i="1" s="1"/>
  <c r="L304" i="1"/>
  <c r="K304" i="1"/>
  <c r="Y303" i="1"/>
  <c r="P303" i="1"/>
  <c r="O303" i="1"/>
  <c r="N303" i="1"/>
  <c r="K303" i="1"/>
  <c r="L303" i="1" s="1"/>
  <c r="Y302" i="1"/>
  <c r="N302" i="1"/>
  <c r="P302" i="1" s="1"/>
  <c r="L302" i="1"/>
  <c r="K302" i="1"/>
  <c r="Y301" i="1"/>
  <c r="P301" i="1"/>
  <c r="O301" i="1"/>
  <c r="N301" i="1"/>
  <c r="K301" i="1"/>
  <c r="L301" i="1" s="1"/>
  <c r="Y300" i="1"/>
  <c r="O300" i="1"/>
  <c r="N300" i="1"/>
  <c r="P300" i="1" s="1"/>
  <c r="L300" i="1"/>
  <c r="K300" i="1"/>
  <c r="Y299" i="1"/>
  <c r="N299" i="1"/>
  <c r="L299" i="1"/>
  <c r="K299" i="1"/>
  <c r="Y298" i="1"/>
  <c r="P298" i="1"/>
  <c r="O298" i="1"/>
  <c r="N298" i="1"/>
  <c r="Z298" i="1" s="1"/>
  <c r="K298" i="1"/>
  <c r="L298" i="1" s="1"/>
  <c r="Y297" i="1"/>
  <c r="P297" i="1"/>
  <c r="O297" i="1"/>
  <c r="N297" i="1"/>
  <c r="Z297" i="1" s="1"/>
  <c r="K297" i="1"/>
  <c r="L297" i="1" s="1"/>
  <c r="Y296" i="1"/>
  <c r="N296" i="1"/>
  <c r="P296" i="1" s="1"/>
  <c r="L296" i="1"/>
  <c r="K296" i="1"/>
  <c r="Z295" i="1"/>
  <c r="Y295" i="1"/>
  <c r="N295" i="1"/>
  <c r="L295" i="1"/>
  <c r="K295" i="1"/>
  <c r="Y294" i="1"/>
  <c r="P294" i="1"/>
  <c r="O294" i="1"/>
  <c r="N294" i="1"/>
  <c r="Z294" i="1" s="1"/>
  <c r="L294" i="1"/>
  <c r="K294" i="1"/>
  <c r="Y293" i="1"/>
  <c r="P293" i="1"/>
  <c r="O293" i="1"/>
  <c r="N293" i="1"/>
  <c r="Z293" i="1" s="1"/>
  <c r="K293" i="1"/>
  <c r="L293" i="1" s="1"/>
  <c r="Z292" i="1"/>
  <c r="Y292" i="1"/>
  <c r="O292" i="1"/>
  <c r="N292" i="1"/>
  <c r="P292" i="1" s="1"/>
  <c r="L292" i="1"/>
  <c r="K292" i="1"/>
  <c r="Y291" i="1"/>
  <c r="P291" i="1"/>
  <c r="O291" i="1"/>
  <c r="N291" i="1"/>
  <c r="L291" i="1"/>
  <c r="K291" i="1"/>
  <c r="Y290" i="1"/>
  <c r="O290" i="1"/>
  <c r="N290" i="1"/>
  <c r="P290" i="1" s="1"/>
  <c r="L290" i="1"/>
  <c r="K290" i="1"/>
  <c r="Y289" i="1"/>
  <c r="P289" i="1"/>
  <c r="O289" i="1"/>
  <c r="N289" i="1"/>
  <c r="L289" i="1"/>
  <c r="K289" i="1"/>
  <c r="Y288" i="1"/>
  <c r="P288" i="1"/>
  <c r="O288" i="1"/>
  <c r="N288" i="1"/>
  <c r="Z288" i="1" s="1"/>
  <c r="K288" i="1"/>
  <c r="L288" i="1" s="1"/>
  <c r="Z287" i="1"/>
  <c r="Y287" i="1"/>
  <c r="O287" i="1"/>
  <c r="N287" i="1"/>
  <c r="P287" i="1" s="1"/>
  <c r="L287" i="1"/>
  <c r="K287" i="1"/>
  <c r="Y286" i="1"/>
  <c r="P286" i="1"/>
  <c r="O286" i="1"/>
  <c r="N286" i="1"/>
  <c r="L286" i="1"/>
  <c r="K286" i="1"/>
  <c r="Y285" i="1"/>
  <c r="P285" i="1"/>
  <c r="O285" i="1"/>
  <c r="N285" i="1"/>
  <c r="Z285" i="1" s="1"/>
  <c r="K285" i="1"/>
  <c r="L285" i="1" s="1"/>
  <c r="Z284" i="1"/>
  <c r="Y284" i="1"/>
  <c r="N284" i="1"/>
  <c r="P284" i="1" s="1"/>
  <c r="L284" i="1"/>
  <c r="K284" i="1"/>
  <c r="Y283" i="1"/>
  <c r="N283" i="1"/>
  <c r="Z283" i="1" s="1"/>
  <c r="L283" i="1"/>
  <c r="K283" i="1"/>
  <c r="Y282" i="1"/>
  <c r="P282" i="1"/>
  <c r="O282" i="1"/>
  <c r="N282" i="1"/>
  <c r="Z282" i="1" s="1"/>
  <c r="K282" i="1"/>
  <c r="L282" i="1" s="1"/>
  <c r="Y281" i="1"/>
  <c r="P281" i="1"/>
  <c r="O281" i="1"/>
  <c r="N281" i="1"/>
  <c r="Z281" i="1" s="1"/>
  <c r="K281" i="1"/>
  <c r="L281" i="1" s="1"/>
  <c r="Y280" i="1"/>
  <c r="O280" i="1"/>
  <c r="N280" i="1"/>
  <c r="P280" i="1" s="1"/>
  <c r="L280" i="1"/>
  <c r="K280" i="1"/>
  <c r="Z279" i="1"/>
  <c r="Y279" i="1"/>
  <c r="N279" i="1"/>
  <c r="L279" i="1"/>
  <c r="K279" i="1"/>
  <c r="Y278" i="1"/>
  <c r="P278" i="1"/>
  <c r="O278" i="1"/>
  <c r="N278" i="1"/>
  <c r="K278" i="1"/>
  <c r="L278" i="1" s="1"/>
  <c r="Y277" i="1"/>
  <c r="O277" i="1"/>
  <c r="N277" i="1"/>
  <c r="P277" i="1" s="1"/>
  <c r="L277" i="1"/>
  <c r="K277" i="1"/>
  <c r="Z276" i="1"/>
  <c r="Y276" i="1"/>
  <c r="N276" i="1"/>
  <c r="L276" i="1"/>
  <c r="K276" i="1"/>
  <c r="Y275" i="1"/>
  <c r="P275" i="1"/>
  <c r="O275" i="1"/>
  <c r="N275" i="1"/>
  <c r="Z275" i="1" s="1"/>
  <c r="L275" i="1"/>
  <c r="K275" i="1"/>
  <c r="Y274" i="1"/>
  <c r="P274" i="1"/>
  <c r="O274" i="1"/>
  <c r="N274" i="1"/>
  <c r="Z274" i="1" s="1"/>
  <c r="K274" i="1"/>
  <c r="L274" i="1" s="1"/>
  <c r="Z273" i="1"/>
  <c r="Y273" i="1"/>
  <c r="N273" i="1"/>
  <c r="P273" i="1" s="1"/>
  <c r="L273" i="1"/>
  <c r="K273" i="1"/>
  <c r="Y272" i="1"/>
  <c r="N272" i="1"/>
  <c r="Z272" i="1" s="1"/>
  <c r="L272" i="1"/>
  <c r="K272" i="1"/>
  <c r="Y271" i="1"/>
  <c r="P271" i="1"/>
  <c r="O271" i="1"/>
  <c r="N271" i="1"/>
  <c r="Z271" i="1" s="1"/>
  <c r="K271" i="1"/>
  <c r="L271" i="1" s="1"/>
  <c r="Y270" i="1"/>
  <c r="P270" i="1"/>
  <c r="O270" i="1"/>
  <c r="N270" i="1"/>
  <c r="Z270" i="1" s="1"/>
  <c r="K270" i="1"/>
  <c r="L270" i="1" s="1"/>
  <c r="Y269" i="1"/>
  <c r="O269" i="1"/>
  <c r="N269" i="1"/>
  <c r="P269" i="1" s="1"/>
  <c r="L269" i="1"/>
  <c r="K269" i="1"/>
  <c r="Z268" i="1"/>
  <c r="Y268" i="1"/>
  <c r="N268" i="1"/>
  <c r="L268" i="1"/>
  <c r="K268" i="1"/>
  <c r="Y267" i="1"/>
  <c r="P267" i="1"/>
  <c r="O267" i="1"/>
  <c r="N267" i="1"/>
  <c r="Z267" i="1" s="1"/>
  <c r="L267" i="1"/>
  <c r="K267" i="1"/>
  <c r="Y266" i="1"/>
  <c r="P266" i="1"/>
  <c r="O266" i="1"/>
  <c r="N266" i="1"/>
  <c r="Z266" i="1" s="1"/>
  <c r="K266" i="1"/>
  <c r="L266" i="1" s="1"/>
  <c r="Z265" i="1"/>
  <c r="Y265" i="1"/>
  <c r="N265" i="1"/>
  <c r="P265" i="1" s="1"/>
  <c r="L265" i="1"/>
  <c r="K265" i="1"/>
  <c r="Y264" i="1"/>
  <c r="P264" i="1"/>
  <c r="O264" i="1"/>
  <c r="N264" i="1"/>
  <c r="K264" i="1"/>
  <c r="L264" i="1" s="1"/>
  <c r="Y263" i="1"/>
  <c r="P263" i="1"/>
  <c r="O263" i="1"/>
  <c r="N263" i="1"/>
  <c r="Z263" i="1" s="1"/>
  <c r="K263" i="1"/>
  <c r="L263" i="1" s="1"/>
  <c r="Y262" i="1"/>
  <c r="N262" i="1"/>
  <c r="P262" i="1" s="1"/>
  <c r="L262" i="1"/>
  <c r="K262" i="1"/>
  <c r="Z261" i="1"/>
  <c r="Y261" i="1"/>
  <c r="N261" i="1"/>
  <c r="L261" i="1"/>
  <c r="K261" i="1"/>
  <c r="Y260" i="1"/>
  <c r="P260" i="1"/>
  <c r="O260" i="1"/>
  <c r="N260" i="1"/>
  <c r="K260" i="1"/>
  <c r="L260" i="1" s="1"/>
  <c r="Y259" i="1"/>
  <c r="N259" i="1"/>
  <c r="P259" i="1" s="1"/>
  <c r="L259" i="1"/>
  <c r="K259" i="1"/>
  <c r="Z258" i="1"/>
  <c r="Y258" i="1"/>
  <c r="N258" i="1"/>
  <c r="L258" i="1"/>
  <c r="K258" i="1"/>
  <c r="Y257" i="1"/>
  <c r="P257" i="1"/>
  <c r="O257" i="1"/>
  <c r="N257" i="1"/>
  <c r="Z257" i="1" s="1"/>
  <c r="L257" i="1"/>
  <c r="K257" i="1"/>
  <c r="Y256" i="1"/>
  <c r="P256" i="1"/>
  <c r="O256" i="1"/>
  <c r="N256" i="1"/>
  <c r="Z256" i="1" s="1"/>
  <c r="K256" i="1"/>
  <c r="L256" i="1" s="1"/>
  <c r="Z255" i="1"/>
  <c r="Y255" i="1"/>
  <c r="O255" i="1"/>
  <c r="N255" i="1"/>
  <c r="P255" i="1" s="1"/>
  <c r="L255" i="1"/>
  <c r="K255" i="1"/>
  <c r="Y254" i="1"/>
  <c r="N254" i="1"/>
  <c r="L254" i="1"/>
  <c r="K254" i="1"/>
  <c r="Y253" i="1"/>
  <c r="P253" i="1"/>
  <c r="O253" i="1"/>
  <c r="N253" i="1"/>
  <c r="Z253" i="1" s="1"/>
  <c r="K253" i="1"/>
  <c r="L253" i="1" s="1"/>
  <c r="Y252" i="1"/>
  <c r="P252" i="1"/>
  <c r="O252" i="1"/>
  <c r="N252" i="1"/>
  <c r="Z252" i="1" s="1"/>
  <c r="K252" i="1"/>
  <c r="L252" i="1" s="1"/>
  <c r="Y251" i="1"/>
  <c r="N251" i="1"/>
  <c r="L251" i="1"/>
  <c r="K251" i="1"/>
  <c r="Y250" i="1"/>
  <c r="P250" i="1"/>
  <c r="O250" i="1"/>
  <c r="N250" i="1"/>
  <c r="Z250" i="1" s="1"/>
  <c r="L250" i="1"/>
  <c r="K250" i="1"/>
  <c r="Y249" i="1"/>
  <c r="P249" i="1"/>
  <c r="O249" i="1"/>
  <c r="N249" i="1"/>
  <c r="Z249" i="1" s="1"/>
  <c r="K249" i="1"/>
  <c r="L249" i="1" s="1"/>
  <c r="Z248" i="1"/>
  <c r="Y248" i="1"/>
  <c r="N248" i="1"/>
  <c r="P248" i="1" s="1"/>
  <c r="L248" i="1"/>
  <c r="K248" i="1"/>
  <c r="Y247" i="1"/>
  <c r="N247" i="1"/>
  <c r="L247" i="1"/>
  <c r="K247" i="1"/>
  <c r="Y246" i="1"/>
  <c r="P246" i="1"/>
  <c r="O246" i="1"/>
  <c r="N246" i="1"/>
  <c r="Z246" i="1" s="1"/>
  <c r="K246" i="1"/>
  <c r="L246" i="1" s="1"/>
  <c r="Y245" i="1"/>
  <c r="P245" i="1"/>
  <c r="O245" i="1"/>
  <c r="N245" i="1"/>
  <c r="Z245" i="1" s="1"/>
  <c r="K245" i="1"/>
  <c r="L245" i="1" s="1"/>
  <c r="Y244" i="1"/>
  <c r="O244" i="1"/>
  <c r="N244" i="1"/>
  <c r="P244" i="1" s="1"/>
  <c r="L244" i="1"/>
  <c r="K244" i="1"/>
  <c r="Z243" i="1"/>
  <c r="Y243" i="1"/>
  <c r="N243" i="1"/>
  <c r="L243" i="1"/>
  <c r="K243" i="1"/>
  <c r="Y242" i="1"/>
  <c r="P242" i="1"/>
  <c r="O242" i="1"/>
  <c r="N242" i="1"/>
  <c r="K242" i="1"/>
  <c r="L242" i="1" s="1"/>
  <c r="Y241" i="1"/>
  <c r="N241" i="1"/>
  <c r="L241" i="1"/>
  <c r="K241" i="1"/>
  <c r="Y240" i="1"/>
  <c r="P240" i="1"/>
  <c r="O240" i="1"/>
  <c r="N240" i="1"/>
  <c r="Z240" i="1" s="1"/>
  <c r="K240" i="1"/>
  <c r="L240" i="1" s="1"/>
  <c r="Y239" i="1"/>
  <c r="P239" i="1"/>
  <c r="O239" i="1"/>
  <c r="N239" i="1"/>
  <c r="Z239" i="1" s="1"/>
  <c r="K239" i="1"/>
  <c r="L239" i="1" s="1"/>
  <c r="Y238" i="1"/>
  <c r="N238" i="1"/>
  <c r="P238" i="1" s="1"/>
  <c r="L238" i="1"/>
  <c r="K238" i="1"/>
  <c r="Z237" i="1"/>
  <c r="Y237" i="1"/>
  <c r="N237" i="1"/>
  <c r="L237" i="1"/>
  <c r="K237" i="1"/>
  <c r="Y236" i="1"/>
  <c r="P236" i="1"/>
  <c r="O236" i="1"/>
  <c r="N236" i="1"/>
  <c r="K236" i="1"/>
  <c r="L236" i="1" s="1"/>
  <c r="Y235" i="1"/>
  <c r="N235" i="1"/>
  <c r="P235" i="1" s="1"/>
  <c r="L235" i="1"/>
  <c r="K235" i="1"/>
  <c r="Z234" i="1"/>
  <c r="Y234" i="1"/>
  <c r="N234" i="1"/>
  <c r="L234" i="1"/>
  <c r="K234" i="1"/>
  <c r="Y233" i="1"/>
  <c r="P233" i="1"/>
  <c r="O233" i="1"/>
  <c r="N233" i="1"/>
  <c r="K233" i="1"/>
  <c r="L233" i="1" s="1"/>
  <c r="Y232" i="1"/>
  <c r="N232" i="1"/>
  <c r="L232" i="1"/>
  <c r="K232" i="1"/>
  <c r="Y231" i="1"/>
  <c r="P231" i="1"/>
  <c r="O231" i="1"/>
  <c r="N231" i="1"/>
  <c r="Z231" i="1" s="1"/>
  <c r="L231" i="1"/>
  <c r="K231" i="1"/>
  <c r="Y230" i="1"/>
  <c r="P230" i="1"/>
  <c r="O230" i="1"/>
  <c r="N230" i="1"/>
  <c r="Z230" i="1" s="1"/>
  <c r="K230" i="1"/>
  <c r="L230" i="1" s="1"/>
  <c r="Z229" i="1"/>
  <c r="Y229" i="1"/>
  <c r="N229" i="1"/>
  <c r="P229" i="1" s="1"/>
  <c r="L229" i="1"/>
  <c r="K229" i="1"/>
  <c r="Y228" i="1"/>
  <c r="N228" i="1"/>
  <c r="Z228" i="1" s="1"/>
  <c r="L228" i="1"/>
  <c r="K228" i="1"/>
  <c r="Y227" i="1"/>
  <c r="P227" i="1"/>
  <c r="O227" i="1"/>
  <c r="N227" i="1"/>
  <c r="K227" i="1"/>
  <c r="L227" i="1" s="1"/>
  <c r="Z226" i="1"/>
  <c r="Y226" i="1"/>
  <c r="N226" i="1"/>
  <c r="P226" i="1" s="1"/>
  <c r="L226" i="1"/>
  <c r="K226" i="1"/>
  <c r="Y225" i="1"/>
  <c r="N225" i="1"/>
  <c r="L225" i="1"/>
  <c r="K225" i="1"/>
  <c r="Y224" i="1"/>
  <c r="P224" i="1"/>
  <c r="O224" i="1"/>
  <c r="N224" i="1"/>
  <c r="Z224" i="1" s="1"/>
  <c r="K224" i="1"/>
  <c r="L224" i="1" s="1"/>
  <c r="Y223" i="1"/>
  <c r="P223" i="1"/>
  <c r="O223" i="1"/>
  <c r="N223" i="1"/>
  <c r="Z223" i="1" s="1"/>
  <c r="K223" i="1"/>
  <c r="L223" i="1" s="1"/>
  <c r="Y222" i="1"/>
  <c r="O222" i="1"/>
  <c r="N222" i="1"/>
  <c r="P222" i="1" s="1"/>
  <c r="L222" i="1"/>
  <c r="K222" i="1"/>
  <c r="Z221" i="1"/>
  <c r="Y221" i="1"/>
  <c r="N221" i="1"/>
  <c r="L221" i="1"/>
  <c r="K221" i="1"/>
  <c r="Y220" i="1"/>
  <c r="P220" i="1"/>
  <c r="O220" i="1"/>
  <c r="N220" i="1"/>
  <c r="Z220" i="1" s="1"/>
  <c r="L220" i="1"/>
  <c r="K220" i="1"/>
  <c r="Y219" i="1"/>
  <c r="P219" i="1"/>
  <c r="O219" i="1"/>
  <c r="N219" i="1"/>
  <c r="Z219" i="1" s="1"/>
  <c r="K219" i="1"/>
  <c r="L219" i="1" s="1"/>
  <c r="Z218" i="1"/>
  <c r="Y218" i="1"/>
  <c r="N218" i="1"/>
  <c r="P218" i="1" s="1"/>
  <c r="L218" i="1"/>
  <c r="K218" i="1"/>
  <c r="Y217" i="1"/>
  <c r="N217" i="1"/>
  <c r="Z217" i="1" s="1"/>
  <c r="L217" i="1"/>
  <c r="K217" i="1"/>
  <c r="Y216" i="1"/>
  <c r="P216" i="1"/>
  <c r="O216" i="1"/>
  <c r="N216" i="1"/>
  <c r="Z216" i="1" s="1"/>
  <c r="K216" i="1"/>
  <c r="L216" i="1" s="1"/>
  <c r="Y215" i="1"/>
  <c r="P215" i="1"/>
  <c r="O215" i="1"/>
  <c r="N215" i="1"/>
  <c r="Z215" i="1" s="1"/>
  <c r="K215" i="1"/>
  <c r="L215" i="1" s="1"/>
  <c r="Y214" i="1"/>
  <c r="O214" i="1"/>
  <c r="N214" i="1"/>
  <c r="P214" i="1" s="1"/>
  <c r="L214" i="1"/>
  <c r="K214" i="1"/>
  <c r="Z213" i="1"/>
  <c r="Y213" i="1"/>
  <c r="N213" i="1"/>
  <c r="L213" i="1"/>
  <c r="K213" i="1"/>
  <c r="Y212" i="1"/>
  <c r="P212" i="1"/>
  <c r="O212" i="1"/>
  <c r="N212" i="1"/>
  <c r="Z212" i="1" s="1"/>
  <c r="L212" i="1"/>
  <c r="K212" i="1"/>
  <c r="Y211" i="1"/>
  <c r="P211" i="1"/>
  <c r="O211" i="1"/>
  <c r="N211" i="1"/>
  <c r="Z211" i="1" s="1"/>
  <c r="K211" i="1"/>
  <c r="L211" i="1" s="1"/>
  <c r="Z210" i="1"/>
  <c r="Y210" i="1"/>
  <c r="N210" i="1"/>
  <c r="P210" i="1" s="1"/>
  <c r="L210" i="1"/>
  <c r="K210" i="1"/>
  <c r="Y209" i="1"/>
  <c r="N209" i="1"/>
  <c r="L209" i="1"/>
  <c r="K209" i="1"/>
  <c r="Y208" i="1"/>
  <c r="P208" i="1"/>
  <c r="O208" i="1"/>
  <c r="N208" i="1"/>
  <c r="Z208" i="1" s="1"/>
  <c r="K208" i="1"/>
  <c r="L208" i="1" s="1"/>
  <c r="Y207" i="1"/>
  <c r="P207" i="1"/>
  <c r="O207" i="1"/>
  <c r="N207" i="1"/>
  <c r="Z207" i="1" s="1"/>
  <c r="K207" i="1"/>
  <c r="L207" i="1" s="1"/>
  <c r="Y206" i="1"/>
  <c r="O206" i="1"/>
  <c r="N206" i="1"/>
  <c r="P206" i="1" s="1"/>
  <c r="L206" i="1"/>
  <c r="K206" i="1"/>
  <c r="Z205" i="1"/>
  <c r="Y205" i="1"/>
  <c r="N205" i="1"/>
  <c r="L205" i="1"/>
  <c r="K205" i="1"/>
  <c r="Y204" i="1"/>
  <c r="P204" i="1"/>
  <c r="O204" i="1"/>
  <c r="N204" i="1"/>
  <c r="Z204" i="1" s="1"/>
  <c r="L204" i="1"/>
  <c r="K204" i="1"/>
  <c r="Y203" i="1"/>
  <c r="P203" i="1"/>
  <c r="O203" i="1"/>
  <c r="N203" i="1"/>
  <c r="Z203" i="1" s="1"/>
  <c r="K203" i="1"/>
  <c r="L203" i="1" s="1"/>
  <c r="Y202" i="1"/>
  <c r="N202" i="1"/>
  <c r="L202" i="1"/>
  <c r="K202" i="1"/>
  <c r="Y201" i="1"/>
  <c r="P201" i="1"/>
  <c r="O201" i="1"/>
  <c r="N201" i="1"/>
  <c r="Z201" i="1" s="1"/>
  <c r="L201" i="1"/>
  <c r="K201" i="1"/>
  <c r="Y200" i="1"/>
  <c r="P200" i="1"/>
  <c r="O200" i="1"/>
  <c r="N200" i="1"/>
  <c r="Z200" i="1" s="1"/>
  <c r="K200" i="1"/>
  <c r="L200" i="1" s="1"/>
  <c r="Y199" i="1"/>
  <c r="N199" i="1"/>
  <c r="L199" i="1"/>
  <c r="K199" i="1"/>
  <c r="Y198" i="1"/>
  <c r="P198" i="1"/>
  <c r="O198" i="1"/>
  <c r="N198" i="1"/>
  <c r="Z198" i="1" s="1"/>
  <c r="K198" i="1"/>
  <c r="L198" i="1" s="1"/>
  <c r="Y197" i="1"/>
  <c r="N197" i="1"/>
  <c r="P197" i="1" s="1"/>
  <c r="L197" i="1"/>
  <c r="K197" i="1"/>
  <c r="Y196" i="1"/>
  <c r="P196" i="1"/>
  <c r="O196" i="1"/>
  <c r="N196" i="1"/>
  <c r="K196" i="1"/>
  <c r="L196" i="1" s="1"/>
  <c r="Y195" i="1"/>
  <c r="P195" i="1"/>
  <c r="O195" i="1"/>
  <c r="N195" i="1"/>
  <c r="Z195" i="1" s="1"/>
  <c r="K195" i="1"/>
  <c r="L195" i="1" s="1"/>
  <c r="Y194" i="1"/>
  <c r="N194" i="1"/>
  <c r="P194" i="1" s="1"/>
  <c r="L194" i="1"/>
  <c r="K194" i="1"/>
  <c r="Y193" i="1"/>
  <c r="P193" i="1"/>
  <c r="O193" i="1"/>
  <c r="N193" i="1"/>
  <c r="K193" i="1"/>
  <c r="L193" i="1" s="1"/>
  <c r="Y192" i="1"/>
  <c r="N192" i="1"/>
  <c r="P192" i="1" s="1"/>
  <c r="L192" i="1"/>
  <c r="K192" i="1"/>
  <c r="Y191" i="1"/>
  <c r="N191" i="1"/>
  <c r="Z191" i="1" s="1"/>
  <c r="L191" i="1"/>
  <c r="K191" i="1"/>
  <c r="Y190" i="1"/>
  <c r="P190" i="1"/>
  <c r="O190" i="1"/>
  <c r="N190" i="1"/>
  <c r="Z190" i="1" s="1"/>
  <c r="K190" i="1"/>
  <c r="L190" i="1" s="1"/>
  <c r="Y189" i="1"/>
  <c r="P189" i="1"/>
  <c r="O189" i="1"/>
  <c r="N189" i="1"/>
  <c r="Z189" i="1" s="1"/>
  <c r="K189" i="1"/>
  <c r="L189" i="1" s="1"/>
  <c r="Y188" i="1"/>
  <c r="O188" i="1"/>
  <c r="N188" i="1"/>
  <c r="P188" i="1" s="1"/>
  <c r="L188" i="1"/>
  <c r="K188" i="1"/>
  <c r="Z187" i="1"/>
  <c r="Y187" i="1"/>
  <c r="N187" i="1"/>
  <c r="L187" i="1"/>
  <c r="K187" i="1"/>
  <c r="Y186" i="1"/>
  <c r="P186" i="1"/>
  <c r="O186" i="1"/>
  <c r="N186" i="1"/>
  <c r="Z186" i="1" s="1"/>
  <c r="L186" i="1"/>
  <c r="K186" i="1"/>
  <c r="Y185" i="1"/>
  <c r="P185" i="1"/>
  <c r="O185" i="1"/>
  <c r="N185" i="1"/>
  <c r="Z185" i="1" s="1"/>
  <c r="K185" i="1"/>
  <c r="L185" i="1" s="1"/>
  <c r="Z184" i="1"/>
  <c r="Y184" i="1"/>
  <c r="N184" i="1"/>
  <c r="P184" i="1" s="1"/>
  <c r="L184" i="1"/>
  <c r="K184" i="1"/>
  <c r="Y183" i="1"/>
  <c r="N183" i="1"/>
  <c r="Z183" i="1" s="1"/>
  <c r="L183" i="1"/>
  <c r="K183" i="1"/>
  <c r="Y182" i="1"/>
  <c r="P182" i="1"/>
  <c r="O182" i="1"/>
  <c r="N182" i="1"/>
  <c r="Z182" i="1" s="1"/>
  <c r="K182" i="1"/>
  <c r="L182" i="1" s="1"/>
  <c r="Y181" i="1"/>
  <c r="N181" i="1"/>
  <c r="Z181" i="1" s="1"/>
  <c r="L181" i="1"/>
  <c r="K181" i="1"/>
  <c r="Z180" i="1"/>
  <c r="Y180" i="1"/>
  <c r="O180" i="1"/>
  <c r="N180" i="1"/>
  <c r="K180" i="1"/>
  <c r="L180" i="1" s="1"/>
  <c r="Y179" i="1"/>
  <c r="P179" i="1"/>
  <c r="O179" i="1"/>
  <c r="N179" i="1"/>
  <c r="Z179" i="1" s="1"/>
  <c r="K179" i="1"/>
  <c r="L179" i="1" s="1"/>
  <c r="Y178" i="1"/>
  <c r="N178" i="1"/>
  <c r="P178" i="1" s="1"/>
  <c r="L178" i="1"/>
  <c r="K178" i="1"/>
  <c r="Z177" i="1"/>
  <c r="Y177" i="1"/>
  <c r="N177" i="1"/>
  <c r="L177" i="1"/>
  <c r="K177" i="1"/>
  <c r="Y176" i="1"/>
  <c r="P176" i="1"/>
  <c r="O176" i="1"/>
  <c r="N176" i="1"/>
  <c r="K176" i="1"/>
  <c r="L176" i="1" s="1"/>
  <c r="Y175" i="1"/>
  <c r="N175" i="1"/>
  <c r="P175" i="1" s="1"/>
  <c r="L175" i="1"/>
  <c r="K175" i="1"/>
  <c r="Z174" i="1"/>
  <c r="Y174" i="1"/>
  <c r="N174" i="1"/>
  <c r="L174" i="1"/>
  <c r="K174" i="1"/>
  <c r="Y173" i="1"/>
  <c r="P173" i="1"/>
  <c r="O173" i="1"/>
  <c r="N173" i="1"/>
  <c r="Z173" i="1" s="1"/>
  <c r="L173" i="1"/>
  <c r="K173" i="1"/>
  <c r="Y172" i="1"/>
  <c r="P172" i="1"/>
  <c r="O172" i="1"/>
  <c r="N172" i="1"/>
  <c r="Z172" i="1" s="1"/>
  <c r="K172" i="1"/>
  <c r="L172" i="1" s="1"/>
  <c r="Z171" i="1"/>
  <c r="Y171" i="1"/>
  <c r="O171" i="1"/>
  <c r="N171" i="1"/>
  <c r="P171" i="1" s="1"/>
  <c r="L171" i="1"/>
  <c r="K171" i="1"/>
  <c r="Y170" i="1"/>
  <c r="N170" i="1"/>
  <c r="L170" i="1"/>
  <c r="K170" i="1"/>
  <c r="Y169" i="1"/>
  <c r="P169" i="1"/>
  <c r="O169" i="1"/>
  <c r="N169" i="1"/>
  <c r="Z169" i="1" s="1"/>
  <c r="K169" i="1"/>
  <c r="L169" i="1" s="1"/>
  <c r="Y168" i="1"/>
  <c r="P168" i="1"/>
  <c r="O168" i="1"/>
  <c r="N168" i="1"/>
  <c r="Z168" i="1" s="1"/>
  <c r="K168" i="1"/>
  <c r="L168" i="1" s="1"/>
  <c r="Y167" i="1"/>
  <c r="N167" i="1"/>
  <c r="P167" i="1" s="1"/>
  <c r="L167" i="1"/>
  <c r="K167" i="1"/>
  <c r="Z166" i="1"/>
  <c r="Y166" i="1"/>
  <c r="N166" i="1"/>
  <c r="L166" i="1"/>
  <c r="K166" i="1"/>
  <c r="Y165" i="1"/>
  <c r="P165" i="1"/>
  <c r="O165" i="1"/>
  <c r="N165" i="1"/>
  <c r="Z165" i="1" s="1"/>
  <c r="L165" i="1"/>
  <c r="K165" i="1"/>
  <c r="Y164" i="1"/>
  <c r="P164" i="1"/>
  <c r="O164" i="1"/>
  <c r="N164" i="1"/>
  <c r="Z164" i="1" s="1"/>
  <c r="K164" i="1"/>
  <c r="L164" i="1" s="1"/>
  <c r="Z163" i="1"/>
  <c r="Y163" i="1"/>
  <c r="O163" i="1"/>
  <c r="N163" i="1"/>
  <c r="P163" i="1" s="1"/>
  <c r="L163" i="1"/>
  <c r="K163" i="1"/>
  <c r="Y162" i="1"/>
  <c r="P162" i="1"/>
  <c r="O162" i="1"/>
  <c r="N162" i="1"/>
  <c r="L162" i="1"/>
  <c r="K162" i="1"/>
  <c r="Y161" i="1"/>
  <c r="P161" i="1"/>
  <c r="O161" i="1"/>
  <c r="N161" i="1"/>
  <c r="Z161" i="1" s="1"/>
  <c r="K161" i="1"/>
  <c r="L161" i="1" s="1"/>
  <c r="Y160" i="1"/>
  <c r="N160" i="1"/>
  <c r="L160" i="1"/>
  <c r="K160" i="1"/>
  <c r="Y159" i="1"/>
  <c r="P159" i="1"/>
  <c r="O159" i="1"/>
  <c r="N159" i="1"/>
  <c r="K159" i="1"/>
  <c r="L159" i="1" s="1"/>
  <c r="Y158" i="1"/>
  <c r="N158" i="1"/>
  <c r="P158" i="1" s="1"/>
  <c r="L158" i="1"/>
  <c r="K158" i="1"/>
  <c r="Z157" i="1"/>
  <c r="Y157" i="1"/>
  <c r="N157" i="1"/>
  <c r="L157" i="1"/>
  <c r="K157" i="1"/>
  <c r="Y156" i="1"/>
  <c r="P156" i="1"/>
  <c r="O156" i="1"/>
  <c r="N156" i="1"/>
  <c r="K156" i="1"/>
  <c r="L156" i="1" s="1"/>
  <c r="Y155" i="1"/>
  <c r="N155" i="1"/>
  <c r="L155" i="1"/>
  <c r="K155" i="1"/>
  <c r="Y154" i="1"/>
  <c r="P154" i="1"/>
  <c r="O154" i="1"/>
  <c r="N154" i="1"/>
  <c r="K154" i="1"/>
  <c r="L154" i="1" s="1"/>
  <c r="Y153" i="1"/>
  <c r="N153" i="1"/>
  <c r="L153" i="1"/>
  <c r="K153" i="1"/>
  <c r="Y152" i="1"/>
  <c r="P152" i="1"/>
  <c r="O152" i="1"/>
  <c r="N152" i="1"/>
  <c r="K152" i="1"/>
  <c r="L152" i="1" s="1"/>
  <c r="Y151" i="1"/>
  <c r="N151" i="1"/>
  <c r="L151" i="1"/>
  <c r="K151" i="1"/>
  <c r="Y150" i="1"/>
  <c r="P150" i="1"/>
  <c r="O150" i="1"/>
  <c r="N150" i="1"/>
  <c r="Z150" i="1" s="1"/>
  <c r="K150" i="1"/>
  <c r="L150" i="1" s="1"/>
  <c r="O149" i="1"/>
  <c r="N149" i="1"/>
  <c r="L149" i="1"/>
  <c r="K149" i="1"/>
  <c r="Y148" i="1"/>
  <c r="N148" i="1"/>
  <c r="L148" i="1"/>
  <c r="K148" i="1"/>
  <c r="Y147" i="1"/>
  <c r="P147" i="1"/>
  <c r="O147" i="1"/>
  <c r="N147" i="1"/>
  <c r="Z147" i="1" s="1"/>
  <c r="K147" i="1"/>
  <c r="L147" i="1" s="1"/>
  <c r="Y146" i="1"/>
  <c r="P146" i="1"/>
  <c r="O146" i="1"/>
  <c r="N146" i="1"/>
  <c r="Z146" i="1" s="1"/>
  <c r="K146" i="1"/>
  <c r="L146" i="1" s="1"/>
  <c r="Y145" i="1"/>
  <c r="N145" i="1"/>
  <c r="P145" i="1" s="1"/>
  <c r="L145" i="1"/>
  <c r="K145" i="1"/>
  <c r="Z144" i="1"/>
  <c r="Y144" i="1"/>
  <c r="N144" i="1"/>
  <c r="L144" i="1"/>
  <c r="K144" i="1"/>
  <c r="Y143" i="1"/>
  <c r="P143" i="1"/>
  <c r="O143" i="1"/>
  <c r="N143" i="1"/>
  <c r="Z143" i="1" s="1"/>
  <c r="L143" i="1"/>
  <c r="K143" i="1"/>
  <c r="Y142" i="1"/>
  <c r="P142" i="1"/>
  <c r="O142" i="1"/>
  <c r="N142" i="1"/>
  <c r="Z142" i="1" s="1"/>
  <c r="K142" i="1"/>
  <c r="L142" i="1" s="1"/>
  <c r="Z141" i="1"/>
  <c r="Y141" i="1"/>
  <c r="O141" i="1"/>
  <c r="N141" i="1"/>
  <c r="P141" i="1" s="1"/>
  <c r="L141" i="1"/>
  <c r="K141" i="1"/>
  <c r="Y140" i="1"/>
  <c r="N140" i="1"/>
  <c r="L140" i="1"/>
  <c r="K140" i="1"/>
  <c r="Y139" i="1"/>
  <c r="P139" i="1"/>
  <c r="O139" i="1"/>
  <c r="N139" i="1"/>
  <c r="Z139" i="1" s="1"/>
  <c r="K139" i="1"/>
  <c r="L139" i="1" s="1"/>
  <c r="Y138" i="1"/>
  <c r="P138" i="1"/>
  <c r="O138" i="1"/>
  <c r="N138" i="1"/>
  <c r="Z138" i="1" s="1"/>
  <c r="K138" i="1"/>
  <c r="L138" i="1" s="1"/>
  <c r="Y137" i="1"/>
  <c r="N137" i="1"/>
  <c r="P137" i="1" s="1"/>
  <c r="L137" i="1"/>
  <c r="K137" i="1"/>
  <c r="Z136" i="1"/>
  <c r="Y136" i="1"/>
  <c r="N136" i="1"/>
  <c r="L136" i="1"/>
  <c r="K136" i="1"/>
  <c r="Y135" i="1"/>
  <c r="P135" i="1"/>
  <c r="O135" i="1"/>
  <c r="N135" i="1"/>
  <c r="Z135" i="1" s="1"/>
  <c r="L135" i="1"/>
  <c r="K135" i="1"/>
  <c r="Y134" i="1"/>
  <c r="P134" i="1"/>
  <c r="O134" i="1"/>
  <c r="N134" i="1"/>
  <c r="Z134" i="1" s="1"/>
  <c r="K134" i="1"/>
  <c r="L134" i="1" s="1"/>
  <c r="Z133" i="1"/>
  <c r="Y133" i="1"/>
  <c r="O133" i="1"/>
  <c r="N133" i="1"/>
  <c r="P133" i="1" s="1"/>
  <c r="L133" i="1"/>
  <c r="K133" i="1"/>
  <c r="Y132" i="1"/>
  <c r="N132" i="1"/>
  <c r="L132" i="1"/>
  <c r="K132" i="1"/>
  <c r="Y131" i="1"/>
  <c r="P131" i="1"/>
  <c r="O131" i="1"/>
  <c r="N131" i="1"/>
  <c r="Z131" i="1" s="1"/>
  <c r="K131" i="1"/>
  <c r="L131" i="1" s="1"/>
  <c r="Y130" i="1"/>
  <c r="P130" i="1"/>
  <c r="O130" i="1"/>
  <c r="N130" i="1"/>
  <c r="Z130" i="1" s="1"/>
  <c r="K130" i="1"/>
  <c r="L130" i="1" s="1"/>
  <c r="Z129" i="1"/>
  <c r="N129" i="1"/>
  <c r="L129" i="1"/>
  <c r="K129" i="1"/>
  <c r="Y128" i="1"/>
  <c r="P128" i="1"/>
  <c r="O128" i="1"/>
  <c r="N128" i="1"/>
  <c r="Z128" i="1" s="1"/>
  <c r="L128" i="1"/>
  <c r="K128" i="1"/>
  <c r="Y127" i="1"/>
  <c r="P127" i="1"/>
  <c r="O127" i="1"/>
  <c r="N127" i="1"/>
  <c r="Z127" i="1" s="1"/>
  <c r="K127" i="1"/>
  <c r="L127" i="1" s="1"/>
  <c r="Z126" i="1"/>
  <c r="N126" i="1"/>
  <c r="L126" i="1"/>
  <c r="K126" i="1"/>
  <c r="Y125" i="1"/>
  <c r="P125" i="1"/>
  <c r="O125" i="1"/>
  <c r="N125" i="1"/>
  <c r="Z125" i="1" s="1"/>
  <c r="L125" i="1"/>
  <c r="K125" i="1"/>
  <c r="Y124" i="1"/>
  <c r="P124" i="1"/>
  <c r="O124" i="1"/>
  <c r="N124" i="1"/>
  <c r="Z124" i="1" s="1"/>
  <c r="K124" i="1"/>
  <c r="L124" i="1" s="1"/>
  <c r="Z123" i="1"/>
  <c r="Y123" i="1"/>
  <c r="O123" i="1"/>
  <c r="N123" i="1"/>
  <c r="P123" i="1" s="1"/>
  <c r="L123" i="1"/>
  <c r="K123" i="1"/>
  <c r="Y122" i="1"/>
  <c r="N122" i="1"/>
  <c r="L122" i="1"/>
  <c r="K122" i="1"/>
  <c r="Y121" i="1"/>
  <c r="P121" i="1"/>
  <c r="O121" i="1"/>
  <c r="N121" i="1"/>
  <c r="Z121" i="1" s="1"/>
  <c r="K121" i="1"/>
  <c r="L121" i="1" s="1"/>
  <c r="O120" i="1"/>
  <c r="N120" i="1"/>
  <c r="L120" i="1"/>
  <c r="K120" i="1"/>
  <c r="Z119" i="1"/>
  <c r="Y119" i="1"/>
  <c r="N119" i="1"/>
  <c r="L119" i="1"/>
  <c r="K119" i="1"/>
  <c r="Y118" i="1"/>
  <c r="P118" i="1"/>
  <c r="O118" i="1"/>
  <c r="N118" i="1"/>
  <c r="Z118" i="1" s="1"/>
  <c r="L118" i="1"/>
  <c r="K118" i="1"/>
  <c r="N117" i="1"/>
  <c r="O117" i="1" s="1"/>
  <c r="L117" i="1"/>
  <c r="K117" i="1"/>
  <c r="Z116" i="1"/>
  <c r="P116" i="1"/>
  <c r="O116" i="1"/>
  <c r="N116" i="1"/>
  <c r="K116" i="1"/>
  <c r="L116" i="1" s="1"/>
  <c r="Y115" i="1"/>
  <c r="P115" i="1"/>
  <c r="O115" i="1"/>
  <c r="N115" i="1"/>
  <c r="Z115" i="1" s="1"/>
  <c r="K115" i="1"/>
  <c r="L115" i="1" s="1"/>
  <c r="Y114" i="1"/>
  <c r="O114" i="1"/>
  <c r="N114" i="1"/>
  <c r="P114" i="1" s="1"/>
  <c r="L114" i="1"/>
  <c r="K114" i="1"/>
  <c r="Z113" i="1"/>
  <c r="Y113" i="1"/>
  <c r="N113" i="1"/>
  <c r="L113" i="1"/>
  <c r="K113" i="1"/>
  <c r="Y112" i="1"/>
  <c r="P112" i="1"/>
  <c r="O112" i="1"/>
  <c r="N112" i="1"/>
  <c r="Z112" i="1" s="1"/>
  <c r="L112" i="1"/>
  <c r="K112" i="1"/>
  <c r="Y111" i="1"/>
  <c r="P111" i="1"/>
  <c r="O111" i="1"/>
  <c r="N111" i="1"/>
  <c r="Z111" i="1" s="1"/>
  <c r="K111" i="1"/>
  <c r="L111" i="1" s="1"/>
  <c r="Z110" i="1"/>
  <c r="Y110" i="1"/>
  <c r="N110" i="1"/>
  <c r="P110" i="1" s="1"/>
  <c r="L110" i="1"/>
  <c r="K110" i="1"/>
  <c r="Y109" i="1"/>
  <c r="N109" i="1"/>
  <c r="L109" i="1"/>
  <c r="K109" i="1"/>
  <c r="Y108" i="1"/>
  <c r="P108" i="1"/>
  <c r="O108" i="1"/>
  <c r="N108" i="1"/>
  <c r="Z108" i="1" s="1"/>
  <c r="K108" i="1"/>
  <c r="L108" i="1" s="1"/>
  <c r="Y107" i="1"/>
  <c r="P107" i="1"/>
  <c r="O107" i="1"/>
  <c r="N107" i="1"/>
  <c r="Z107" i="1" s="1"/>
  <c r="K107" i="1"/>
  <c r="L107" i="1" s="1"/>
  <c r="Y106" i="1"/>
  <c r="O106" i="1"/>
  <c r="N106" i="1"/>
  <c r="P106" i="1" s="1"/>
  <c r="L106" i="1"/>
  <c r="K106" i="1"/>
  <c r="Z105" i="1"/>
  <c r="P105" i="1"/>
  <c r="O105" i="1"/>
  <c r="N105" i="1"/>
  <c r="L105" i="1"/>
  <c r="K105" i="1"/>
  <c r="Y104" i="1"/>
  <c r="P104" i="1"/>
  <c r="O104" i="1"/>
  <c r="N104" i="1"/>
  <c r="Z104" i="1" s="1"/>
  <c r="K104" i="1"/>
  <c r="L104" i="1" s="1"/>
  <c r="Z103" i="1"/>
  <c r="Y103" i="1"/>
  <c r="O103" i="1"/>
  <c r="N103" i="1"/>
  <c r="P103" i="1" s="1"/>
  <c r="L103" i="1"/>
  <c r="K103" i="1"/>
  <c r="Y102" i="1"/>
  <c r="N102" i="1"/>
  <c r="L102" i="1"/>
  <c r="K102" i="1"/>
  <c r="Y101" i="1"/>
  <c r="P101" i="1"/>
  <c r="O101" i="1"/>
  <c r="N101" i="1"/>
  <c r="Z101" i="1" s="1"/>
  <c r="K101" i="1"/>
  <c r="L101" i="1" s="1"/>
  <c r="Y100" i="1"/>
  <c r="P100" i="1"/>
  <c r="O100" i="1"/>
  <c r="N100" i="1"/>
  <c r="Z100" i="1" s="1"/>
  <c r="K100" i="1"/>
  <c r="L100" i="1" s="1"/>
  <c r="Y99" i="1"/>
  <c r="N99" i="1"/>
  <c r="P99" i="1" s="1"/>
  <c r="L99" i="1"/>
  <c r="K99" i="1"/>
  <c r="Z98" i="1"/>
  <c r="Y98" i="1"/>
  <c r="N98" i="1"/>
  <c r="L98" i="1"/>
  <c r="K98" i="1"/>
  <c r="Y97" i="1"/>
  <c r="P97" i="1"/>
  <c r="O97" i="1"/>
  <c r="N97" i="1"/>
  <c r="Z97" i="1" s="1"/>
  <c r="L97" i="1"/>
  <c r="K97" i="1"/>
  <c r="N96" i="1"/>
  <c r="L96" i="1"/>
  <c r="K96" i="1"/>
  <c r="Z95" i="1"/>
  <c r="P95" i="1"/>
  <c r="O95" i="1"/>
  <c r="N95" i="1"/>
  <c r="K95" i="1"/>
  <c r="L95" i="1" s="1"/>
  <c r="Y94" i="1"/>
  <c r="P94" i="1"/>
  <c r="O94" i="1"/>
  <c r="N94" i="1"/>
  <c r="Z94" i="1" s="1"/>
  <c r="K94" i="1"/>
  <c r="L94" i="1" s="1"/>
  <c r="Y93" i="1"/>
  <c r="N93" i="1"/>
  <c r="P93" i="1" s="1"/>
  <c r="L93" i="1"/>
  <c r="K93" i="1"/>
  <c r="Z92" i="1"/>
  <c r="Y92" i="1"/>
  <c r="N92" i="1"/>
  <c r="L92" i="1"/>
  <c r="K92" i="1"/>
  <c r="Y91" i="1"/>
  <c r="P91" i="1"/>
  <c r="O91" i="1"/>
  <c r="N91" i="1"/>
  <c r="Z91" i="1" s="1"/>
  <c r="L91" i="1"/>
  <c r="K91" i="1"/>
  <c r="N90" i="1"/>
  <c r="L90" i="1"/>
  <c r="K90" i="1"/>
  <c r="Y89" i="1"/>
  <c r="N89" i="1"/>
  <c r="Z89" i="1" s="1"/>
  <c r="L89" i="1"/>
  <c r="K89" i="1"/>
  <c r="Y88" i="1"/>
  <c r="P88" i="1"/>
  <c r="O88" i="1"/>
  <c r="N88" i="1"/>
  <c r="Z88" i="1" s="1"/>
  <c r="K88" i="1"/>
  <c r="L88" i="1" s="1"/>
  <c r="Y87" i="1"/>
  <c r="P87" i="1"/>
  <c r="O87" i="1"/>
  <c r="N87" i="1"/>
  <c r="Z87" i="1" s="1"/>
  <c r="K87" i="1"/>
  <c r="L87" i="1" s="1"/>
  <c r="Y86" i="1"/>
  <c r="O86" i="1"/>
  <c r="N86" i="1"/>
  <c r="P86" i="1" s="1"/>
  <c r="L86" i="1"/>
  <c r="K86" i="1"/>
  <c r="Z85" i="1"/>
  <c r="Y85" i="1"/>
  <c r="N85" i="1"/>
  <c r="L85" i="1"/>
  <c r="K85" i="1"/>
  <c r="Y84" i="1"/>
  <c r="P84" i="1"/>
  <c r="O84" i="1"/>
  <c r="N84" i="1"/>
  <c r="Z84" i="1" s="1"/>
  <c r="L84" i="1"/>
  <c r="K84" i="1"/>
  <c r="Y83" i="1"/>
  <c r="P83" i="1"/>
  <c r="O83" i="1"/>
  <c r="N83" i="1"/>
  <c r="Z83" i="1" s="1"/>
  <c r="K83" i="1"/>
  <c r="L83" i="1" s="1"/>
  <c r="Z82" i="1"/>
  <c r="N82" i="1"/>
  <c r="L82" i="1"/>
  <c r="K82" i="1"/>
  <c r="Y81" i="1"/>
  <c r="P81" i="1"/>
  <c r="O81" i="1"/>
  <c r="N81" i="1"/>
  <c r="Z81" i="1" s="1"/>
  <c r="L81" i="1"/>
  <c r="K81" i="1"/>
  <c r="Y80" i="1"/>
  <c r="P80" i="1"/>
  <c r="O80" i="1"/>
  <c r="N80" i="1"/>
  <c r="Z80" i="1" s="1"/>
  <c r="K80" i="1"/>
  <c r="L80" i="1" s="1"/>
  <c r="Z79" i="1"/>
  <c r="Y79" i="1"/>
  <c r="O79" i="1"/>
  <c r="N79" i="1"/>
  <c r="P79" i="1" s="1"/>
  <c r="L79" i="1"/>
  <c r="K79" i="1"/>
  <c r="Y78" i="1"/>
  <c r="N78" i="1"/>
  <c r="L78" i="1"/>
  <c r="K78" i="1"/>
  <c r="Y77" i="1"/>
  <c r="P77" i="1"/>
  <c r="O77" i="1"/>
  <c r="N77" i="1"/>
  <c r="Z77" i="1" s="1"/>
  <c r="K77" i="1"/>
  <c r="L77" i="1" s="1"/>
  <c r="Y76" i="1"/>
  <c r="P76" i="1"/>
  <c r="O76" i="1"/>
  <c r="N76" i="1"/>
  <c r="Z76" i="1" s="1"/>
  <c r="K76" i="1"/>
  <c r="L76" i="1" s="1"/>
  <c r="Y75" i="1"/>
  <c r="N75" i="1"/>
  <c r="P75" i="1" s="1"/>
  <c r="L75" i="1"/>
  <c r="K75" i="1"/>
  <c r="Z74" i="1"/>
  <c r="Y74" i="1"/>
  <c r="N74" i="1"/>
  <c r="L74" i="1"/>
  <c r="K74" i="1"/>
  <c r="Y73" i="1"/>
  <c r="P73" i="1"/>
  <c r="O73" i="1"/>
  <c r="N73" i="1"/>
  <c r="Z73" i="1" s="1"/>
  <c r="L73" i="1"/>
  <c r="K73" i="1"/>
  <c r="Y72" i="1"/>
  <c r="P72" i="1"/>
  <c r="O72" i="1"/>
  <c r="N72" i="1"/>
  <c r="Z72" i="1" s="1"/>
  <c r="K72" i="1"/>
  <c r="L72" i="1" s="1"/>
  <c r="Z71" i="1"/>
  <c r="Y71" i="1"/>
  <c r="O71" i="1"/>
  <c r="N71" i="1"/>
  <c r="P71" i="1" s="1"/>
  <c r="L71" i="1"/>
  <c r="K71" i="1"/>
  <c r="Y70" i="1"/>
  <c r="N70" i="1"/>
  <c r="L70" i="1"/>
  <c r="K70" i="1"/>
  <c r="Y69" i="1"/>
  <c r="P69" i="1"/>
  <c r="O69" i="1"/>
  <c r="N69" i="1"/>
  <c r="Z69" i="1" s="1"/>
  <c r="K69" i="1"/>
  <c r="L69" i="1" s="1"/>
  <c r="Y68" i="1"/>
  <c r="P68" i="1"/>
  <c r="O68" i="1"/>
  <c r="N68" i="1"/>
  <c r="Z68" i="1" s="1"/>
  <c r="K68" i="1"/>
  <c r="L68" i="1" s="1"/>
  <c r="Z67" i="1"/>
  <c r="N67" i="1"/>
  <c r="L67" i="1"/>
  <c r="K67" i="1"/>
  <c r="Y66" i="1"/>
  <c r="P66" i="1"/>
  <c r="O66" i="1"/>
  <c r="N66" i="1"/>
  <c r="Z66" i="1" s="1"/>
  <c r="L66" i="1"/>
  <c r="K66" i="1"/>
  <c r="Y65" i="1"/>
  <c r="P65" i="1"/>
  <c r="O65" i="1"/>
  <c r="N65" i="1"/>
  <c r="Z65" i="1" s="1"/>
  <c r="K65" i="1"/>
  <c r="L65" i="1" s="1"/>
  <c r="Z64" i="1"/>
  <c r="Y64" i="1"/>
  <c r="N64" i="1"/>
  <c r="P64" i="1" s="1"/>
  <c r="L64" i="1"/>
  <c r="K64" i="1"/>
  <c r="Y63" i="1"/>
  <c r="N63" i="1"/>
  <c r="L63" i="1"/>
  <c r="K63" i="1"/>
  <c r="Y62" i="1"/>
  <c r="P62" i="1"/>
  <c r="O62" i="1"/>
  <c r="N62" i="1"/>
  <c r="Z62" i="1" s="1"/>
  <c r="K62" i="1"/>
  <c r="L62" i="1" s="1"/>
  <c r="O61" i="1"/>
  <c r="N61" i="1"/>
  <c r="L61" i="1"/>
  <c r="K61" i="1"/>
  <c r="Y60" i="1"/>
  <c r="N60" i="1"/>
  <c r="L60" i="1"/>
  <c r="K60" i="1"/>
  <c r="Y59" i="1"/>
  <c r="P59" i="1"/>
  <c r="O59" i="1"/>
  <c r="N59" i="1"/>
  <c r="Z59" i="1" s="1"/>
  <c r="K59" i="1"/>
  <c r="L59" i="1" s="1"/>
  <c r="Y58" i="1"/>
  <c r="P58" i="1"/>
  <c r="O58" i="1"/>
  <c r="N58" i="1"/>
  <c r="Z58" i="1" s="1"/>
  <c r="K58" i="1"/>
  <c r="L58" i="1" s="1"/>
  <c r="Y57" i="1"/>
  <c r="N57" i="1"/>
  <c r="P57" i="1" s="1"/>
  <c r="L57" i="1"/>
  <c r="K57" i="1"/>
  <c r="Z56" i="1"/>
  <c r="Y56" i="1"/>
  <c r="N56" i="1"/>
  <c r="L56" i="1"/>
  <c r="K56" i="1"/>
  <c r="P55" i="1"/>
  <c r="O55" i="1"/>
  <c r="N55" i="1"/>
  <c r="Z55" i="1" s="1"/>
  <c r="K55" i="1"/>
  <c r="L55" i="1" s="1"/>
  <c r="Z54" i="1"/>
  <c r="Y54" i="1"/>
  <c r="N54" i="1"/>
  <c r="P54" i="1" s="1"/>
  <c r="L54" i="1"/>
  <c r="K54" i="1"/>
  <c r="Y53" i="1"/>
  <c r="N53" i="1"/>
  <c r="L53" i="1"/>
  <c r="K53" i="1"/>
  <c r="Y52" i="1"/>
  <c r="P52" i="1"/>
  <c r="O52" i="1"/>
  <c r="N52" i="1"/>
  <c r="Z52" i="1" s="1"/>
  <c r="K52" i="1"/>
  <c r="L52" i="1" s="1"/>
  <c r="Y51" i="1"/>
  <c r="P51" i="1"/>
  <c r="O51" i="1"/>
  <c r="N51" i="1"/>
  <c r="Z51" i="1" s="1"/>
  <c r="K51" i="1"/>
  <c r="L51" i="1" s="1"/>
  <c r="Y50" i="1"/>
  <c r="O50" i="1"/>
  <c r="N50" i="1"/>
  <c r="P50" i="1" s="1"/>
  <c r="L50" i="1"/>
  <c r="K50" i="1"/>
  <c r="Z49" i="1"/>
  <c r="Y49" i="1"/>
  <c r="N49" i="1"/>
  <c r="L49" i="1"/>
  <c r="K49" i="1"/>
  <c r="P48" i="1"/>
  <c r="O48" i="1"/>
  <c r="N48" i="1"/>
  <c r="Z48" i="1" s="1"/>
  <c r="K48" i="1"/>
  <c r="L48" i="1" s="1"/>
  <c r="Z47" i="1"/>
  <c r="N47" i="1"/>
  <c r="L47" i="1"/>
  <c r="K47" i="1"/>
  <c r="Y46" i="1"/>
  <c r="P46" i="1"/>
  <c r="O46" i="1"/>
  <c r="N46" i="1"/>
  <c r="Z46" i="1" s="1"/>
  <c r="L46" i="1"/>
  <c r="K46" i="1"/>
  <c r="Y45" i="1"/>
  <c r="P45" i="1"/>
  <c r="O45" i="1"/>
  <c r="N45" i="1"/>
  <c r="Z45" i="1" s="1"/>
  <c r="K45" i="1"/>
  <c r="L45" i="1" s="1"/>
  <c r="Z44" i="1"/>
  <c r="N44" i="1"/>
  <c r="L44" i="1"/>
  <c r="K44" i="1"/>
  <c r="Y43" i="1"/>
  <c r="P43" i="1"/>
  <c r="O43" i="1"/>
  <c r="N43" i="1"/>
  <c r="Z43" i="1" s="1"/>
  <c r="L43" i="1"/>
  <c r="K43" i="1"/>
  <c r="N42" i="1"/>
  <c r="P42" i="1" s="1"/>
  <c r="L42" i="1"/>
  <c r="K42" i="1"/>
  <c r="Z41" i="1"/>
  <c r="P41" i="1"/>
  <c r="O41" i="1"/>
  <c r="N41" i="1"/>
  <c r="K41" i="1"/>
  <c r="L41" i="1" s="1"/>
  <c r="N40" i="1"/>
  <c r="P40" i="1" s="1"/>
  <c r="L40" i="1"/>
  <c r="K40" i="1"/>
  <c r="Y39" i="1"/>
  <c r="P39" i="1"/>
  <c r="N39" i="1"/>
  <c r="O39" i="1" s="1"/>
  <c r="K39" i="1"/>
  <c r="L39" i="1" s="1"/>
  <c r="Y38" i="1"/>
  <c r="P38" i="1"/>
  <c r="O38" i="1"/>
  <c r="N38" i="1"/>
  <c r="Z38" i="1" s="1"/>
  <c r="L38" i="1"/>
  <c r="K38" i="1"/>
  <c r="P37" i="1"/>
  <c r="O37" i="1"/>
  <c r="Y37" i="1" s="1"/>
  <c r="N37" i="1"/>
  <c r="Z37" i="1" s="1"/>
  <c r="K37" i="1"/>
  <c r="L37" i="1" s="1"/>
  <c r="Z36" i="1"/>
  <c r="Y36" i="1"/>
  <c r="O36" i="1"/>
  <c r="N36" i="1"/>
  <c r="P36" i="1" s="1"/>
  <c r="L36" i="1"/>
  <c r="K36" i="1"/>
  <c r="Z35" i="1"/>
  <c r="P35" i="1"/>
  <c r="O35" i="1"/>
  <c r="N35" i="1"/>
  <c r="L35" i="1"/>
  <c r="K35" i="1"/>
  <c r="Z34" i="1"/>
  <c r="P34" i="1"/>
  <c r="O34" i="1"/>
  <c r="Y34" i="1" s="1"/>
  <c r="N34" i="1"/>
  <c r="K34" i="1"/>
  <c r="L34" i="1" s="1"/>
  <c r="Z33" i="1"/>
  <c r="N33" i="1"/>
  <c r="P33" i="1" s="1"/>
  <c r="L33" i="1"/>
  <c r="K33" i="1"/>
  <c r="Z32" i="1"/>
  <c r="P32" i="1"/>
  <c r="O32" i="1"/>
  <c r="N32" i="1"/>
  <c r="K32" i="1"/>
  <c r="L32" i="1" s="1"/>
  <c r="Z31" i="1"/>
  <c r="N31" i="1"/>
  <c r="P31" i="1" s="1"/>
  <c r="K31" i="1"/>
  <c r="L31" i="1" s="1"/>
  <c r="N30" i="1"/>
  <c r="P30" i="1" s="1"/>
  <c r="L30" i="1"/>
  <c r="K30" i="1"/>
  <c r="Z29" i="1"/>
  <c r="P29" i="1"/>
  <c r="O29" i="1"/>
  <c r="N29" i="1"/>
  <c r="K29" i="1"/>
  <c r="L29" i="1" s="1"/>
  <c r="N28" i="1"/>
  <c r="Z28" i="1" s="1"/>
  <c r="K28" i="1"/>
  <c r="L28" i="1" s="1"/>
  <c r="O27" i="1"/>
  <c r="Y27" i="1" s="1"/>
  <c r="N27" i="1"/>
  <c r="P27" i="1" s="1"/>
  <c r="L27" i="1"/>
  <c r="K27" i="1"/>
  <c r="Z26" i="1"/>
  <c r="N26" i="1"/>
  <c r="O26" i="1" s="1"/>
  <c r="Y26" i="1" s="1"/>
  <c r="L26" i="1"/>
  <c r="K26" i="1"/>
  <c r="P25" i="1"/>
  <c r="O25" i="1"/>
  <c r="Y25" i="1" s="1"/>
  <c r="N25" i="1"/>
  <c r="Z25" i="1" s="1"/>
  <c r="K25" i="1"/>
  <c r="L25" i="1" s="1"/>
  <c r="Z24" i="1"/>
  <c r="N24" i="1"/>
  <c r="P24" i="1" s="1"/>
  <c r="K24" i="1"/>
  <c r="L24" i="1" s="1"/>
  <c r="AD23" i="1"/>
  <c r="N23" i="1"/>
  <c r="P23" i="1" s="1"/>
  <c r="L23" i="1"/>
  <c r="K23" i="1"/>
  <c r="Z22" i="1"/>
  <c r="P22" i="1"/>
  <c r="O22" i="1"/>
  <c r="N22" i="1"/>
  <c r="K22" i="1"/>
  <c r="L22" i="1" s="1"/>
  <c r="N21" i="1"/>
  <c r="Z21" i="1" s="1"/>
  <c r="K21" i="1"/>
  <c r="L21" i="1" s="1"/>
  <c r="O20" i="1"/>
  <c r="Y20" i="1" s="1"/>
  <c r="N20" i="1"/>
  <c r="P20" i="1" s="1"/>
  <c r="L20" i="1"/>
  <c r="K20" i="1"/>
  <c r="Z19" i="1"/>
  <c r="N19" i="1"/>
  <c r="O19" i="1" s="1"/>
  <c r="Y19" i="1" s="1"/>
  <c r="L19" i="1"/>
  <c r="K19" i="1"/>
  <c r="P18" i="1"/>
  <c r="O18" i="1"/>
  <c r="Y18" i="1" s="1"/>
  <c r="N18" i="1"/>
  <c r="Z18" i="1" s="1"/>
  <c r="K18" i="1"/>
  <c r="L18" i="1" s="1"/>
  <c r="Z17" i="1"/>
  <c r="N17" i="1"/>
  <c r="P17" i="1" s="1"/>
  <c r="K17" i="1"/>
  <c r="L17" i="1" s="1"/>
  <c r="N16" i="1"/>
  <c r="P16" i="1" s="1"/>
  <c r="L16" i="1"/>
  <c r="K16" i="1"/>
  <c r="Z15" i="1"/>
  <c r="Y15" i="1"/>
  <c r="P15" i="1"/>
  <c r="N15" i="1"/>
  <c r="O15" i="1" s="1"/>
  <c r="K15" i="1"/>
  <c r="L15" i="1" s="1"/>
  <c r="P14" i="1"/>
  <c r="O14" i="1"/>
  <c r="Y14" i="1" s="1"/>
  <c r="N14" i="1"/>
  <c r="Z14" i="1" s="1"/>
  <c r="L14" i="1"/>
  <c r="K14" i="1"/>
  <c r="Y13" i="1"/>
  <c r="N13" i="1"/>
  <c r="P13" i="1" s="1"/>
  <c r="K13" i="1"/>
  <c r="L13" i="1" s="1"/>
  <c r="P12" i="1"/>
  <c r="O12" i="1"/>
  <c r="Y12" i="1" s="1"/>
  <c r="N12" i="1"/>
  <c r="Z12" i="1" s="1"/>
  <c r="K12" i="1"/>
  <c r="L12" i="1" s="1"/>
  <c r="N11" i="1"/>
  <c r="P11" i="1" s="1"/>
  <c r="L11" i="1"/>
  <c r="K11" i="1"/>
  <c r="N10" i="1"/>
  <c r="P10" i="1" s="1"/>
  <c r="L10" i="1"/>
  <c r="K10" i="1"/>
  <c r="Z9" i="1"/>
  <c r="O9" i="1"/>
  <c r="Y9" i="1" s="1"/>
  <c r="L9" i="1"/>
  <c r="K9" i="1"/>
  <c r="P7" i="1"/>
  <c r="O7" i="1"/>
  <c r="N7" i="1"/>
  <c r="P63" i="1" l="1"/>
  <c r="O63" i="1"/>
  <c r="Z11" i="1"/>
  <c r="P53" i="1"/>
  <c r="O53" i="1"/>
  <c r="P109" i="1"/>
  <c r="O109" i="1"/>
  <c r="P199" i="1"/>
  <c r="O199" i="1"/>
  <c r="P209" i="1"/>
  <c r="O209" i="1"/>
  <c r="P225" i="1"/>
  <c r="O225" i="1"/>
  <c r="P247" i="1"/>
  <c r="O247" i="1"/>
  <c r="P415" i="1"/>
  <c r="O415" i="1"/>
  <c r="P418" i="1"/>
  <c r="O418" i="1"/>
  <c r="P465" i="1"/>
  <c r="O465" i="1"/>
  <c r="O637" i="1"/>
  <c r="P637" i="1"/>
  <c r="O641" i="1"/>
  <c r="P641" i="1"/>
  <c r="P646" i="1"/>
  <c r="Z646" i="1"/>
  <c r="P660" i="1"/>
  <c r="O660" i="1"/>
  <c r="P711" i="1"/>
  <c r="Z711" i="1"/>
  <c r="P725" i="1"/>
  <c r="O725" i="1"/>
  <c r="Z725" i="1"/>
  <c r="P813" i="1"/>
  <c r="O813" i="1"/>
  <c r="P830" i="1"/>
  <c r="Z830" i="1"/>
  <c r="P866" i="1"/>
  <c r="O866" i="1"/>
  <c r="P894" i="1"/>
  <c r="O894" i="1"/>
  <c r="Z894" i="1"/>
  <c r="P1018" i="1"/>
  <c r="O1018" i="1"/>
  <c r="Z1018" i="1"/>
  <c r="P1081" i="1"/>
  <c r="O1081" i="1"/>
  <c r="Z1081" i="1"/>
  <c r="P1324" i="1"/>
  <c r="Z1324" i="1"/>
  <c r="O1324" i="1"/>
  <c r="P1358" i="1"/>
  <c r="Z1358" i="1"/>
  <c r="O1358" i="1"/>
  <c r="Z10" i="1"/>
  <c r="O11" i="1"/>
  <c r="Y11" i="1" s="1"/>
  <c r="Z13" i="1"/>
  <c r="O16" i="1"/>
  <c r="Y16" i="1" s="1"/>
  <c r="O21" i="1"/>
  <c r="Y21" i="1" s="1"/>
  <c r="O23" i="1"/>
  <c r="O42" i="1"/>
  <c r="O57" i="1"/>
  <c r="P60" i="1"/>
  <c r="O60" i="1"/>
  <c r="P70" i="1"/>
  <c r="O70" i="1"/>
  <c r="Z90" i="1"/>
  <c r="P90" i="1"/>
  <c r="Z96" i="1"/>
  <c r="P96" i="1"/>
  <c r="P102" i="1"/>
  <c r="O102" i="1"/>
  <c r="P122" i="1"/>
  <c r="O122" i="1"/>
  <c r="O137" i="1"/>
  <c r="P140" i="1"/>
  <c r="O140" i="1"/>
  <c r="P153" i="1"/>
  <c r="O153" i="1"/>
  <c r="O167" i="1"/>
  <c r="O175" i="1"/>
  <c r="O178" i="1"/>
  <c r="P241" i="1"/>
  <c r="O241" i="1"/>
  <c r="O259" i="1"/>
  <c r="O262" i="1"/>
  <c r="O296" i="1"/>
  <c r="P299" i="1"/>
  <c r="O299" i="1"/>
  <c r="P307" i="1"/>
  <c r="O307" i="1"/>
  <c r="O320" i="1"/>
  <c r="P323" i="1"/>
  <c r="O323" i="1"/>
  <c r="P331" i="1"/>
  <c r="O331" i="1"/>
  <c r="O339" i="1"/>
  <c r="P342" i="1"/>
  <c r="O342" i="1"/>
  <c r="P353" i="1"/>
  <c r="O353" i="1"/>
  <c r="P359" i="1"/>
  <c r="O359" i="1"/>
  <c r="P403" i="1"/>
  <c r="O403" i="1"/>
  <c r="O406" i="1"/>
  <c r="O411" i="1"/>
  <c r="P435" i="1"/>
  <c r="O435" i="1"/>
  <c r="P447" i="1"/>
  <c r="O447" i="1"/>
  <c r="P510" i="1"/>
  <c r="O510" i="1"/>
  <c r="O520" i="1"/>
  <c r="O536" i="1"/>
  <c r="O539" i="1"/>
  <c r="O555" i="1"/>
  <c r="O580" i="1"/>
  <c r="O594" i="1"/>
  <c r="O605" i="1"/>
  <c r="P616" i="1"/>
  <c r="O616" i="1"/>
  <c r="P691" i="1"/>
  <c r="O691" i="1"/>
  <c r="P704" i="1"/>
  <c r="O704" i="1"/>
  <c r="P768" i="1"/>
  <c r="O768" i="1"/>
  <c r="P800" i="1"/>
  <c r="O800" i="1"/>
  <c r="Z800" i="1"/>
  <c r="O830" i="1"/>
  <c r="P848" i="1"/>
  <c r="O848" i="1"/>
  <c r="P902" i="1"/>
  <c r="O902" i="1"/>
  <c r="Z902" i="1"/>
  <c r="P903" i="1"/>
  <c r="O903" i="1"/>
  <c r="P921" i="1"/>
  <c r="O921" i="1"/>
  <c r="Z921" i="1"/>
  <c r="O922" i="1"/>
  <c r="Z922" i="1"/>
  <c r="P922" i="1"/>
  <c r="P958" i="1"/>
  <c r="O958" i="1"/>
  <c r="Z958" i="1"/>
  <c r="P1060" i="1"/>
  <c r="Z1060" i="1"/>
  <c r="P1096" i="1"/>
  <c r="O1096" i="1"/>
  <c r="Z1096" i="1"/>
  <c r="P1193" i="1"/>
  <c r="O1193" i="1"/>
  <c r="Z1193" i="1"/>
  <c r="P1213" i="1"/>
  <c r="O1213" i="1"/>
  <c r="Z1213" i="1"/>
  <c r="P1257" i="1"/>
  <c r="O1257" i="1"/>
  <c r="Z1257" i="1"/>
  <c r="P1277" i="1"/>
  <c r="O1277" i="1"/>
  <c r="Z1277" i="1"/>
  <c r="P1321" i="1"/>
  <c r="O1321" i="1"/>
  <c r="Z1321" i="1"/>
  <c r="P1341" i="1"/>
  <c r="O1341" i="1"/>
  <c r="Z1341" i="1"/>
  <c r="P1423" i="1"/>
  <c r="O1423" i="1"/>
  <c r="Z1423" i="1"/>
  <c r="O10" i="1"/>
  <c r="Y10" i="1" s="1"/>
  <c r="O13" i="1"/>
  <c r="O17" i="1"/>
  <c r="Y17" i="1" s="1"/>
  <c r="P19" i="1"/>
  <c r="Z20" i="1"/>
  <c r="P21" i="1"/>
  <c r="Z23" i="1"/>
  <c r="O24" i="1"/>
  <c r="Y24" i="1" s="1"/>
  <c r="P26" i="1"/>
  <c r="Z27" i="1"/>
  <c r="P28" i="1"/>
  <c r="O31" i="1"/>
  <c r="Y31" i="1" s="1"/>
  <c r="O33" i="1"/>
  <c r="Y33" i="1" s="1"/>
  <c r="Z39" i="1"/>
  <c r="O40" i="1"/>
  <c r="Z42" i="1"/>
  <c r="P47" i="1"/>
  <c r="O47" i="1"/>
  <c r="P49" i="1"/>
  <c r="O49" i="1"/>
  <c r="Z50" i="1"/>
  <c r="Z53" i="1"/>
  <c r="O54" i="1"/>
  <c r="Z61" i="1"/>
  <c r="P61" i="1"/>
  <c r="Z63" i="1"/>
  <c r="O64" i="1"/>
  <c r="P67" i="1"/>
  <c r="O67" i="1"/>
  <c r="P85" i="1"/>
  <c r="O85" i="1"/>
  <c r="Z86" i="1"/>
  <c r="O90" i="1"/>
  <c r="O96" i="1"/>
  <c r="Z106" i="1"/>
  <c r="Z109" i="1"/>
  <c r="O110" i="1"/>
  <c r="P113" i="1"/>
  <c r="O113" i="1"/>
  <c r="Z114" i="1"/>
  <c r="P119" i="1"/>
  <c r="O119" i="1"/>
  <c r="P129" i="1"/>
  <c r="O129" i="1"/>
  <c r="Z149" i="1"/>
  <c r="P149" i="1"/>
  <c r="P155" i="1"/>
  <c r="O155" i="1"/>
  <c r="O181" i="1"/>
  <c r="O184" i="1"/>
  <c r="P187" i="1"/>
  <c r="O187" i="1"/>
  <c r="Z188" i="1"/>
  <c r="O192" i="1"/>
  <c r="O197" i="1"/>
  <c r="P205" i="1"/>
  <c r="O205" i="1"/>
  <c r="Z206" i="1"/>
  <c r="Z209" i="1"/>
  <c r="O210" i="1"/>
  <c r="P213" i="1"/>
  <c r="O213" i="1"/>
  <c r="Z214" i="1"/>
  <c r="O218" i="1"/>
  <c r="P221" i="1"/>
  <c r="O221" i="1"/>
  <c r="Z222" i="1"/>
  <c r="Z225" i="1"/>
  <c r="O226" i="1"/>
  <c r="O229" i="1"/>
  <c r="P232" i="1"/>
  <c r="O232" i="1"/>
  <c r="P243" i="1"/>
  <c r="O243" i="1"/>
  <c r="Z244" i="1"/>
  <c r="Z247" i="1"/>
  <c r="O248" i="1"/>
  <c r="P251" i="1"/>
  <c r="O251" i="1"/>
  <c r="O265" i="1"/>
  <c r="P268" i="1"/>
  <c r="O268" i="1"/>
  <c r="Z269" i="1"/>
  <c r="O273" i="1"/>
  <c r="P276" i="1"/>
  <c r="O276" i="1"/>
  <c r="Z277" i="1"/>
  <c r="P279" i="1"/>
  <c r="O279" i="1"/>
  <c r="Z280" i="1"/>
  <c r="O284" i="1"/>
  <c r="O302" i="1"/>
  <c r="O368" i="1"/>
  <c r="P371" i="1"/>
  <c r="O371" i="1"/>
  <c r="Z372" i="1"/>
  <c r="O376" i="1"/>
  <c r="P379" i="1"/>
  <c r="O379" i="1"/>
  <c r="Z380" i="1"/>
  <c r="P382" i="1"/>
  <c r="O382" i="1"/>
  <c r="P396" i="1"/>
  <c r="O396" i="1"/>
  <c r="Z397" i="1"/>
  <c r="O409" i="1"/>
  <c r="Z415" i="1"/>
  <c r="O416" i="1"/>
  <c r="Z418" i="1"/>
  <c r="O419" i="1"/>
  <c r="P422" i="1"/>
  <c r="O422" i="1"/>
  <c r="Z423" i="1"/>
  <c r="O427" i="1"/>
  <c r="P430" i="1"/>
  <c r="O430" i="1"/>
  <c r="O438" i="1"/>
  <c r="P441" i="1"/>
  <c r="O441" i="1"/>
  <c r="P461" i="1"/>
  <c r="O461" i="1"/>
  <c r="Z462" i="1"/>
  <c r="Z465" i="1"/>
  <c r="O466" i="1"/>
  <c r="O477" i="1"/>
  <c r="P483" i="1"/>
  <c r="O483" i="1"/>
  <c r="Z484" i="1"/>
  <c r="Z495" i="1"/>
  <c r="O501" i="1"/>
  <c r="P504" i="1"/>
  <c r="O504" i="1"/>
  <c r="Z505" i="1"/>
  <c r="P507" i="1"/>
  <c r="O507" i="1"/>
  <c r="P517" i="1"/>
  <c r="O517" i="1"/>
  <c r="Z522" i="1"/>
  <c r="O526" i="1"/>
  <c r="P529" i="1"/>
  <c r="O529" i="1"/>
  <c r="Z530" i="1"/>
  <c r="O534" i="1"/>
  <c r="Z546" i="1"/>
  <c r="P548" i="1"/>
  <c r="O548" i="1"/>
  <c r="Z562" i="1"/>
  <c r="P564" i="1"/>
  <c r="O564" i="1"/>
  <c r="P569" i="1"/>
  <c r="O569" i="1"/>
  <c r="P588" i="1"/>
  <c r="O588" i="1"/>
  <c r="P598" i="1"/>
  <c r="O598" i="1"/>
  <c r="P601" i="1"/>
  <c r="O601" i="1"/>
  <c r="Z602" i="1"/>
  <c r="O611" i="1"/>
  <c r="P617" i="1"/>
  <c r="Z617" i="1"/>
  <c r="P618" i="1"/>
  <c r="O618" i="1"/>
  <c r="O631" i="1"/>
  <c r="P644" i="1"/>
  <c r="O644" i="1"/>
  <c r="O696" i="1"/>
  <c r="P723" i="1"/>
  <c r="O723" i="1"/>
  <c r="P731" i="1"/>
  <c r="O731" i="1"/>
  <c r="P750" i="1"/>
  <c r="O750" i="1"/>
  <c r="Z750" i="1"/>
  <c r="P791" i="1"/>
  <c r="O791" i="1"/>
  <c r="P806" i="1"/>
  <c r="O806" i="1"/>
  <c r="Z806" i="1"/>
  <c r="Z813" i="1"/>
  <c r="P815" i="1"/>
  <c r="O815" i="1"/>
  <c r="Z815" i="1"/>
  <c r="P816" i="1"/>
  <c r="O816" i="1"/>
  <c r="P828" i="1"/>
  <c r="O828" i="1"/>
  <c r="O837" i="1"/>
  <c r="P850" i="1"/>
  <c r="O850" i="1"/>
  <c r="Z850" i="1"/>
  <c r="Z866" i="1"/>
  <c r="P871" i="1"/>
  <c r="O871" i="1"/>
  <c r="Z871" i="1"/>
  <c r="P910" i="1"/>
  <c r="O910" i="1"/>
  <c r="Z910" i="1"/>
  <c r="P911" i="1"/>
  <c r="O911" i="1"/>
  <c r="P963" i="1"/>
  <c r="O963" i="1"/>
  <c r="Z963" i="1"/>
  <c r="P993" i="1"/>
  <c r="O993" i="1"/>
  <c r="Z993" i="1"/>
  <c r="P994" i="1"/>
  <c r="O994" i="1"/>
  <c r="Z994" i="1"/>
  <c r="O1060" i="1"/>
  <c r="P1068" i="1"/>
  <c r="Z1068" i="1"/>
  <c r="O1068" i="1"/>
  <c r="P1109" i="1"/>
  <c r="O1109" i="1"/>
  <c r="Z1109" i="1"/>
  <c r="P89" i="1"/>
  <c r="O89" i="1"/>
  <c r="Z117" i="1"/>
  <c r="P117" i="1"/>
  <c r="P151" i="1"/>
  <c r="O151" i="1"/>
  <c r="P183" i="1"/>
  <c r="O183" i="1"/>
  <c r="P191" i="1"/>
  <c r="O191" i="1"/>
  <c r="P217" i="1"/>
  <c r="O217" i="1"/>
  <c r="P228" i="1"/>
  <c r="O228" i="1"/>
  <c r="P272" i="1"/>
  <c r="O272" i="1"/>
  <c r="P283" i="1"/>
  <c r="O283" i="1"/>
  <c r="P367" i="1"/>
  <c r="O367" i="1"/>
  <c r="P375" i="1"/>
  <c r="O375" i="1"/>
  <c r="P426" i="1"/>
  <c r="O426" i="1"/>
  <c r="P468" i="1"/>
  <c r="O468" i="1"/>
  <c r="P476" i="1"/>
  <c r="O476" i="1"/>
  <c r="P479" i="1"/>
  <c r="O479" i="1"/>
  <c r="P487" i="1"/>
  <c r="O487" i="1"/>
  <c r="P492" i="1"/>
  <c r="O492" i="1"/>
  <c r="P525" i="1"/>
  <c r="O525" i="1"/>
  <c r="P533" i="1"/>
  <c r="O533" i="1"/>
  <c r="O625" i="1"/>
  <c r="P625" i="1"/>
  <c r="O629" i="1"/>
  <c r="P629" i="1"/>
  <c r="O633" i="1"/>
  <c r="P633" i="1"/>
  <c r="P655" i="1"/>
  <c r="O655" i="1"/>
  <c r="P677" i="1"/>
  <c r="O677" i="1"/>
  <c r="P726" i="1"/>
  <c r="O726" i="1"/>
  <c r="P737" i="1"/>
  <c r="Z737" i="1"/>
  <c r="P760" i="1"/>
  <c r="O760" i="1"/>
  <c r="P786" i="1"/>
  <c r="O786" i="1"/>
  <c r="P793" i="1"/>
  <c r="O793" i="1"/>
  <c r="P812" i="1"/>
  <c r="O812" i="1"/>
  <c r="Z812" i="1"/>
  <c r="P865" i="1"/>
  <c r="O865" i="1"/>
  <c r="Z865" i="1"/>
  <c r="P895" i="1"/>
  <c r="O895" i="1"/>
  <c r="P1017" i="1"/>
  <c r="O1017" i="1"/>
  <c r="Z1017" i="1"/>
  <c r="P1071" i="1"/>
  <c r="O1071" i="1"/>
  <c r="Z1071" i="1"/>
  <c r="P1082" i="1"/>
  <c r="O1082" i="1"/>
  <c r="Z1082" i="1"/>
  <c r="P1196" i="1"/>
  <c r="Z1196" i="1"/>
  <c r="O1196" i="1"/>
  <c r="P1224" i="1"/>
  <c r="Z1224" i="1"/>
  <c r="O1224" i="1"/>
  <c r="P1260" i="1"/>
  <c r="Z1260" i="1"/>
  <c r="O1260" i="1"/>
  <c r="P1288" i="1"/>
  <c r="Z1288" i="1"/>
  <c r="O1288" i="1"/>
  <c r="P1370" i="1"/>
  <c r="O1370" i="1"/>
  <c r="Z1370" i="1"/>
  <c r="P1408" i="1"/>
  <c r="Z1408" i="1"/>
  <c r="O28" i="1"/>
  <c r="Y28" i="1" s="1"/>
  <c r="O30" i="1"/>
  <c r="Y30" i="1" s="1"/>
  <c r="O75" i="1"/>
  <c r="P78" i="1"/>
  <c r="O78" i="1"/>
  <c r="O93" i="1"/>
  <c r="O99" i="1"/>
  <c r="P132" i="1"/>
  <c r="O132" i="1"/>
  <c r="O145" i="1"/>
  <c r="P148" i="1"/>
  <c r="O148" i="1"/>
  <c r="O158" i="1"/>
  <c r="P170" i="1"/>
  <c r="O170" i="1"/>
  <c r="O194" i="1"/>
  <c r="O235" i="1"/>
  <c r="O238" i="1"/>
  <c r="P254" i="1"/>
  <c r="O254" i="1"/>
  <c r="O304" i="1"/>
  <c r="O312" i="1"/>
  <c r="P315" i="1"/>
  <c r="O315" i="1"/>
  <c r="O328" i="1"/>
  <c r="P334" i="1"/>
  <c r="O334" i="1"/>
  <c r="P345" i="1"/>
  <c r="O345" i="1"/>
  <c r="O350" i="1"/>
  <c r="P356" i="1"/>
  <c r="O356" i="1"/>
  <c r="P364" i="1"/>
  <c r="O364" i="1"/>
  <c r="O385" i="1"/>
  <c r="O400" i="1"/>
  <c r="O444" i="1"/>
  <c r="O452" i="1"/>
  <c r="P459" i="1"/>
  <c r="O459" i="1"/>
  <c r="P470" i="1"/>
  <c r="O470" i="1"/>
  <c r="P481" i="1"/>
  <c r="O481" i="1"/>
  <c r="O498" i="1"/>
  <c r="P542" i="1"/>
  <c r="O542" i="1"/>
  <c r="P558" i="1"/>
  <c r="O558" i="1"/>
  <c r="P567" i="1"/>
  <c r="O567" i="1"/>
  <c r="P572" i="1"/>
  <c r="O572" i="1"/>
  <c r="O577" i="1"/>
  <c r="O583" i="1"/>
  <c r="O591" i="1"/>
  <c r="O613" i="1"/>
  <c r="O646" i="1"/>
  <c r="P674" i="1"/>
  <c r="Z674" i="1"/>
  <c r="P690" i="1"/>
  <c r="O690" i="1"/>
  <c r="Z690" i="1"/>
  <c r="P708" i="1"/>
  <c r="Z708" i="1"/>
  <c r="O711" i="1"/>
  <c r="P734" i="1"/>
  <c r="Z734" i="1"/>
  <c r="O737" i="1"/>
  <c r="P753" i="1"/>
  <c r="O753" i="1"/>
  <c r="P767" i="1"/>
  <c r="O767" i="1"/>
  <c r="Z767" i="1"/>
  <c r="P783" i="1"/>
  <c r="Z783" i="1"/>
  <c r="P795" i="1"/>
  <c r="O795" i="1"/>
  <c r="Z795" i="1"/>
  <c r="P801" i="1"/>
  <c r="O801" i="1"/>
  <c r="Z16" i="1"/>
  <c r="Z30" i="1"/>
  <c r="Z40" i="1"/>
  <c r="P44" i="1"/>
  <c r="O44" i="1"/>
  <c r="P56" i="1"/>
  <c r="O56" i="1"/>
  <c r="Z57" i="1"/>
  <c r="Z60" i="1"/>
  <c r="Z70" i="1"/>
  <c r="P74" i="1"/>
  <c r="O74" i="1"/>
  <c r="Z75" i="1"/>
  <c r="Z78" i="1"/>
  <c r="P82" i="1"/>
  <c r="O82" i="1"/>
  <c r="P92" i="1"/>
  <c r="O92" i="1"/>
  <c r="Z93" i="1"/>
  <c r="P98" i="1"/>
  <c r="O98" i="1"/>
  <c r="Z99" i="1"/>
  <c r="Z102" i="1"/>
  <c r="Z120" i="1"/>
  <c r="P120" i="1"/>
  <c r="Z122" i="1"/>
  <c r="P126" i="1"/>
  <c r="O126" i="1"/>
  <c r="Z132" i="1"/>
  <c r="P136" i="1"/>
  <c r="O136" i="1"/>
  <c r="Z137" i="1"/>
  <c r="Z140" i="1"/>
  <c r="P144" i="1"/>
  <c r="O144" i="1"/>
  <c r="Z145" i="1"/>
  <c r="Z148" i="1"/>
  <c r="P157" i="1"/>
  <c r="O157" i="1"/>
  <c r="Z158" i="1"/>
  <c r="P160" i="1"/>
  <c r="O160" i="1"/>
  <c r="P166" i="1"/>
  <c r="O166" i="1"/>
  <c r="Z167" i="1"/>
  <c r="Z170" i="1"/>
  <c r="P174" i="1"/>
  <c r="O174" i="1"/>
  <c r="Z175" i="1"/>
  <c r="P177" i="1"/>
  <c r="O177" i="1"/>
  <c r="Z178" i="1"/>
  <c r="Z194" i="1"/>
  <c r="P202" i="1"/>
  <c r="O202" i="1"/>
  <c r="P234" i="1"/>
  <c r="O234" i="1"/>
  <c r="Z235" i="1"/>
  <c r="P237" i="1"/>
  <c r="O237" i="1"/>
  <c r="Z238" i="1"/>
  <c r="Z254" i="1"/>
  <c r="P258" i="1"/>
  <c r="O258" i="1"/>
  <c r="Z259" i="1"/>
  <c r="P261" i="1"/>
  <c r="O261" i="1"/>
  <c r="Z262" i="1"/>
  <c r="P295" i="1"/>
  <c r="O295" i="1"/>
  <c r="Z296" i="1"/>
  <c r="Z299" i="1"/>
  <c r="Z304" i="1"/>
  <c r="Z307" i="1"/>
  <c r="P311" i="1"/>
  <c r="O311" i="1"/>
  <c r="Z312" i="1"/>
  <c r="Z315" i="1"/>
  <c r="P319" i="1"/>
  <c r="O319" i="1"/>
  <c r="Z320" i="1"/>
  <c r="Z323" i="1"/>
  <c r="P327" i="1"/>
  <c r="O327" i="1"/>
  <c r="Z328" i="1"/>
  <c r="Z331" i="1"/>
  <c r="Z334" i="1"/>
  <c r="P338" i="1"/>
  <c r="O338" i="1"/>
  <c r="Z339" i="1"/>
  <c r="Z342" i="1"/>
  <c r="Z345" i="1"/>
  <c r="P349" i="1"/>
  <c r="O349" i="1"/>
  <c r="Z350" i="1"/>
  <c r="Z353" i="1"/>
  <c r="Z356" i="1"/>
  <c r="Z359" i="1"/>
  <c r="P363" i="1"/>
  <c r="O363" i="1"/>
  <c r="P384" i="1"/>
  <c r="O384" i="1"/>
  <c r="Z385" i="1"/>
  <c r="P387" i="1"/>
  <c r="O387" i="1"/>
  <c r="P393" i="1"/>
  <c r="O393" i="1"/>
  <c r="Z400" i="1"/>
  <c r="Z406" i="1"/>
  <c r="P413" i="1"/>
  <c r="O413" i="1"/>
  <c r="Z435" i="1"/>
  <c r="P443" i="1"/>
  <c r="O443" i="1"/>
  <c r="Z444" i="1"/>
  <c r="Z447" i="1"/>
  <c r="P451" i="1"/>
  <c r="O451" i="1"/>
  <c r="P454" i="1"/>
  <c r="O454" i="1"/>
  <c r="Z470" i="1"/>
  <c r="P474" i="1"/>
  <c r="O474" i="1"/>
  <c r="P490" i="1"/>
  <c r="O490" i="1"/>
  <c r="Z498" i="1"/>
  <c r="Z510" i="1"/>
  <c r="P514" i="1"/>
  <c r="O514" i="1"/>
  <c r="P519" i="1"/>
  <c r="O519" i="1"/>
  <c r="P538" i="1"/>
  <c r="O538" i="1"/>
  <c r="Z539" i="1"/>
  <c r="Z542" i="1"/>
  <c r="P554" i="1"/>
  <c r="O554" i="1"/>
  <c r="Z555" i="1"/>
  <c r="Z558" i="1"/>
  <c r="Z572" i="1"/>
  <c r="P576" i="1"/>
  <c r="O576" i="1"/>
  <c r="P579" i="1"/>
  <c r="O579" i="1"/>
  <c r="P582" i="1"/>
  <c r="O582" i="1"/>
  <c r="Z583" i="1"/>
  <c r="P585" i="1"/>
  <c r="O585" i="1"/>
  <c r="P590" i="1"/>
  <c r="O590" i="1"/>
  <c r="P593" i="1"/>
  <c r="O593" i="1"/>
  <c r="Z613" i="1"/>
  <c r="Z616" i="1"/>
  <c r="P621" i="1"/>
  <c r="Z621" i="1"/>
  <c r="P622" i="1"/>
  <c r="O622" i="1"/>
  <c r="P626" i="1"/>
  <c r="O626" i="1"/>
  <c r="P634" i="1"/>
  <c r="O634" i="1"/>
  <c r="P638" i="1"/>
  <c r="O638" i="1"/>
  <c r="P658" i="1"/>
  <c r="O658" i="1"/>
  <c r="P666" i="1"/>
  <c r="O666" i="1"/>
  <c r="Z666" i="1"/>
  <c r="P667" i="1"/>
  <c r="O667" i="1"/>
  <c r="P688" i="1"/>
  <c r="O688" i="1"/>
  <c r="Z691" i="1"/>
  <c r="P693" i="1"/>
  <c r="O693" i="1"/>
  <c r="Z693" i="1"/>
  <c r="P694" i="1"/>
  <c r="O694" i="1"/>
  <c r="P720" i="1"/>
  <c r="Z720" i="1"/>
  <c r="P740" i="1"/>
  <c r="O740" i="1"/>
  <c r="Z768" i="1"/>
  <c r="P778" i="1"/>
  <c r="O778" i="1"/>
  <c r="Z778" i="1"/>
  <c r="P798" i="1"/>
  <c r="O798" i="1"/>
  <c r="P803" i="1"/>
  <c r="Z803" i="1"/>
  <c r="P825" i="1"/>
  <c r="Z825" i="1"/>
  <c r="P834" i="1"/>
  <c r="O834" i="1"/>
  <c r="Z834" i="1"/>
  <c r="P835" i="1"/>
  <c r="O835" i="1"/>
  <c r="P845" i="1"/>
  <c r="O845" i="1"/>
  <c r="Z845" i="1"/>
  <c r="P846" i="1"/>
  <c r="O846" i="1"/>
  <c r="P857" i="1"/>
  <c r="O857" i="1"/>
  <c r="Z857" i="1"/>
  <c r="P858" i="1"/>
  <c r="O858" i="1"/>
  <c r="P878" i="1"/>
  <c r="O878" i="1"/>
  <c r="Z878" i="1"/>
  <c r="P879" i="1"/>
  <c r="O879" i="1"/>
  <c r="Z903" i="1"/>
  <c r="P918" i="1"/>
  <c r="O918" i="1"/>
  <c r="Z918" i="1"/>
  <c r="P919" i="1"/>
  <c r="O919" i="1"/>
  <c r="P978" i="1"/>
  <c r="O978" i="1"/>
  <c r="Z978" i="1"/>
  <c r="P985" i="1"/>
  <c r="O985" i="1"/>
  <c r="Z985" i="1"/>
  <c r="P986" i="1"/>
  <c r="O986" i="1"/>
  <c r="Z986" i="1"/>
  <c r="P1025" i="1"/>
  <c r="O1025" i="1"/>
  <c r="Z1025" i="1"/>
  <c r="P1026" i="1"/>
  <c r="O1026" i="1"/>
  <c r="Z1026" i="1"/>
  <c r="P1093" i="1"/>
  <c r="Z1093" i="1"/>
  <c r="O1093" i="1"/>
  <c r="Z630" i="1"/>
  <c r="P662" i="1"/>
  <c r="O662" i="1"/>
  <c r="P679" i="1"/>
  <c r="O679" i="1"/>
  <c r="P700" i="1"/>
  <c r="O700" i="1"/>
  <c r="P755" i="1"/>
  <c r="O755" i="1"/>
  <c r="Z764" i="1"/>
  <c r="P819" i="1"/>
  <c r="O819" i="1"/>
  <c r="Z820" i="1"/>
  <c r="P822" i="1"/>
  <c r="O822" i="1"/>
  <c r="Z839" i="1"/>
  <c r="P841" i="1"/>
  <c r="O841" i="1"/>
  <c r="Z842" i="1"/>
  <c r="Z854" i="1"/>
  <c r="P861" i="1"/>
  <c r="O861" i="1"/>
  <c r="Z862" i="1"/>
  <c r="Z875" i="1"/>
  <c r="P890" i="1"/>
  <c r="O890" i="1"/>
  <c r="Z891" i="1"/>
  <c r="P898" i="1"/>
  <c r="O898" i="1"/>
  <c r="Z899" i="1"/>
  <c r="P906" i="1"/>
  <c r="O906" i="1"/>
  <c r="Z907" i="1"/>
  <c r="P914" i="1"/>
  <c r="O914" i="1"/>
  <c r="Z915" i="1"/>
  <c r="P962" i="1"/>
  <c r="O962" i="1"/>
  <c r="Z962" i="1"/>
  <c r="P1001" i="1"/>
  <c r="O1001" i="1"/>
  <c r="Z1001" i="1"/>
  <c r="P1002" i="1"/>
  <c r="O1002" i="1"/>
  <c r="P1033" i="1"/>
  <c r="O1033" i="1"/>
  <c r="Z1033" i="1"/>
  <c r="P1034" i="1"/>
  <c r="O1034" i="1"/>
  <c r="P1044" i="1"/>
  <c r="O1044" i="1"/>
  <c r="Z1044" i="1"/>
  <c r="P1045" i="1"/>
  <c r="O1045" i="1"/>
  <c r="P1055" i="1"/>
  <c r="O1055" i="1"/>
  <c r="Z1055" i="1"/>
  <c r="P1101" i="1"/>
  <c r="Z1101" i="1"/>
  <c r="P1116" i="1"/>
  <c r="O1116" i="1"/>
  <c r="Z1116" i="1"/>
  <c r="P1117" i="1"/>
  <c r="O1117" i="1"/>
  <c r="P1192" i="1"/>
  <c r="Z1192" i="1"/>
  <c r="O1192" i="1"/>
  <c r="P1228" i="1"/>
  <c r="Z1228" i="1"/>
  <c r="O1228" i="1"/>
  <c r="P1256" i="1"/>
  <c r="Z1256" i="1"/>
  <c r="O1256" i="1"/>
  <c r="P1292" i="1"/>
  <c r="Z1292" i="1"/>
  <c r="O1292" i="1"/>
  <c r="P1320" i="1"/>
  <c r="Z1320" i="1"/>
  <c r="O1320" i="1"/>
  <c r="P648" i="1"/>
  <c r="O648" i="1"/>
  <c r="P664" i="1"/>
  <c r="O664" i="1"/>
  <c r="P673" i="1"/>
  <c r="O673" i="1"/>
  <c r="P681" i="1"/>
  <c r="O681" i="1"/>
  <c r="P702" i="1"/>
  <c r="O702" i="1"/>
  <c r="P707" i="1"/>
  <c r="O707" i="1"/>
  <c r="P710" i="1"/>
  <c r="O710" i="1"/>
  <c r="P713" i="1"/>
  <c r="O713" i="1"/>
  <c r="P716" i="1"/>
  <c r="O716" i="1"/>
  <c r="P719" i="1"/>
  <c r="O719" i="1"/>
  <c r="P736" i="1"/>
  <c r="O736" i="1"/>
  <c r="P745" i="1"/>
  <c r="O745" i="1"/>
  <c r="P782" i="1"/>
  <c r="O782" i="1"/>
  <c r="P810" i="1"/>
  <c r="O810" i="1"/>
  <c r="P824" i="1"/>
  <c r="O824" i="1"/>
  <c r="P832" i="1"/>
  <c r="O832" i="1"/>
  <c r="O926" i="1"/>
  <c r="Z926" i="1"/>
  <c r="P959" i="1"/>
  <c r="O959" i="1"/>
  <c r="P966" i="1"/>
  <c r="Z966" i="1"/>
  <c r="P979" i="1"/>
  <c r="Z979" i="1"/>
  <c r="P1009" i="1"/>
  <c r="O1009" i="1"/>
  <c r="Z1009" i="1"/>
  <c r="P1010" i="1"/>
  <c r="O1010" i="1"/>
  <c r="P1052" i="1"/>
  <c r="Z1052" i="1"/>
  <c r="P1063" i="1"/>
  <c r="O1063" i="1"/>
  <c r="Z1063" i="1"/>
  <c r="P1088" i="1"/>
  <c r="O1088" i="1"/>
  <c r="Z1088" i="1"/>
  <c r="P1225" i="1"/>
  <c r="O1225" i="1"/>
  <c r="Z1225" i="1"/>
  <c r="P1245" i="1"/>
  <c r="O1245" i="1"/>
  <c r="Z1245" i="1"/>
  <c r="P1289" i="1"/>
  <c r="O1289" i="1"/>
  <c r="Z1289" i="1"/>
  <c r="P1309" i="1"/>
  <c r="O1309" i="1"/>
  <c r="Z1309" i="1"/>
  <c r="Z928" i="1"/>
  <c r="Z932" i="1"/>
  <c r="Z936" i="1"/>
  <c r="Z940" i="1"/>
  <c r="Z944" i="1"/>
  <c r="Z948" i="1"/>
  <c r="Z952" i="1"/>
  <c r="Z969" i="1"/>
  <c r="Z973" i="1"/>
  <c r="Z982" i="1"/>
  <c r="P989" i="1"/>
  <c r="O989" i="1"/>
  <c r="Z990" i="1"/>
  <c r="P997" i="1"/>
  <c r="O997" i="1"/>
  <c r="Z998" i="1"/>
  <c r="P1005" i="1"/>
  <c r="O1005" i="1"/>
  <c r="Z1006" i="1"/>
  <c r="P1013" i="1"/>
  <c r="O1013" i="1"/>
  <c r="Z1014" i="1"/>
  <c r="P1021" i="1"/>
  <c r="O1021" i="1"/>
  <c r="Z1022" i="1"/>
  <c r="P1029" i="1"/>
  <c r="O1029" i="1"/>
  <c r="Z1030" i="1"/>
  <c r="P1037" i="1"/>
  <c r="O1037" i="1"/>
  <c r="Z1038" i="1"/>
  <c r="P1040" i="1"/>
  <c r="O1040" i="1"/>
  <c r="Z1041" i="1"/>
  <c r="P1048" i="1"/>
  <c r="O1048" i="1"/>
  <c r="Z1049" i="1"/>
  <c r="P1077" i="1"/>
  <c r="O1077" i="1"/>
  <c r="Z1078" i="1"/>
  <c r="P1085" i="1"/>
  <c r="O1085" i="1"/>
  <c r="P1112" i="1"/>
  <c r="O1112" i="1"/>
  <c r="Z1113" i="1"/>
  <c r="O1133" i="1"/>
  <c r="Z1133" i="1"/>
  <c r="P1212" i="1"/>
  <c r="Z1212" i="1"/>
  <c r="O1212" i="1"/>
  <c r="P1244" i="1"/>
  <c r="Z1244" i="1"/>
  <c r="O1244" i="1"/>
  <c r="P1276" i="1"/>
  <c r="Z1276" i="1"/>
  <c r="O1276" i="1"/>
  <c r="P1308" i="1"/>
  <c r="Z1308" i="1"/>
  <c r="O1308" i="1"/>
  <c r="P1340" i="1"/>
  <c r="Z1340" i="1"/>
  <c r="O1340" i="1"/>
  <c r="O1347" i="1"/>
  <c r="Z1347" i="1"/>
  <c r="P1347" i="1"/>
  <c r="P931" i="1"/>
  <c r="O931" i="1"/>
  <c r="P935" i="1"/>
  <c r="O935" i="1"/>
  <c r="P939" i="1"/>
  <c r="O939" i="1"/>
  <c r="P943" i="1"/>
  <c r="O943" i="1"/>
  <c r="P947" i="1"/>
  <c r="O947" i="1"/>
  <c r="P951" i="1"/>
  <c r="O951" i="1"/>
  <c r="P955" i="1"/>
  <c r="O955" i="1"/>
  <c r="P968" i="1"/>
  <c r="O968" i="1"/>
  <c r="P972" i="1"/>
  <c r="O972" i="1"/>
  <c r="P976" i="1"/>
  <c r="O976" i="1"/>
  <c r="P1059" i="1"/>
  <c r="O1059" i="1"/>
  <c r="P1067" i="1"/>
  <c r="O1067" i="1"/>
  <c r="P1092" i="1"/>
  <c r="O1092" i="1"/>
  <c r="P1100" i="1"/>
  <c r="O1100" i="1"/>
  <c r="P1150" i="1"/>
  <c r="O1150" i="1"/>
  <c r="P1154" i="1"/>
  <c r="O1154" i="1"/>
  <c r="P1158" i="1"/>
  <c r="O1158" i="1"/>
  <c r="P1162" i="1"/>
  <c r="O1162" i="1"/>
  <c r="P1166" i="1"/>
  <c r="O1166" i="1"/>
  <c r="P1170" i="1"/>
  <c r="O1170" i="1"/>
  <c r="P1174" i="1"/>
  <c r="O1174" i="1"/>
  <c r="P1178" i="1"/>
  <c r="O1178" i="1"/>
  <c r="P1182" i="1"/>
  <c r="O1182" i="1"/>
  <c r="P1186" i="1"/>
  <c r="O1186" i="1"/>
  <c r="Z1190" i="1"/>
  <c r="P1190" i="1"/>
  <c r="O1190" i="1"/>
  <c r="P1197" i="1"/>
  <c r="O1197" i="1"/>
  <c r="Z1197" i="1"/>
  <c r="P1208" i="1"/>
  <c r="Z1208" i="1"/>
  <c r="P1209" i="1"/>
  <c r="O1209" i="1"/>
  <c r="Z1209" i="1"/>
  <c r="P1229" i="1"/>
  <c r="O1229" i="1"/>
  <c r="Z1229" i="1"/>
  <c r="P1240" i="1"/>
  <c r="Z1240" i="1"/>
  <c r="P1241" i="1"/>
  <c r="O1241" i="1"/>
  <c r="Z1241" i="1"/>
  <c r="P1261" i="1"/>
  <c r="O1261" i="1"/>
  <c r="Z1261" i="1"/>
  <c r="P1272" i="1"/>
  <c r="Z1272" i="1"/>
  <c r="P1273" i="1"/>
  <c r="O1273" i="1"/>
  <c r="Z1273" i="1"/>
  <c r="P1293" i="1"/>
  <c r="O1293" i="1"/>
  <c r="Z1293" i="1"/>
  <c r="P1304" i="1"/>
  <c r="Z1304" i="1"/>
  <c r="P1305" i="1"/>
  <c r="O1305" i="1"/>
  <c r="Z1305" i="1"/>
  <c r="P1325" i="1"/>
  <c r="O1325" i="1"/>
  <c r="Z1325" i="1"/>
  <c r="P1336" i="1"/>
  <c r="Z1336" i="1"/>
  <c r="P1337" i="1"/>
  <c r="O1337" i="1"/>
  <c r="Z1337" i="1"/>
  <c r="O1359" i="1"/>
  <c r="P1359" i="1"/>
  <c r="Z1359" i="1"/>
  <c r="Z930" i="1"/>
  <c r="Z934" i="1"/>
  <c r="Z938" i="1"/>
  <c r="Z942" i="1"/>
  <c r="Z946" i="1"/>
  <c r="Z950" i="1"/>
  <c r="Z954" i="1"/>
  <c r="Z957" i="1"/>
  <c r="Z961" i="1"/>
  <c r="Z971" i="1"/>
  <c r="Z975" i="1"/>
  <c r="Z1149" i="1"/>
  <c r="Z1153" i="1"/>
  <c r="Z1157" i="1"/>
  <c r="Z1161" i="1"/>
  <c r="Z1165" i="1"/>
  <c r="Z1169" i="1"/>
  <c r="Z1173" i="1"/>
  <c r="Z1177" i="1"/>
  <c r="Z1181" i="1"/>
  <c r="Z1185" i="1"/>
  <c r="Z1189" i="1"/>
  <c r="P1200" i="1"/>
  <c r="Z1200" i="1"/>
  <c r="P1201" i="1"/>
  <c r="O1201" i="1"/>
  <c r="P1216" i="1"/>
  <c r="Z1216" i="1"/>
  <c r="P1217" i="1"/>
  <c r="O1217" i="1"/>
  <c r="P1232" i="1"/>
  <c r="Z1232" i="1"/>
  <c r="P1233" i="1"/>
  <c r="O1233" i="1"/>
  <c r="P1248" i="1"/>
  <c r="Z1248" i="1"/>
  <c r="P1249" i="1"/>
  <c r="O1249" i="1"/>
  <c r="P1264" i="1"/>
  <c r="Z1264" i="1"/>
  <c r="P1265" i="1"/>
  <c r="O1265" i="1"/>
  <c r="P1280" i="1"/>
  <c r="Z1280" i="1"/>
  <c r="P1281" i="1"/>
  <c r="O1281" i="1"/>
  <c r="P1296" i="1"/>
  <c r="Z1296" i="1"/>
  <c r="P1297" i="1"/>
  <c r="O1297" i="1"/>
  <c r="P1312" i="1"/>
  <c r="Z1312" i="1"/>
  <c r="P1313" i="1"/>
  <c r="O1313" i="1"/>
  <c r="P1328" i="1"/>
  <c r="Z1328" i="1"/>
  <c r="P1329" i="1"/>
  <c r="O1329" i="1"/>
  <c r="Z1344" i="1"/>
  <c r="P1344" i="1"/>
  <c r="O1363" i="1"/>
  <c r="Z1363" i="1"/>
  <c r="P1374" i="1"/>
  <c r="Z1374" i="1"/>
  <c r="O1375" i="1"/>
  <c r="P1375" i="1"/>
  <c r="P1403" i="1"/>
  <c r="O1403" i="1"/>
  <c r="Z1403" i="1"/>
  <c r="P1435" i="1"/>
  <c r="O1435" i="1"/>
  <c r="Z1435" i="1"/>
  <c r="O1200" i="1"/>
  <c r="P1204" i="1"/>
  <c r="Z1204" i="1"/>
  <c r="P1205" i="1"/>
  <c r="O1205" i="1"/>
  <c r="O1216" i="1"/>
  <c r="P1220" i="1"/>
  <c r="Z1220" i="1"/>
  <c r="P1221" i="1"/>
  <c r="O1221" i="1"/>
  <c r="O1232" i="1"/>
  <c r="P1236" i="1"/>
  <c r="Z1236" i="1"/>
  <c r="P1237" i="1"/>
  <c r="O1237" i="1"/>
  <c r="O1248" i="1"/>
  <c r="P1252" i="1"/>
  <c r="Z1252" i="1"/>
  <c r="P1253" i="1"/>
  <c r="O1253" i="1"/>
  <c r="O1264" i="1"/>
  <c r="P1268" i="1"/>
  <c r="Z1268" i="1"/>
  <c r="P1269" i="1"/>
  <c r="O1269" i="1"/>
  <c r="O1280" i="1"/>
  <c r="P1284" i="1"/>
  <c r="Z1284" i="1"/>
  <c r="P1285" i="1"/>
  <c r="O1285" i="1"/>
  <c r="O1296" i="1"/>
  <c r="P1300" i="1"/>
  <c r="Z1300" i="1"/>
  <c r="P1301" i="1"/>
  <c r="O1301" i="1"/>
  <c r="O1312" i="1"/>
  <c r="P1316" i="1"/>
  <c r="Z1316" i="1"/>
  <c r="P1317" i="1"/>
  <c r="O1317" i="1"/>
  <c r="O1328" i="1"/>
  <c r="P1332" i="1"/>
  <c r="Z1332" i="1"/>
  <c r="P1333" i="1"/>
  <c r="O1333" i="1"/>
  <c r="O1344" i="1"/>
  <c r="P1354" i="1"/>
  <c r="O1354" i="1"/>
  <c r="P1363" i="1"/>
  <c r="O1374" i="1"/>
  <c r="P1411" i="1"/>
  <c r="O1411" i="1"/>
  <c r="Z1411" i="1"/>
  <c r="P1431" i="1"/>
  <c r="O1431" i="1"/>
  <c r="Z1431" i="1"/>
  <c r="P1432" i="1"/>
  <c r="O1432" i="1"/>
  <c r="Z1346" i="1"/>
  <c r="Z1351" i="1"/>
  <c r="Z1362" i="1"/>
  <c r="Z1367" i="1"/>
  <c r="Z1378" i="1"/>
  <c r="P1415" i="1"/>
  <c r="O1415" i="1"/>
  <c r="Z1416" i="1"/>
  <c r="P1427" i="1"/>
  <c r="O1427" i="1"/>
  <c r="P1381" i="1"/>
  <c r="O1381" i="1"/>
  <c r="P1407" i="1"/>
  <c r="O1407" i="1"/>
  <c r="P1419" i="1"/>
  <c r="O14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TPONT HAMLIL</author>
    <author>TPONT ChefMag</author>
    <author>DOPE ZEGHOUANE</author>
  </authors>
  <commentList>
    <comment ref="H14" authorId="0" shapeId="0" xr:uid="{B209D8CF-05EC-47DC-A745-1F1117E0F8EB}">
      <text>
        <r>
          <rPr>
            <b/>
            <sz val="9"/>
            <rFont val="Tahoma"/>
            <charset val="1"/>
          </rPr>
          <t>TPONT HAMLIL:</t>
        </r>
        <r>
          <rPr>
            <sz val="9"/>
            <rFont val="Tahoma"/>
            <charset val="1"/>
          </rPr>
          <t xml:space="preserve">
embarquement par dp world</t>
        </r>
      </text>
    </comment>
    <comment ref="H17" authorId="0" shapeId="0" xr:uid="{AB3A4099-3B46-4E80-984C-B43EB65A6802}">
      <text>
        <r>
          <rPr>
            <b/>
            <sz val="9"/>
            <rFont val="Tahoma"/>
            <charset val="1"/>
          </rPr>
          <t>TPONT HAMLIL:</t>
        </r>
        <r>
          <rPr>
            <sz val="9"/>
            <rFont val="Tahoma"/>
            <charset val="1"/>
          </rPr>
          <t xml:space="preserve">
</t>
        </r>
      </text>
    </comment>
    <comment ref="Q17" authorId="1" shapeId="0" xr:uid="{BEB8B0DD-FC1C-4E84-9D37-13353BE093F9}">
      <text>
        <r>
          <rPr>
            <b/>
            <sz val="9"/>
            <rFont val="Tahoma"/>
            <charset val="134"/>
          </rPr>
          <t>TPONT ChefMag:</t>
        </r>
        <r>
          <rPr>
            <sz val="9"/>
            <rFont val="Tahoma"/>
            <charset val="134"/>
          </rPr>
          <t xml:space="preserve">
01 CAISSE</t>
        </r>
      </text>
    </comment>
    <comment ref="H139" authorId="2" shapeId="0" xr:uid="{2F372DD9-FAF1-4016-A97C-3019D33561D6}">
      <text>
        <r>
          <rPr>
            <b/>
            <sz val="9"/>
            <rFont val="Tahoma"/>
            <charset val="134"/>
          </rPr>
          <t>DOPE ZEGHOUANE:</t>
        </r>
        <r>
          <rPr>
            <sz val="9"/>
            <rFont val="Tahoma"/>
            <charset val="134"/>
          </rPr>
          <t xml:space="preserve">
TOLES EN PIECES</t>
        </r>
      </text>
    </comment>
    <comment ref="E363" authorId="0" shapeId="0" xr:uid="{A2A65A34-6564-4C1C-9ADF-59420483FE56}">
      <text>
        <r>
          <rPr>
            <b/>
            <sz val="9"/>
            <rFont val="Tahoma"/>
            <charset val="1"/>
          </rPr>
          <t>TPONT HAMLIL:</t>
        </r>
        <r>
          <rPr>
            <sz val="9"/>
            <rFont val="Tahoma"/>
            <charset val="1"/>
          </rPr>
          <t xml:space="preserve">
195  fdx</t>
        </r>
      </text>
    </comment>
    <comment ref="H412" authorId="0" shapeId="0" xr:uid="{39F8AD8A-5E38-462D-96D8-F296726FCF84}">
      <text>
        <r>
          <rPr>
            <b/>
            <sz val="9"/>
            <rFont val="Tahoma"/>
            <charset val="134"/>
          </rPr>
          <t>TPONT HAMLIL:</t>
        </r>
        <r>
          <rPr>
            <sz val="9"/>
            <rFont val="Tahoma"/>
            <charset val="134"/>
          </rPr>
          <t xml:space="preserve">
BACHAGE</t>
        </r>
      </text>
    </comment>
    <comment ref="E542" authorId="0" shapeId="0" xr:uid="{1E8D430B-2A30-4624-A417-9B932325B6C4}">
      <text>
        <r>
          <rPr>
            <b/>
            <sz val="9"/>
            <rFont val="Tahoma"/>
            <charset val="134"/>
          </rPr>
          <t>TPONT HAMLIL:</t>
        </r>
        <r>
          <rPr>
            <sz val="9"/>
            <rFont val="Tahoma"/>
            <charset val="134"/>
          </rPr>
          <t xml:space="preserve">
4643 pcs</t>
        </r>
      </text>
    </comment>
  </commentList>
</comments>
</file>

<file path=xl/sharedStrings.xml><?xml version="1.0" encoding="utf-8"?>
<sst xmlns="http://schemas.openxmlformats.org/spreadsheetml/2006/main" count="10468" uniqueCount="2963">
  <si>
    <t>N° ESCALE</t>
  </si>
  <si>
    <t>NAVIRE</t>
  </si>
  <si>
    <t>DATE D'ENTREE</t>
  </si>
  <si>
    <t>DATE FINITION</t>
  </si>
  <si>
    <t>QUANTITE MANIFETE</t>
  </si>
  <si>
    <t>TONNAGE MANIFETE</t>
  </si>
  <si>
    <t>SURFACE MANIFETE</t>
  </si>
  <si>
    <t>CLIENT</t>
  </si>
  <si>
    <t>Détails PRODUITS</t>
  </si>
  <si>
    <t>PRODUITS</t>
  </si>
  <si>
    <t>08 J</t>
  </si>
  <si>
    <t>2 M 08 J</t>
  </si>
  <si>
    <t>N° GROS / MRN</t>
  </si>
  <si>
    <t>RESTE QUANTITE</t>
  </si>
  <si>
    <t>RESTE TONNAGE</t>
  </si>
  <si>
    <t>RESTE SURFACE</t>
  </si>
  <si>
    <t>OBSV 1</t>
  </si>
  <si>
    <t>MARKS</t>
  </si>
  <si>
    <t>B/L</t>
  </si>
  <si>
    <t>CRN / ART</t>
  </si>
  <si>
    <t>DESIGNATION</t>
  </si>
  <si>
    <t>LATITUDE</t>
  </si>
  <si>
    <t>LONGITUDE</t>
  </si>
  <si>
    <t>ETAT</t>
  </si>
  <si>
    <t>COLIS</t>
  </si>
  <si>
    <t>N-OP</t>
  </si>
  <si>
    <t>ENGINS</t>
  </si>
  <si>
    <t>LEGER</t>
  </si>
  <si>
    <t>LOURD</t>
  </si>
  <si>
    <t>UTILITAIRE</t>
  </si>
  <si>
    <t>MISE A QUAI</t>
  </si>
  <si>
    <t>AUTRES</t>
  </si>
  <si>
    <t>SAOURA</t>
  </si>
  <si>
    <t>KOTAMA AGRII FOOD EX NUTRIS SPA</t>
  </si>
  <si>
    <t>40 P</t>
  </si>
  <si>
    <t>CONTENEUR</t>
  </si>
  <si>
    <t>346/19</t>
  </si>
  <si>
    <t>RORO</t>
  </si>
  <si>
    <t>36.818426</t>
  </si>
  <si>
    <t>5.8974467</t>
  </si>
  <si>
    <t>FU HAI HONG</t>
  </si>
  <si>
    <t>MAHOUR PLAST SARL</t>
  </si>
  <si>
    <t>CAMIONS</t>
  </si>
  <si>
    <t xml:space="preserve">FH24124LDJD154 + FH24124LDJD155 </t>
  </si>
  <si>
    <t>122+123+124</t>
  </si>
  <si>
    <t>FH24124LDJD156/158</t>
  </si>
  <si>
    <t>ONE CHALLENGE</t>
  </si>
  <si>
    <t>BILEK ACHOUR ETS</t>
  </si>
  <si>
    <t>CAP</t>
  </si>
  <si>
    <t>OC24126LDJD116</t>
  </si>
  <si>
    <t>LOYALTY HONG</t>
  </si>
  <si>
    <t>GOLD METAL TOUALI SARL</t>
  </si>
  <si>
    <t>POUTRELLES</t>
  </si>
  <si>
    <t>MIXTE+GC1</t>
  </si>
  <si>
    <t>LHMNDJ004</t>
  </si>
  <si>
    <t>SOLDEE</t>
  </si>
  <si>
    <t>EIHWAZ</t>
  </si>
  <si>
    <t>ZOUAOUI EURL</t>
  </si>
  <si>
    <t>CAMION POMPE A BETON</t>
  </si>
  <si>
    <t>24A0029000101ICS</t>
  </si>
  <si>
    <t>EZ24165XDJD126</t>
  </si>
  <si>
    <t>HAO FENG HAI</t>
  </si>
  <si>
    <t>CRCC</t>
  </si>
  <si>
    <t>REMORQUES</t>
  </si>
  <si>
    <t>25A0029000002ICS</t>
  </si>
  <si>
    <t xml:space="preserve"> 105277TJ301</t>
  </si>
  <si>
    <t>COSCO SHIPPING GRACE</t>
  </si>
  <si>
    <t>ZITOUNI YAHIA</t>
  </si>
  <si>
    <t>GRAV17TACDJE008</t>
  </si>
  <si>
    <t xml:space="preserve">MIXTE </t>
  </si>
  <si>
    <t>YANGZTZE HARMONY</t>
  </si>
  <si>
    <t>EL GUEDRA SARL</t>
  </si>
  <si>
    <t>BOBINES</t>
  </si>
  <si>
    <t>25A0029000007ICS</t>
  </si>
  <si>
    <t>YH24186ZDJD017A</t>
  </si>
  <si>
    <t>8+9+13+14+15</t>
  </si>
  <si>
    <t>OPER</t>
  </si>
  <si>
    <t>BOUKHERBATA EURL</t>
  </si>
  <si>
    <t>YH24186ZDJD015</t>
  </si>
  <si>
    <t>PRINCESS JOANNA</t>
  </si>
  <si>
    <t>BIALCO EURL</t>
  </si>
  <si>
    <t>BULLDOZERS</t>
  </si>
  <si>
    <t>25A0029000005ICS</t>
  </si>
  <si>
    <t>PJ24157LDJD105</t>
  </si>
  <si>
    <t>SPAR CORONA</t>
  </si>
  <si>
    <t>BERKINE GROUPEMENT</t>
  </si>
  <si>
    <t>TUBES</t>
  </si>
  <si>
    <t>24A0029000097ICS</t>
  </si>
  <si>
    <t>SC24185ZDJD042</t>
  </si>
  <si>
    <t>TAI HONOR</t>
  </si>
  <si>
    <t>NBL ALUMINIUM SARL</t>
  </si>
  <si>
    <t>PVC RESIN EN BIG BAG</t>
  </si>
  <si>
    <t>BIG BAG</t>
  </si>
  <si>
    <t>25A0029000009ICS</t>
  </si>
  <si>
    <t>105255TJ112 + 105255TJ113 + 105255TJ114 + 105255TJ115 + 105255TJ116 + 105255TJ117</t>
  </si>
  <si>
    <t>10+11+12+13+14+15</t>
  </si>
  <si>
    <t>YANGZE 6</t>
  </si>
  <si>
    <t>LOTUS SAT SARL</t>
  </si>
  <si>
    <t>25A0029000014ICS</t>
  </si>
  <si>
    <t>GC</t>
  </si>
  <si>
    <t>LO / L / L 1 / L 2 / BLUE F</t>
  </si>
  <si>
    <t>YZ25001XDJD007-015 + YZ25001XDJD112 + YZ25001XDJD120A + YZ25001XDJD120B + YZ25001XDJD139-150</t>
  </si>
  <si>
    <t>5+37+38+39+44</t>
  </si>
  <si>
    <t>STEEL TRANS SARL</t>
  </si>
  <si>
    <t>YZ25001XDJD078-080</t>
  </si>
  <si>
    <t>BEXCAR BENBRAHIM ET CIE SNC</t>
  </si>
  <si>
    <t>BUS</t>
  </si>
  <si>
    <t>YZ25001XDJD170</t>
  </si>
  <si>
    <t>YZ25001XDJD171</t>
  </si>
  <si>
    <t>SPAR TAURUS</t>
  </si>
  <si>
    <t>ZOGHBI AHMED</t>
  </si>
  <si>
    <t>25A0029000020ICS</t>
  </si>
  <si>
    <t>ST24235XDJD183</t>
  </si>
  <si>
    <t>CAMION TRACTEUR</t>
  </si>
  <si>
    <t>ST24235XDJD147</t>
  </si>
  <si>
    <t>QING YUN SHAN</t>
  </si>
  <si>
    <t>BENCHIKH ABDELKADER</t>
  </si>
  <si>
    <t>25A0029000024ICS</t>
  </si>
  <si>
    <t>QY25041LDJD076</t>
  </si>
  <si>
    <t>AMICHI ALI</t>
  </si>
  <si>
    <t>QY25041LDJD100</t>
  </si>
  <si>
    <t>OBSERVATOR</t>
  </si>
  <si>
    <t>DJOUDI ET BOUHANAF SARL</t>
  </si>
  <si>
    <t>CTP</t>
  </si>
  <si>
    <t>25A0029000016ICS</t>
  </si>
  <si>
    <t>OB24232LDJD089</t>
  </si>
  <si>
    <t>TROUVAY ET CAUVIN SPA</t>
  </si>
  <si>
    <t>OB24232LDJD100</t>
  </si>
  <si>
    <t>OPHELIA</t>
  </si>
  <si>
    <t>SOUF BOIS SAKER ET CIE SNC</t>
  </si>
  <si>
    <t>25A0029000025ICS</t>
  </si>
  <si>
    <t>24022LYDJ100/101</t>
  </si>
  <si>
    <t>ELDJORF PRODUCTION INDUSTRIELLE SARL</t>
  </si>
  <si>
    <t>24022LYDJ113</t>
  </si>
  <si>
    <t>TPI PLASTIC SARL</t>
  </si>
  <si>
    <t>24022LYDJ03 + 24022LYDJ04 + 24022LYDJ17</t>
  </si>
  <si>
    <t>3+4+16</t>
  </si>
  <si>
    <t>ABRAJ INJAZ SARL</t>
  </si>
  <si>
    <t>CAMION GRUE</t>
  </si>
  <si>
    <t>24022LYDJ98</t>
  </si>
  <si>
    <t>BAO LUCKY</t>
  </si>
  <si>
    <t>BELHADJ METAL SARL</t>
  </si>
  <si>
    <t>25A0029000021ICS</t>
  </si>
  <si>
    <t>BL25009YDJD070</t>
  </si>
  <si>
    <t>TRANSFORMATION DE PLASTIQUE STP SARL</t>
  </si>
  <si>
    <t>BL25009ZDJD013</t>
  </si>
  <si>
    <t>SIFOR SARL</t>
  </si>
  <si>
    <t>MACHINE DE FORAGE</t>
  </si>
  <si>
    <t>BL25009YDJD067</t>
  </si>
  <si>
    <t>KUAI BANG HAI 18</t>
  </si>
  <si>
    <t>TAHOURI RACHID</t>
  </si>
  <si>
    <t>25A029000027ICS</t>
  </si>
  <si>
    <t>KB25032LDJD045</t>
  </si>
  <si>
    <t>KB25032LDJD067</t>
  </si>
  <si>
    <t>DJERIDANE IBRAHIM EL KHALIL</t>
  </si>
  <si>
    <t>KB25032LDJD039</t>
  </si>
  <si>
    <t>KB25032LDJD068</t>
  </si>
  <si>
    <t>OUICHER RACHID EGTPH</t>
  </si>
  <si>
    <t>KB25032LDJD063</t>
  </si>
  <si>
    <t>BAGNO PLUS SARL</t>
  </si>
  <si>
    <t>KB25032XDJD083</t>
  </si>
  <si>
    <t>MASSINISSA STEEL SARL</t>
  </si>
  <si>
    <t>KB25032XDJD014</t>
  </si>
  <si>
    <t>BROAD GLORY</t>
  </si>
  <si>
    <t>PRIMINIUM WOOD SARL</t>
  </si>
  <si>
    <t>25A0122000005ICS</t>
  </si>
  <si>
    <t>BG25059LDJD075</t>
  </si>
  <si>
    <t>XIN HAI TONG 60</t>
  </si>
  <si>
    <t>ALTUB SARL / SOCIETE ALGERIENNE DE FABRICATION DE TUBES</t>
  </si>
  <si>
    <t>25A029000028ICS</t>
  </si>
  <si>
    <t>T BOIS + GC 0 + EN FACE surveillent + EN FACE PONT PASCUL EPJ</t>
  </si>
  <si>
    <t>COLOUR PURPLE</t>
  </si>
  <si>
    <t>XHT25012ZJGDJ05</t>
  </si>
  <si>
    <t>BAO RUN</t>
  </si>
  <si>
    <t>CAPROMET SARL</t>
  </si>
  <si>
    <t>25A0122000006ICS</t>
  </si>
  <si>
    <t>A FOND DE T BOIS + GC AVANT L RAIL + GC  A COTE SHIPLOADER EPJ + GC COTE TOILLET + A COTE PONT BASCULR G CARGO</t>
  </si>
  <si>
    <t>J6 YELLOW</t>
  </si>
  <si>
    <t>BR25069XDJD026</t>
  </si>
  <si>
    <t>J7 YELLOW</t>
  </si>
  <si>
    <t>BR25069XDJD067071</t>
  </si>
  <si>
    <t>J4 YELLOW</t>
  </si>
  <si>
    <t>BR25069XDJD072</t>
  </si>
  <si>
    <t>T7 GREEN</t>
  </si>
  <si>
    <t>BR25069XDJD196/197</t>
  </si>
  <si>
    <t>UNION METALLURGIQUE ALGERIENNE</t>
  </si>
  <si>
    <t>D8 RED</t>
  </si>
  <si>
    <t>BR25069XDJD073-077</t>
  </si>
  <si>
    <t>ILOOK SARL</t>
  </si>
  <si>
    <t>E3 RED COLOUR</t>
  </si>
  <si>
    <t>BR25069XDJD009-15</t>
  </si>
  <si>
    <t>S5 BLUE</t>
  </si>
  <si>
    <t>BR25069XDJD192-195</t>
  </si>
  <si>
    <t>ROUABEH MAAMAR</t>
  </si>
  <si>
    <t>EXCAVATEURS</t>
  </si>
  <si>
    <t>T BOIS A COTE LE MUR GMS</t>
  </si>
  <si>
    <t>BR25069XDJD190</t>
  </si>
  <si>
    <t>AUTO BETONNIERE</t>
  </si>
  <si>
    <t>MIXTE COTE RAIL + MIXTE COTE SAISIE DOUANE</t>
  </si>
  <si>
    <t>SEA CREDENCE</t>
  </si>
  <si>
    <t>KOUACHE TADJ ENTREPRISE EURL</t>
  </si>
  <si>
    <t>25A0122000030ICS</t>
  </si>
  <si>
    <t>MIXTE + ZONE CLINKER ( OUEST )</t>
  </si>
  <si>
    <t>SC25048LDJD061</t>
  </si>
  <si>
    <t>T BOIS COTE GMS + EN FACE RESTAURANT + HANGAR</t>
  </si>
  <si>
    <t>SALDAE BUILDING EURL</t>
  </si>
  <si>
    <t>NIVELEUSES</t>
  </si>
  <si>
    <t>SC25048LDJD057</t>
  </si>
  <si>
    <t>COMPACTEURS</t>
  </si>
  <si>
    <t>KERROUCHE SARL</t>
  </si>
  <si>
    <t>SC25048LDJD140</t>
  </si>
  <si>
    <t>HANGAR  + EN FACE HANGAR</t>
  </si>
  <si>
    <t>SC25048LDJD133</t>
  </si>
  <si>
    <t>EEMSLIFT NADINE</t>
  </si>
  <si>
    <t>GENERAL ELECTRIC GLOBAL SERVICES GMBH</t>
  </si>
  <si>
    <t>NAD-DER-DJE-001</t>
  </si>
  <si>
    <t>CAMELLIA 8</t>
  </si>
  <si>
    <t>TCHEIR LISSINAA EURL</t>
  </si>
  <si>
    <t>25A0029000029ICS</t>
  </si>
  <si>
    <t>TCHEIR</t>
  </si>
  <si>
    <t>CA25003TJDJ62</t>
  </si>
  <si>
    <t>HIGH CONCEPT SARL</t>
  </si>
  <si>
    <t>CA25003TJDJ25</t>
  </si>
  <si>
    <t>ENGIN PLUS EURL</t>
  </si>
  <si>
    <t>EN FACE RESTAURANT + A COTE MUR GMS + EN FACE NAVIRE POSTE 6 GC + N FACE NAVIRE POSTE 5 GC</t>
  </si>
  <si>
    <t>CA25003LYD1001</t>
  </si>
  <si>
    <t>TIGBA EURL</t>
  </si>
  <si>
    <t>MIXTE + EN FACE POSTE 5 G CARGO</t>
  </si>
  <si>
    <t>CA25003LYD0703</t>
  </si>
  <si>
    <t>DATA CONSTRUCTION EURL</t>
  </si>
  <si>
    <t>CA25003LYD2505</t>
  </si>
  <si>
    <t>CA25003LYD2510</t>
  </si>
  <si>
    <t>SOCIETE AL DJOUNAID SARL</t>
  </si>
  <si>
    <t>TIGE DE FORAGE</t>
  </si>
  <si>
    <t>CA25003TJDJ34</t>
  </si>
  <si>
    <t>CA25003TJDJ61/71</t>
  </si>
  <si>
    <t>CHENGTEN SARL</t>
  </si>
  <si>
    <t>CA25003LYD0301</t>
  </si>
  <si>
    <t>WARISA NAREE</t>
  </si>
  <si>
    <t>COMPLEXE SIDERURGIQUE EPE SIDER EL-HADJAR</t>
  </si>
  <si>
    <t>25A0029000031ICS</t>
  </si>
  <si>
    <t>EN FACE PONT BASCULE OAIC</t>
  </si>
  <si>
    <t>WN25022LDJD076</t>
  </si>
  <si>
    <t>W3</t>
  </si>
  <si>
    <t>GREEN</t>
  </si>
  <si>
    <t>WN25022ZDJD003B</t>
  </si>
  <si>
    <t>WN25022ZDJD007</t>
  </si>
  <si>
    <t>STEEL NORME SARL</t>
  </si>
  <si>
    <t>DJENDJEN,TATA</t>
  </si>
  <si>
    <t>WN25022LDJD502</t>
  </si>
  <si>
    <t>METGAV EURL</t>
  </si>
  <si>
    <t>PURPLE - 20586/251</t>
  </si>
  <si>
    <t>WN25022ZDJD002</t>
  </si>
  <si>
    <t>ATLAS BOIS SARL</t>
  </si>
  <si>
    <t>EN FACE PARC+HG6000+HG 10003</t>
  </si>
  <si>
    <t>WN25022LDJD035</t>
  </si>
  <si>
    <t>MOURISKA EURL</t>
  </si>
  <si>
    <t>EN FACE PARC+HG6000+HG 10015</t>
  </si>
  <si>
    <t>WN25022LDJD046</t>
  </si>
  <si>
    <t>EN FACE PARC+HG6000+HG 10016</t>
  </si>
  <si>
    <t>WN25022LDJD047</t>
  </si>
  <si>
    <t>EN FACE PARC+HG6000+HG 10017</t>
  </si>
  <si>
    <t>WN25022LDJD048</t>
  </si>
  <si>
    <t>ENAFOR SPA / ENTREPRISE NATIONALE DE FORAGE SPA</t>
  </si>
  <si>
    <t>RORO + GC POSTE 1</t>
  </si>
  <si>
    <t>WN25022LDJD008</t>
  </si>
  <si>
    <t>SATEREX EURL</t>
  </si>
  <si>
    <t>CAMION BALAYEUSE</t>
  </si>
  <si>
    <t>MIXTE</t>
  </si>
  <si>
    <t>WN25022LDJD014ABC</t>
  </si>
  <si>
    <t>FERDJIOUA PLASTIQUE ET SERVICE SARL</t>
  </si>
  <si>
    <t>PET RESIN EN BIG BAG</t>
  </si>
  <si>
    <t>A COTE PONT PASCULE OAIC/ cote administration oaic/ cote droit poste police 1 + A COTE RAIL EN FACE DP WORLD + EN FACE CASERNE</t>
  </si>
  <si>
    <t>WN25022ZDJD107</t>
  </si>
  <si>
    <t>YANGTZE ALPHA</t>
  </si>
  <si>
    <t>EWAAN TPH EURL</t>
  </si>
  <si>
    <t>CHARGEURS</t>
  </si>
  <si>
    <t>YA25085LDJD038</t>
  </si>
  <si>
    <t>OUEST</t>
  </si>
  <si>
    <t>YA25085LDJD039</t>
  </si>
  <si>
    <t>HYDRO SM EURL</t>
  </si>
  <si>
    <t>YA25085LDJD040</t>
  </si>
  <si>
    <t>DJRM</t>
  </si>
  <si>
    <t>A COTE MUR GMS</t>
  </si>
  <si>
    <t>YA25085LDJD102</t>
  </si>
  <si>
    <t>GMI PROMAX SARL</t>
  </si>
  <si>
    <t>en face pont bascule oaic + EN FACE ACCEES / EST /  DE PORT + FFP W1 OUEST+ HG10001</t>
  </si>
  <si>
    <t>YA25085LDJD076</t>
  </si>
  <si>
    <t>TAIBA BOIS SARL</t>
  </si>
  <si>
    <t>YA25085LDJD065</t>
  </si>
  <si>
    <t>ATRAPHYD SARL</t>
  </si>
  <si>
    <t>YA25085LDJD118</t>
  </si>
  <si>
    <t>SH OURHOUD</t>
  </si>
  <si>
    <t>EN FACE CASERNE + DP WORLD</t>
  </si>
  <si>
    <t>YA25085LDJD087-089</t>
  </si>
  <si>
    <t>GEMINI HONOR</t>
  </si>
  <si>
    <t>HAMEL ALI  GROUPE ENTREPRISE ET INDUSTRIE ET SERVICES EURL</t>
  </si>
  <si>
    <t>25011TJD0605 - 25011TJD0606 - 25011TJD0607</t>
  </si>
  <si>
    <t>25011TJD0605-0607</t>
  </si>
  <si>
    <t>EL HADJ TAHAR STEEL SARL</t>
  </si>
  <si>
    <t>GC 3 A COTE PARCKING + GC ACOTE LIEBHHER EN PANNE</t>
  </si>
  <si>
    <t>25011LYD0204</t>
  </si>
  <si>
    <t>GHAMOUD MOHAMED EURL</t>
  </si>
  <si>
    <t>FFP</t>
  </si>
  <si>
    <t>EN FACE ET COTE  HANGAR6000</t>
  </si>
  <si>
    <t>25011LYD0603</t>
  </si>
  <si>
    <t>25011LYD0612</t>
  </si>
  <si>
    <t>25011LYD0613</t>
  </si>
  <si>
    <t>25011LYD0614</t>
  </si>
  <si>
    <t>25011LYD0615</t>
  </si>
  <si>
    <t>25011LYD0616</t>
  </si>
  <si>
    <t>25011LYD0617</t>
  </si>
  <si>
    <t>25011LYD0618</t>
  </si>
  <si>
    <t>EL MANAR SARL</t>
  </si>
  <si>
    <t>GC 6 + MIXTE + OUEST /T BOIS</t>
  </si>
  <si>
    <t>25011LYD2425</t>
  </si>
  <si>
    <t>25011LYD2426</t>
  </si>
  <si>
    <t>DAHIM NOUREDDINE (ETB/TCE)</t>
  </si>
  <si>
    <t>25011LYD2451</t>
  </si>
  <si>
    <t>GC 5 + EN FACE RESTAURANT+ A COTE PONT DE PINITRONT + OUEST POSTE 5 + T BOIS A COTE MUR GMS + A BENNE DES CAMIONS</t>
  </si>
  <si>
    <t>25011LYD2452</t>
  </si>
  <si>
    <t>MEGA MED SYCOMED EURL</t>
  </si>
  <si>
    <t>25011LYD1102</t>
  </si>
  <si>
    <t>KADDOUR ABDELKRIM</t>
  </si>
  <si>
    <t>25011LYD2428</t>
  </si>
  <si>
    <t>BACHAR MOHAMED</t>
  </si>
  <si>
    <t>25011LYD2434</t>
  </si>
  <si>
    <t>BENAISSA ABDELLAH</t>
  </si>
  <si>
    <t>25011LYD2436</t>
  </si>
  <si>
    <t>G PACIFIC</t>
  </si>
  <si>
    <t>BELMAHI TRANSPORT ET LOGISTICS EURL</t>
  </si>
  <si>
    <t xml:space="preserve">T BOIS A COTE SILO KOTAMA AGRIFOUD + EN FACE PONT BASCULE OUEST + CLINKER </t>
  </si>
  <si>
    <t>GP25120LDJD009</t>
  </si>
  <si>
    <t>GP25120LDJD010</t>
  </si>
  <si>
    <t>EN FACE RESTURANT</t>
  </si>
  <si>
    <t>GP25120LDJD108</t>
  </si>
  <si>
    <t>GP25120LDJD011</t>
  </si>
  <si>
    <t>GP25120LDJD107</t>
  </si>
  <si>
    <t>SLC SARL</t>
  </si>
  <si>
    <t>GP25120LDJD030</t>
  </si>
  <si>
    <t>FALCO CONFISERIE SARL</t>
  </si>
  <si>
    <t>GP25120LDJD058</t>
  </si>
  <si>
    <t>GP25120LDJD076</t>
  </si>
  <si>
    <t>ENAB SPE SPA</t>
  </si>
  <si>
    <t>T BOIS + HANGAR 10000</t>
  </si>
  <si>
    <t>GP25120LDJD063</t>
  </si>
  <si>
    <t>GP25120LDJD065</t>
  </si>
  <si>
    <t>GP25120LDJD066</t>
  </si>
  <si>
    <t>RED  / 20594 / 252</t>
  </si>
  <si>
    <t>GP25120LDJD102</t>
  </si>
  <si>
    <t>BLUE</t>
  </si>
  <si>
    <t>GP25120LDJD103/106</t>
  </si>
  <si>
    <t>NEMEA</t>
  </si>
  <si>
    <t>SARL TIRSAM</t>
  </si>
  <si>
    <t>TOLES EN PLAQUES</t>
  </si>
  <si>
    <t>EN FACE ACCES EST + T BOIS A COTE SILO KOTAMA AGRIFOOD</t>
  </si>
  <si>
    <t>RED</t>
  </si>
  <si>
    <t>NM25107XDJD045-052</t>
  </si>
  <si>
    <t>WHITE / MST 1726</t>
  </si>
  <si>
    <t>NM25107XDJD062/308-3</t>
  </si>
  <si>
    <t>16+18</t>
  </si>
  <si>
    <t>EUROPANNEAUX ALGERIE SARL</t>
  </si>
  <si>
    <t>RED Y1</t>
  </si>
  <si>
    <t>NM25107XDJD131-133</t>
  </si>
  <si>
    <t>6+7</t>
  </si>
  <si>
    <t>RED2</t>
  </si>
  <si>
    <t>NM25107XDJD023-029</t>
  </si>
  <si>
    <t>N/M</t>
  </si>
  <si>
    <t>NM25107XDJD039-042</t>
  </si>
  <si>
    <t>YELLOW T7</t>
  </si>
  <si>
    <t>NM25107XDJD109/110</t>
  </si>
  <si>
    <t>YELLOW T2</t>
  </si>
  <si>
    <t>NM25107XDJD241-245</t>
  </si>
  <si>
    <t>NM25107XDJD246-248</t>
  </si>
  <si>
    <t>YELLOW T1</t>
  </si>
  <si>
    <t>NM25107XDJD263-268</t>
  </si>
  <si>
    <t>WHITE T8</t>
  </si>
  <si>
    <t>NM25107XDJD278-280</t>
  </si>
  <si>
    <t>SARL AGRO ZAGH FRERES</t>
  </si>
  <si>
    <t>RORO + MIXTE</t>
  </si>
  <si>
    <t>NM25107XDJD019/20</t>
  </si>
  <si>
    <t>EURL EL KENDI PETROLEUM</t>
  </si>
  <si>
    <t>NM25107XDJD103</t>
  </si>
  <si>
    <t>HONOUR</t>
  </si>
  <si>
    <t>GLOBAL HEAVY ALGERIA</t>
  </si>
  <si>
    <t>HN25163LDJD014-17</t>
  </si>
  <si>
    <t>CAMION CITERNE</t>
  </si>
  <si>
    <t>HN25163LDJD018</t>
  </si>
  <si>
    <t>HN25163LDJD059</t>
  </si>
  <si>
    <t>SARL HYDROBAT SUD</t>
  </si>
  <si>
    <t>HN25163LDJD082</t>
  </si>
  <si>
    <t>JIA DE CHANG HE</t>
  </si>
  <si>
    <t>CHELLEL CONSTRUCTION ET URBANCHELLEL SARL</t>
  </si>
  <si>
    <t>JH25126LDJD134</t>
  </si>
  <si>
    <t>BOUMALEK MOHAMED MALIK</t>
  </si>
  <si>
    <t>JH25126LDJD135</t>
  </si>
  <si>
    <t>EL GUEDRA, ZONE SARL</t>
  </si>
  <si>
    <t>JH25126LDJD110</t>
  </si>
  <si>
    <t>JH25126LDJD121</t>
  </si>
  <si>
    <t>JH25126XDJD034</t>
  </si>
  <si>
    <t>ATHOS</t>
  </si>
  <si>
    <t>EURL RECMA PLAST</t>
  </si>
  <si>
    <t>MDF</t>
  </si>
  <si>
    <t>AH25146LDJD108</t>
  </si>
  <si>
    <t>DJOUDI MESSAOUD</t>
  </si>
  <si>
    <t>AH25146LDJD113</t>
  </si>
  <si>
    <t>EURL GHAMOUD MOHAMED PRODUCTION CERAMIQES</t>
  </si>
  <si>
    <t>AH25146LDJD114H</t>
  </si>
  <si>
    <t>EPE SAPTA SPA</t>
  </si>
  <si>
    <t>AH25146LDJD127</t>
  </si>
  <si>
    <t>EPE ALFA PIPE SPA</t>
  </si>
  <si>
    <t>AH25146XDJD007</t>
  </si>
  <si>
    <t>SNL POUR COMPTE MAPROGAZ</t>
  </si>
  <si>
    <t>AH25146LDJD041</t>
  </si>
  <si>
    <t>EURL EWAAN TPH</t>
  </si>
  <si>
    <t>AH25146LDJD065</t>
  </si>
  <si>
    <t>AH25146LDJD066</t>
  </si>
  <si>
    <t>EURL TIGBA</t>
  </si>
  <si>
    <t>AH25146LDJD080</t>
  </si>
  <si>
    <t>MXD QUANZHOU</t>
  </si>
  <si>
    <t>SARL ANYA INDJAZ</t>
  </si>
  <si>
    <t>QZ25149LDJD014</t>
  </si>
  <si>
    <t>SARL SACHCO</t>
  </si>
  <si>
    <t>QZ25149LDJD056</t>
  </si>
  <si>
    <t>STE EL DJORF POUR L'IMPORT EXPORT ET LA PRODUCTION INDUSTRIELLE SARL</t>
  </si>
  <si>
    <t>QZ25149LDJD082</t>
  </si>
  <si>
    <t>QZ25149LBSKK007</t>
  </si>
  <si>
    <t>SPRING COSMOS</t>
  </si>
  <si>
    <t>EURL EATAH</t>
  </si>
  <si>
    <t>XM25174XDJD096</t>
  </si>
  <si>
    <t>SARL SOBICAP M</t>
  </si>
  <si>
    <t>XM25174XDJD036-038</t>
  </si>
  <si>
    <t>SARL PROLIPOS</t>
  </si>
  <si>
    <t>XM25174XDJD039-041</t>
  </si>
  <si>
    <t>SARL MIRAS ET IYAD</t>
  </si>
  <si>
    <t>XM25174XDJD047</t>
  </si>
  <si>
    <t>XM25174XDJD060-066</t>
  </si>
  <si>
    <t>EURL BETON DHOUS</t>
  </si>
  <si>
    <t>XM25174LDJD120</t>
  </si>
  <si>
    <t>EURL SKY SUD</t>
  </si>
  <si>
    <t>XM25174LDJD064</t>
  </si>
  <si>
    <t>EURL MEHRIA GRAND TRAVUX ET HYDRAULIQUE</t>
  </si>
  <si>
    <t>XM25174LDJD074</t>
  </si>
  <si>
    <t>EURL ZAHRAT ERRIF</t>
  </si>
  <si>
    <t>XM25174LDJD081</t>
  </si>
  <si>
    <t>SARL ACOSCO</t>
  </si>
  <si>
    <t>CHARIOT ELEVATEUR</t>
  </si>
  <si>
    <t>XM25174LDJD082</t>
  </si>
  <si>
    <t>SNC MAAYOUF ET FILS</t>
  </si>
  <si>
    <t>REMORQUE</t>
  </si>
  <si>
    <t>XM25174LDJD098</t>
  </si>
  <si>
    <t>XM25174LDJD099</t>
  </si>
  <si>
    <t xml:space="preserve">YANGZE 6   </t>
  </si>
  <si>
    <t>GROUPEMENT BERKINE (SH-AAC)</t>
  </si>
  <si>
    <t>YZ25173LDJD094-096</t>
  </si>
  <si>
    <t>EURL GHAMOUD MOHAMED PROD CERAMIQUE</t>
  </si>
  <si>
    <t>HG OUEST+EN FACE PARC</t>
  </si>
  <si>
    <t>YZ25173HDJD001</t>
  </si>
  <si>
    <t>MDF ATI
HS CODE: 4411141000
REFERENCE: NIF: 000 619 008 669 909</t>
  </si>
  <si>
    <t>YZ25173HDJD002A</t>
  </si>
  <si>
    <t>MDF HS CODE: 4411141000</t>
  </si>
  <si>
    <t>YZ25173HDJD002B</t>
  </si>
  <si>
    <t>YZ25173HDJD002C</t>
  </si>
  <si>
    <t>YZ25173HDJD002D</t>
  </si>
  <si>
    <t>YZ25173HDJD002E</t>
  </si>
  <si>
    <t>YZ25173HDJD002F</t>
  </si>
  <si>
    <t>YZ25173HDJD003</t>
  </si>
  <si>
    <t>FILM FACED PLYWOOD
HS CODE: 4412331000</t>
  </si>
  <si>
    <t>EURL GIBA TRADE IMPORT EXPORT</t>
  </si>
  <si>
    <t>YZ25173LDJD083E</t>
  </si>
  <si>
    <t>BAHRI DIRIYAH</t>
  </si>
  <si>
    <t>EN FACE HG6000+ EN FACE P4 GC+ ROUTE VERS GC *TC*+</t>
  </si>
  <si>
    <t>DR006QIDJ001A</t>
  </si>
  <si>
    <t xml:space="preserve">MXD XIAMEN   </t>
  </si>
  <si>
    <t>SARL CAPROMET</t>
  </si>
  <si>
    <t>OUEST + GC 5+6</t>
  </si>
  <si>
    <t>Z</t>
  </si>
  <si>
    <t>MD25174XDJD052</t>
  </si>
  <si>
    <t>MD25174XDJD058</t>
  </si>
  <si>
    <t>MD25174XDJD069</t>
  </si>
  <si>
    <t>EURL MAGHREB PROFIL PRO</t>
  </si>
  <si>
    <t>MD25174XDJD173-175</t>
  </si>
  <si>
    <t>EURL ELKENDI PETROLEUM</t>
  </si>
  <si>
    <t>MD25174XDJD131</t>
  </si>
  <si>
    <t>04 UNITS TRAILER ( VOIR BL)</t>
  </si>
  <si>
    <t>MD25174XDJD145</t>
  </si>
  <si>
    <t>01 UNIT TRAILER ( VOIR BL)</t>
  </si>
  <si>
    <t>MD25174XDJD146/222</t>
  </si>
  <si>
    <t>02 UNITS TRACTOR HEAD ND4260BD3J6Z09 ( VOIR BL)</t>
  </si>
  <si>
    <t>BANQUE DE L'AGRICULTURE ET DU DEVELOPPEMENT RURAL PC BOUHASSEIN REDOUANE</t>
  </si>
  <si>
    <t>MD25174XDJD154</t>
  </si>
  <si>
    <t>03 UNITS ZZ4257V384GB1 SINOTRUK HOWO-TX 6X4 TRACTOR HEAD /03 UNITS ZJV9400TDPH CIMC 3 AXLES CARGO SEMI-TRAILER ( VOIR BL)</t>
  </si>
  <si>
    <t>EURL TAYEBI TAYEB CIMENT</t>
  </si>
  <si>
    <t>MD25174XDJD186</t>
  </si>
  <si>
    <t>03 UNITS SDW9407GFLA CIMC 45M3 CEMENT POWER TANKER ( VOIR BL)</t>
  </si>
  <si>
    <t>EL DJAZAIR IDJAR S.P.A PC SARL VITRO</t>
  </si>
  <si>
    <t>MD25174XDJD203</t>
  </si>
  <si>
    <t>04 UNITS SX3255JM384 SHACMAN F2000 6X4 DUMP TRUCK/04 UNITS SX5255GYSJM434 SHACMAN F2000 20M3 WATER TANKER TRUCK ( VOIR BL)</t>
  </si>
  <si>
    <t xml:space="preserve">HONG RUN 16    </t>
  </si>
  <si>
    <t>SARL PHENIX PLATEAU</t>
  </si>
  <si>
    <t>HG 6000 + GC</t>
  </si>
  <si>
    <t>25014LYD4603</t>
  </si>
  <si>
    <t>GC3 + ROUTE PRINCIPALE</t>
  </si>
  <si>
    <t>25014LYD3101</t>
  </si>
  <si>
    <t>GCB-SOCIETE NATIONALE DE GENIE CIVIL ET BATIMENT</t>
  </si>
  <si>
    <t>CASERNE</t>
  </si>
  <si>
    <t>25014LYD5501/02</t>
  </si>
  <si>
    <t>SARL EL BAZ PROFIL</t>
  </si>
  <si>
    <t>25014LYD4001</t>
  </si>
  <si>
    <t>25014LYD0601-03</t>
  </si>
  <si>
    <t>ROTARY DRILLING RIG/GANTRY CRANE /EXCAVATOR /LOADER / BREAKER/FISHPLATE/RAIL/BOLT/SPARE PARTS ( VOIR BL)</t>
  </si>
  <si>
    <t>SARL ALGAL PLUS</t>
  </si>
  <si>
    <t>25014LYD1001</t>
  </si>
  <si>
    <t>04 UNITS HYDRAULIC EXCAVATOR XE135GA / 02 UNITS LOADER LW500FN WITH ACCESSORY ( VOIR BL)</t>
  </si>
  <si>
    <t>SARL MATADOR SERVICES</t>
  </si>
  <si>
    <t>25014LYD5602</t>
  </si>
  <si>
    <t>02 UNITS EXCAVATER WITH HAMER 02 HYUNDAI HX340 (VOIR BL)</t>
  </si>
  <si>
    <t>ASIAN PROGRESS</t>
  </si>
  <si>
    <t>EURL SALDAE BUILDING</t>
  </si>
  <si>
    <t>EXCVATEURS</t>
  </si>
  <si>
    <t>GMS</t>
  </si>
  <si>
    <t>AP25216LDJD029</t>
  </si>
  <si>
    <t>01 UNIT CRAWLER EXCAVATOR DX360LCA-7B (VOIR BL)</t>
  </si>
  <si>
    <t>AMMARI ISSAM</t>
  </si>
  <si>
    <t>AP25216LDJD056</t>
  </si>
  <si>
    <t>04 UNITS HIGER AUTOCAR V91 ( VOIR BL)</t>
  </si>
  <si>
    <t>AP25216LDJD067</t>
  </si>
  <si>
    <t>SPARE PARTS FOR BUS</t>
  </si>
  <si>
    <t xml:space="preserve">ESTRELLA                                </t>
  </si>
  <si>
    <t>ZONE TUBE</t>
  </si>
  <si>
    <t>ES25214LDJD057/058</t>
  </si>
  <si>
    <t>TUBULAR MATERIAL (TUBINGS/ PUP JOINTS)</t>
  </si>
  <si>
    <t>SH ENI GROUPEMENT</t>
  </si>
  <si>
    <t>ES25214LDJD050/052</t>
  </si>
  <si>
    <t>LINE PIPE</t>
  </si>
  <si>
    <t>HG 6000</t>
  </si>
  <si>
    <t>ES25214LDJD025</t>
  </si>
  <si>
    <t xml:space="preserve">LAGO DI FIASTRA </t>
  </si>
  <si>
    <t>HOT ROLLED COILS</t>
  </si>
  <si>
    <t xml:space="preserve">CHANG HANG HAO HAI </t>
  </si>
  <si>
    <t>SARL IMICOM</t>
  </si>
  <si>
    <t>CH25241LDJD116</t>
  </si>
  <si>
    <t>MDF/FANCY MDF/FILM FACED PLYWOOD/FANCY BLOCK BOARD/ COMMERCIAL PLYWOOD</t>
  </si>
  <si>
    <t>SARL SPOTIFY</t>
  </si>
  <si>
    <t>CH25241LDJD117</t>
  </si>
  <si>
    <t>FILM FACED PLYWOOD</t>
  </si>
  <si>
    <t>SARL STEEL TRANS</t>
  </si>
  <si>
    <t>T BOIS</t>
  </si>
  <si>
    <t>CH25241LDJD120</t>
  </si>
  <si>
    <t>STEEL BEAMS</t>
  </si>
  <si>
    <t>SARL MASSINISSA STEEL IMPORT EXPORT</t>
  </si>
  <si>
    <t>CH25241BDJD003</t>
  </si>
  <si>
    <t>SARL AKRAM INVESTISSEMENT</t>
  </si>
  <si>
    <t>CH25241TDJD023</t>
  </si>
  <si>
    <t>PRE-PAINTED GALVANISED STEEL COILS</t>
  </si>
  <si>
    <t>CH25241TDJD049/050</t>
  </si>
  <si>
    <t>PRE-PAINTED STEEL COILS</t>
  </si>
  <si>
    <t>SPA BORDJ STEEL</t>
  </si>
  <si>
    <t>CH25241TDJD058-065</t>
  </si>
  <si>
    <t>CH25241TDJD066-073</t>
  </si>
  <si>
    <t>SARL KERNOU ALUMINIUM IMPORT-EXPORT</t>
  </si>
  <si>
    <t>CH25241TDJD075</t>
  </si>
  <si>
    <t>GALVANIZED STEEL COIL</t>
  </si>
  <si>
    <t>EURL TCR TRAVAUX CONSTRUCTION DES ROUTES</t>
  </si>
  <si>
    <t>CH25241LDJD005</t>
  </si>
  <si>
    <t>05 UNITS SX3255JM384 SHACMAN F2000 6X4 DUMP TRUCK 01 UNIT SX5255GYSJM434 SHACMAN F2000 6X4 WATER TRUCK ( VOIR BL)</t>
  </si>
  <si>
    <t>SARL KAHIA METAL</t>
  </si>
  <si>
    <t>CH25241LDJD016-018</t>
  </si>
  <si>
    <t>02 UNITS ZZ4256V364HC1H SINOTRUK SITRAK TRACTOR TRUCK 04 UNITS ZZ3317V356GB1 SINOTRUK HOWO TIPPER TRUCK 02 UNITS THT9480 CARGO SEMI-TRAILER (VOIR BL)</t>
  </si>
  <si>
    <t>SARL SUD TIMMI ADRAR</t>
  </si>
  <si>
    <t>CH25241LDJD041</t>
  </si>
  <si>
    <t>02 UNITS EXCAVATOR HX340HD ( VOIR BL)</t>
  </si>
  <si>
    <t>S.N.C OUAZENE ET FRERES</t>
  </si>
  <si>
    <t>CH25241LDJD074</t>
  </si>
  <si>
    <t>03 UNITS SINOTRUK HOWO TX 6*4 SPRINKLER TRUCK LHD ( VOIR BL)</t>
  </si>
  <si>
    <t>EURL AISSI E.T.R.H.B</t>
  </si>
  <si>
    <t>CH25241LDJD138</t>
  </si>
  <si>
    <t>01 UNIT HYUNDAI CRAWLER EXCAVATOR HX340HD ( VOIR BL)</t>
  </si>
  <si>
    <t>SNC SOTRABAP BELHADJ ET CIE</t>
  </si>
  <si>
    <t>CH25241LDJD141</t>
  </si>
  <si>
    <t>02 UNITS SINOTRUK HOWO TX 6X4 DUMP TRUCK (VOIR BL</t>
  </si>
  <si>
    <t xml:space="preserve">CHORUS V </t>
  </si>
  <si>
    <t>LâOURS FOR OIL AND GAS SERVICES</t>
  </si>
  <si>
    <t>2503LYD5001</t>
  </si>
  <si>
    <t>COILED TUBING STRING WITH ACCESSORIES ( VOIR BL)</t>
  </si>
  <si>
    <t>EURL SOUF TRADING</t>
  </si>
  <si>
    <t>2503TJD0501</t>
  </si>
  <si>
    <t>API 5CT CASING PIPE</t>
  </si>
  <si>
    <t>EURL ECE</t>
  </si>
  <si>
    <t>2503TJD0601</t>
  </si>
  <si>
    <t>SSAW (API 5L GR B)</t>
  </si>
  <si>
    <t>EURL AURES DRILL</t>
  </si>
  <si>
    <t>2503TJD1001</t>
  </si>
  <si>
    <t>CASING API 13 3/8''</t>
  </si>
  <si>
    <t>SARL ALOUI TRUST</t>
  </si>
  <si>
    <t>2503LYD3001</t>
  </si>
  <si>
    <t>COMMERCIAL PLYWOOD/FANCY BLOCKBOARD /FANCY MDF / RAW MDF / FILM FACED PLYWOOD</t>
  </si>
  <si>
    <t>EURL GLOBAL HEAVY ALGERIA</t>
  </si>
  <si>
    <t>2503LYD0801</t>
  </si>
  <si>
    <t>GANTRY CRANE / GENERATOR SET</t>
  </si>
  <si>
    <t>SARL TUNCH</t>
  </si>
  <si>
    <t>2503LYD0901</t>
  </si>
  <si>
    <t>DRI FURNACE</t>
  </si>
  <si>
    <t>2503LYD1801</t>
  </si>
  <si>
    <t>MORTAR REFRACTORIES</t>
  </si>
  <si>
    <t>2503TJD1701-07,11-12</t>
  </si>
  <si>
    <t>SHEET METAL/STAINLESS STEEL SHEET METAL ( VOIR BL)</t>
  </si>
  <si>
    <t>SIM CHEMICAL SPA</t>
  </si>
  <si>
    <t>2503LYD4501</t>
  </si>
  <si>
    <t>MATERIELS ET MATERIAUX ( VOIR BL)</t>
  </si>
  <si>
    <t>2503LYD4502</t>
  </si>
  <si>
    <t>PART OF DRYER PART OF BAG DUST COLLECTOR</t>
  </si>
  <si>
    <t>2503LYD4503</t>
  </si>
  <si>
    <t>ECOLOGE EURL</t>
  </si>
  <si>
    <t>2503LYD4901-04</t>
  </si>
  <si>
    <t>HOT DIP GALVANIZED STEEL STRIP</t>
  </si>
  <si>
    <t>EURL CAPS IMPORT EXPORT</t>
  </si>
  <si>
    <t>2503TJD1101</t>
  </si>
  <si>
    <t>COLD ROLL COIL</t>
  </si>
  <si>
    <t>SARL BATINOL CONSTRUCTION</t>
  </si>
  <si>
    <t>CAMION</t>
  </si>
  <si>
    <t>2503LYD2803</t>
  </si>
  <si>
    <t>20 UNITS SX3255JM384 SHACMAN F2000 6X4 DUMP TRUCK (VOIR BL)</t>
  </si>
  <si>
    <t>SARL ELWAHA SERVICES ET COMMERCES</t>
  </si>
  <si>
    <t>2503TJD1401</t>
  </si>
  <si>
    <t>06 UNITS FLATBED SEMI TRAILER ( VOIR BL)</t>
  </si>
  <si>
    <t>SEA VIRYA</t>
  </si>
  <si>
    <t>SARL SITIFIS OASIS INDUSTRIE</t>
  </si>
  <si>
    <t>SV25277LDJD021</t>
  </si>
  <si>
    <t>CASING PIPE API 5CT K55 BTC</t>
  </si>
  <si>
    <t>SV25277LDJD054/57/58</t>
  </si>
  <si>
    <t>TUBULAR MATERIAL ( CASING /TUBING)</t>
  </si>
  <si>
    <t>SV25277LDJD061/96- 9</t>
  </si>
  <si>
    <t>TUBULAR MATERIAL ( TUBINGS /COUPLINGS)</t>
  </si>
  <si>
    <t>SARL YAHMI INVEST</t>
  </si>
  <si>
    <t>SV25277LDJD063</t>
  </si>
  <si>
    <t>MELAMINE CHIPBOARD / EDGE BANDING</t>
  </si>
  <si>
    <t>SARL MAKIBAT</t>
  </si>
  <si>
    <t>SV25277LDJD001</t>
  </si>
  <si>
    <t>01 UNIT CIMC 40CBM CEMENT POWDER TRAILLER ( VOIR BL)</t>
  </si>
  <si>
    <t>BENSMAINE SBTI</t>
  </si>
  <si>
    <t>SV25277LDJD011</t>
  </si>
  <si>
    <t>01 UNIT HYUNDAI BRAND NEW CRAWLER EXCAVATOR ( VOIR BL)</t>
  </si>
  <si>
    <t>EURL GROUPE ABGHACHE</t>
  </si>
  <si>
    <t>SV25277LDJD014/082</t>
  </si>
  <si>
    <t>02 UNITS SHACMAN SX3315DT366 8X4 DUMP TRUCK. 02 UNITS SHACMAN SX3255DR384 6X4 DUMP TRUCK. 02 UNITS HOWO T7H TRACTOR HEAD ( VOIR BL)</t>
  </si>
  <si>
    <t>GAID MOUNIR</t>
  </si>
  <si>
    <t>SV25277LDJD017</t>
  </si>
  <si>
    <t>01 UNIT JMC SINGLE CAB 92HP 3.5TON DUMP TRUCK 01 UNIT JMC SINGLE CAB 3.5TON CARGO TRUCK 01 UNIT JMC 5SEATS 92HP 3.5TON DUMP TRUCK (VOIR BL)</t>
  </si>
  <si>
    <t>SARL TRODIS</t>
  </si>
  <si>
    <t>SV25277LDJD038</t>
  </si>
  <si>
    <t>05 UNITS SHACMAN F2000 CARGO TRUCK /10 UNITS SHACMAN L3000 CARGO TRUCK /05 UNITS 6X4 F2000 SHACMAN 22000 LITERS WATER SPRINKLER TRUCK ( VOIR BL)</t>
  </si>
  <si>
    <t>EURL ENTREPRISE GHERBI ELHADI SERVICES</t>
  </si>
  <si>
    <t>SV25277LDJD042C /043</t>
  </si>
  <si>
    <t>01 UNIT SX3255JM384 SHACMAN F2000 6X4 DUMPER TRUCK 01 UNIT SX5255GYSJM434 SHACMAN F2000 6X4 WATER TRUCK ( VOIR BL)</t>
  </si>
  <si>
    <t>KEBACHE YOUCEF</t>
  </si>
  <si>
    <t>SV25277LDJD052</t>
  </si>
  <si>
    <t>01 UNIT SX5255GJBJR334 SHACMAN F2000 6X4 MIXER TRUCK ( VOIR BL)</t>
  </si>
  <si>
    <t>SV25277LDJD071A</t>
  </si>
  <si>
    <t>01 UNIT HELI FORKLIFT CPCD70 WITH TOOLS ( VOIR BL)</t>
  </si>
  <si>
    <t>AFRICAN PIPIT</t>
  </si>
  <si>
    <t>SH ENI</t>
  </si>
  <si>
    <t>SEAMLESS STEEL TUBING</t>
  </si>
  <si>
    <t>STAR MYSTIC</t>
  </si>
  <si>
    <t>EURL STEEL SOLIDE</t>
  </si>
  <si>
    <t>SM25258HDJD001</t>
  </si>
  <si>
    <t>PRIME HOT ROLLED STEEL COILS</t>
  </si>
  <si>
    <t>MDF/PLYWOOD</t>
  </si>
  <si>
    <t>SM25258LDJD064</t>
  </si>
  <si>
    <t>MDF /COMMERCIAL PLYWOOD/BLOCKBOARD/FANCY MDF</t>
  </si>
  <si>
    <t>SARL BHR WOOD IMPORTATION BOIS ET DERIVES</t>
  </si>
  <si>
    <t>SM25258LDJD065</t>
  </si>
  <si>
    <t>SARL WOOD TIMBER IMPORTATION DE BOIS ET DERIVEE</t>
  </si>
  <si>
    <t>SM25258LDJD069</t>
  </si>
  <si>
    <t>SARL DJALA IMPORT EXPORT</t>
  </si>
  <si>
    <t>SM25258LDJD070</t>
  </si>
  <si>
    <t>SARL TRADY SPAN</t>
  </si>
  <si>
    <t>SM25258LDJD073</t>
  </si>
  <si>
    <t>SARL MONOPAN</t>
  </si>
  <si>
    <t>SM25258LDJD076</t>
  </si>
  <si>
    <t>TELIB HOCINE</t>
  </si>
  <si>
    <t>SM25258LDJD006</t>
  </si>
  <si>
    <t>01 UNIT HYUNDAI EXCAVATOR HX340HD ( VOIR BL)</t>
  </si>
  <si>
    <t>EL DJAZAIR IDJAR SPA P/C SARL SLIMZEG GRAND TRAVAUX</t>
  </si>
  <si>
    <t>SM25258LDJD015</t>
  </si>
  <si>
    <t>01 UNIT BUS, MODEL: HFF6730K8D6Z (VOIR BL )</t>
  </si>
  <si>
    <t>SARL GROUPE CMMC</t>
  </si>
  <si>
    <t>SM25258LDJD019</t>
  </si>
  <si>
    <t>03 UNITS SX3255JM384 SHACMAN 6X4 DUMP TRUCK ( VOIR BL)</t>
  </si>
  <si>
    <t>SARL MADJENE</t>
  </si>
  <si>
    <t>SM25258LDJD028</t>
  </si>
  <si>
    <t>04 UNITS SX3255JM384 SHACMAN F2000 6X4 DUMP TRUCK ( VOIR BL)</t>
  </si>
  <si>
    <t>EURL GANDER TRAVAUX PUBLICS</t>
  </si>
  <si>
    <t>SM25258LDJD035</t>
  </si>
  <si>
    <t>01 UNIT SX5255GYSJM434 SHACMAN F2000 6x4 WATER TRUCK ( VOIR BL)</t>
  </si>
  <si>
    <t>SM25258LDJD036</t>
  </si>
  <si>
    <t>02 UNITS ND4260BD3J6Z16 BEIBEN HEAD TRACTOR 6X4 ( VOIR BL)</t>
  </si>
  <si>
    <t>SM25258LDJD037</t>
  </si>
  <si>
    <t>01 UNIT ND1310DD3J6Z22 BEIBEN TRUCK CARGO 8X4 LONG CABINE ( VOIR BL)</t>
  </si>
  <si>
    <t>SM25258LDJD038A</t>
  </si>
  <si>
    <t>01 UNIT ZJV9853TDPTH LOW BED TRAILER ( VOIR BL)</t>
  </si>
  <si>
    <t>SM25258LDJD039</t>
  </si>
  <si>
    <t>01 UNIT XCMG COMPACTOR XP203S ( VOIR BL)</t>
  </si>
  <si>
    <t>HADFI BOUBAKER</t>
  </si>
  <si>
    <t>SM25258LDJD047</t>
  </si>
  <si>
    <t>01 UNIT CNHTC 8X4 VACUUM TRUCK ( VOIR BL)</t>
  </si>
  <si>
    <t>SARL SAFI SERVICES GENERAL</t>
  </si>
  <si>
    <t>SM25258LDJD053</t>
  </si>
  <si>
    <t>01 UNIT 3 AXLES 80 TONS LOW BED SEMI-TRAILER CIMC9853TDA (VOIR BL)</t>
  </si>
  <si>
    <t>MOUILAH MOHAMED</t>
  </si>
  <si>
    <t>SM25258LDJD058</t>
  </si>
  <si>
    <t>08 UNITS SX3255JM384 SHACMAN F2000 DUMP TRUCK ( VOIR BL)</t>
  </si>
  <si>
    <t>BENSAID MOHAMMED</t>
  </si>
  <si>
    <t>SM25258LDJD062</t>
  </si>
  <si>
    <t>01 UNIT HX340HD HYUNDAI CRAWLER EXCAVATOR 01 UNIT HYUNDAI VERTICAL HAMMER MODEL HDBB-165Z ( VOIR BL)</t>
  </si>
  <si>
    <t>SARL LAGRA GRAND TRAVAUX</t>
  </si>
  <si>
    <t>SM25258LDJD103</t>
  </si>
  <si>
    <t>SARL ATIA MEHDI ET FRERES</t>
  </si>
  <si>
    <t>FINISHERS</t>
  </si>
  <si>
    <t>SM25258LDJD117</t>
  </si>
  <si>
    <t>01 UNIT XCMG ASPHALT CONCRETE PAVER RP603 (VOIR BL)</t>
  </si>
  <si>
    <t>EURL BOUGHEZALA ENTERPRISES GENERAUX ET LOCATION MATERIELS</t>
  </si>
  <si>
    <t>SM25258LDJD121</t>
  </si>
  <si>
    <t>01 UNIT SX5255GJBJR334 SHACMAN 6*4 F2000 MIX TRUCK ( VOIR BL)</t>
  </si>
  <si>
    <t>EURL EL TAHOURE GRANDS TRAVAUX PUBLICS HYDRAULIQUE ET CONSTRUCTION</t>
  </si>
  <si>
    <t>SM25258LDJD124A</t>
  </si>
  <si>
    <t>02 UNITS SHACMAN 6X4 F2000 CAMION ( VOIR BL)</t>
  </si>
  <si>
    <t>LUCKY PROSPERITY</t>
  </si>
  <si>
    <t>EURL AFROSTEEL</t>
  </si>
  <si>
    <t>SV25270CFDJDJ001</t>
  </si>
  <si>
    <t>110 GALVANIZED STEEL STRIPS</t>
  </si>
  <si>
    <t>ENGTP / DIRECTION ENGINEERING / DEPARTEMENT PROCUR</t>
  </si>
  <si>
    <t>SV25270CFDJDJ006711</t>
  </si>
  <si>
    <t>2998 PIPE API 5L GR X60 PSL2, SIZE 20'' EP. 17.48 MM, LSAW, COATED 3LPP</t>
  </si>
  <si>
    <t xml:space="preserve">SEA SILA </t>
  </si>
  <si>
    <t>ENGTP / DIRECTION ENGINEERING / DEPARTEMENT PROCUREMENT</t>
  </si>
  <si>
    <t>SS25290ZDJD001</t>
  </si>
  <si>
    <t>PIPES ( VOIR BL)</t>
  </si>
  <si>
    <t>SS25290LDJD003</t>
  </si>
  <si>
    <t>01 SET HAITUI HD22 BULLDOZER ( VOIR BL)</t>
  </si>
  <si>
    <t>SS25290LDJD004</t>
  </si>
  <si>
    <t>01 UNIT XCMG ZL50GN WHEEL LOADER ( VOIR BL)</t>
  </si>
  <si>
    <t>SARL LOCA-TERR</t>
  </si>
  <si>
    <t>SS25290LDJD011</t>
  </si>
  <si>
    <t>04 UNITS ZZ3317V326GB1 DUMP TRUCK ( VOIR BL)</t>
  </si>
  <si>
    <t>EURL TOUAT GENERAL SOLUTIONS</t>
  </si>
  <si>
    <t>SS25290LDJD016/84/85</t>
  </si>
  <si>
    <t>02 UNITS ZZ1257N464GB1 HOWO 6X4 20CBM WATER TRUCK 02 UNITS ZZ1257N464GB1 HOWO 6X4 10T TRUCK MOUNTED TRUCK 02 UNITS ZZ1187N461GB1HOWO 6X4 12CBM FUEL TRUCK ( VOIR BL)</t>
  </si>
  <si>
    <t>DIAB SAAD</t>
  </si>
  <si>
    <t>SS25290LDJD017</t>
  </si>
  <si>
    <t>01 UNIT SX3255JM384 DUMP TRUCK ( VOIR BL)</t>
  </si>
  <si>
    <t>EURL SAVIB BENSAID MANSOUR</t>
  </si>
  <si>
    <t>RETROCHARGEURS</t>
  </si>
  <si>
    <t>SS25290LDJD022A-C/E-</t>
  </si>
  <si>
    <t>01 UNIT XCMG BACKHOE LOADER XC8-S2570 / 01 UNIT 3 TON COMPACTOR XCMG XMR303 /01 UNIT XCMG 5 TON WHEEL LOADER ZL50GN /02 UNITS CLW5080XLCQ6 ISUZU 5 TON REFRIGERATED TRUCK ( VOIR BL)</t>
  </si>
  <si>
    <t>SS25290LDJD022D</t>
  </si>
  <si>
    <t>OFFICE DESK /OFFICE CHAIR</t>
  </si>
  <si>
    <t>MADI ABDELOUAHAB</t>
  </si>
  <si>
    <t>SS25290LDJD025</t>
  </si>
  <si>
    <t>01 UNIT WHEEL LOADER XCMG ZL50GN 01 UNIT FORKLIFT HELI 3 TONS CPCD30 01 UNIT MOTOR GRADER GR215 01 UNIT XCMG COMPACTOR XP263 01 UNIT SHACMAN WATER TRUCK F2000 20M3 02 UNITS SHACMAN DUMPER TRUCK F2000</t>
  </si>
  <si>
    <t>SARL EL MORDJANE SERVICES GENERALE</t>
  </si>
  <si>
    <t>SS25290LDJD026</t>
  </si>
  <si>
    <t>01 UNIT XCMG TYRE ROLLER XP163 ( VOIR BL)</t>
  </si>
  <si>
    <t>SARL SOUMMAM SOUM</t>
  </si>
  <si>
    <t>SS25290LDJD028</t>
  </si>
  <si>
    <t>02 UNITS HYUNDAI EXCAVATOR HX340HD ( VOIR BL)</t>
  </si>
  <si>
    <t>BERDALI KHEDIDJA</t>
  </si>
  <si>
    <t>SS25290LDJD030</t>
  </si>
  <si>
    <t>01 UNIT SX3255JM384 SHACMAN F2000 6X4 DUMP TRUCK ( VOIR BL)</t>
  </si>
  <si>
    <t>EURL MECELTI CONSTRUCTION</t>
  </si>
  <si>
    <t>SS25290LDJD031</t>
  </si>
  <si>
    <t>01 UNIT SX3255DR384 SHACMAN F3000 6*4 DUMP TRUCK 340HP ( VOIR BL)</t>
  </si>
  <si>
    <t>FARAH ABDELHALIM</t>
  </si>
  <si>
    <t>SS25290LDJD033</t>
  </si>
  <si>
    <t>02 UNITS SX3255JM384 SHACMAN F2000 6X4 DUMP TRUCK ( VOIR BL)</t>
  </si>
  <si>
    <t>SARL MINKOM TRAVAUX PUBLICS</t>
  </si>
  <si>
    <t>SS25290LDJD037B</t>
  </si>
  <si>
    <t>01 UNIT XCMG MIX COMPACTOR XS143J ( VOIR BL)</t>
  </si>
  <si>
    <t>SARL LES FRERES MECELTI</t>
  </si>
  <si>
    <t>SS25290LDJD042/043</t>
  </si>
  <si>
    <t>01 UNIT X3000 TRACOR TRUCK 6X4 FLAT CAB, 02 UNITS SX3255JM384 F2000 6X4 DUMP TRUCK 16M3 ( VOIR BL)</t>
  </si>
  <si>
    <t>CSCEC ALGERIE</t>
  </si>
  <si>
    <t>SS25290LDJD044</t>
  </si>
  <si>
    <t>07 UNITS EXCAVATRICE Ã CHENILLES ( VOIR BL)</t>
  </si>
  <si>
    <t>SS25290LDJD045</t>
  </si>
  <si>
    <t>MATÃRIAUX DE CONSTRUCTION</t>
  </si>
  <si>
    <t>SARL ABNAA SALMA TRAVAUX</t>
  </si>
  <si>
    <t>SS25290LDJD058</t>
  </si>
  <si>
    <t>01 UNIT XCMG ROAD ROLLER XS143J 01 UNIT XCMG COMPACTOR XP203 ( VOIR BL)</t>
  </si>
  <si>
    <t>EURL TAKITANTE HYDRO</t>
  </si>
  <si>
    <t>FOREUSES</t>
  </si>
  <si>
    <t>SS25290LDJD067/068</t>
  </si>
  <si>
    <t>01 UNIT FOREUSE DE PUITS D EAU XSL520 01 UNIT COMPRESSEUR A AIR LUY400-30 ( VOIR BL)</t>
  </si>
  <si>
    <t>DIDA FATAH</t>
  </si>
  <si>
    <t>SS25290LDJD074</t>
  </si>
  <si>
    <t>01 UNIT SHACMAN F2000 6X4 DUMP TRUCK (VOIR BL)</t>
  </si>
  <si>
    <t>BOUKHERBATA BACHIR</t>
  </si>
  <si>
    <t>SS25290LDJD086</t>
  </si>
  <si>
    <t>01 UNIT SX3255JM384 SHACMAN F2000 6x4 DUMP TRUCK ( VOIR BL)</t>
  </si>
  <si>
    <t>SARL BMS AS EL BI</t>
  </si>
  <si>
    <t>SS25290LDJD093B</t>
  </si>
  <si>
    <t>02 UNITS CONTAINER TRUCK ( VOIR BL)</t>
  </si>
  <si>
    <t>SARL SELKH ET FILS D'INVESTISSEMENT</t>
  </si>
  <si>
    <t>SS25290LDJD097</t>
  </si>
  <si>
    <t>01 UNIT WHEEL LOADER ZL50GN ( VOIR BL)</t>
  </si>
  <si>
    <t>SS25290LDJD098</t>
  </si>
  <si>
    <t>02 UNITS SHACMANF2000 DUMP TRUCK ( VOIR BL)</t>
  </si>
  <si>
    <t>KHETTAB NACEREDINE</t>
  </si>
  <si>
    <t>SS25290LDJD102B</t>
  </si>
  <si>
    <t>01 UNIT SX3255JM384 SHACMAN DUMP TRUCK F2000 (VOIR BL)</t>
  </si>
  <si>
    <t>SS25290LDJD116</t>
  </si>
  <si>
    <t>01 UNIT CIMC LOWER BED SEMI-TRAILER ( VOIR BL)</t>
  </si>
  <si>
    <t>OUERDI MADJID</t>
  </si>
  <si>
    <t>SS25290LDJD121</t>
  </si>
  <si>
    <t>01 UNIT HIGER AUTOCAR V11( VOIR BL)</t>
  </si>
  <si>
    <t>SS25290LDJD124</t>
  </si>
  <si>
    <t>SARL MAZINE SERVICES</t>
  </si>
  <si>
    <t>SS25290LDJD139</t>
  </si>
  <si>
    <t>01 UNIT BULLDOZER SD32D,SHANTUI ( VOIR BL)</t>
  </si>
  <si>
    <t>VENETIA</t>
  </si>
  <si>
    <t>SARL GROUPE AMARA ACIER</t>
  </si>
  <si>
    <t>25021LDJ1501</t>
  </si>
  <si>
    <t>HOT ROLLED STEEL COIL Q235 7-9T/COIL</t>
  </si>
  <si>
    <t>STEEL SOLIDE EURL</t>
  </si>
  <si>
    <t>25021TDJ0101-107</t>
  </si>
  <si>
    <t>PREPAINTED GALVANIZED STEEL COIL</t>
  </si>
  <si>
    <t>SARL BENKHALFALLAH</t>
  </si>
  <si>
    <t>25021TDJ0201</t>
  </si>
  <si>
    <t>HOT ROLLED STEEL H-BEAM</t>
  </si>
  <si>
    <t>PLAST PACKAGING SARL</t>
  </si>
  <si>
    <t>25021LDJ2003</t>
  </si>
  <si>
    <t>PET RESIN CZ302</t>
  </si>
  <si>
    <t>SPA VERRE TECH</t>
  </si>
  <si>
    <t>25021LDJ2701</t>
  </si>
  <si>
    <t>SILICA SAND TREATMENT LINE :PART 1/2 SILICA SAND CHEMICAL TREATMENT LINE :PART 1/2</t>
  </si>
  <si>
    <t>SOCIETE ALGERIENNE DE L'ELECTRICITE ET DU GAZ -ENE</t>
  </si>
  <si>
    <t>25021LDJ0601A</t>
  </si>
  <si>
    <t>TUBE AGS</t>
  </si>
  <si>
    <t>25021LDJ0601B</t>
  </si>
  <si>
    <t>EXTENSION DES JEUX DE BARRES EXISTANTS</t>
  </si>
  <si>
    <t>25021LDJ0801/02</t>
  </si>
  <si>
    <t>02 UNITS DUMP TRUCK SX3255JM384 01 UNIT SPRINKLER SX5255GYSJM434 ( VOIR BL)</t>
  </si>
  <si>
    <t>SARL SAFI SERVICE GENERAL</t>
  </si>
  <si>
    <t>25021LDJ2409</t>
  </si>
  <si>
    <t>SPA CSCEC ALGERIE</t>
  </si>
  <si>
    <t>25021LDJ2801</t>
  </si>
  <si>
    <t>CONSTRUCTION MATERIALS</t>
  </si>
  <si>
    <t xml:space="preserve">TALI </t>
  </si>
  <si>
    <t>SARL BHR WOOD</t>
  </si>
  <si>
    <t>BOIS ROUGE</t>
  </si>
  <si>
    <t>BOIS</t>
  </si>
  <si>
    <t>26A0046000049ICS</t>
  </si>
  <si>
    <t>OR 2</t>
  </si>
  <si>
    <t>SARL GROUP CBS IMP/EXP</t>
  </si>
  <si>
    <t>OR 3</t>
  </si>
  <si>
    <t>SARL AIDOUNI TRADING COMPANY</t>
  </si>
  <si>
    <t>OR 5</t>
  </si>
  <si>
    <t>ULTRA ESTERHAZY</t>
  </si>
  <si>
    <t xml:space="preserve">A COTE BUREU ALCES </t>
  </si>
  <si>
    <t>AJOS</t>
  </si>
  <si>
    <t>STEEL PROFILS</t>
  </si>
  <si>
    <t>DOLFIJNGRACHT</t>
  </si>
  <si>
    <t>SH DP</t>
  </si>
  <si>
    <t>POSTE 5+ROUTE ENTREE G.C+ZONE TUBES</t>
  </si>
  <si>
    <t>SFFVDOVZDJ601001</t>
  </si>
  <si>
    <t>11513 PIECES 9,253 LOOSE PIECES OF CASING "LOADING FROM OPEN 10 PACKAGES WITH 226 PIECES OF COUPLINGS TRUCK (IN THE RAIN)</t>
  </si>
  <si>
    <t>CHANG HONG AN</t>
  </si>
  <si>
    <t>CA25307LDJD001</t>
  </si>
  <si>
    <t>CONVEYOR PNEUMATIC</t>
  </si>
  <si>
    <t>ENSP SPA /DIVISION TRAVAUX DE SURFACE / DIRECTION</t>
  </si>
  <si>
    <t>CA25307LDJD003/004</t>
  </si>
  <si>
    <t>15 UNITS TRAILER MOUNTED VACUUM TANK WITH SPARE PARTS ( VOIR BL)</t>
  </si>
  <si>
    <t>SARL GTR EL DJAZIRA EL ARABIA</t>
  </si>
  <si>
    <t>CA25307LDJD009/010</t>
  </si>
  <si>
    <t>03 UNITS HOWO TX 6X4 DUMP TRUCKS/06 UNITS HOWO TX 8X4 DUMP TRUCKS/01 UNIT LGMRT DRILLING RIG, MODEL ST 120 ( VOIR BL)</t>
  </si>
  <si>
    <t>SH SINOPEC GROUP</t>
  </si>
  <si>
    <t>CA25307LDJD024</t>
  </si>
  <si>
    <t>CA25307LDJD034</t>
  </si>
  <si>
    <t>02 UNITS SINOTRUK TX 6X4 DUMP TRUCK 380HP ( VOIR BL)</t>
  </si>
  <si>
    <t>SARL TELLI TRANS</t>
  </si>
  <si>
    <t>CA25307LDJD042-051</t>
  </si>
  <si>
    <t>05 UNITS SANY STC500C5-8 PRO TRUCK CRANE /01 UNIT STC1100T6 SANY 110TON TRUCK CRANE /01 UNIT SANY STH1256A TELESCOPIC HANDLER /01 UNIT SANY SIC130 13.6T INDUSTRIAL CRANE /01 UNIT SANY STC1300C7-8 TRUCK CRANE /01 UNIT SANY SAC2000</t>
  </si>
  <si>
    <t>CHARIOT TÉLESCOPIQUE</t>
  </si>
  <si>
    <t>CHETITAH CHERIF</t>
  </si>
  <si>
    <t>CA25307LDJD055A</t>
  </si>
  <si>
    <t>01 UNIT SINOTRUK HOWO TX 6X4 TIPPER TRUCK LHD-18 CBM ( VOIR BL)</t>
  </si>
  <si>
    <t>CA25307LDJD085</t>
  </si>
  <si>
    <t>SPARE PARTS FOR TRUCK</t>
  </si>
  <si>
    <t>LAFARGE CIMENT OGGAZ SPA</t>
  </si>
  <si>
    <t>MACHINE DE CONCASSEUR</t>
  </si>
  <si>
    <t>CA25307LDJD058</t>
  </si>
  <si>
    <t>TRACKED MOBILE JAW CRUSHER</t>
  </si>
  <si>
    <t>SAIB ABDELMADJID</t>
  </si>
  <si>
    <t>CA25307LDJD074/075</t>
  </si>
  <si>
    <t>01 UNIT SINOTRUK HOWO TX 6X4 TIPPER TRUCK LHD-18 CBM /01 UNIT SINOTRUK HOWO-T7H 6X4 TRACTOR TRUCK LHD</t>
  </si>
  <si>
    <t>EURL ICHOUL TRAVAUX PUBLICS</t>
  </si>
  <si>
    <t>CA25307LDJD076</t>
  </si>
  <si>
    <t>01 UNIT SINOTRUK TRACTOR TRUCK ( VOIR BL)</t>
  </si>
  <si>
    <t>SARL HIDHAB LAM</t>
  </si>
  <si>
    <t>CA25307LDJD079</t>
  </si>
  <si>
    <t>01 UNIT SINOTRUK SITRAK 6X4 540HP TRACTOR-AUTOMATIC GEARBOX LHD ( VOIR BL)</t>
  </si>
  <si>
    <t>SARL SOMIPAN</t>
  </si>
  <si>
    <t>CA25307LDJD026</t>
  </si>
  <si>
    <t>SARL SOFISTAR TRADING</t>
  </si>
  <si>
    <t>CA25307LDJD027</t>
  </si>
  <si>
    <t>FANCY MDF /MDF /MELAMINE PLYWOOD</t>
  </si>
  <si>
    <t>EURL PANOTEC</t>
  </si>
  <si>
    <t>CA25307LDJD028</t>
  </si>
  <si>
    <t>MDF / FANCY MDF</t>
  </si>
  <si>
    <t>EPE ENAB SPA</t>
  </si>
  <si>
    <t>PLYWOOD</t>
  </si>
  <si>
    <t>CA25307LDJD029</t>
  </si>
  <si>
    <t>COMMERCIAL PLYWOOD</t>
  </si>
  <si>
    <t>CA25307LDJD030</t>
  </si>
  <si>
    <t>ZONE TUBES</t>
  </si>
  <si>
    <t>CA25307LDJD033</t>
  </si>
  <si>
    <t>CASINGS /COUPLINGS</t>
  </si>
  <si>
    <t>ENGTP SPA / ENTREPRISE NATIONALE DE GRANDS TRAVAUX PETROLIERS</t>
  </si>
  <si>
    <t>CA25307XDJD052</t>
  </si>
  <si>
    <t>Line pipes</t>
  </si>
  <si>
    <t>SARL FRERES BOUKHERBATA</t>
  </si>
  <si>
    <t>DAWEAUO</t>
  </si>
  <si>
    <t>CA25307LDJD023</t>
  </si>
  <si>
    <t>PRIME HOT ROLLED IPE/HEA BEAMS</t>
  </si>
  <si>
    <t>EURL ECOLOGE</t>
  </si>
  <si>
    <t>POSTE 5</t>
  </si>
  <si>
    <t>CA25307XDJD004</t>
  </si>
  <si>
    <t>CA25307XDJD005</t>
  </si>
  <si>
    <t>SARL EXTRA METAL</t>
  </si>
  <si>
    <t>8 RED</t>
  </si>
  <si>
    <t>CA25307XDJD011</t>
  </si>
  <si>
    <t>COLD ROLLED COILS</t>
  </si>
  <si>
    <t>CA25307XDJD015-17/42</t>
  </si>
  <si>
    <t>HOT DIPPED GALVANISED STRIPS</t>
  </si>
  <si>
    <t>EURL ZOUAOUI TRAVAUX DE CONSTRUCTION</t>
  </si>
  <si>
    <t>P1</t>
  </si>
  <si>
    <t>CA25307XDJD021-030</t>
  </si>
  <si>
    <t>CA25307XDJD034</t>
  </si>
  <si>
    <t>PREPAINTED STEEL COIL</t>
  </si>
  <si>
    <t>CA25307XDJD035</t>
  </si>
  <si>
    <t>BATICOMPOS SPA</t>
  </si>
  <si>
    <t>B BLUE</t>
  </si>
  <si>
    <t>CA25307XDJD043-51</t>
  </si>
  <si>
    <t>BOBINES PRELAQUEES</t>
  </si>
  <si>
    <t>CA25307XDJD054</t>
  </si>
  <si>
    <t>SARL GLOBAL METAL</t>
  </si>
  <si>
    <t>G RED</t>
  </si>
  <si>
    <t>CA25307XDJD056/057</t>
  </si>
  <si>
    <t>AQUARIUS HONOR</t>
  </si>
  <si>
    <t>EURL SNT IMPORT &amp; EXPORT</t>
  </si>
  <si>
    <t>25032LDJ0801</t>
  </si>
  <si>
    <t>MDF TWO SIDES—ONE SIDE PVC OTHER/ SIDE MELAMINE PAPER</t>
  </si>
  <si>
    <t>25032LDJ0802</t>
  </si>
  <si>
    <t>MDF TWO SIDES—ONE SIDE PVC OTHER/SIDE MELAMINE PAPER</t>
  </si>
  <si>
    <t>ETBPH CHOUIK KAMEL</t>
  </si>
  <si>
    <t>25032LDJ0101</t>
  </si>
  <si>
    <t>01 UNIT ZOOMLION 43M CONCRETE PUMP TRUCK (VOIR BL)</t>
  </si>
  <si>
    <t>SOCIETE GENERALE ALGERIE SPA LOCATAIRE SARL LOUAI</t>
  </si>
  <si>
    <t>25032LDJ0201</t>
  </si>
  <si>
    <t>03 UNITS CAMION FRIGORIFIQUE ISUZU NPR 4X2 ( VOIR BL)</t>
  </si>
  <si>
    <t>25032LDJ0202</t>
  </si>
  <si>
    <t>03 UNITS CAMION FRIGORIFIQUE ISUZU NKR 4X2 ( VOIR BL)</t>
  </si>
  <si>
    <t>SARL ISOL ETANCH IMESSAOUDENE</t>
  </si>
  <si>
    <t>25032LDJ0601</t>
  </si>
  <si>
    <t>01 UNIT CAMION ISUZU 12T ( VOIR BL)</t>
  </si>
  <si>
    <t>25032LDJ0702</t>
  </si>
  <si>
    <t>01 UNIT POWDER TANK SEMI-TAILER WL9406GXH ( VOIR BL)</t>
  </si>
  <si>
    <t>SARL CHAHYGAZ</t>
  </si>
  <si>
    <t>25032LDJ0703</t>
  </si>
  <si>
    <t>01 UNIT CAMION A BENNE SHACMAN F2000 DUMPER ( VOIR BL)</t>
  </si>
  <si>
    <t>ADJEMI MAHIEDDINE</t>
  </si>
  <si>
    <t>25032LDJ0704</t>
  </si>
  <si>
    <t>01 UNIT SHACMAN F2000 DUMP TRUCK (VOIR BL）</t>
  </si>
  <si>
    <t>SARL RAHAL ABDESLAM</t>
  </si>
  <si>
    <t>25032LDJ0706</t>
  </si>
  <si>
    <t>01 UNIT SINOTRUK SITRAK 6x4 TRACTOR-MANUAL GEARBOX LHD ( VOIR BL)</t>
  </si>
  <si>
    <t>BETTAYEB ABDELATIF</t>
  </si>
  <si>
    <t>25032LDJ0708</t>
  </si>
  <si>
    <t>01 UNIT XCMG TRUCK-MOUNTED CONCRETE PUMP XS43 ( VOIR BL)</t>
  </si>
  <si>
    <t>EURL CHARADI MOHAMED</t>
  </si>
  <si>
    <t>25032LDJ0901</t>
  </si>
  <si>
    <t>01 UNIT SHACMAN F2000 WATER TRUCK (VOIR BL)</t>
  </si>
  <si>
    <t>SARL FILS BEKAKRA GRANDS TRAVAUX</t>
  </si>
  <si>
    <t>25032LDJ1101/02</t>
  </si>
  <si>
    <t>01 SET TRUCK CRANE STC250C5 + SPARE PARTS ( VOIR BL)</t>
  </si>
  <si>
    <t>APPAREIL DE FORAGE</t>
  </si>
  <si>
    <t>25032QDJ0201</t>
  </si>
  <si>
    <t>110 COLIS D’UN APPAREIL DE FORAGE 1000 HP FAST MOVING 10 TC SOC STC 162 COLIS</t>
  </si>
  <si>
    <t>25032QDJ0202</t>
  </si>
  <si>
    <t>98 COLIS D’UN APPAREIL DE FORAGE 1000 HP FAST MOVING/ 09 TC SOC STC 162 COLIS</t>
  </si>
  <si>
    <t>LIBRA HONOR</t>
  </si>
  <si>
    <t>SARL PLAST PACKAGING</t>
  </si>
  <si>
    <t>25030LYD0101</t>
  </si>
  <si>
    <t>25030LYD0102</t>
  </si>
  <si>
    <t>SARL JZ PRO EMBALLAGE</t>
  </si>
  <si>
    <t>25030LYD0103</t>
  </si>
  <si>
    <t>EURL PROFORM</t>
  </si>
  <si>
    <t>25030LYD0104</t>
  </si>
  <si>
    <t>HAMTECH SARL</t>
  </si>
  <si>
    <t>25030TJD1201-3</t>
  </si>
  <si>
    <t>PVC RESIN</t>
  </si>
  <si>
    <t>CHETIOUI RACHIDA</t>
  </si>
  <si>
    <t>25030LYD3501</t>
  </si>
  <si>
    <t>PLAYWOOD BLACK FILMED</t>
  </si>
  <si>
    <t>SARL TECHNOLOGIE K N M IMP EXP</t>
  </si>
  <si>
    <t>25030LYD0201</t>
  </si>
  <si>
    <t>RAW SANDED MDF</t>
  </si>
  <si>
    <t>EURL PROMELAMINE</t>
  </si>
  <si>
    <t>25030LYD0204/205</t>
  </si>
  <si>
    <t>PANNEAU MDF</t>
  </si>
  <si>
    <t>SARL SOUF METAL</t>
  </si>
  <si>
    <t>25030TJD1501</t>
  </si>
  <si>
    <t>WIRE ROD</t>
  </si>
  <si>
    <t>BAG SPA -DIRECTION TECHNIQUE &amp; APPROVISIONNEMENT</t>
  </si>
  <si>
    <t>25030LYD0403</t>
  </si>
  <si>
    <t>HOT ROLLED STEEL COILS PICKLED AND OILED</t>
  </si>
  <si>
    <t>SARL SOUIPANEL</t>
  </si>
  <si>
    <t>25030TJD0401-07</t>
  </si>
  <si>
    <t>PREPAINTED STEEL COILS</t>
  </si>
  <si>
    <t>25030TJD0408/9/12</t>
  </si>
  <si>
    <t>SARL AL KIMA METAL</t>
  </si>
  <si>
    <t>25030TJD1002-1004</t>
  </si>
  <si>
    <t>GALVANIZED STEEL STRIPS</t>
  </si>
  <si>
    <t>25030TJD0601</t>
  </si>
  <si>
    <t>SMLS PIPE</t>
  </si>
  <si>
    <t>SARL TPL FABRICATION DES BOULONS VIS ET CLOUS</t>
  </si>
  <si>
    <t>FIL MACHINE</t>
  </si>
  <si>
    <t>25030TJD0102</t>
  </si>
  <si>
    <t>STEEL WIRE</t>
  </si>
  <si>
    <t>GREAT WALL DRILLING COMPANY</t>
  </si>
  <si>
    <t>25030TJD1101</t>
  </si>
  <si>
    <t>CEMENTING EQUIPMENT AND ACCESSORIES ( VOIR BL)</t>
  </si>
  <si>
    <t>EURL AL TOILBA</t>
  </si>
  <si>
    <t>25030LYD4602</t>
  </si>
  <si>
    <t>DRILLING EQUIPPMENT ACCESSORIES ( VOIR BL)</t>
  </si>
  <si>
    <t>25030LYD4701</t>
  </si>
  <si>
    <t>SILICA SAND DRYING LINE PART 1/2 /SILICA SAND POWDER MAKING LINE PART 1/2</t>
  </si>
  <si>
    <t>SARL XINHUI GALVA</t>
  </si>
  <si>
    <t>25030LYD4801</t>
  </si>
  <si>
    <t>HOT-DIP GALVANIZING / EQUIPMENT</t>
  </si>
  <si>
    <t>EURL TECHNICAL MATERIAL SUPPLY TMS</t>
  </si>
  <si>
    <t>25030LYD5001</t>
  </si>
  <si>
    <t>01 TC N° PCIU8460050 STC MACHINE DE MOULAGE DE FONDERIE AVEC ACCESSOIRES</t>
  </si>
  <si>
    <t>SH CTIVITÉ RPC / DIVISION PETROCHIMIE CO</t>
  </si>
  <si>
    <t>25030LYD2101</t>
  </si>
  <si>
    <t>DEAERATOR / STUDS / NUT /BOLT /GASKET /WASHER /BLANK FLANGE/ LIQUID LEVEL GAUGE</t>
  </si>
  <si>
    <t>SINOPEC INTERNATIONAL PETROLUEM SERVICE CORPORATIO</t>
  </si>
  <si>
    <t>25030LYD2201</t>
  </si>
  <si>
    <t>GENERATORS AND ROOM</t>
  </si>
  <si>
    <t>25030LYD3201</t>
  </si>
  <si>
    <t>01 UNIT BREAK HAMMER HDBB-140Z80 ( VOIR BL)</t>
  </si>
  <si>
    <t>25030LYD3237</t>
  </si>
  <si>
    <t>01 UNIT BREAK HAMMER ( VOIR BL)</t>
  </si>
  <si>
    <t>SARL EL HIDHAB MOULDING PLASTIQUE</t>
  </si>
  <si>
    <t>25030LYD3301</t>
  </si>
  <si>
    <t>90MM THREE-ROLL PLANETARY ROLLING MILL MACHINE WITH ACCESSORY 2200 COPPER TUBE SPINNER BLOCK WITH ACCESSORY COPPER TUBE SHAFT ANNEALING FURNACE WITH ACCESSORY</t>
  </si>
  <si>
    <t>CHINA ROAD AND BRIDGE CORPORATION</t>
  </si>
  <si>
    <t>25030TJD0201</t>
  </si>
  <si>
    <t>HOLLOW PIER FORMWORK FLAT MODEL CONE PIER FORMWORK</t>
  </si>
  <si>
    <t>25030LYD4901</t>
  </si>
  <si>
    <t>GANTRY CRANE</t>
  </si>
  <si>
    <t>25030LYD4902</t>
  </si>
  <si>
    <t>BRIDGE ERECTION MACHINE</t>
  </si>
  <si>
    <t>POMPE A BETON</t>
  </si>
  <si>
    <t>25030LYD0901A</t>
  </si>
  <si>
    <t>02 UNITS CONCRETE SPRAYING MACHINE/6 UNITS DIESEL FORKLIFT ( VOIR BL)</t>
  </si>
  <si>
    <t>25030LYD0901B</t>
  </si>
  <si>
    <t>SPARE PARTS FOR FORKLIFT</t>
  </si>
  <si>
    <t>SARL HYDRO MINING</t>
  </si>
  <si>
    <t>25030LYD1001</t>
  </si>
  <si>
    <t>25030LYD1101B/1103</t>
  </si>
  <si>
    <t>01 UNIT SHACMAN F2000 6*4 SPRINKLER TRUCK 01 UNIT SHACMAN F2000 6*4 MIXER TRUCK 01 UNIT SHACMAN F2000 6*4 CARGO TRUCK ( VOIR BL)</t>
  </si>
  <si>
    <t>BEN AMOR ABDESSAMIA</t>
  </si>
  <si>
    <t>25030LYD1101C</t>
  </si>
  <si>
    <t>01 UNIT SHACMAN F2000 6*4 DUMP TRUCK (VOIR BL)</t>
  </si>
  <si>
    <t>DJEGHEL ABDELKADER</t>
  </si>
  <si>
    <t>25030LYD1104/1105</t>
  </si>
  <si>
    <t>01 UNIT SHACMAN F2000 6*4 SPRINKLER TRUCK 01 UNIT SHACMAN F2000 6*4 DUMP TRUCK ( VOIR BL)</t>
  </si>
  <si>
    <t>SARL SNOUSSI COMPANY ENGIN IMP/EXP</t>
  </si>
  <si>
    <t>25030LYD1201/1202A</t>
  </si>
  <si>
    <t>01 UNIT HYUNDAI HX340HD EXCAVATOR WITH SPARE PARTS 01 UNIT SHACMAN F2000 DUMP TRUCK ( VOIR BL)</t>
  </si>
  <si>
    <t>25030LYD1202B/1203</t>
  </si>
  <si>
    <t>01 UNIT HYUNDAI HX340HD EXCAVATOR WITH SPARE PARTS 02 UNITS BREAKER HYUNDAI HDBB-165Z-NW ( VOIR BL)</t>
  </si>
  <si>
    <t>BENABED ABDELKADER</t>
  </si>
  <si>
    <t>25030LYD1301</t>
  </si>
  <si>
    <t>01 UNIT EXCAVATORS XCMG XE200 GA + HAMMER MS35AT ( VOIR BL )</t>
  </si>
  <si>
    <t>SARL ETOILE PLASTIQUE</t>
  </si>
  <si>
    <t>25030LYD1401</t>
  </si>
  <si>
    <t>PART OF DKM 3350 TWO PLATEN INJECTION MACHINE WITH MAGNETIC PLATEN(380V 50HZ)</t>
  </si>
  <si>
    <t>REZZAG ZAHAF Mohammed Imad Eddine</t>
  </si>
  <si>
    <t>25030LYD1501</t>
  </si>
  <si>
    <t>01 UNIT AERIAL WORK PLATFORM TRUCK ( VOIR BL)</t>
  </si>
  <si>
    <t>STATION AGREGATS AZROU SPA</t>
  </si>
  <si>
    <t>25030LYD1701AB</t>
  </si>
  <si>
    <t>01 UNIT CRAWLER EXCAVATOR CLG952EHD 01 UNIT CRAWLER EXCAVATOR CLG936E SPARE PARTS ( VOIR BL)</t>
  </si>
  <si>
    <t>EURL ECOLOG</t>
  </si>
  <si>
    <t>25030LYD1802</t>
  </si>
  <si>
    <t>01 UNIT ZOOMLION CRAWLER EXCAVATOR ZE245G ( VOIR BL)</t>
  </si>
  <si>
    <t>EURL ENGIN PLU</t>
  </si>
  <si>
    <t>25030LYD1803/04</t>
  </si>
  <si>
    <t>01 UNIT ZOOMLION ALL TERRAIN CRANE ZAT6000V WITH ACCESSORIES ( VOIR BL)</t>
  </si>
  <si>
    <t>25030LYD2001</t>
  </si>
  <si>
    <t>01 UNIT XCMG TRUCK CRANE XCT100L7_1( VOIR BL)</t>
  </si>
  <si>
    <t>25030LYD2401</t>
  </si>
  <si>
    <t>01 UNIT CHARGEUSE CLG870H /01 UNIT SYM5393JQZ GRUE AUTOMOBILE 50T 01 UNIT CAMION POMPE A BETON ( VOIR BL)</t>
  </si>
  <si>
    <t>25030LYD2402</t>
  </si>
  <si>
    <t>03 UNITS ROULEAU COMPRESSEUR 03 UNITS CHARGEUSE 05 UNITS GRUE AUTOMOBILE 5 T 02 UNITS CAMION A BETON ( VOIR BL)</t>
  </si>
  <si>
    <t>25030LYD2403</t>
  </si>
  <si>
    <t>MATERIAUX DE CONSTRUCTION</t>
  </si>
  <si>
    <t>SOCIETE GENERALE ALGERIE SPA PC CAPS IMPORT EXPOR</t>
  </si>
  <si>
    <t>25030LYD2701/02/03</t>
  </si>
  <si>
    <t>06 UNITS HOWO SINOTRUCK DUMP TRUCK ( VOIR BL)</t>
  </si>
  <si>
    <t>SARL TRANS AIDLI</t>
  </si>
  <si>
    <t>25030LYD2901</t>
  </si>
  <si>
    <t>02 UNITS XCMG TRUCK CRANE QY60KH( VOIR BL)</t>
  </si>
  <si>
    <t>BRIK ABDELHAFID</t>
  </si>
  <si>
    <t>25030LYD2902</t>
  </si>
  <si>
    <t>01 UNIT TRUCK CRANE XCMG QY50KD ( VOIR BL)</t>
  </si>
  <si>
    <t>SAADAOUI HADJ</t>
  </si>
  <si>
    <t>25030LYD3001</t>
  </si>
  <si>
    <t>01 UNIT HYNDAI HX340HD CRAWLER EXCAVATOR MS700H BREAKER ( VOIR BL)</t>
  </si>
  <si>
    <t>SPA SOFINANCE P/C OULMI MOHAMMED LAMINE</t>
  </si>
  <si>
    <t>25030LYD3002</t>
  </si>
  <si>
    <t>02 UNITS DX360LCA EXCAVATORS ( VOIR BL)</t>
  </si>
  <si>
    <t>DJEBARI LAHBIB</t>
  </si>
  <si>
    <t>25030LYD3101</t>
  </si>
  <si>
    <t>01 UNIT HYUNDAI CRAWLER EXCAVATOR HX375L WITH RIGHT ANGLE HAMMER /01 UNIT ZOOMLION 50 M CONCRETE PUMP 01 UNIT HYUNDAI WHEEL LOADER ( VOIR BL)</t>
  </si>
  <si>
    <t>25030LYD3202</t>
  </si>
  <si>
    <t>02 UNITS SHACMAN F2000 6X4 DUMP TRUCK ( VOIR BL)</t>
  </si>
  <si>
    <t>SARL SOCIETE SAHARI MULTI SERVICES</t>
  </si>
  <si>
    <t>25030LYD3203</t>
  </si>
  <si>
    <t>01 UNIT HYUNDAI EXCAVATOR HX340HD 01 UNIT BOX TYPE HAMMER ( VOIR BL)</t>
  </si>
  <si>
    <t>EURL LE PANIER DE FRUITS IMPEX</t>
  </si>
  <si>
    <t>25030LYD3206</t>
  </si>
  <si>
    <t>02 UNITS HYUNDAI EXCAVATOR + 02 HYUNDAI HAMMER ( VOIR BL)</t>
  </si>
  <si>
    <t>COMMERCANT/ENTREPRENEUR YAHIA CHERIF ABDERRAZAK</t>
  </si>
  <si>
    <t>25030LYD3211</t>
  </si>
  <si>
    <t>01 UNIT PELLE HYDRAULIQUE SUR CHENILLE HYUNDAI CRAWLER EXCAVATOR HX340HD + 01 HAMMER 01 UNIT HX340HD HYUNDAI CRAWLER EXCAVATOR + 01 HAMMER ( VOIR BL)</t>
  </si>
  <si>
    <t>25030LYD3215</t>
  </si>
  <si>
    <t>02 UNITS 16T DIESEL FORKLIFT HNF-160 ( VOIR BL)</t>
  </si>
  <si>
    <t>MERZOUK LAHLOU</t>
  </si>
  <si>
    <t>25030LYD3216</t>
  </si>
  <si>
    <t>01 UNIT XCMG TRUCK MOUNTED CONERETE BOOM PUMP XS37 ( VOIR BL)</t>
  </si>
  <si>
    <t>SARL FRERES BOUHANOUNE</t>
  </si>
  <si>
    <t>25030LYD3217</t>
  </si>
  <si>
    <t>01 UNIT XCMG EXCAVATOR XE335G WITH HAMMER (VOIR BL)</t>
  </si>
  <si>
    <t>AICHE OUSSAMA</t>
  </si>
  <si>
    <t>25030LYD3218</t>
  </si>
  <si>
    <t>02 UNITS XCMG ROAD ROLLER XS203J+ XP263S 01 UNIT XCMG MOTOR GRADER GR215 ( VOIR BL)</t>
  </si>
  <si>
    <t>EURL EL TAHALIA IMPORT EXPORT</t>
  </si>
  <si>
    <t>25030LYD3219</t>
  </si>
  <si>
    <t>01 UNIT ZOOMLION CONCRETE PUMP TRUCK ( VOIR BL)</t>
  </si>
  <si>
    <t>25030LYD3221</t>
  </si>
  <si>
    <t>01 UNIT POCLAIN SUR CHENILLE HYUNDAI CRAWLER EXCAVATOR ( VOIR BL)</t>
  </si>
  <si>
    <t>SARL MS INJAZCOM</t>
  </si>
  <si>
    <t>25030LYD3223B</t>
  </si>
  <si>
    <t>01 UNIT SHACMAN DUMP F2000 ( VOIR BL)</t>
  </si>
  <si>
    <t>ENTREPRISE BELOUNIS REDA</t>
  </si>
  <si>
    <t>25030LYD3227</t>
  </si>
  <si>
    <t>01 UNIT XCMG ROAD ROLLER XP303 ( VOIR BL)</t>
  </si>
  <si>
    <t>ENTREPRISE SALHI IMANE</t>
  </si>
  <si>
    <t>25030LYD3228</t>
  </si>
  <si>
    <t>01 UNIT XCMG QY30K5C TRUCK CRANE ( VOIR BL)</t>
  </si>
  <si>
    <t>25030LYD3229</t>
  </si>
  <si>
    <t>01 UNIT SINOTRUK HOWO.TX 6x4 TIPPER TRUCK ( VOIR BL)</t>
  </si>
  <si>
    <t>BOURAS ABDERRAOUF</t>
  </si>
  <si>
    <t>25030LYD3231</t>
  </si>
  <si>
    <t>YAICHI MOSTAFA</t>
  </si>
  <si>
    <t>25030LYD3235</t>
  </si>
  <si>
    <t>01 UNIT SHACMAN F2000 DUMP TRUCK ( VOIR BL)</t>
  </si>
  <si>
    <t>EURL CHEMSE ELACIL SERVICES</t>
  </si>
  <si>
    <t>25030LYD3302</t>
  </si>
  <si>
    <t>02 UNITS 02 AXLES FLATBED SEMI TRAILER WITH FRONT WALL /02 UNITS 04 AXLES LOWBED SEMI TRAILER WITH ONE WINCH ( VOIR BL)</t>
  </si>
  <si>
    <t>GROUPEMENT SINOPEC LUOYANG ENGINEERING CO., LTD /</t>
  </si>
  <si>
    <t>25030LYD3901</t>
  </si>
  <si>
    <t>AIR COMPRESSOR / NITROGEN GENERATOR / DEHUMIDIFIER / GAS STORAGE TANK</t>
  </si>
  <si>
    <t>BOUDJEMA NABIL</t>
  </si>
  <si>
    <t>25030LYD4004/05</t>
  </si>
  <si>
    <t>01 UNIT SHACMAN F2000 6X4 DUMP TRUCK 01 UNIT XCMG ZL50GN WHEEL LOADER 01 UNIT XCMG GR180 GRADER ( VOIR BL)</t>
  </si>
  <si>
    <t>SOCIETE GENERALE ALGERIE SPA PC SARL DESERT CROSS</t>
  </si>
  <si>
    <t>25030LYD4007</t>
  </si>
  <si>
    <t>EURL ETB ACHOURI TOUFIK</t>
  </si>
  <si>
    <t>25030LYD4008</t>
  </si>
  <si>
    <t>01 UNIT XCMG HYDRAULIC EXAVATOR XE335C 01 UNIT XCMG GR215 MOTOR GRADER 01 UNIT XCMG SELF-LOADING CONCRETE MIXER TRUCK 01 UNIT XCMG WHEEL LOADER XC958 01 UNIT XCMG 40T TRUCK CRANE QY40KSD ( VOIR BL)</t>
  </si>
  <si>
    <t>EL BEKAIE YASSER</t>
  </si>
  <si>
    <t>25030LYD4011</t>
  </si>
  <si>
    <t>01 UNIT SINOTRUK SITRAK 6X4 TRACTOR TRUCK ( VOIR BL)</t>
  </si>
  <si>
    <t>SARL SATPA</t>
  </si>
  <si>
    <t>25030LYD4015B</t>
  </si>
  <si>
    <t>01 UNIT SINOTRUK SITRAK TRACTOR TRUCK ( VOIR BL)</t>
  </si>
  <si>
    <t>SARL GUERFI ET FILS ACTIVIES AND STORAGE AREA</t>
  </si>
  <si>
    <t>25030LYD4201</t>
  </si>
  <si>
    <t>02 UNITS 40 TONS REAR DUMP TRAILER ( VOIR BL)</t>
  </si>
  <si>
    <t>AL SALAM BANK ALGERIA PC SARL NOUVEAU POLE</t>
  </si>
  <si>
    <t>25030LYD4401</t>
  </si>
  <si>
    <t>14 UNITS DROPSIDE SEMI TRAILER 3-AXLE 13T TYPE 14 UNITS DROPSIDE SEMI TRAILER 3-AXLE 16T TYPE (VOIR BL)</t>
  </si>
  <si>
    <t>25030LYD4601</t>
  </si>
  <si>
    <t>02 UNITS APPAREIL DE FORAGE D'EAU COMPLET ( VOIR BL)</t>
  </si>
  <si>
    <t>EURL STAR FILTRE</t>
  </si>
  <si>
    <t>CAMIONS POMPE</t>
  </si>
  <si>
    <t>25030TJD0803</t>
  </si>
  <si>
    <t>01 UNIT SANY TRUCK MOUNTED CRANE SPS35000 ( VOIR BL)</t>
  </si>
  <si>
    <t>SARL GUERFI ET FILS ACTIVES AND STORAGE AREA</t>
  </si>
  <si>
    <t>25030TJD1401</t>
  </si>
  <si>
    <t>02 UNITS SITRAK C7 TRACTOR ( VOIR BL)</t>
  </si>
  <si>
    <t>SAPPHIRE X</t>
  </si>
  <si>
    <t>SX25006SHDJ001</t>
  </si>
  <si>
    <t>01 UNIT SANY TRUCK MOUNTED CONCRETE PUMP &amp; ACC/01 UNIT SANY TRUCK-MOUNTED CONCRETE STATIONARY PUMP&amp; ACC/02 UNITS SANY TRAILER-MOUNTED CONCRETE PUMP &amp; ACC/04 UNITS XCMG LOADER XC958 &amp; ACC/0 7UNlTS KOMATSU CRAWLER EXCAVATOR &amp; ACC /21 GENERATOR SET &amp; ACC ( V</t>
  </si>
  <si>
    <t>CHARGEUR</t>
  </si>
  <si>
    <t>EURL ABOU NOUFEL</t>
  </si>
  <si>
    <t>SX25006SHDJ002</t>
  </si>
  <si>
    <t>PRIME HOT ROLLED STEEL H-BEAMS / PRIME NEWLY HOT ROLLED STEEL CHANNEL</t>
  </si>
  <si>
    <t>SARL TOP ROCK</t>
  </si>
  <si>
    <t>SX25006TJDJD006/007</t>
  </si>
  <si>
    <t>STEEL PLATE /FLAT STEEL /STEEL ROD/ H BEAM /UPN STEEL /ANGLE STEEL (VOIR BL)</t>
  </si>
  <si>
    <t>EURL METGAV</t>
  </si>
  <si>
    <t>SX25006TJDJD001</t>
  </si>
  <si>
    <t>HOT ROLLED STEEL ANGLES</t>
  </si>
  <si>
    <t>SARL KASSA IKLIRAJ</t>
  </si>
  <si>
    <t>SX25006TJDJD002</t>
  </si>
  <si>
    <t>Galvanized coils</t>
  </si>
  <si>
    <t>SARL ORAN POLYESTER</t>
  </si>
  <si>
    <t>SX25006TJDJD003-004</t>
  </si>
  <si>
    <t>STEEL PLATE TOLE A283 GR</t>
  </si>
  <si>
    <t>SARL MSR STEEL</t>
  </si>
  <si>
    <t>SX25006TJDJD010</t>
  </si>
  <si>
    <t>STEEL PLATE</t>
  </si>
  <si>
    <t>SX25006SHDJ003</t>
  </si>
  <si>
    <t>Line Pipe 20" API 5L PSL2 X60 SAW 19.05 mm LINE PIPE 3LPP COATED</t>
  </si>
  <si>
    <t>PVT DIAMOND</t>
  </si>
  <si>
    <t>KERMET SAID TOUFIK</t>
  </si>
  <si>
    <t>PD26008YTDJDJ11</t>
  </si>
  <si>
    <t>02 UNITS HYUNDAI HX340HD ( VOIR BL)</t>
  </si>
  <si>
    <t>KHALDI SAAD</t>
  </si>
  <si>
    <t>PD26008YTDJDJ12</t>
  </si>
  <si>
    <t>01 UNIT SINOTRUK SITRAK 4X2 TRACTOR-MANUAL GEARBOX ( VOIR BL)</t>
  </si>
  <si>
    <t>OULAD HEDDAR MUSTAFA</t>
  </si>
  <si>
    <t>PD26008YTDJDJ13</t>
  </si>
  <si>
    <t>01 UNIT SHACMAN F2000 6X4 DUMP TRUCK ( VOIR BL)</t>
  </si>
  <si>
    <t>MANSOUR OUAHCHIA ABDERREZAK</t>
  </si>
  <si>
    <t>PD26008YTDJDJ14</t>
  </si>
  <si>
    <t>SARL MOULINS FRERES BOUCENNA</t>
  </si>
  <si>
    <t>PD26008YTDJDJ21/22</t>
  </si>
  <si>
    <t>01 UNIT SINOTRUK SITRAK 6*4 TRACTOR-MANUAL GEARBOX LHD /01 UNIT CIMC CONTAINER BULK THREE AXLE SEMI-TRAILER ( VOIR BL)</t>
  </si>
  <si>
    <t>ABED TAYYIB</t>
  </si>
  <si>
    <t>PD26008YTDJDJ23</t>
  </si>
  <si>
    <t>01 UNIT EXCAVATOR HX340HD WITH HAMMER BREAKER ORIGINAL ( VOIR BL)</t>
  </si>
  <si>
    <t>SARL NUMIDIA GM STONE</t>
  </si>
  <si>
    <t>PD26008YTDJDJ42/44</t>
  </si>
  <si>
    <t>01 UNIT SINOTRUK SITRAK 6X4 TRACTOR TRUCK 01 UNIT SINOTRUK HOWO TX 6X4 TIPPER TRUCK ( VOIR BL)</t>
  </si>
  <si>
    <t>AZZI ABDELKADER</t>
  </si>
  <si>
    <t>PD26008YTDJDJ45</t>
  </si>
  <si>
    <t>02 UNITS SINOTRUK SITRAK 6X4 TRACTOR-MANUAL GEARBOX LHD ( VOIR BL)</t>
  </si>
  <si>
    <t>FERCHA MESSAOUD</t>
  </si>
  <si>
    <t>PD26008YTDJDJ47</t>
  </si>
  <si>
    <t>01 UNIT SINOTRUK HOWO TX 8X4 TIPPER TRUCK LHD (VOIR BL)</t>
  </si>
  <si>
    <t>ETB-TCE BARA MAYOUF</t>
  </si>
  <si>
    <t>PD26008YTDJDJ48</t>
  </si>
  <si>
    <t>01 UNIT SINOTRUK TRACTOR 8X4 TIPPER TRUCK (VOIR BL)</t>
  </si>
  <si>
    <t>MELLAH REDOUANE</t>
  </si>
  <si>
    <t>PD26008YTDJDJ49</t>
  </si>
  <si>
    <t>01 UNIT SINOTRUK HOWO TX 4X2 TRUCK MOUNTED CRANE LHD ( VOIR BL)</t>
  </si>
  <si>
    <t>BOUAMRIA ABDELHALIM</t>
  </si>
  <si>
    <t>PD26008YTDJDJ51</t>
  </si>
  <si>
    <t>ETPBTCE BARA MAYOUF</t>
  </si>
  <si>
    <t>PD26008YTDJDJ52</t>
  </si>
  <si>
    <t>01 UNIT SINOTRUK SITRAK 6X4 TRACTOR TRUCK 540HP (VOIR BL)</t>
  </si>
  <si>
    <t>FRANSABANK EL DJAZAIR SPA LOCATAIRE SARL ERROA</t>
  </si>
  <si>
    <t>PD26008YTDJDJ53</t>
  </si>
  <si>
    <t>01 UNIT SINOTRUCK SITRAK 6X4 TRACTOR TRUCK 480HP ( VOIR BL)</t>
  </si>
  <si>
    <t>SARL SMATI KAD</t>
  </si>
  <si>
    <t>PD26008YTDJDJ54</t>
  </si>
  <si>
    <t>CHALOUM ABDERRAHMANE</t>
  </si>
  <si>
    <t>PD26008YTDJDJ55</t>
  </si>
  <si>
    <t>01 UNIT SINOTRUK SITRAK 6X4 TRACTOR AUTOMATIC 480HP ( VOIR BL)</t>
  </si>
  <si>
    <t>SPA ARAB LEASING CORPORATION P/C SARL DELVINE</t>
  </si>
  <si>
    <t>PD26008YTDJDJ59</t>
  </si>
  <si>
    <t>SARL SOCIETE LALAOUI SEMOULERIE</t>
  </si>
  <si>
    <t>PD26008YTDJDJ61</t>
  </si>
  <si>
    <t>02 UNITS SITRAK 8X4 TIPPER TRUCK LHD ( VOIR BL)</t>
  </si>
  <si>
    <t>BENZADI MOHAMED TAYEB</t>
  </si>
  <si>
    <t>PD26008YTDJDJ62/63</t>
  </si>
  <si>
    <t>01 UNITS SINOTRUK SITRAK 6X4 540HP TRACTOR AUTOMATIC GEARBOX LHD /01 UNIT CIMC 3 CIMC 3 AXLES BACK TIPPER SEMI TRAILLER / 01 UNIT CIMS 3 AXLES CARGO AND CONTAINER SEMI TRAILLER 45t (VOIR BL)</t>
  </si>
  <si>
    <t>PD26008YTDJDJ64</t>
  </si>
  <si>
    <t>02 UNITS SHACMAN F2000 6X4 CONCRETE MIXER TRUCK 01 UNIT XCMG LW300FN WHEEL LOADER 01 UNIT XCMG QY25K5D TRUCK CRANE ( VOIR BL)</t>
  </si>
  <si>
    <t>BEN AHMED NOURINE ABDELKADER</t>
  </si>
  <si>
    <t>PD26008YTDJDJ66</t>
  </si>
  <si>
    <t>01 UNIT SHACMAN F2000 6X4 DUMP TRUCK SX3255JM384 ( VOIR BL)</t>
  </si>
  <si>
    <t>SARL DEVECO</t>
  </si>
  <si>
    <t>PD26008YTDJDJ67</t>
  </si>
  <si>
    <t>01 UNIT CAMION BENNE SINOTRUK HOWO TX 8X4 ( VOIR BL)</t>
  </si>
  <si>
    <t>CHERGUI FAOUZI</t>
  </si>
  <si>
    <t>PD26008YTDJDJ68</t>
  </si>
  <si>
    <t>01 UNIT SHACMAN F2000 6X4/ DUMP TRUCK ( VOIR BL)</t>
  </si>
  <si>
    <t>SARL HYDROMED</t>
  </si>
  <si>
    <t>PD26008YTDJDJ69</t>
  </si>
  <si>
    <t>01 UNIT CAMION SHACMAN F2000 6X4 DUMP TRUCK ( VOIR BL)</t>
  </si>
  <si>
    <t>EURL AALI EL BIHAR</t>
  </si>
  <si>
    <t>PD26008YTDJDJ70</t>
  </si>
  <si>
    <t>01 UNIT SINOTRUK SITRAK G7S 6X4 TRACTOR-AUTOMATIC GEARBOX LHD (VOIR BL)</t>
  </si>
  <si>
    <t>SARL E G REKIMA</t>
  </si>
  <si>
    <t>PD26008YTDJDJ71</t>
  </si>
  <si>
    <t>02 UNITS SHACMAN F2000 6x4 CONCRETE MIXER TRUCK ( VOIR BL)</t>
  </si>
  <si>
    <t>PD26008YTDJDJ72</t>
  </si>
  <si>
    <t>02 UNITS SHACMAN SAGMOTO X9 4x2 DUMP TRUCK ( VOIR BL)</t>
  </si>
  <si>
    <t>BECHI ABDELHAMID</t>
  </si>
  <si>
    <t>PD26008YTDJDJ73</t>
  </si>
  <si>
    <t>PD26008YTDJDJ74</t>
  </si>
  <si>
    <t>02 UNITS SHACMAN F2000 DUMP TRUCK ( VOIR BL)</t>
  </si>
  <si>
    <t>SARL ROUJA BOUTIES</t>
  </si>
  <si>
    <t>PD26008YTDJDJ75</t>
  </si>
  <si>
    <t>01 UNIT SINOTRUK SITRAK G7S 6X4 TRACTOR AUTOMATIC GEARBOX LHD (VOIR BL)</t>
  </si>
  <si>
    <t>MOUILAH YOUCEF</t>
  </si>
  <si>
    <t>PD26008YTDJDJ76</t>
  </si>
  <si>
    <t>01 UNIT SINOTRUK SITRAK 8X4 TIPPER TRUCK 430HP (VOIR BL)</t>
  </si>
  <si>
    <t>PD26008YTDJDJ77</t>
  </si>
  <si>
    <t>01 UNIT SINOTRUK SITRAK 8X4 MIXER TRUCK 12M3 (VOIR BL)</t>
  </si>
  <si>
    <t>EURL MEDI LED ELINARA</t>
  </si>
  <si>
    <t>PD26008YTDJDJ78</t>
  </si>
  <si>
    <t>01 UNIT SITRAK 6X4 TRACTOR TRUCK 480HP MANUA (VOIR BL)</t>
  </si>
  <si>
    <t>LEMON</t>
  </si>
  <si>
    <t>EPE VIUR SPA</t>
  </si>
  <si>
    <t>LM26001CSDJ001/002</t>
  </si>
  <si>
    <t>27 UNITS HIGER AUTOBUS MODEL C-100-KLQ6106G /70 UNITS HIGER AUTOCAR MODEL NEW V8-KLQ6886 ( VOIR BL)</t>
  </si>
  <si>
    <t>LM26001CSDJ003</t>
  </si>
  <si>
    <t>VESPER</t>
  </si>
  <si>
    <t>TUBING</t>
  </si>
  <si>
    <t>OCEAN FEATHER</t>
  </si>
  <si>
    <t>SCMGC SARL</t>
  </si>
  <si>
    <t>OF25320LDJD002-004</t>
  </si>
  <si>
    <t>01 UNIT DUMP TRUCK /01 UNIT LIGHT TRUCK /01 UNIT HYDRAULIC EXCAVATOR ( VOIR BL)</t>
  </si>
  <si>
    <t>SARL ALFA FISH CO</t>
  </si>
  <si>
    <t>OF25320LDJD005</t>
  </si>
  <si>
    <t>01 UNIT CAMION ISUZU SINGLE CABIN CRANE TRUCK WITH 2 TIRES ( VOIR BL)</t>
  </si>
  <si>
    <t>EURL TRAPTB</t>
  </si>
  <si>
    <t>OF25320LDJD006</t>
  </si>
  <si>
    <t>01 UNIT PELLE SUR CHENILES ,VICTORY VT230LJ-6 WITH BRISE ROCHE -SL 1350 ( VOIR BL)</t>
  </si>
  <si>
    <t>BENGUESMIA SOPHIANE</t>
  </si>
  <si>
    <t>OF25320LDJD009</t>
  </si>
  <si>
    <t>02 UNITS 3 AXLES SEMI TRAILER ( VOIR BL)</t>
  </si>
  <si>
    <t>KRECHICHE MOHAMMED</t>
  </si>
  <si>
    <t>OF25320LDJD010</t>
  </si>
  <si>
    <t>CAMION SHACMAN 6X4 16M3 ( VOIR BL)</t>
  </si>
  <si>
    <t>BENFEHIMA ELKHEIR</t>
  </si>
  <si>
    <t>OF25320LDJD011</t>
  </si>
  <si>
    <t>01 UNIT XCMG TRUCK CRANE (VOIR BL)</t>
  </si>
  <si>
    <t>OF25320LDJD012</t>
  </si>
  <si>
    <t>02 UNITS JMC DOUBLE CAB DUMP TRUCK 02 UNITS SHACMAN SX5255GJBDR384 6X4 MIXER TRUCK 02 UNITS SHACMAN F3000 8X4 MIXER TRUCK ( VOIR BL)</t>
  </si>
  <si>
    <t>SARL AL MASHREQ ENGINEERING</t>
  </si>
  <si>
    <t>OF25320LDJD013</t>
  </si>
  <si>
    <t>03 UNITS SHACMAN F2000 6*4 DUMP TRUCK 01 UNIT SHACMAN F2000 6*4 WATER TANKER TRUCK ( VOIR BL)</t>
  </si>
  <si>
    <t>SARL BMAB BRIOUETERIE MODERNE AMOURI BISKRA</t>
  </si>
  <si>
    <t>OF25320LDJD014</t>
  </si>
  <si>
    <t>01 UNIT HYUNDAI HX340HD EXCAVATOR ( VOIR BL)</t>
  </si>
  <si>
    <t>EURL MIMOUN BOISSONS</t>
  </si>
  <si>
    <t>OF25320LDJD015</t>
  </si>
  <si>
    <t>01 UNIT SINOTRUK SITRAK 6X4 TRACTOR TRUCK FOR HEAVY DESERT TRANSPORTATION (VOIR BL)</t>
  </si>
  <si>
    <t>SARL LEADING BRIDGES SERVICES</t>
  </si>
  <si>
    <t>OF25320LDJD017</t>
  </si>
  <si>
    <t>01 UNIT XCMG GR180 MOTOR GRADER ( VOIR BL)</t>
  </si>
  <si>
    <t>OF25320LDJD141</t>
  </si>
  <si>
    <t>01 UNIT XCMG XS143J ROAD ROLLER ( VOIR BL)</t>
  </si>
  <si>
    <t>SARL ALPHA CRISTO INDUSTRIAL</t>
  </si>
  <si>
    <t>OF25320LDJD018</t>
  </si>
  <si>
    <t>01 UNIT HYUNDAI HX340HD EXCAVATOR (VOIR BL)</t>
  </si>
  <si>
    <t>SARL SIFOR SONDAGE FORAGE &amp; INJECTION</t>
  </si>
  <si>
    <t>OF25320LDJD020021041</t>
  </si>
  <si>
    <t>01 UNIT SHACMAN SX3255JM384 6*4 DUMP TRUCK 01 UNIT SANY SR255-S ROTARY DRILLING RIG 01 UNIT JMC 4X2 2.5TON CARGO TRUCK ( VOIR BL)</t>
  </si>
  <si>
    <t>OF25320LDJD042/060</t>
  </si>
  <si>
    <t>01 UNIT SANY SR175L-S ROTARY DRILLING RIG DEUTZ ENGINE /CUMMINS ENGINE /SR255 ENGINE ( VOIR BL)</t>
  </si>
  <si>
    <t>EURL HAMMADI PREST</t>
  </si>
  <si>
    <t>OF25320LDJD023</t>
  </si>
  <si>
    <t>01 UNIT XC948 WHEEL LOADER 01 UNIT SINOTRUK HOWO TX 280HP 4X2 FLAT BED TRUCK O1 UNIT CPCD50 ROUGH TERRAIN FORKLIFT ( VOIR BL)</t>
  </si>
  <si>
    <t>SARL AMIRAL TRAVAUX</t>
  </si>
  <si>
    <t>OF25320LDJD025</t>
  </si>
  <si>
    <t>01 UNIT DEVELON CRAWLER EXCAVATOR DX360LCA-7B ( VOIR BL)</t>
  </si>
  <si>
    <t>OF25320LDJD026</t>
  </si>
  <si>
    <t>01 UNIT XCMG COMPACTOR XP203S ONTYRE ( VOIR BL)</t>
  </si>
  <si>
    <t>OF25320LDJD028</t>
  </si>
  <si>
    <t>LMOUACI MADJID</t>
  </si>
  <si>
    <t>OF25320LDJD029</t>
  </si>
  <si>
    <t>01 UNIT SHACMAN F2000 6*4 DUMP TRUCK ( VOIR BL)</t>
  </si>
  <si>
    <t>LAGRA ISMAIL BEN ABDELMADJID</t>
  </si>
  <si>
    <t>OF25320LDJD032</t>
  </si>
  <si>
    <t>01 UNIT SHACMAN F2000 6×4 DUMP TRUCK ( VOIR BL)</t>
  </si>
  <si>
    <t>OF25320LDJD033</t>
  </si>
  <si>
    <t>01 UNIT SHACMAN F2000 DUMP TRUCK 01 UNIT LUTONG LTS214H ROAD ROLLER ( VOIR BL)</t>
  </si>
  <si>
    <t>TASSILI SPA</t>
  </si>
  <si>
    <t>OF25320LDJD034-040</t>
  </si>
  <si>
    <t>03 UNITS GRUE AT SANY SAC800C7-8 80 T 03 UNITS GRUE SUR CAMION STC1100T6 SANY 110 T 01 UNIT CAMION-GRUE XCMG QY50KD 50 T ( VOIR BL)</t>
  </si>
  <si>
    <t>CHAIBEDDRA KARIM</t>
  </si>
  <si>
    <t>OF25320LDJD045</t>
  </si>
  <si>
    <t>BOUZIAD FAYCEL</t>
  </si>
  <si>
    <t>OF25320LDJD046</t>
  </si>
  <si>
    <t>01 UNIT JMC DUMP TRUCK 01 UNIT SHACMAN F2000 DUMP TRUCK 01 UNIT OF JMC CARGO TRUCK ( VOIR BL)</t>
  </si>
  <si>
    <t>MOSTEFAOUI AHMED</t>
  </si>
  <si>
    <t>OF25320LDJD047</t>
  </si>
  <si>
    <t>01 UNIT DEVELON CRAWLER EXCAVATOR +02 HAMMERS HDBB-140Z80 &amp; HDBB-165Z ( VOIR BL)</t>
  </si>
  <si>
    <t>SARL SOTRA GHRISS</t>
  </si>
  <si>
    <t>OF25320LDJD048</t>
  </si>
  <si>
    <t>01 UNIT SHACMAN SPRINKLER TRUCK 01 UNIT SINOTRUK DUMP TRUCK 01 UNIT XCMG EXCAVATOR MODEL XE35U ( VOIR BL)</t>
  </si>
  <si>
    <t>SARL MAYOUF ET SOLTANI CARRIESRS</t>
  </si>
  <si>
    <t>OF25320LDJD049/050</t>
  </si>
  <si>
    <t>02 UNITS SHACMAN DUMP TRUCK F2000 ( VOIR BL)</t>
  </si>
  <si>
    <t>AISSAOUI SALIM</t>
  </si>
  <si>
    <t>OF25320LDJD051</t>
  </si>
  <si>
    <t>01 UNIT HYUNDAI EXCAVATOR HX340HD 01 UNIT SHACMAN DUMP TRUCK F2000 ( VOIR BL)</t>
  </si>
  <si>
    <t>SARL ANAFAA</t>
  </si>
  <si>
    <t>OF25320LDJD052</t>
  </si>
  <si>
    <t>02 UNITS SINOTRUK HOWO 6X4 DUMP TRUCK ( VOIR BL)</t>
  </si>
  <si>
    <t>OF25320LDJD125</t>
  </si>
  <si>
    <t>01 UNIT CIMC 3AXLE LOW BED SEMI-TRAILER (VOIR BL)</t>
  </si>
  <si>
    <t>SARL SOCIETE SENDID ENTREPRISES</t>
  </si>
  <si>
    <t>OF25320LDJD054</t>
  </si>
  <si>
    <t>FERHAT ALI</t>
  </si>
  <si>
    <t>OF25320LDJD056</t>
  </si>
  <si>
    <t>01 UNIT DEVELON CRAWLER EXCAVATOR ( VOIR BL)</t>
  </si>
  <si>
    <t>SARL ABNA KADDOURI SERVICES GENERAL</t>
  </si>
  <si>
    <t>OF25320LDJD057</t>
  </si>
  <si>
    <t>02 UNITS HYUNDAI EXCAVATOR HX340HD (VOIR BL)</t>
  </si>
  <si>
    <t>KOUARI MOHAMMED</t>
  </si>
  <si>
    <t>OF25320LDJD058</t>
  </si>
  <si>
    <t>01 UNIT JMC T822 3TON DUMP TRUCK ( VOIR BL)</t>
  </si>
  <si>
    <t>EURL ALSFWANE SERVICES GENERALE</t>
  </si>
  <si>
    <t>OF25320LDJD066</t>
  </si>
  <si>
    <t>01 UNIT EXCAVATOR+HAMMER ACE340 (VOIR BL)</t>
  </si>
  <si>
    <t>OF25320LDJD067</t>
  </si>
  <si>
    <t>EURL TP H NEXT TRAVAUX</t>
  </si>
  <si>
    <t>OF25320LDJD068</t>
  </si>
  <si>
    <t>01 UNIT ACE340 CRAWLER EXCVATOR WITH JACK HAMMER DEVICE (VOIR BL)</t>
  </si>
  <si>
    <t>TEBBAL HASSAN</t>
  </si>
  <si>
    <t>OF25320LDJD069</t>
  </si>
  <si>
    <t>01 UNIT ACE230 CRAWLER EXCAVATOR WITH JACK HAMMER DEVICE 01 UNIT LOW BED TRAILER OF 30TONS 3 AXTES 01 UNIT SHACMAN WATER TANK TRUCK OF 12000L (VOIR BL )</t>
  </si>
  <si>
    <t>SARL GS CLEAN FABRICATION DES ARTICLES DE NETTOYAG</t>
  </si>
  <si>
    <t>OF25320LDJD070</t>
  </si>
  <si>
    <t>01 UNIT JAC CARGO TRUCK (VOIR BL)</t>
  </si>
  <si>
    <t>OF25320LDJD071</t>
  </si>
  <si>
    <t>01 UNIT SHACMAN F3000 TRUCK (VOIR BL)</t>
  </si>
  <si>
    <t>OF25320LDJD072</t>
  </si>
  <si>
    <t>01 UNIT CEMENT MIXER TRUCK CAB ( NOIR BL)</t>
  </si>
  <si>
    <t>MEZIANE FARES</t>
  </si>
  <si>
    <t>OF25320LDJD073</t>
  </si>
  <si>
    <t>01 UNIT ACE230 CRAWLER EXCAVATOR WITH HAMMER (VOIR BL)</t>
  </si>
  <si>
    <t>OF25320LDJD075</t>
  </si>
  <si>
    <t>02 UNITS BULK CEMENT TRUCK (VOIR BL)</t>
  </si>
  <si>
    <t>SARL BRIQUETERIE SBMT</t>
  </si>
  <si>
    <t>OF25320LDJD076</t>
  </si>
  <si>
    <t>01 UNIT HYUNDAI CRAWLER EXCAVATOR HX340HD + BREAK HAMMER 01 UNIT XCMG WHEEL LOADER ZL50GN (VOIR BL)</t>
  </si>
  <si>
    <t>HELLALET OUALID</t>
  </si>
  <si>
    <t>OF25320LDJD077</t>
  </si>
  <si>
    <t>02 UNITS XCMG ROAD ROLLER XS203J + XP263 01 UNIT XCMG MOTOR GRADER GR215 (VOIR BL)</t>
  </si>
  <si>
    <t>EURL PODIOUM TRAVAUX PUBLICS</t>
  </si>
  <si>
    <t>OF25320LDJD079</t>
  </si>
  <si>
    <t>03 UNITS XCMG WHEEL LOADER XC978 (VOIR BL)</t>
  </si>
  <si>
    <t>EURL HYPRO MAX</t>
  </si>
  <si>
    <t>OF25320LDJD080</t>
  </si>
  <si>
    <t>01 UNIT SINOTRUK SITRAK 8X4 TIPPER TRUCK (VOIR BL)</t>
  </si>
  <si>
    <t>EURL ELAMEL CONSTRUCTION ET COMMERCE</t>
  </si>
  <si>
    <t>OF25320LDJD113</t>
  </si>
  <si>
    <t>01 UNIT TELESCOPIC FORKLIFT ( VOIR BL)</t>
  </si>
  <si>
    <t>TABET BRAHIM</t>
  </si>
  <si>
    <t>OF25320LDJD114</t>
  </si>
  <si>
    <t>01 UNIT SHACMAN DUMP TRUCK CHASSIS MODEL 6X4 F2000 (VOIR BL )</t>
  </si>
  <si>
    <t>ETPH HENKA DJAAFAR</t>
  </si>
  <si>
    <t>OF25320LDJD116</t>
  </si>
  <si>
    <t>01 UNIT SHACMAN 6X4 F2000 DUMP TRUCK ( VOIR BL)</t>
  </si>
  <si>
    <t>SARL SIDI OUMEUR</t>
  </si>
  <si>
    <t>OF25320LDJD118</t>
  </si>
  <si>
    <t>05 UNITS SHACMAN F2000 6X4 DUMP TRUCK 01 UNIT JMC CARRYING PLUS 4X2 DUMP TRUCK ( VOIR BL)</t>
  </si>
  <si>
    <t>OF25320LDJD120</t>
  </si>
  <si>
    <t>01 UNIT XCMG DOUBLE DRUM ROAD ROLLER XD123 ( VOIR BL)</t>
  </si>
  <si>
    <t>KHADIR MOHAMED</t>
  </si>
  <si>
    <t>OF25320LDJD121</t>
  </si>
  <si>
    <t>04 UNITS SHACMAN 6*4 F2000 DUMP TRUCK ( VOIR BL)</t>
  </si>
  <si>
    <t>OF25320LDJD122</t>
  </si>
  <si>
    <t>01 UNIT SINOTRUK HOWO TX 4X2 CARGO TRUCK ( VOIR BL)</t>
  </si>
  <si>
    <t>EURL YADEM PRESTATION.</t>
  </si>
  <si>
    <t>OF25320LDJD123</t>
  </si>
  <si>
    <t>05 UNITS SHACMAN 6*4 F2000 DUMP TRUCK ( VOIR BL)</t>
  </si>
  <si>
    <t>OF25320LDJD124</t>
  </si>
  <si>
    <t>02 UNITS SINOTRUK HOWO TX 6X4 CARGO TRUCK (VOIR BL)</t>
  </si>
  <si>
    <t>SARL NESSER AL JANOUB TRAVAUX</t>
  </si>
  <si>
    <t>OF25320LDJD127</t>
  </si>
  <si>
    <t>01 UNIT SHACMAN 6*4 F2000 DUMP TRUCK (VOIR BL)</t>
  </si>
  <si>
    <t>SARL TGS GENIE CIVIL</t>
  </si>
  <si>
    <t>OF25320LDJD128</t>
  </si>
  <si>
    <t>01 UNIT 3 AXLE 80TONS LOW BED SEMI-TRAILER ( VOIR BL)</t>
  </si>
  <si>
    <t>EURL ENTREPRISE AMIRA CONFISSERIE ET CHOCOLATERIE</t>
  </si>
  <si>
    <t>OF25320LDJD138</t>
  </si>
  <si>
    <t>01 UNIT CAMION REFRIGERE JMC 4×2 ( VOIR BL)</t>
  </si>
  <si>
    <t>GROUPEMENT DE SOCIETE CHINA NATIONAL TECHNICAL IMP</t>
  </si>
  <si>
    <t>OF25320LDJD139</t>
  </si>
  <si>
    <t>STEL STRUCTURE / PIPES/ FITINGS ( VOIR BL)</t>
  </si>
  <si>
    <t>OF25320LDJD092</t>
  </si>
  <si>
    <t>SPIRAL WOUND GASKET /BOLTS AND NUTS /CARBON STEEL FLANGE/STAINLESS STEEL FLANGE /STRAINER</t>
  </si>
  <si>
    <t>OF25320LDJD094/095</t>
  </si>
  <si>
    <t>INSTRUMENT CABLE /WAO SUMP TANK /FLOW CONTROL HOPPER</t>
  </si>
  <si>
    <t>OF25320LDJD101/104</t>
  </si>
  <si>
    <t>TUBE /ANGLE STEEL/STAINLESS STEEL FITTING/FITTING/FLANGE / BALL VALVE/U-BOLT/AIR DISTRIBUTOR /CHECK VALVE /GATE VALVE/ GLOBE VALVE</t>
  </si>
  <si>
    <t>HADJI HAKIM</t>
  </si>
  <si>
    <t>OF25320LDJD142</t>
  </si>
  <si>
    <t>01 UNIT HYUNDAI CRAWLER EXCAVATOR HX340HD AND ACCESSORIES (VOIR BL)</t>
  </si>
  <si>
    <t>EURL YADEM PRESTATION</t>
  </si>
  <si>
    <t>OF25320LDJD147</t>
  </si>
  <si>
    <t>01 UNIT SHACMAN 6*4 F2000 DUMP TRUCK ( VOIR BL)</t>
  </si>
  <si>
    <t>EURL FORT BRST SERVICES</t>
  </si>
  <si>
    <t>OF25320LDJD148</t>
  </si>
  <si>
    <t>03 UNITS HYUNDAI EXCAVATOR HX340HD ( VOIR BL)</t>
  </si>
  <si>
    <t>SARLSIDI OUMEUR</t>
  </si>
  <si>
    <t>OF25320LDJD149</t>
  </si>
  <si>
    <t>EURL GHAB MULTI SERVICES</t>
  </si>
  <si>
    <t>OF25320LDJD160</t>
  </si>
  <si>
    <t>01 UNIT SHACMAN F2000 6×4 DUMP TRUCK ( VOIR BL )</t>
  </si>
  <si>
    <t>ALLAOUA NACIM</t>
  </si>
  <si>
    <t>OF25320LDJD163</t>
  </si>
  <si>
    <t>02 UNITS HIGER AUTOCAR V91 STANDARD ( VOIR BL)</t>
  </si>
  <si>
    <t>OF25320LDJD170</t>
  </si>
  <si>
    <t>SPA METALCO EXTRUSION</t>
  </si>
  <si>
    <t>MINI BUS</t>
  </si>
  <si>
    <t>OF25320LDJD166</t>
  </si>
  <si>
    <t>02 UNITS HIGER MICRO BUS 19 SEAT VAN (VOIR BL)</t>
  </si>
  <si>
    <t>SARL ANGUEK TOYS</t>
  </si>
  <si>
    <t>OF25320LDJD168</t>
  </si>
  <si>
    <t>01 UNIT HIGER AUTOBUS C100 ( VOIR BL)</t>
  </si>
  <si>
    <t>BOUZID NACER EDDINE</t>
  </si>
  <si>
    <t>OF25320LDJD175</t>
  </si>
  <si>
    <t>01 UNIT CRAWLER EXCAVATOR 01 UNIT SL1400 HYDRAULIE BREAKER(VOIR BL)</t>
  </si>
  <si>
    <t>SH ACTIVITE RPC</t>
  </si>
  <si>
    <t>OF25320LDJD082</t>
  </si>
  <si>
    <t>COMBINED TYPE AIR-CONDITIONING UNIT; AIR-COOLED SCREW CHILLER</t>
  </si>
  <si>
    <t>OF25320LDJD084</t>
  </si>
  <si>
    <t>OF25320LDJD088/089</t>
  </si>
  <si>
    <t>SPRING SUPPORTS /WELDED STEEL PIPE /SEAMED PIPE /WELDED STEEL PIPE /CARBON STEEL ANGLE /CHANNEL STEEL</t>
  </si>
  <si>
    <t>OF25320LDJD100</t>
  </si>
  <si>
    <t>OF25320LDJD007</t>
  </si>
  <si>
    <t>PET RESIN,JADE CZ-302, WATER BOTTLE GRADE</t>
  </si>
  <si>
    <t>OF25320LDJD008</t>
  </si>
  <si>
    <t>PET RESIN, 100% VIRGIN JADE CZ-302 I.V.0.800 +/-0.02, /BOTTLE GRADE</t>
  </si>
  <si>
    <t>SPA INTERNATIONAL DRINKS COMPANY (IDC)</t>
  </si>
  <si>
    <t>OF25320LDJD174</t>
  </si>
  <si>
    <t>PET RESIN BOTTLE GRADE</t>
  </si>
  <si>
    <t>SARL GSM GHESSAB SAMIR ET MOHAMED</t>
  </si>
  <si>
    <t>OF25320LDJD150</t>
  </si>
  <si>
    <t>PLAIN MDF</t>
  </si>
  <si>
    <t>OF25320LDJD151</t>
  </si>
  <si>
    <t>EURL PROPROFIL</t>
  </si>
  <si>
    <t>OF25320LDJD152</t>
  </si>
  <si>
    <t>OF25320LDJD158</t>
  </si>
  <si>
    <t>PANEL MDF CHIPBOARD MR</t>
  </si>
  <si>
    <t>SARL OFISCO</t>
  </si>
  <si>
    <t>OF25320LDJD153</t>
  </si>
  <si>
    <t>OF25320LDJD154</t>
  </si>
  <si>
    <t>SARL TAJHIZATE COMPANY</t>
  </si>
  <si>
    <t>OF25320LDJD156</t>
  </si>
  <si>
    <t>EURL GENERAL EQUIPEMENT</t>
  </si>
  <si>
    <t>OF25320LDJD157</t>
  </si>
  <si>
    <t>SARL BEST BF</t>
  </si>
  <si>
    <t>OF25320LDJD159</t>
  </si>
  <si>
    <t>EXTRA METAL SARL</t>
  </si>
  <si>
    <t>OF25320RDJD001</t>
  </si>
  <si>
    <t>OF25320RDJD002/003</t>
  </si>
  <si>
    <t>SARL STEEL PROCESSING COMPANY</t>
  </si>
  <si>
    <t>OF25320RDJD004</t>
  </si>
  <si>
    <t>OF25320RDJD005</t>
  </si>
  <si>
    <t>PRIME NEWLY PRODUCED HOT ROLLED STEEL COILS</t>
  </si>
  <si>
    <t>SARL AMYIS FER</t>
  </si>
  <si>
    <t>OF25320RDJD006/007</t>
  </si>
  <si>
    <t>SARL EUROPANNEAUX ALGERIE</t>
  </si>
  <si>
    <t>OF25320XDJD001</t>
  </si>
  <si>
    <t>PREPAINTED GALVANISED STEEL SHEET IN COILS</t>
  </si>
  <si>
    <t>OF25320XDJD002</t>
  </si>
  <si>
    <t>EURL METALUS</t>
  </si>
  <si>
    <t>OF25320XDJD003</t>
  </si>
  <si>
    <t>HOT ROLLED STEEL COIL</t>
  </si>
  <si>
    <t>OF25320XDJD004</t>
  </si>
  <si>
    <t>OF25320XDJD005</t>
  </si>
  <si>
    <t>EURL PROFILO METTAL</t>
  </si>
  <si>
    <t>OF25320XDJD006/007</t>
  </si>
  <si>
    <t>SARL LOTUS SAT</t>
  </si>
  <si>
    <t>OF25320XDJD008-018</t>
  </si>
  <si>
    <t>PRE-PAINTED ALUZINC STEEL COILS</t>
  </si>
  <si>
    <t>NATRA INTERNATIONAL SPA</t>
  </si>
  <si>
    <t xml:space="preserve">OF25320XDJD019       </t>
  </si>
  <si>
    <t>PREPAINTED STEEL COILS IN DX51D</t>
  </si>
  <si>
    <t>OF25320XDJD069/070</t>
  </si>
  <si>
    <t>COLD ROLLED STEEL COIL</t>
  </si>
  <si>
    <t>SARL TOUALI METAL IMP EXP</t>
  </si>
  <si>
    <t>OF25320XDJD020-030</t>
  </si>
  <si>
    <t>HOT DIP GALVANISED STEEL STRIPS</t>
  </si>
  <si>
    <t>SARL STM STEEL</t>
  </si>
  <si>
    <t xml:space="preserve">OF25320XDJD031-033    </t>
  </si>
  <si>
    <t xml:space="preserve">OF25320XDJD034/035  </t>
  </si>
  <si>
    <t xml:space="preserve">OF25320XDJD071-081       </t>
  </si>
  <si>
    <t>BOBINES PRELAQUEES PPGI COILS</t>
  </si>
  <si>
    <t xml:space="preserve">OF25320XDJD098-100           </t>
  </si>
  <si>
    <t>PREPAINTED GALVANIZED STEEL SHEET IN COILS</t>
  </si>
  <si>
    <t>SARL SPL METAL</t>
  </si>
  <si>
    <t>OF25320XDJD047-050</t>
  </si>
  <si>
    <t>PRIME PRE PAINTED STEEL COILS</t>
  </si>
  <si>
    <t>OF25320XDJD101-104</t>
  </si>
  <si>
    <t>OF25320XDJD051-057</t>
  </si>
  <si>
    <t>OF25320XDJD058-065</t>
  </si>
  <si>
    <t>OF25320XDJD108</t>
  </si>
  <si>
    <t>OF25320XDJD110-114</t>
  </si>
  <si>
    <t>SARL HODNA METAL</t>
  </si>
  <si>
    <t xml:space="preserve">OF25320XDJD066-068         </t>
  </si>
  <si>
    <t>GALVANISED PREPAINTED STEEL COILS</t>
  </si>
  <si>
    <t>OF25320XDJD093-097</t>
  </si>
  <si>
    <t>PREPAINTED GALVANIZED STEEL COILS</t>
  </si>
  <si>
    <t>METAL TAM</t>
  </si>
  <si>
    <t>OF25320XDJD088-092</t>
  </si>
  <si>
    <t>FEUILLARD GALVANISE</t>
  </si>
  <si>
    <t>EURL RAGOUB METTAL</t>
  </si>
  <si>
    <t>OF25320XDJD019</t>
  </si>
  <si>
    <t>HOT ROLLED STEEL PLATES</t>
  </si>
  <si>
    <t>BENOUATAS INDUSTRIE SARL</t>
  </si>
  <si>
    <t>OF25320XDJD106/126</t>
  </si>
  <si>
    <t>SARL ALFA STEEL</t>
  </si>
  <si>
    <t>OF25320XDJD121-125</t>
  </si>
  <si>
    <t>PRIME HOT ROLLED STEEL H-BEAMS PRIME NEWLY HOT ROLLED STEEL CHANNEL PRIME NEWLY HOT ROLLED STEEL ANGLE</t>
  </si>
  <si>
    <t>BENDRISSE SLIMANE</t>
  </si>
  <si>
    <t>AS25353LDJD002</t>
  </si>
  <si>
    <t>01 UNIT SINOTRUCK HOWO TX 6X4 TIPPER TRUCK LHD-18 ( VOIR BL)</t>
  </si>
  <si>
    <t>BENGOURINA MESSAOUD</t>
  </si>
  <si>
    <t>RETROCHATGEURS</t>
  </si>
  <si>
    <t>AS25353LDJD003</t>
  </si>
  <si>
    <t>01 UNIT RETRO CHARGEUR ZL50GN (VOIR BL)</t>
  </si>
  <si>
    <t>EURL AFAK CONSTRUCTION</t>
  </si>
  <si>
    <t>AS25353LDJD004</t>
  </si>
  <si>
    <t>01 UNIT XCMG ZL 50GN NEW 5,5TON WHEEL LOADER (VOIR BL )</t>
  </si>
  <si>
    <t>SARL TOWN LIGHTS LED ELECTRICAL</t>
  </si>
  <si>
    <t>AS25353LDJD005A/008A</t>
  </si>
  <si>
    <t>01 UNIT SINOTRUK SITRAK TRACTOR 4*2 AUTOMATIC GEARBOX LHD WITH SPARE PARTS ( VOIR BL)</t>
  </si>
  <si>
    <t>EURL ALPHA TP</t>
  </si>
  <si>
    <t>AS25353LDJD005B/008B</t>
  </si>
  <si>
    <t>SARL GWG TRADING</t>
  </si>
  <si>
    <t>AS25353LDJD006</t>
  </si>
  <si>
    <t>01 UNIT SINOTRUK SITRAK 6*4 TRACTOR ( VOIR BL)</t>
  </si>
  <si>
    <t>MANASSA M</t>
  </si>
  <si>
    <t>ALGERIAN QATARI STEEL SPA</t>
  </si>
  <si>
    <t>CARBON EN BIG BAG</t>
  </si>
  <si>
    <t>HUA LI</t>
  </si>
  <si>
    <t>HLCSDJ101/102/103</t>
  </si>
  <si>
    <t>50 UNITS HIGER AUTOBUS MODEL C-100-KLQ6106G /30 UNITS HIGER AUTOCAR MODEL V-11-KLQ6116 /60 UNITS HIGER AUTOCAR MODEL NEW V8-KLQ6886</t>
  </si>
  <si>
    <t>HLCSDJ104</t>
  </si>
  <si>
    <t>XIN LI</t>
  </si>
  <si>
    <t>SARL NOUVEAU POLE</t>
  </si>
  <si>
    <t>XLLYGDJ002</t>
  </si>
  <si>
    <t>02 UNITS FORKLIFT FD160T-MXWS3-2(VOIR BL)</t>
  </si>
  <si>
    <t>GREEN SKY SARL</t>
  </si>
  <si>
    <t>XLLYGDJ003</t>
  </si>
  <si>
    <t>06 UNITS SEMI - TRAILERS THT9402XXYC ( VOIR BL)</t>
  </si>
  <si>
    <t>KISSOUM MOULOUD</t>
  </si>
  <si>
    <t>XLLYGDJ004</t>
  </si>
  <si>
    <t>01 UNIT SHACMAN F2000 64 DUMP TRUCK SX3254JM384 COMPLETE TRUCK ( VOIR BL)</t>
  </si>
  <si>
    <t>LAGSIR HOUDI</t>
  </si>
  <si>
    <t>XLLYGDJ007</t>
  </si>
  <si>
    <t>EURL EL WATED LIL MOUKAOUALATE WAWA EL INDIAZATE</t>
  </si>
  <si>
    <t>XLLYGDJ009</t>
  </si>
  <si>
    <t>01 UNIT SHACMAN 6X4 F2000 ( VOIR BL)</t>
  </si>
  <si>
    <t>LATTAR HICHEM</t>
  </si>
  <si>
    <t>XLLYGDJ011/042</t>
  </si>
  <si>
    <t>01 UNIT XCMG ROAD ROLLER XP263 01 UNIT SHACMAN F2000 DUMP TRUCK ( VOIR BL)</t>
  </si>
  <si>
    <t>EURL PROM BATI LAN</t>
  </si>
  <si>
    <t>XLLYGDJ012A</t>
  </si>
  <si>
    <t>01 UNIT ROULEAU COMPACTEUR XD140IV XCMG DOUBLE DRUM ROLLER ( VOIR BL)</t>
  </si>
  <si>
    <t>MERAZKA FARID</t>
  </si>
  <si>
    <t>XLLYGDJ012B</t>
  </si>
  <si>
    <t>01 UNIT COMPACTEUR PNEUMATIQUE XP163 XCMG TYRE ROLLER (VOIR BL)</t>
  </si>
  <si>
    <t>XLLYGDJ013</t>
  </si>
  <si>
    <t>06 UNITS CHARGEUSE /02 UNITS GRUE AUTOMOBILE 50T / 03 UNITS CAMION POMPE A BETON /05 UNITS ROULEAU COMPRESSEUR /02 UNITS NIVELEUSE /01 UNIT BULLDOZER /13 UNITS EXCAVATRICE A CHENILLES ( VOIR BL)</t>
  </si>
  <si>
    <t>XLLYGDJ014</t>
  </si>
  <si>
    <t>XLLYGDJ016</t>
  </si>
  <si>
    <t>HYUNDAI CRAWLER EXCAVATOR HX340HD (VOIR BL)</t>
  </si>
  <si>
    <t>SARL FPKR</t>
  </si>
  <si>
    <t>XLLYGDJ019</t>
  </si>
  <si>
    <t>02 UNITS SHACMAN L3000 4X2 LORRY TRUCK ( VOIR BL)</t>
  </si>
  <si>
    <t>EURL ZARMED SERVICES</t>
  </si>
  <si>
    <t>XLLYGDJ024</t>
  </si>
  <si>
    <t>02 UNITS SHACMAN F2000 6X4 DUMP TRUCK</t>
  </si>
  <si>
    <t>GENERATOR</t>
  </si>
  <si>
    <t>XLLYGDJ025</t>
  </si>
  <si>
    <t>01 UNIT GENERATOR (VOIR BL)</t>
  </si>
  <si>
    <t>SARL OULED HADJ MAAMAR SERVICES</t>
  </si>
  <si>
    <t>XLLYGDJ026</t>
  </si>
  <si>
    <t>01 UNIT CIMC CEMENT BULKER WITH BPW AXLE (VOIR BL)</t>
  </si>
  <si>
    <t>SARL BAGHI DE TRAVAUX</t>
  </si>
  <si>
    <t>XLLYGDJ031/043</t>
  </si>
  <si>
    <t>01 UNIT SHACMAN F2000 6X4 DUMP TRUCK + HAMMER (VOIR BL)</t>
  </si>
  <si>
    <t>SARL 2MBA</t>
  </si>
  <si>
    <t>XLLYGDJ034</t>
  </si>
  <si>
    <t>04 UNITS LOWBED SIMI TRAILER ( VOIR BL)</t>
  </si>
  <si>
    <t>EURL GH PHOENIX SERVICE</t>
  </si>
  <si>
    <t>COMPRESSEURS</t>
  </si>
  <si>
    <t>XLLYGDJ035</t>
  </si>
  <si>
    <t>01 UNIT ATLAS COMPRESSOR Y1300 (VOIR BL)</t>
  </si>
  <si>
    <t>EURL BOURAS MOURAD GRANDS TRAVAUX</t>
  </si>
  <si>
    <t>XLLYGDJ036</t>
  </si>
  <si>
    <t>01 UNIT HYUNDAI EXCAVATOR HX340HD (VOIR BL)</t>
  </si>
  <si>
    <t>XLLYGDJ037</t>
  </si>
  <si>
    <t>01 UNIT COMPACTEUR XP163 PNEUMATIC TIRE ROLLER (VOIR BL)</t>
  </si>
  <si>
    <t>EURL EWAN ENTERPRISE</t>
  </si>
  <si>
    <t>XLLYGDJ038</t>
  </si>
  <si>
    <t>SARL AL OTHMANI SERVICES</t>
  </si>
  <si>
    <t>XLLYGDJ039</t>
  </si>
  <si>
    <t>01 UNIT HYUNDAI EXCAVATOR HX 340HD (VOIR BL)</t>
  </si>
  <si>
    <t>EURL ENTREPRIS HACHEMI TRAVAUX</t>
  </si>
  <si>
    <t>XLLYGDJ041</t>
  </si>
  <si>
    <t>01 UNIT PELLE EXCAVATOR HYUNDAI HX340HD (VOIR BL)</t>
  </si>
  <si>
    <t>ENTREPRISE NATIONALE DE SERVICES AUX PUITS DIVISIO</t>
  </si>
  <si>
    <t>XLLYGDJ044-046</t>
  </si>
  <si>
    <t>SKID MOUNTED HIGH PRESSURE PUMPING UNIT YLQ45-600 &amp; YLQ45-300 WITH SPARE PARTS (VOIR BL)</t>
  </si>
  <si>
    <t>XLLYGDJ048</t>
  </si>
  <si>
    <t>02 UNITS HYUNDAI EXCAVATOR HX220HD + 02 HYUNDAI HAMMER (VOIR BL)</t>
  </si>
  <si>
    <t>EURL SOCIETE GRANDS TRAVAUX PUBLIQUES SGTP</t>
  </si>
  <si>
    <t>XLLYGDJ049</t>
  </si>
  <si>
    <t>01 UNIT HYUNDAI EXCAVATOR HX220HD(VOIR BL)</t>
  </si>
  <si>
    <t>XLLYGDJ050</t>
  </si>
  <si>
    <t>01 UNIT HYUNDAI EXCAVATOR HX220HD (VOIR BL)</t>
  </si>
  <si>
    <t>XLLYGDJ051</t>
  </si>
  <si>
    <t>MOKHTARI NOUREDDINE</t>
  </si>
  <si>
    <t>XLTJDJ012</t>
  </si>
  <si>
    <t>02 UNITS PNEUMATIC ROLLER XP263 +MOTOR GRADER GR215 ( VOIR BL)</t>
  </si>
  <si>
    <t>EURL MEGA PAPIERS</t>
  </si>
  <si>
    <t>XLTJDJ013</t>
  </si>
  <si>
    <t>03 UNITS CARGO TRUCK WITH ACCESSORIES ( VOIR BL)</t>
  </si>
  <si>
    <t>EURL TRAVAUX ESSALAM</t>
  </si>
  <si>
    <t>XLTJDJ014</t>
  </si>
  <si>
    <t>01 UNIT SHACMAN F2000 DUMP TRUCK SX3255JM384 (VOIR BL)</t>
  </si>
  <si>
    <t>XLTJDJ016</t>
  </si>
  <si>
    <t>CEMENTING EQUIPMENT AND ACCESSORIES</t>
  </si>
  <si>
    <t>XLTJDJ018</t>
  </si>
  <si>
    <t>FOURNITURES D'ECHANGEUR DE CHALEUR REFRIGERNAT HORIZONTAL</t>
  </si>
  <si>
    <t>AL SALAM BANK ALGERIA LOCATAIRE ABED TAYYIB</t>
  </si>
  <si>
    <t>XLTJDJ019</t>
  </si>
  <si>
    <t>01 UNIT SINOTRUK HOWO-TX 6X4 TRACTOR TRUCK LHD (VOIR BL)</t>
  </si>
  <si>
    <t>EURL ATH</t>
  </si>
  <si>
    <t>XLTJDJ020/50</t>
  </si>
  <si>
    <t>01 UNIT SINOTRUK SITRAK 4X2 TRACTOR-AUTOMATIC GEARBOX LHD /01 BATCH OF SPARE PARTS ( VOIR BL)</t>
  </si>
  <si>
    <t>ABDOUKEL IBRAHIM</t>
  </si>
  <si>
    <t>XLTJDJ021</t>
  </si>
  <si>
    <t>06 UNITS SINOTRUK HOWO-T7H 6X4 TRACTOR LHD (VOIR BL)</t>
  </si>
  <si>
    <t>XLTJDJ022</t>
  </si>
  <si>
    <t>02 UNITS SINOTRUCK HOWO 6X4 MIXER TRUCK LHD-10 CBM (VOIR BL)</t>
  </si>
  <si>
    <t>XLTJDJ044</t>
  </si>
  <si>
    <t>SINOTRUK SPARE PARTS</t>
  </si>
  <si>
    <t>SOCIETE GENERALE ALGERIE SPA LOCATAIRE SCMGC SARL</t>
  </si>
  <si>
    <t>XLTJDJ046</t>
  </si>
  <si>
    <t>01 UNIT TRUCK HEAD ZZ4257V344GC1( VOIR BL)</t>
  </si>
  <si>
    <t>SARL EL CHAIB IMPORT EXPORT</t>
  </si>
  <si>
    <t>XLTJDJ049</t>
  </si>
  <si>
    <t>01 UNIT SINOTRUK SITRAK 8X4 MIXER TRUCK LHD ( VOIR BL)</t>
  </si>
  <si>
    <t>EURL TMSO REALISATION</t>
  </si>
  <si>
    <t>XLTJDJ060-64</t>
  </si>
  <si>
    <t>01 UNITS HOWO FLATBED TRUCK/02 UNITS HOWO DUMP TRUCK/01 UNITS HOWO WATER TANK TRUCK/01 UNITS HOWO TRACTOR TRUCK</t>
  </si>
  <si>
    <t>FAR LAZHAR</t>
  </si>
  <si>
    <t>XLTJDJ001</t>
  </si>
  <si>
    <t>GALVANIZED STEEL STRIP COILS</t>
  </si>
  <si>
    <t>SARL EL HADJ TAHAR STEEL</t>
  </si>
  <si>
    <t>XLTJDJ003-009</t>
  </si>
  <si>
    <t>PRIME PREPAINTED GALVANIZED STEEL SHEET IN COILS</t>
  </si>
  <si>
    <t>SARL EMMET</t>
  </si>
  <si>
    <t>XLTJDJ010</t>
  </si>
  <si>
    <t>TINPLATE IN COILS (VOIR BL)</t>
  </si>
  <si>
    <t>XLTJDJ015</t>
  </si>
  <si>
    <t>GALVANIZED STEEL COILS</t>
  </si>
  <si>
    <t>SARL ALPHA NEW PLAS</t>
  </si>
  <si>
    <t>XLTJDJ025/026</t>
  </si>
  <si>
    <t>PRE-PAINTED STEEL IN COILS</t>
  </si>
  <si>
    <t>XLTJDJ027- 029</t>
  </si>
  <si>
    <t>PLATED TINNED FOR COILS STEEL</t>
  </si>
  <si>
    <t>XLTJDJ030/031</t>
  </si>
  <si>
    <t>SARL COMAVER</t>
  </si>
  <si>
    <t>XLTJDJ032</t>
  </si>
  <si>
    <t>COLD ROLLED CARBON STEEL STRIP /GALVANIZED STRIPS WITH A BRIGHT SURFACE</t>
  </si>
  <si>
    <t>SARL LAGUA</t>
  </si>
  <si>
    <t>XLTJDJ034</t>
  </si>
  <si>
    <t>Z80 GI COIL 2.8*1500 / CARBON STEEL SHEET</t>
  </si>
  <si>
    <t>EURL MAGHREB PANNEAUX SANDWICH</t>
  </si>
  <si>
    <t>XLTJDJ053-058</t>
  </si>
  <si>
    <t>PRIME PPGI STEEL COILS/PRIME HOT DIPPED GALVANIZED STEEL STRIPS</t>
  </si>
  <si>
    <t>SARL METAL STEEL COMPANY .LTD SETIF</t>
  </si>
  <si>
    <t>SABLE DE QUARTZ EN BIG BAG</t>
  </si>
  <si>
    <t>XLTJDJ017</t>
  </si>
  <si>
    <t>MIXED QUARTZ</t>
  </si>
  <si>
    <t>SPA EL-FATH</t>
  </si>
  <si>
    <t>CHARPENTE METALIQUE</t>
  </si>
  <si>
    <t>XLTJDJ037/038</t>
  </si>
  <si>
    <t>CHARPENTE METALLIQUE</t>
  </si>
  <si>
    <t>EURL METGAV ROUTE NATIONALE</t>
  </si>
  <si>
    <t>BARRES PLATES</t>
  </si>
  <si>
    <t>XLTJDJ039-043</t>
  </si>
  <si>
    <t>HOT ROLLED FLAT BARS</t>
  </si>
  <si>
    <t>SARL GENIE HYDRAULIQUE ET HYDROCARBURE</t>
  </si>
  <si>
    <t>XLTJDJ023</t>
  </si>
  <si>
    <t>CASING TUBE</t>
  </si>
  <si>
    <t>FODIL KHALID</t>
  </si>
  <si>
    <t>XLTJDJ024</t>
  </si>
  <si>
    <t>ERW STEEL PIPE</t>
  </si>
  <si>
    <t>XLTJDJ035/036</t>
  </si>
  <si>
    <t>FOURNITURE DE TUBES DE CANALISATION</t>
  </si>
  <si>
    <t>SH OURHOUD ORGANISATION</t>
  </si>
  <si>
    <t>XLTJDJ045</t>
  </si>
  <si>
    <t>CARBON STEEL PIPES</t>
  </si>
  <si>
    <t>XLTJDJ047</t>
  </si>
  <si>
    <t>RACORDERTE(pipe)</t>
  </si>
  <si>
    <t>EXPRO GULF LIMITED - ALGERIA BRANCH</t>
  </si>
  <si>
    <t>XLTJDJ048</t>
  </si>
  <si>
    <t>EAGLE</t>
  </si>
  <si>
    <t>SARL PENG-PU ALGERIE</t>
  </si>
  <si>
    <t>DZ2509005V04</t>
  </si>
  <si>
    <t>10 BUS BS106 (EURO2) DKD 2025 MY EN KIT</t>
  </si>
  <si>
    <t>DZ2509006V05</t>
  </si>
  <si>
    <t>12 AUTOBUS GDW6121HK (EURO3) DKD 2025 MY EN KIT</t>
  </si>
  <si>
    <t>DZ2509007V06</t>
  </si>
  <si>
    <t>10 AUTOBUS GDW6900HK (EURO3) DKD 2025 MY EN KIT</t>
  </si>
  <si>
    <t>AKSON ADAM</t>
  </si>
  <si>
    <t>SARL GABD (GROUPE AGGOUN BOIS ET DERIVES)</t>
  </si>
  <si>
    <t>AKAM2551SCSDJE01</t>
  </si>
  <si>
    <t>SARL COMABTI</t>
  </si>
  <si>
    <t>AKAM2551SCSDJE02</t>
  </si>
  <si>
    <t>AKAM2551SCSDJE03</t>
  </si>
  <si>
    <t>SARL COGEPAN</t>
  </si>
  <si>
    <t>AKAM2551SCSDJE04</t>
  </si>
  <si>
    <t>SARL TAIBA - BOIS</t>
  </si>
  <si>
    <t>AKAM2551SCSDJE05</t>
  </si>
  <si>
    <t>AKAM2551SCSDJE06</t>
  </si>
  <si>
    <t>SARL FRERES BOUKREDRA MATERIAUX DE CONTRUCTION</t>
  </si>
  <si>
    <t>AKAM2551SCSDJE07</t>
  </si>
  <si>
    <t>SARL SOGIDIS</t>
  </si>
  <si>
    <t>AKAM2551SCSDJE08</t>
  </si>
  <si>
    <t>TOP GENIUS</t>
  </si>
  <si>
    <t>SNC HYDRO ACTIF BACHAR ET ASSOCIES</t>
  </si>
  <si>
    <t>TG26032LDJD001</t>
  </si>
  <si>
    <t>01 UNIT SEMI-TRAILER ( VOIR BL)</t>
  </si>
  <si>
    <t>MERZELKAD ISSAM</t>
  </si>
  <si>
    <t>TG26032LDJD002</t>
  </si>
  <si>
    <t>01 UNIT XCMG VIBRATING ROAD ROLLER XD65T ( VOIR BL)</t>
  </si>
  <si>
    <t>EL KHADIR MESSAOUDA</t>
  </si>
  <si>
    <t>TG26032LDJD003</t>
  </si>
  <si>
    <t>01 UNIT DUMP TRUCK ( VOIR BL )</t>
  </si>
  <si>
    <t>TG26032LDJD004</t>
  </si>
  <si>
    <t>01 UNIT TRACTOR ( VOIR BL)</t>
  </si>
  <si>
    <t>EURL AFIF SERVICES</t>
  </si>
  <si>
    <t>TG26032LDJD006</t>
  </si>
  <si>
    <t>01 UNIT ROLLER XCMG XS203J ( VOIR BL)</t>
  </si>
  <si>
    <t>TG26032LDJD007</t>
  </si>
  <si>
    <t>01 UNIT HYUNDAI HX340HD 33 TON NEW HEAVY DUTY EXCAVATOR TIER 2 ( VOIR BL)</t>
  </si>
  <si>
    <t>SARL HUSSAIN SONS COMPANY</t>
  </si>
  <si>
    <t>TG26032LDJD010</t>
  </si>
  <si>
    <t>01 UNIT XCMG MOTOR GRADER GR180 ( VOIR BL)</t>
  </si>
  <si>
    <t>NEHAL YACINE</t>
  </si>
  <si>
    <t>TG26032LDJD011</t>
  </si>
  <si>
    <t>01 UNIT XCMG WHEEL LOADER ZL50GN ( VOIR BL)</t>
  </si>
  <si>
    <t>BOUMAZA SID AHMED</t>
  </si>
  <si>
    <t>TG26032LDJD012</t>
  </si>
  <si>
    <t>01 UNIT JMC CARRYING TRUCK DOUBLE CABIN 4X2 ( VOIR BL)</t>
  </si>
  <si>
    <t>SARL A L D T S</t>
  </si>
  <si>
    <t>TG26032LDJD013</t>
  </si>
  <si>
    <t>01 UNIT CAMION SHACMAN F2000 6X4 290HP DUMP TRUCK</t>
  </si>
  <si>
    <t>TG26032LDJD014</t>
  </si>
  <si>
    <t>176 UNITS BUS TS12 (VOIR BL)</t>
  </si>
  <si>
    <t>TG26032LDJD016-18</t>
  </si>
  <si>
    <t>BUS SPARE PARTS</t>
  </si>
  <si>
    <t>EURL ELDMATRA</t>
  </si>
  <si>
    <t>TG26032LDJD015</t>
  </si>
  <si>
    <t>MUNTGRACHT</t>
  </si>
  <si>
    <t>CAMDJE001</t>
  </si>
  <si>
    <t>SEDRATA</t>
  </si>
  <si>
    <t>446 BUNDLES + 13 FRAMES SYSTEMES RAP</t>
  </si>
  <si>
    <t>ENTREPRISE PORTUAIRE DE DJEN DJEN SPA</t>
  </si>
  <si>
    <t>CONTENEURS</t>
  </si>
  <si>
    <t>1 TC STC 1 TRACTOR + 4 PLTS PIECES DE RECHANGE</t>
  </si>
  <si>
    <t>BAO FLOURISH</t>
  </si>
  <si>
    <t>enasel</t>
  </si>
  <si>
    <t>BF25361LDJD001</t>
  </si>
  <si>
    <t>173 BUS TS12 (VOIR BL)</t>
  </si>
  <si>
    <t>SARL SITIFIS OASIS IND</t>
  </si>
  <si>
    <t>BF25361XDJD028</t>
  </si>
  <si>
    <t>HEAVY DUTY INDUSTRIAL FRICTION WELDING MACHINE AND ACCESSORIES</t>
  </si>
  <si>
    <t>gc5</t>
  </si>
  <si>
    <t>BF25361LDJD002/003</t>
  </si>
  <si>
    <t>SEAMLESS CARBON PIPE</t>
  </si>
  <si>
    <t>BF25361XDJD077</t>
  </si>
  <si>
    <t>zone tube</t>
  </si>
  <si>
    <t>BF25361XDJD057-060</t>
  </si>
  <si>
    <t>SEAMMLESS STEEL PIPE</t>
  </si>
  <si>
    <t>SARL GIPAR</t>
  </si>
  <si>
    <t>daewoo</t>
  </si>
  <si>
    <t>BF25361XDJD008</t>
  </si>
  <si>
    <t>ANGLE STEEL/HOT ROLLED BEAMS/HOT ROLLED STEEL SHEETS</t>
  </si>
  <si>
    <t>SARL STEEL METAL</t>
  </si>
  <si>
    <t>statio gasoil</t>
  </si>
  <si>
    <t>BF25361XDJD051</t>
  </si>
  <si>
    <t>gc + t bois</t>
  </si>
  <si>
    <t>BF25361XDJD00400662</t>
  </si>
  <si>
    <t>GALVANIZED STRIP COILS</t>
  </si>
  <si>
    <t>t bois</t>
  </si>
  <si>
    <t>BF25361XDJD015</t>
  </si>
  <si>
    <t>SARL SYSTEMES PANNEAUX SANDWICHS</t>
  </si>
  <si>
    <t>BF25361XDJD029</t>
  </si>
  <si>
    <t>BF25361XDJD030</t>
  </si>
  <si>
    <t>PRIME ZINC ALUMINIUM STEEL COILS</t>
  </si>
  <si>
    <t>EURL SOCIETE ZOUAOUI TRAVAUX DE CONSTRUCTION</t>
  </si>
  <si>
    <t>BF25361XDJD031-032</t>
  </si>
  <si>
    <t>PRIME PREPAINTED STEEL COILS</t>
  </si>
  <si>
    <t>SARL FRERES KHERABCHA IMPORT/EXPORT</t>
  </si>
  <si>
    <t>BF25361XDJD070/071</t>
  </si>
  <si>
    <t>HOT ROLLED STEEL COILS</t>
  </si>
  <si>
    <t>FRERES ZIDANI STEEL IMP/ EXP SARL</t>
  </si>
  <si>
    <t>BF25361XDJD072</t>
  </si>
  <si>
    <t>BOBINES PPJI</t>
  </si>
  <si>
    <t>BF25361XDJD073/074</t>
  </si>
  <si>
    <t>SHENG CHENG HAI</t>
  </si>
  <si>
    <t>CH26037YDJD001</t>
  </si>
  <si>
    <t>50 UNITS HIGER AUTOBUS MODEL C-100-KLQ6106G /30 UNITS HIGER AUTOCAR MODEL V-11-KLQ6116 /140 UNITS HIGER AUTOCAR MODEL NEW V8-KLQ6886 ( VOIR BL )</t>
  </si>
  <si>
    <t>CH26037YDJD004</t>
  </si>
  <si>
    <t>EURL GRAND GROUPE INDUST</t>
  </si>
  <si>
    <t>CH26037YDJD005</t>
  </si>
  <si>
    <t>10 UNITS SEMI REMORQUE 4AXLES 100TONS SIDE DUMPING SIDEWALL SEMI TRAILERS JSXT04120SDT ( VOIR BL )</t>
  </si>
  <si>
    <t>MELAB SALAH</t>
  </si>
  <si>
    <t>CH26037YDJD006</t>
  </si>
  <si>
    <t>01 UNIT DUMP LOWBED TRAILER 80T CIMC CSQ9400TDP ( VOIR BL )</t>
  </si>
  <si>
    <t>SARL GTR EL DJAZIRA E</t>
  </si>
  <si>
    <t>CH26037YDJD007</t>
  </si>
  <si>
    <t>02 UNITS SINOTRUK HOWO WATER TANK TRUCK 6X4 ZZ1257N464GB1 ( VOIR BL )</t>
  </si>
  <si>
    <t>SARL FA SERVICE</t>
  </si>
  <si>
    <t>CH26037YDJD008</t>
  </si>
  <si>
    <t>02 UNITS CIMC 3 AXLE LOW BED TRAILER ( VOIR BL )</t>
  </si>
  <si>
    <t>SARL LOUIFI PROJECTS</t>
  </si>
  <si>
    <t>CH26037YDJD009</t>
  </si>
  <si>
    <t>01 UNIT CIMC 3 AXLE SIDEWALL TRAILER / 01 UNIT LOW BED TRAILER ( VOIR BL )</t>
  </si>
  <si>
    <t>SARL CHINA HARBOUR ALGERIE</t>
  </si>
  <si>
    <t>CH26037YDJD010</t>
  </si>
  <si>
    <t>1 UNIT SHACMAN F3000 MIXER TRUCK SX5255GJBDR384 ( VOIR BL )</t>
  </si>
  <si>
    <t>ROSA DEI VENTI</t>
  </si>
  <si>
    <t>ENAGEO / ENTREPRISE NATIONALE DE GEOPHYSIQUE</t>
  </si>
  <si>
    <t>RD001DJ00126</t>
  </si>
  <si>
    <t>30 IVECO TRAKKER T-WAY</t>
  </si>
  <si>
    <t>SARPI SPA</t>
  </si>
  <si>
    <t>RD002DJ00126</t>
  </si>
  <si>
    <t>02 CAMIONS ASTRA</t>
  </si>
  <si>
    <t>FOURGON</t>
  </si>
  <si>
    <t>RD003DJ00126</t>
  </si>
  <si>
    <t>04 IVECO DAILY (EQUIPE AVEC COMPARTEMENT CELLULE AMBULANCE) + 01 CAISSE</t>
  </si>
  <si>
    <t>EURL BRIMATEC</t>
  </si>
  <si>
    <t>J1000DJ00126</t>
  </si>
  <si>
    <t>46 TCS (03x20' OT + 43x40' OT): LIGNE D’EXTRUSION ALUMINIUM COMPLETE, AVEC PRESSE 2000MT ET LIGNE DE TRAITMENT DE REVENU AUTOMATIQUE</t>
  </si>
  <si>
    <t>TRUFFALDINO</t>
  </si>
  <si>
    <t>SILICO MANGANESE EN BIG BAG</t>
  </si>
  <si>
    <t>238/2025A</t>
  </si>
  <si>
    <t>SILICO MANGANESE</t>
  </si>
  <si>
    <t>SPA TCHIN LAIT</t>
  </si>
  <si>
    <t>CAMION FRIGORIFIQUE</t>
  </si>
  <si>
    <t>BR25339LDJD001155</t>
  </si>
  <si>
    <t>CAMION JMC FRIGORIFIQUE</t>
  </si>
  <si>
    <t>SARL GLOBAL SALMI</t>
  </si>
  <si>
    <t>BR25339LDJD002</t>
  </si>
  <si>
    <t>SHACMAN 20000 L WATER TANK TRUK MODEL:F 3000</t>
  </si>
  <si>
    <t>BR25339LDJD003</t>
  </si>
  <si>
    <t>SHACMAN 20000L WATER TANK TRUCK MODEL:F3000,EURO 3</t>
  </si>
  <si>
    <t>SARL NORTH MAT CONST</t>
  </si>
  <si>
    <t>BR25339LDJD004</t>
  </si>
  <si>
    <t>CIMC 3-AXLE CEMENT TRAILER OVERSIZE (BRAND NEW)</t>
  </si>
  <si>
    <t>EURL CHERAZ CTE</t>
  </si>
  <si>
    <t>BR25339LDJD005</t>
  </si>
  <si>
    <t>+CIMC 3 AXLE CEMENT TRAILER (BRAND NEW).</t>
  </si>
  <si>
    <t>SOCIETE GENERALE ALGERIE SPA LOCATAIRE EURL ECOLOG</t>
  </si>
  <si>
    <t>BR25339LDJD006</t>
  </si>
  <si>
    <t>02 NEW JMC 822 4X2 SINGLE CAB CARGO TRUCK</t>
  </si>
  <si>
    <t>SARL HADJ DOUBAI LILACHEGHAL</t>
  </si>
  <si>
    <t>BR25339LDJD007</t>
  </si>
  <si>
    <t>MOTOR GRADER</t>
  </si>
  <si>
    <t>BR25339LDJD008A</t>
  </si>
  <si>
    <t>CIMC 80TON TRI-AXLE LOW BED SEMI-TRAILER</t>
  </si>
  <si>
    <t>SARL GRANDS TRAVAUX DU SUD</t>
  </si>
  <si>
    <t>BR25339LDJD008B130159</t>
  </si>
  <si>
    <t>SINOTRUK SITRAK 6X4 TRACTOR TRUCK + CIMC 80TON TRI-AXLE LOW BED SEMI-TRAILER + 01 PKG</t>
  </si>
  <si>
    <t>BR25339LDJD009</t>
  </si>
  <si>
    <t>SARL FB PROMO</t>
  </si>
  <si>
    <t>BR25339LDJD010</t>
  </si>
  <si>
    <t>SINOTRUK HOWO 6X4 MIXER TRUCK</t>
  </si>
  <si>
    <t>SARL MOULAY AZIZ</t>
  </si>
  <si>
    <t>BR25339LDJD011012</t>
  </si>
  <si>
    <t>SHACMAN F3000 6X4 DUMP TRUCK BRAND NEW / LOVOL FL936H LOADER + 01 PKG</t>
  </si>
  <si>
    <t>BR25339LDJD013</t>
  </si>
  <si>
    <t>MIXER TRUCK</t>
  </si>
  <si>
    <t>BR25339LDJD014</t>
  </si>
  <si>
    <t>DUMP TRUCK + SEMI-TRAILER</t>
  </si>
  <si>
    <t>SARL SOCIETE MODERNE SERVICES</t>
  </si>
  <si>
    <t>BR25339LDJD015</t>
  </si>
  <si>
    <t>XCMG TYRE ROLLER XP203S</t>
  </si>
  <si>
    <t>EURL AKRAM G T P S</t>
  </si>
  <si>
    <t>BR25339LDJD016</t>
  </si>
  <si>
    <t>XCMG TYRE ROLLER XP203S + XCMG ROAD ROLLER XS203J</t>
  </si>
  <si>
    <t>BENDRISSE HASSAN</t>
  </si>
  <si>
    <t>BR25339LDJD017</t>
  </si>
  <si>
    <t>XCMG XC958 WHEEL LOADER</t>
  </si>
  <si>
    <t>EURL EL NAKAA TRAVAUX DE BATIMENT</t>
  </si>
  <si>
    <t>BR25339LDJD018</t>
  </si>
  <si>
    <t>XCMG 37M PUMP TRUCK XS37</t>
  </si>
  <si>
    <t>GUETTAR TAIEB</t>
  </si>
  <si>
    <t>BR25339LDJD019</t>
  </si>
  <si>
    <t>SHACMAN F2000 DUMP TRUCK</t>
  </si>
  <si>
    <t>EURL PROTIMGAD</t>
  </si>
  <si>
    <t>BR25339LDJD020</t>
  </si>
  <si>
    <t>02 UNITS JAC CARGO TRUCK SINGLE CABIN + 01 UNIT JAC DUMP TRUCK DOUBLE CABIN</t>
  </si>
  <si>
    <t>EURL HYDRAU LAKHDARI</t>
  </si>
  <si>
    <t>BR25339LDJD021</t>
  </si>
  <si>
    <t>NAME : KHALFAOUI KHELIFA</t>
  </si>
  <si>
    <t>BR25339LDJD022</t>
  </si>
  <si>
    <t>EURL ECHANOUIA</t>
  </si>
  <si>
    <t>BR25339LDJD023A</t>
  </si>
  <si>
    <t>HYUNDAI EXCAVATOR WITH BREAKER LINE + 03 PKGS</t>
  </si>
  <si>
    <t>BR25339LDJD023B</t>
  </si>
  <si>
    <t>EURL HIGH STAR</t>
  </si>
  <si>
    <t>BR25339LDJD024</t>
  </si>
  <si>
    <t>1 UNIT CRAWLER EXCAVATOR + 05 PKGS</t>
  </si>
  <si>
    <t>SPA SOCIETE NATIONALE DE LEASING SNL</t>
  </si>
  <si>
    <t>BR25339LDJD025</t>
  </si>
  <si>
    <t>02 (DEUX) BEIBEN 6X4 DUMP TRUCK</t>
  </si>
  <si>
    <t>KORICHI ROCHDI</t>
  </si>
  <si>
    <t>BR25339LDJD026</t>
  </si>
  <si>
    <t>03 UNITS SHACMAN F2000 6X4 DUMP TRUCK</t>
  </si>
  <si>
    <t>BEN ALI LAKEHAL</t>
  </si>
  <si>
    <t>BR25339LDJD027</t>
  </si>
  <si>
    <t>BR25339LDJD029A30A</t>
  </si>
  <si>
    <t>SINOTRUK SITRAK 6X4 TRACTOR TRUCK+01 PKG</t>
  </si>
  <si>
    <t>BR25339LDJD029B30B</t>
  </si>
  <si>
    <t>SINOTRUK SITRAK 6X4 TRACTOR TRUCK + 01 PKG</t>
  </si>
  <si>
    <t>MEHDA ADEL</t>
  </si>
  <si>
    <t>BR25339LDJD029C30C</t>
  </si>
  <si>
    <t>BR25339LDJD035</t>
  </si>
  <si>
    <t>SHACMAN F2000 6×4 SPRINKLER TRUCK</t>
  </si>
  <si>
    <t>SARL AL BEN ALI TRAVAUX PUBLICS ET ROUTES</t>
  </si>
  <si>
    <t>BR25339LDJD036</t>
  </si>
  <si>
    <t>XP203S ROAD ROLLER / XS143J ROAD ROLLER</t>
  </si>
  <si>
    <t>EURL GENERALE BENBILA SERVICES</t>
  </si>
  <si>
    <t>BR25339LDJD037</t>
  </si>
  <si>
    <t>BRAND NEW HYUNDAI HX220HD CRAWLER EXCAVATOR</t>
  </si>
  <si>
    <t>SARL EL KANAS REALISATIONS GENERALES</t>
  </si>
  <si>
    <t>BR25339LDJD038</t>
  </si>
  <si>
    <t>HYUNDAI CRAWLER EXCAVATOR HX340HD + 01 PKG</t>
  </si>
  <si>
    <t>BR25339LDJD039</t>
  </si>
  <si>
    <t>01 UNIT HX340HD EXCAVATOR + 01 PKG</t>
  </si>
  <si>
    <t>SARL FRERES GHARBI EGTPH</t>
  </si>
  <si>
    <t>FINISSEUR</t>
  </si>
  <si>
    <t>BR25339LDJD040</t>
  </si>
  <si>
    <t>XCMG 6M PAVER RP603 + XCMG 10TON TANDEM ROAD ROLLER + 02 PKGS</t>
  </si>
  <si>
    <t>LALAOUNA AMAR</t>
  </si>
  <si>
    <t>BR25339LDJD042</t>
  </si>
  <si>
    <t>SHACMAN F2000 6X4 DUMP TRUCK</t>
  </si>
  <si>
    <t>GHOBCHI YOUCEF</t>
  </si>
  <si>
    <t>BR25339LDJD043</t>
  </si>
  <si>
    <t>SHACMAN F3000 6X4 DUMP TRUCK</t>
  </si>
  <si>
    <t>SARL FILS AMOURI MOHAMED EL HADI TRAVAUX DE ROUTE</t>
  </si>
  <si>
    <t>BR25339LDJD044</t>
  </si>
  <si>
    <t>SHACMAN MIXER TRUCK</t>
  </si>
  <si>
    <t>EURL BEGUI MEDANI</t>
  </si>
  <si>
    <t>BR25339LDJD045</t>
  </si>
  <si>
    <t>BRAND NEW SHACMAN 6X4 F2000 MIX TRUCK</t>
  </si>
  <si>
    <t>SARL EL HADJ TEDJANI SERVICES</t>
  </si>
  <si>
    <t>BR25339LDJD046</t>
  </si>
  <si>
    <t>SIDE WALL SEMI-TRAILER WITH TRI-AXLE (BRAND NEW)</t>
  </si>
  <si>
    <t>EURL KOUDJIL HYDROBAT</t>
  </si>
  <si>
    <t>BR25339LDJD047</t>
  </si>
  <si>
    <t>CIMC 60 TONS LOW BED TRAILER(BRAND NEW)</t>
  </si>
  <si>
    <t>SARL GROUPE AISSAOUI</t>
  </si>
  <si>
    <t>BR25339LDJD048</t>
  </si>
  <si>
    <t>HOWO TX CARGO TRUCK</t>
  </si>
  <si>
    <t>EURL EL WIAM GTPH</t>
  </si>
  <si>
    <t>BR25339LDJD049</t>
  </si>
  <si>
    <t>02 UNITS BRAND NEW 2025 HYUNDAI EXCAVATOR + 02 PKGS</t>
  </si>
  <si>
    <t>AMARA OMAR</t>
  </si>
  <si>
    <t>BR25339LDJD052</t>
  </si>
  <si>
    <t>01 HYUNDAI EXCAVATOR HX245 + 01 XCMG WHEEL LODER XC958 SAHGCHAI + 01 PKG</t>
  </si>
  <si>
    <t>SARL ETPHB TAMRAF</t>
  </si>
  <si>
    <t>BR25339LDJD053</t>
  </si>
  <si>
    <t>01 SINOTRUK HOWO TX 6X4 350HP CONCRETE PUMP TRUCK 37M(XS37)</t>
  </si>
  <si>
    <t>BOUAICHAOUI RACHID(ETB/TCE)</t>
  </si>
  <si>
    <t>BR25339LDJD054</t>
  </si>
  <si>
    <t>01 CAMION A BENNE SINOTRUK HOWO TX 6X4 TIPPER TRUCK LHD-19 CBM</t>
  </si>
  <si>
    <t>BR25339LDJD055</t>
  </si>
  <si>
    <t>EURL AL LAMIAA LI SINAAT AL HADITHA</t>
  </si>
  <si>
    <t>BR25339LDJD057</t>
  </si>
  <si>
    <t>CARGO TRUCK</t>
  </si>
  <si>
    <t>BR25339LDJD058</t>
  </si>
  <si>
    <t>JAC 1040S FLATBED TRUCK</t>
  </si>
  <si>
    <t>KETFI MESSAOUD</t>
  </si>
  <si>
    <t>BR25339LDJD059086</t>
  </si>
  <si>
    <t>JMC DOUBLE CAB DUMP TRUCK + HOWO FLATBED TRUCK</t>
  </si>
  <si>
    <t>ABED HAMMOU ABDELKADER</t>
  </si>
  <si>
    <t>BR25339LDJD060</t>
  </si>
  <si>
    <t>XCMG ZL50GN WHEEL LOADER</t>
  </si>
  <si>
    <t>BR25339LDJD061</t>
  </si>
  <si>
    <t>CIMC LOW BED TRAILER 60 TONS</t>
  </si>
  <si>
    <t>SARL SOLIDIS BETON</t>
  </si>
  <si>
    <t>BR25339LDJD062063</t>
  </si>
  <si>
    <t>SHACMAN F3000 6X4 MIXER TRUCK +LOVOL FL936H WHEEL LOADER</t>
  </si>
  <si>
    <t>SARL DESERT</t>
  </si>
  <si>
    <t>BR25339LDJD064</t>
  </si>
  <si>
    <t>1 XCMG XC870K BACKHOE LOADER</t>
  </si>
  <si>
    <t>BR25339LDJD065A</t>
  </si>
  <si>
    <t>INTELLIGENT ASPHALT DISTRIBUTOR</t>
  </si>
  <si>
    <t>BR25339LDJD065B</t>
  </si>
  <si>
    <t>SARL FILS AMOURI M.EL HADI T.ROUTE</t>
  </si>
  <si>
    <t>BR25339LDJD066</t>
  </si>
  <si>
    <t>ZOOMLION 3AXLES SITRUK + 01 PKG</t>
  </si>
  <si>
    <t>EURL BESTAOUI FOUAD BST</t>
  </si>
  <si>
    <t>BR25339LDJD068</t>
  </si>
  <si>
    <t>ZOOMLION 43M CONCRETE PUMP</t>
  </si>
  <si>
    <t>SABAANI TRAVAUX GENERAUX EURL</t>
  </si>
  <si>
    <t>BR25339LDJD069</t>
  </si>
  <si>
    <t>1 UNIT HYUNDAI EXCAVATOR HX340HD + 3 PKGS</t>
  </si>
  <si>
    <t>SARL LAMAOU TRAVAUX PUBLICS</t>
  </si>
  <si>
    <t>BR25339LDJD070A071A</t>
  </si>
  <si>
    <t>SHACMAN F2000 6X4 DUMPER TRUCK + SHACMAN F2000 6X4 WATER TRUCK</t>
  </si>
  <si>
    <t>BR25339LDJD070B071B</t>
  </si>
  <si>
    <t>SHACMAN F2000 6X4 DUMPER TRUCK + SHACMAN F2000 6X4 WATER TRUCK + SHACMAN F2000 6X4 CONCRETE MIXER TRUCK</t>
  </si>
  <si>
    <t>SARL HGB GRANDS TRAVAUX</t>
  </si>
  <si>
    <t>BR25339LDJD070C</t>
  </si>
  <si>
    <t>SHACMAN F2000 6X4 DUMPER TRUCK</t>
  </si>
  <si>
    <t>MOUSSAOUI ABDELBASSET</t>
  </si>
  <si>
    <t>BR25339LDJD070D</t>
  </si>
  <si>
    <t>SHACMAN DUMPER TRUCK F2000 16M3 6X4</t>
  </si>
  <si>
    <t>EURL EVERY STEP SERVICES</t>
  </si>
  <si>
    <t>BR25339LDJD072</t>
  </si>
  <si>
    <t>XCMG CEMENT PUMP TRUCK</t>
  </si>
  <si>
    <t>BR25339LDJD073</t>
  </si>
  <si>
    <t>BEIBEN HEAD TRACTOR 6X4</t>
  </si>
  <si>
    <t>SARL SOCIETE MODERNE SERVCES</t>
  </si>
  <si>
    <t>BR25339LDJD074</t>
  </si>
  <si>
    <t>BEIBEN 6X6 WATER TRUCK</t>
  </si>
  <si>
    <t>SARL AMINOU MONDE</t>
  </si>
  <si>
    <t>BR25339LDJD075</t>
  </si>
  <si>
    <t>HYUNDAI EXCAVATOR HX340HD, HAMMER LINE SYSTEM, A/C CAB, CAB CLASS GARDER GRILL AND EXTRA BUCKET + HYUNDAI EXCAVATOR HX340HD</t>
  </si>
  <si>
    <t>SARL ENERGYDIS</t>
  </si>
  <si>
    <t>BR25339LDJD076</t>
  </si>
  <si>
    <t>FAW 8X4 DUMP TRUCK</t>
  </si>
  <si>
    <t>BR25339LDJD077</t>
  </si>
  <si>
    <t>31UNITS CAMION A BENNE + 02 UNITS VEHICULE DE RAVITAILLEMENT + 03 UNITS GRUE MONTEE SUR CAMION + 06 UNITS CAMION MALAXEUR + 03 UNITS VEHICULE D’ARROSAGE</t>
  </si>
  <si>
    <t>BR25339LDJD079</t>
  </si>
  <si>
    <t>BR25339LDJD080</t>
  </si>
  <si>
    <t>SOCIETE ALGERIENNE DE L'ELECTRICITE ET DU GAZ-ENER</t>
  </si>
  <si>
    <t>BR25339LDJD078</t>
  </si>
  <si>
    <t>03 PACKAGE MODEL:SX5255GYSDT435 VIN: LZGCL2T56SX115938/LZGCL2T56SX115939/LZGCL2T56SX115940</t>
  </si>
  <si>
    <t>SARL NINGBO</t>
  </si>
  <si>
    <t>BR25339LDJD081082</t>
  </si>
  <si>
    <t>02 UNITS SINOTRUK HOWO 6X4 TIPPER TRUCK LHD + 01 UNIT SINOTRUK SITRAK 6X4 TRACTOR-MANUAL GEARBOX LHD.</t>
  </si>
  <si>
    <t>HAREK RAMZI</t>
  </si>
  <si>
    <t>BR25339LDJD083</t>
  </si>
  <si>
    <t>XCMG 50T TRUCK CRANE</t>
  </si>
  <si>
    <t>NAME : EURL CHARADI MOHAMED</t>
  </si>
  <si>
    <t>BR25339LDJD084</t>
  </si>
  <si>
    <t>TWO SITRAK TRACTOR HEAD TRUCKS</t>
  </si>
  <si>
    <t>NAME : EURL ALKATER ENTREPRISE DES TRAVAUX HYDRAUL</t>
  </si>
  <si>
    <t>BR25339LDJD085</t>
  </si>
  <si>
    <t>HOWO TX DUMP TRUCK</t>
  </si>
  <si>
    <t>BEN BRAHIM SALAH</t>
  </si>
  <si>
    <t>BR25339LDJD087</t>
  </si>
  <si>
    <t>SINOTRUCK SITRAK 4X2 TRACTOR AUTOMATIC</t>
  </si>
  <si>
    <t>BELMOKHTAR LOTFI</t>
  </si>
  <si>
    <t>BR25339LDJD088</t>
  </si>
  <si>
    <t>F2000 MIXER TRUCK + ZOOMLION TRUCK PUMP</t>
  </si>
  <si>
    <t>BR25339LDJD089</t>
  </si>
  <si>
    <t>01 XCMG WHEEL LOADER</t>
  </si>
  <si>
    <t>SARL H EL SAADI</t>
  </si>
  <si>
    <t>BR25339LDJD090</t>
  </si>
  <si>
    <t>01 XCMG WHEEL LOADER MODEL</t>
  </si>
  <si>
    <t>EURL CHELIFRUITY</t>
  </si>
  <si>
    <t>BR25339LDJD091092</t>
  </si>
  <si>
    <t>ISUZU 8TON REFRIGERATED TRUCK + JMC MINI BUS 15 SEATS</t>
  </si>
  <si>
    <t>SARL MNHM</t>
  </si>
  <si>
    <t>BR25339LDJD093</t>
  </si>
  <si>
    <t>80T CIMC LOW--BED SEMI-TRAILER</t>
  </si>
  <si>
    <t>SARL KIMOUSSET TRAVAUX</t>
  </si>
  <si>
    <t>BR25339LDJD094</t>
  </si>
  <si>
    <t>80T CIMC LOW-BED SEMI-TRAILER</t>
  </si>
  <si>
    <t>SARL BELAKHDAR ET FILS POUR CONSTRUCTION</t>
  </si>
  <si>
    <t>BR25339LDJD113</t>
  </si>
  <si>
    <t>01 SINOTRUK SITRAK 4X2 TRACTOR-MANUAL GEARBOX LHD + 01 HELI 3.5 TONS DIESEL FORKLIFT</t>
  </si>
  <si>
    <t>EURL EGTPH MOUILAH</t>
  </si>
  <si>
    <t>BR25339LDJD114</t>
  </si>
  <si>
    <t>SINOTRUK SITRAK 8X4 MIXER TRUCK 12M3</t>
  </si>
  <si>
    <t>SOCIETE GENERALE ALGERIE SPA LOCATAIRE SARL PLAST</t>
  </si>
  <si>
    <t>BR25339LDJD115</t>
  </si>
  <si>
    <t>06 SHACMAN X3000 4X2 TRACTOR TRUCK.</t>
  </si>
  <si>
    <t>BR25339LDJD116</t>
  </si>
  <si>
    <t>SINOTRUK SITRAK 8X4 TIPPER TRUCK 430HP</t>
  </si>
  <si>
    <t>SARL LIOUA</t>
  </si>
  <si>
    <t>BR25339LDJD117</t>
  </si>
  <si>
    <t>1 UNIT GRADER(NIVLEUSE) + 1 UNIT SINGLE DRUM VIBRATORY ROLLER(COMPACTEUR CYLINDRE) +1 UNIT PNEUMATIC TIRE ROLLER(COMPACTEUR PNEUMATIQUE)+06 PACKAGES + 02 UNITS FORKLIFT LOADER(CHARGEUR A FOURCHETTE 25T)+ 1 UNIT FORKLIFT LOADER(CHARGEUR A FOURCHETTE 33T)+ 8 PACKAGES,</t>
  </si>
  <si>
    <t>BR25339LDJD118</t>
  </si>
  <si>
    <t>01 UNIT GRADER(NIVLEUSE) + 01 UNIT SINGLE DRUM VIBRATORY ROLLER(COMPACTEUR CYLINDRE) + 01 UNIT PNEUMATIC TIRE ROLLER(COMPACTEUR PNEUMATIQUE) + 01 UNIT LOADER(CHARGEUR)</t>
  </si>
  <si>
    <t>SARL MERIEM SOUF GRAND TRAVAUX</t>
  </si>
  <si>
    <t>BR25339LDJD119</t>
  </si>
  <si>
    <t>02 UNITS HYUNDAI EXCAVATOR HX340HD ROCK BUCKET+ 06 PKGS</t>
  </si>
  <si>
    <t>SADEDDINE MARZAK</t>
  </si>
  <si>
    <t>BR25339LDJD120</t>
  </si>
  <si>
    <t>SHACMAN DUMP TRUCK F2000</t>
  </si>
  <si>
    <t>BR25339LDJD121</t>
  </si>
  <si>
    <t>01 UNIT SHACMAN DUMP TRUCK F2000 + 01 SHACMAN SPRINKLER TRUCK F2000 6X4 SPRINKLER</t>
  </si>
  <si>
    <t>BR25339LDJD122</t>
  </si>
  <si>
    <t>CIMC TRAILER, LOAD CAPACITY 80 T</t>
  </si>
  <si>
    <t>EURL SOCIETE EL MADJED DE GRANDE REALISATION</t>
  </si>
  <si>
    <t>BR25339LDJD123</t>
  </si>
  <si>
    <t>XCMG ROLLER</t>
  </si>
  <si>
    <t>BR25339LDJD124</t>
  </si>
  <si>
    <t>XCMG WHEEL LOADER</t>
  </si>
  <si>
    <t>ABDALLAOUI RACHID</t>
  </si>
  <si>
    <t>BR25339LDJD125</t>
  </si>
  <si>
    <t>HYUNDAI EXCAVATOR + 03 PKGS</t>
  </si>
  <si>
    <t>SARL MENNAI TRAVAUX ET SERVICES</t>
  </si>
  <si>
    <t>BR25339LDJD126</t>
  </si>
  <si>
    <t>SARL JUSTE TRAVAUX</t>
  </si>
  <si>
    <t>BR25339LDJD127</t>
  </si>
  <si>
    <t>XCMG ROLLER MODEL XD123</t>
  </si>
  <si>
    <t>BR25339LDJD128</t>
  </si>
  <si>
    <t>SHACMAN F2000 SPRINKLER TRUCK</t>
  </si>
  <si>
    <t>BR25339LDJD129A157</t>
  </si>
  <si>
    <t>SARL FILS BOUTERAA SERVICES</t>
  </si>
  <si>
    <t>BR25339LDJD129B158</t>
  </si>
  <si>
    <t>SARL BOUDI</t>
  </si>
  <si>
    <t>BR25339LDJD131</t>
  </si>
  <si>
    <t>2 SINOTRUK SITRAK 6X4 TRACTOR FOR HEAVY LOAD DESERT</t>
  </si>
  <si>
    <t>BR25339LDJD132</t>
  </si>
  <si>
    <t>BR25339LDJD160</t>
  </si>
  <si>
    <t>BR25339LDJD161</t>
  </si>
  <si>
    <t>EURL SOTRAMCO</t>
  </si>
  <si>
    <t>BR25339LDJD133</t>
  </si>
  <si>
    <t>2 SINOTRUK HOWO 8X4 TIPPER TRUCK LHD-22</t>
  </si>
  <si>
    <t>SARL JUS LABELLE</t>
  </si>
  <si>
    <t>BR25339LDJD134135</t>
  </si>
  <si>
    <t>02 UNITS SINOTRUK SITRAK 4X2 TRACTOR AUTOMATIC GEARBOX + 02 UNITS SINOTRUK SITRAK 4X2AS TRUCK CHASSIS LHD</t>
  </si>
  <si>
    <t>BR25339LDJD136</t>
  </si>
  <si>
    <t>SPRINKLER TRUCK</t>
  </si>
  <si>
    <t>BR25339LDJD137</t>
  </si>
  <si>
    <t>04 UNITS NEW XCMG WHEEL LOADER</t>
  </si>
  <si>
    <t>EURL IKHWA DOU SERVICES ET GRAND TRAVAUX</t>
  </si>
  <si>
    <t>BR25339LDJD138</t>
  </si>
  <si>
    <t>SHACMAN F2000 64 DUMP TRUCK</t>
  </si>
  <si>
    <t>BR25339LDJD139</t>
  </si>
  <si>
    <t>BR25339LDJD140</t>
  </si>
  <si>
    <t>SARL ERROA</t>
  </si>
  <si>
    <t>BR25339LDJD141</t>
  </si>
  <si>
    <t>BULK CARRIERS 3 LINE 6 AXLE 120 TONS FOLDABLE GOOSENECK LOWBOY TRAILER</t>
  </si>
  <si>
    <t>SARL BPI/ENH DOUDAH</t>
  </si>
  <si>
    <t>BR25339LDJD142</t>
  </si>
  <si>
    <t>13 PACKAGES ( Storage Tank / Mixing Tank / Waste Heat Recovery Unit / Hydroscrubber / Upper Body of the Fluidized Bed )</t>
  </si>
  <si>
    <t>SARL OVOTEL HATATB</t>
  </si>
  <si>
    <t>BR25339LDJD143</t>
  </si>
  <si>
    <t>05 HELI 3.5 TON DIESEL FORKLIFT CPCD35-W4K2 CHASSIS SERIAL NO.: 010353R5626/010353R5627/010353R5628/010353R5629/010353R5630</t>
  </si>
  <si>
    <t>GOUICHICHE MAHMOUD</t>
  </si>
  <si>
    <t>BR25339LDJD144</t>
  </si>
  <si>
    <t>02 UNITS SINOTRUK HOWO TX 4X2 CARGO TRUCK</t>
  </si>
  <si>
    <t>SARL MARMI ET GRANITI</t>
  </si>
  <si>
    <t>BR25339LDJD145</t>
  </si>
  <si>
    <t>SINOTRUK HOWO-TX TRACTOR HEAD 6X4 LHD</t>
  </si>
  <si>
    <t>EURL STE NO</t>
  </si>
  <si>
    <t>BR25339LDJD146</t>
  </si>
  <si>
    <t>SINOTRUKSITRAK-G76X4 TRACTOR TRUCK LHD-MANUAL</t>
  </si>
  <si>
    <t>PETROLOC TRAVA</t>
  </si>
  <si>
    <t>BR25339LDJD147</t>
  </si>
  <si>
    <t>8 PCKG including 2 HYUNDAI HX340HD EXCAVATOR SERIAL NO.: HDCKECADHS0000277 / SERIAL NO.: HDCKECADPS0000303</t>
  </si>
  <si>
    <t>ARIF ABDELAZIZ</t>
  </si>
  <si>
    <t>BR25339LDJD148</t>
  </si>
  <si>
    <t>XCMG ROAD ROLLER</t>
  </si>
  <si>
    <t>SARL LYDIA AUTO</t>
  </si>
  <si>
    <t>BR25339LDJD150</t>
  </si>
  <si>
    <t>01 ROAD ROLLER XS203J + 01 ROAD ROLLER XP263K</t>
  </si>
  <si>
    <t>MONSIEUR KEDDOUCHE DJEMAI</t>
  </si>
  <si>
    <t>BR25339LDJD151</t>
  </si>
  <si>
    <t>DUMPER SHACMAN 6*4 F2000</t>
  </si>
  <si>
    <t>BR25339LDJD152</t>
  </si>
  <si>
    <t>EURL EXPERT KY</t>
  </si>
  <si>
    <t>BR25339LDJD153</t>
  </si>
  <si>
    <t>01 ROAD ROLLER XP263 + 01 MOTOR GRADER GR215 + 01 ROAD ROLLER XS203J</t>
  </si>
  <si>
    <t>SARL KOUADRI BOUDJELTHIA BEN HELIMA</t>
  </si>
  <si>
    <t>BR25339LDJD154</t>
  </si>
  <si>
    <t>1 UNIT (DISASSEMBLED INTO 2 PACKAGES FOR SHIPMENT)+HYUNDAI HX220HD EXCAVATOR+EQUIPPED WITH TIER 2 EMISSION+CUMMINS 6BTAA5.9(HYUNDAI) ENGINE+POWER : 110kw/2200 rpm</t>
  </si>
  <si>
    <t>SARL SAFIAK-ALGERIA</t>
  </si>
  <si>
    <t>BR25339LDJD156</t>
  </si>
  <si>
    <t>TRUCK</t>
  </si>
  <si>
    <t>MAKHLOUFI FARES</t>
  </si>
  <si>
    <t>BR25339LDJD162</t>
  </si>
  <si>
    <t>SINOTRUK SITRAK 6x4 TRACTOR</t>
  </si>
  <si>
    <t>SNC FRÈRES BOUSSETIOU</t>
  </si>
  <si>
    <t>BR25339LDJD163164</t>
  </si>
  <si>
    <t>1 TELESCOPIC HANDLER + 3 PACKAGES SHIPPED ON DECK 05 JAN 2026</t>
  </si>
  <si>
    <t>SPA SOCIETE NATIONALE DE LEASING SN</t>
  </si>
  <si>
    <t>BR25339LDJD165</t>
  </si>
  <si>
    <t>TWO (02) SHACMAN L3000 4X2 RIGID</t>
  </si>
  <si>
    <t>BR25339LDJD166</t>
  </si>
  <si>
    <t>XCMG XP263 PNEUMATIC ROLLER</t>
  </si>
  <si>
    <t>BR25339LDJD168</t>
  </si>
  <si>
    <t>01 UNIT HYUNDAI HX340HD EURO2 + 04 PKGS</t>
  </si>
  <si>
    <t>TOUAHRI ABDELHAK</t>
  </si>
  <si>
    <t>BR25339LDJD171</t>
  </si>
  <si>
    <t>01 HYUNDAI CRAWLER EXCAVATOR +01 GENERAL BREAKER TOP HAMMER GBF270</t>
  </si>
  <si>
    <t>SARL ETBPH ALLOUCHE</t>
  </si>
  <si>
    <t>BR25339LDJD172</t>
  </si>
  <si>
    <t>02 UNITS DUMP TRUCK</t>
  </si>
  <si>
    <t>SARL MAARIG OLIVE</t>
  </si>
  <si>
    <t>BR25339LDJD173</t>
  </si>
  <si>
    <t>2025 NEW MACHINE SINOTRUK SITRAK G7S 6X4</t>
  </si>
  <si>
    <t>BENSEGHIR ABDELMOUMANE</t>
  </si>
  <si>
    <t>BR25339LDJD174</t>
  </si>
  <si>
    <t>EURL ALWYAAD PIP</t>
  </si>
  <si>
    <t>BR25339LDJD175</t>
  </si>
  <si>
    <t>SINOTRUCK HOWO TX 4X2 CARGO SHASSIS 280HP</t>
  </si>
  <si>
    <t>AIT EL HADJ KHALED</t>
  </si>
  <si>
    <t>BR25339LDJD176</t>
  </si>
  <si>
    <t>01 XCMG ZL50GN WHEEL LOADER + 01 XCMG QY25K5D TRUCK CRANE + 01 PKG</t>
  </si>
  <si>
    <t>SARL SOREAME</t>
  </si>
  <si>
    <t>BR25339LDJD177</t>
  </si>
  <si>
    <t>MOTOR GRADER GR215</t>
  </si>
  <si>
    <t>BR25339LDJD178</t>
  </si>
  <si>
    <t>01 UNIT VOLVO, EXCAVATOR,+ 03 UNITS</t>
  </si>
  <si>
    <t>BR25339LDJD179</t>
  </si>
  <si>
    <t>2 PACKAGES(1 UNIT) VOLVO, EXCAVATOR, EC500ELHBC4 (PELLE HYDRAULIQUE) MODEL:EC500ELC4 VIN NO.&amp;ENGINE NO.:VCE0CEJEE00330201 2304687 YEAR:2025 2 PACKAGES ON DECK</t>
  </si>
  <si>
    <t>SARL BETON OUED REGH</t>
  </si>
  <si>
    <t>BR25339LDJD181</t>
  </si>
  <si>
    <t>XCMG CONCRETE PUMP TRUCK</t>
  </si>
  <si>
    <t>BR25339HGDJ001</t>
  </si>
  <si>
    <t>10 AUTOBUS GDW6121HK (EUR03) DKD 2025 MY EN KIT</t>
  </si>
  <si>
    <t>BR25339HGDJ002</t>
  </si>
  <si>
    <t>15 AUTOBUS GDW6121HK (EUR03) DKD 2025 MY EN KIT</t>
  </si>
  <si>
    <t>SARL BKRC TRADING</t>
  </si>
  <si>
    <t>BR25339LDJD056</t>
  </si>
  <si>
    <t>SARL R H BOIS</t>
  </si>
  <si>
    <t>BR25339LDJD095</t>
  </si>
  <si>
    <t>BR25339LDJD102</t>
  </si>
  <si>
    <t>BR25339LDJD105</t>
  </si>
  <si>
    <t>EURL ANDOLERZAK PANNEAUX</t>
  </si>
  <si>
    <t>BR25339LDJD096</t>
  </si>
  <si>
    <t>SARL BCIMEX</t>
  </si>
  <si>
    <t>PLYWOOD + FFP</t>
  </si>
  <si>
    <t>BR25339LDJD098</t>
  </si>
  <si>
    <t>COMMERCIAL PLYWOOD / FILM FACED PLYWOOD</t>
  </si>
  <si>
    <t>BR25339LDJD099</t>
  </si>
  <si>
    <t>SARL CHAHIR NOUR</t>
  </si>
  <si>
    <t>BR25339LDJD100</t>
  </si>
  <si>
    <t>EURL E.I.H EQUIPEMENT INDUSTRIEL BOIS ET DERIVES H</t>
  </si>
  <si>
    <t>BR25339LDJD101</t>
  </si>
  <si>
    <t>MDF / BLOCKBOARD</t>
  </si>
  <si>
    <t>BR25339LDJD103</t>
  </si>
  <si>
    <t>SARL BYINVEST</t>
  </si>
  <si>
    <t>BR25339LDJD104</t>
  </si>
  <si>
    <t>SARL ETPB CHEMRINE</t>
  </si>
  <si>
    <t>PLYWOOD + MDF</t>
  </si>
  <si>
    <t>BR25339LDJD106</t>
  </si>
  <si>
    <t>EDGE GLUED PANEL / COMMERCIAL PLYWOOD</t>
  </si>
  <si>
    <t>EURL REGAI HASNAOUI</t>
  </si>
  <si>
    <t>BR25339LDJD107</t>
  </si>
  <si>
    <t>SARL FRERES BOUKREDRA MATERIAUX DE CONSTRUCTION</t>
  </si>
  <si>
    <t>BR25339LDJD108</t>
  </si>
  <si>
    <t>EURL MENUI METAL</t>
  </si>
  <si>
    <t>BR25339LDJD109</t>
  </si>
  <si>
    <t>BR25339LDJD110</t>
  </si>
  <si>
    <t>SARL PRIMINIUM WOOD</t>
  </si>
  <si>
    <t>BR25339LDJD111A</t>
  </si>
  <si>
    <t>BR25339LDJD111BC</t>
  </si>
  <si>
    <t>BR25339LDJD111DEFG</t>
  </si>
  <si>
    <t>BLOCKBOARD / MELAMINE PLYWOOD / MELAMINE MDF</t>
  </si>
  <si>
    <t>EURL BOUAOUD IMPORT EXPORT</t>
  </si>
  <si>
    <t>BR25339LDJD170</t>
  </si>
  <si>
    <t>SARL PROKOMAT</t>
  </si>
  <si>
    <t>BR25339LDJD180</t>
  </si>
  <si>
    <t>PLAIN MDF BOARD</t>
  </si>
  <si>
    <t>BR25339LBDJ001</t>
  </si>
  <si>
    <t>BR25339LBDJ002003</t>
  </si>
  <si>
    <t>SARL TOUALI METAL - IMPORT EXPORT</t>
  </si>
  <si>
    <t>BR25339LBDJ004008</t>
  </si>
  <si>
    <t>SARL HAMZA STEEL</t>
  </si>
  <si>
    <t>BR25339LBDJ0051011</t>
  </si>
  <si>
    <t>BR25339LBDJ006</t>
  </si>
  <si>
    <t>BR25339ZDJD001003</t>
  </si>
  <si>
    <t>SARL NEDJAI STEEL</t>
  </si>
  <si>
    <t>BR25339ZDJD004</t>
  </si>
  <si>
    <t>BR25339ZDJD103</t>
  </si>
  <si>
    <t>PRIME HOT ROLLED IPE BEAMS</t>
  </si>
  <si>
    <t>BR25339ZDJD104</t>
  </si>
  <si>
    <t>AMOY CENTURY</t>
  </si>
  <si>
    <t>AC26004BDJD001/09/10</t>
  </si>
  <si>
    <t>AC26004BDJD002-008</t>
  </si>
  <si>
    <t>AC26004LBDJD001</t>
  </si>
  <si>
    <t>PRIME NEWLY PRODUCED HOT ROLLED STEEL COIL(HRC)</t>
  </si>
  <si>
    <t>AC26004LBDJD002/003</t>
  </si>
  <si>
    <t>SARL NEW TECH METAL ALGERIE</t>
  </si>
  <si>
    <t>AC26004LBDJD004</t>
  </si>
  <si>
    <t>SARL TOUALI METAL- IMPORT EXPORT</t>
  </si>
  <si>
    <t>AC26004LBDJD005</t>
  </si>
  <si>
    <t>PRIME NEWLY PRODUCED HOT ROLLED STEEL COIL (HRC)</t>
  </si>
  <si>
    <t>AC26004LDJD069</t>
  </si>
  <si>
    <t>SARL BY INVEST</t>
  </si>
  <si>
    <t>AC26004LDJD070</t>
  </si>
  <si>
    <t>EURL ARATIMBER</t>
  </si>
  <si>
    <t>MDF + PLYWOOD</t>
  </si>
  <si>
    <t>AC26004LDJD108</t>
  </si>
  <si>
    <t>MDF /COMMERCIAL PLYWOOD /BLOCKBOARD</t>
  </si>
  <si>
    <t>AC26004LDJD109</t>
  </si>
  <si>
    <t>SARL BRIKEN GOLD</t>
  </si>
  <si>
    <t>AC26004LDJD110</t>
  </si>
  <si>
    <t>EURL GHENAM MOHAMED EL AMIR IMPORT EXPORT</t>
  </si>
  <si>
    <t>AC26004LDJD111</t>
  </si>
  <si>
    <t>EURL HK BOIS</t>
  </si>
  <si>
    <t>AC26004LDJD112</t>
  </si>
  <si>
    <t>MDF /FANCY MDF</t>
  </si>
  <si>
    <t>SARL GLOBAL TRADING WOOD GT WOOD</t>
  </si>
  <si>
    <t>AC26004LDJD113</t>
  </si>
  <si>
    <t>SARL KOUR BOIS</t>
  </si>
  <si>
    <t>AC26004LDJD114</t>
  </si>
  <si>
    <t>SARL GROUPE EL FENNEC</t>
  </si>
  <si>
    <t>AC26004LDJD116</t>
  </si>
  <si>
    <t>SARL CIBD-GF</t>
  </si>
  <si>
    <t>AC26004LDJD118</t>
  </si>
  <si>
    <t>AC26004LDJD119</t>
  </si>
  <si>
    <t>SARL MENOUS DU BOIS</t>
  </si>
  <si>
    <t>AC26004LDJD120</t>
  </si>
  <si>
    <t>MDF /FANCY MDF / BLOCKBOARD</t>
  </si>
  <si>
    <t>SARL SONO BOIS</t>
  </si>
  <si>
    <t>AC26004LDJD121</t>
  </si>
  <si>
    <t>FANCY MDF</t>
  </si>
  <si>
    <t>AC26004LDJD122</t>
  </si>
  <si>
    <t>AC26004LDJD123</t>
  </si>
  <si>
    <t>AC26004LDJD124</t>
  </si>
  <si>
    <t>AC26004LDJD125</t>
  </si>
  <si>
    <t>FANCY MDF /MDF</t>
  </si>
  <si>
    <t>AC26004LDJD126</t>
  </si>
  <si>
    <t>FANCY MDF / MDF</t>
  </si>
  <si>
    <t>AC26004LDJD127A</t>
  </si>
  <si>
    <t>AC26004LDJD127B/E/F</t>
  </si>
  <si>
    <t>AC26004LDJD127C/D/G</t>
  </si>
  <si>
    <t>FILM FACED PLYWOOD /BLOCKBOARD</t>
  </si>
  <si>
    <t>AC26004LDJD128</t>
  </si>
  <si>
    <t>SARL HGMC</t>
  </si>
  <si>
    <t>AC26004LDJD129</t>
  </si>
  <si>
    <t>FANCY MDF /FILM FACED PLYWOOD /MDF</t>
  </si>
  <si>
    <t>SARL ECO METAL IMPORT EXPORT</t>
  </si>
  <si>
    <t>AC26004LDJD001</t>
  </si>
  <si>
    <t>02 UNITS JMC T822 AERIAL WORK TRUCK ( VOIR BL)</t>
  </si>
  <si>
    <t>EURL ENTREPRISE ALGERI</t>
  </si>
  <si>
    <t>AC26004LDJD002</t>
  </si>
  <si>
    <t>03 UNITS ISUZU VAN CARGO TRUCK ( VOIR BL)</t>
  </si>
  <si>
    <t>CHIALI SERVICES SPA</t>
  </si>
  <si>
    <t>AC26004LDJD003</t>
  </si>
  <si>
    <t>02 UNITS PELLE SUR PNEU AVEC ACCESSOIRES ( VOIR BL)</t>
  </si>
  <si>
    <t>ETB TAIBI MOHAMED</t>
  </si>
  <si>
    <t>AC26004LDJD004</t>
  </si>
  <si>
    <t>01 UNIT XCMG RP603 PAVER ( VOIR BL)</t>
  </si>
  <si>
    <t>AC26004LDJD005</t>
  </si>
  <si>
    <t>02 UNITS JMC 822 DOUBLE CAB CARGO TRUCK ( VOIR BL)</t>
  </si>
  <si>
    <t>EURL TEBIB YOUCEF GRANDS TRAVAUX</t>
  </si>
  <si>
    <t>AC26004LDJD006</t>
  </si>
  <si>
    <t>01 UNIT HYUNDAI HW210 21 TON WHEEL EXCAVATOR ( VOIR BL)</t>
  </si>
  <si>
    <t>SNC KEBICHE ABDELHALIM &amp; CIE CARRIÈRES</t>
  </si>
  <si>
    <t>AC26004LDJD009</t>
  </si>
  <si>
    <t>01 UNIT HYUNDAI EXCAVATOR HX340HD WITH SILENT HAMMER HDBB-165B ( VOIR BL)</t>
  </si>
  <si>
    <t>BENLARBI ABDELAZIZ</t>
  </si>
  <si>
    <t>AC26004LDJD011</t>
  </si>
  <si>
    <t>01 UNIT JMC 822 DOUBLE CAB DUMP TRUCK (VOIR BL)</t>
  </si>
  <si>
    <t>AC26004LDJD012</t>
  </si>
  <si>
    <t>01 UNIT XCMG 5 TON WHEEL LOADER ZL50GN ( VOIR BL)</t>
  </si>
  <si>
    <t>SARL TIZLAOUIN SERVICES</t>
  </si>
  <si>
    <t>AC26004LDJD013</t>
  </si>
  <si>
    <t>01 UNIT HYUNDAI EXCAVATOR ( VOIR BL)</t>
  </si>
  <si>
    <t>AC26004LDJD015</t>
  </si>
  <si>
    <t>AC26004LDJD016</t>
  </si>
  <si>
    <t>01 UNIT ZOOMLION 43M 6X4 CONCRETE PUMP TRUCK ( VOIR BL)</t>
  </si>
  <si>
    <t>SARL EL FAHD REALISATION ET GRANDS TRAVAUX</t>
  </si>
  <si>
    <t>AC26004LDJD0167A</t>
  </si>
  <si>
    <t>01 UNIT SINOTRUCK SITRAK G7S 6X4 TRACTOR. AUTOMATIC GEARBOX LHD( VOIR BL)</t>
  </si>
  <si>
    <t>EURL EL DMATRA</t>
  </si>
  <si>
    <t>AC26004LDJD018</t>
  </si>
  <si>
    <t>01 UNIT SITRAK 6X4 TRACTOR TRUCK ( VOIR BL)</t>
  </si>
  <si>
    <t>AC26004LDJD019</t>
  </si>
  <si>
    <t>01 UNIT HYUNDAI CRAWLER EXCAVATOR HX340HD (VOIR BL)</t>
  </si>
  <si>
    <t>BOUHADMA ALI</t>
  </si>
  <si>
    <t>AC26004LDJD020</t>
  </si>
  <si>
    <t>01 UNIT CRAWLER EXCAVATOR HYUNDAI HX220HD WITH HAMMER ( VOIR BL)</t>
  </si>
  <si>
    <t>EURL ENTREPRISE MESBAHI UNIPERSONNELLE</t>
  </si>
  <si>
    <t>AC26004LDJD022</t>
  </si>
  <si>
    <t>01 UNIT ZOOMLION CONCRETE PUMP TRUCK ( VOIR BL )</t>
  </si>
  <si>
    <t>AC26004LDJD023</t>
  </si>
  <si>
    <t>HAMMADI AHMED</t>
  </si>
  <si>
    <t>AC26004LDJD024</t>
  </si>
  <si>
    <t>01 UNIT SINOTRUK CARGO TRUCK CHASSIS ( VOIR BL)</t>
  </si>
  <si>
    <t>SARL LMIMA TRADING</t>
  </si>
  <si>
    <t>AC26004LDJD025</t>
  </si>
  <si>
    <t>01 UNIT XCMG COMPACTOR XS203J ( VOIR BL)</t>
  </si>
  <si>
    <t>AC26004LDJD026</t>
  </si>
  <si>
    <t>01 UNIT 3 AXLE ASPHALT TRAILER ( VOIR BL)</t>
  </si>
  <si>
    <t>EURL HAMED SERVICES GENERAL</t>
  </si>
  <si>
    <t>AC26004LDJD028</t>
  </si>
  <si>
    <t>01 UNIT XCMG XP203S ROAD ROLLER ( VOIR BL)</t>
  </si>
  <si>
    <t>SARL SOCIETE EL DORSAF TRAVAUX PUBLICS</t>
  </si>
  <si>
    <t>AC26004LDJD029</t>
  </si>
  <si>
    <t>01 UNIT SHACMAN F2000 6*4 DUMP TRUCK ( VOIR BNL)</t>
  </si>
  <si>
    <t>AC26004LDJD030A</t>
  </si>
  <si>
    <t>01 UNIT JAC 4*2 MINI DUMP TRUCK 01 UNIT JAC 4*2 MINI CARGO TRUCK ( VOIR BL)</t>
  </si>
  <si>
    <t>SARL EL RADI SERVICES</t>
  </si>
  <si>
    <t>AC26004LDJD030B</t>
  </si>
  <si>
    <t>01 UNIT JAC 4*2 MINI DUMP TRUCK ( VOIR BL)</t>
  </si>
  <si>
    <t>SARL EL AZIMA TRAV</t>
  </si>
  <si>
    <t>AC26004LDJD031</t>
  </si>
  <si>
    <t>01 UNIT MACHINE XP263 PNEUMATIC TIRE ROLLER 01 UNIT MACHINE XCMG RP603 CRAWLER ASPHALT PAVER ( VOIR BL)</t>
  </si>
  <si>
    <t>EURL CRISTAL IMPORT EXPORT</t>
  </si>
  <si>
    <t>AC26004LDJD032</t>
  </si>
  <si>
    <t>01 UNIT DIESEL FORKLIFT ( VOIR BL)</t>
  </si>
  <si>
    <t>SARL EL IKHLAS REALISATION</t>
  </si>
  <si>
    <t>AC26004LDJD033</t>
  </si>
  <si>
    <t>ZORGANI SIDALI</t>
  </si>
  <si>
    <t>AC26004LDJD034</t>
  </si>
  <si>
    <t>1 UNIT SHACMAN F2000 6X4 DUMP TRUCK ( VOIR BL)</t>
  </si>
  <si>
    <t>AC26004LDJD037</t>
  </si>
  <si>
    <t>01 UNIT HYUNDAI HX340 EXCAVOTOR 01 UNIT QUICK COUPLER (Mechanic) 01 UNIT HYDRAULIC BREAKER BOX TYPE ( VOIR BL)</t>
  </si>
  <si>
    <t>EURL RUBIS AGREGATS</t>
  </si>
  <si>
    <t>AC26004LDJD038</t>
  </si>
  <si>
    <t>01 UNIT MACHINE HX 340 HD HYUNDAI EXCAVATOR ( VOIR BL)</t>
  </si>
  <si>
    <t>SARL EL AZIMA TRA</t>
  </si>
  <si>
    <t>AC26004LDJD039</t>
  </si>
  <si>
    <t>01 UNIT HYUNDAI EXCAVATOR HX 340HD 01 UNIT MACHINE HYUNDAI ROCK BREAKER EXCAVATOR HX340HD ( VOIR BL)</t>
  </si>
  <si>
    <t>SARL KD ELEK</t>
  </si>
  <si>
    <t>AC26004LDJD040</t>
  </si>
  <si>
    <t>02 UNITS CARGO TRUCKS ( VOIR BL)</t>
  </si>
  <si>
    <t>SARL SELKH SERVICE</t>
  </si>
  <si>
    <t>AC26004LDJD042</t>
  </si>
  <si>
    <t>01 UNIT SINOTRUK HOWO TX6*4 TRACTOR TRUCK LHD + 01 UNIT DUMP TRUCK LHD ( VOIR BL)</t>
  </si>
  <si>
    <t>GUIRA ABDERRAHMAN</t>
  </si>
  <si>
    <t>AC26004LDJD044</t>
  </si>
  <si>
    <t>01 UNIT XCMG XC958 WHEEL LOADER ( VOIR BL)</t>
  </si>
  <si>
    <t>SARL ASSINATE DJAZAIR MULTI SERVICES</t>
  </si>
  <si>
    <t>AC26004LDJD045</t>
  </si>
  <si>
    <t>01 UNIT XCMG QY50KD CRANE ( VOIR BL)</t>
  </si>
  <si>
    <t>MEHDA AMOR</t>
  </si>
  <si>
    <t>AC26004LDJD046</t>
  </si>
  <si>
    <t>01 UNIT XCMG QY60KH CRANE MAXLIFTING ( VOIR BL)</t>
  </si>
  <si>
    <t>SARL TOP GTP</t>
  </si>
  <si>
    <t>AC26004LDJD047</t>
  </si>
  <si>
    <t>01 UNIT XCMG QY70KH CRANE ( VOIR BL)</t>
  </si>
  <si>
    <t>SARL QUATRO TP</t>
  </si>
  <si>
    <t>AC26004LDJD048</t>
  </si>
  <si>
    <t>02 UNITS XCMG RP603 PAVER ( VOIR BL)</t>
  </si>
  <si>
    <t>SARL BORDJ BETON</t>
  </si>
  <si>
    <t>AC26004LDJD049</t>
  </si>
  <si>
    <t>01 UNIT CHL FORKLIFT CPCD70-W2K2 ( VOIR BL)</t>
  </si>
  <si>
    <t>AC26004LDJD050</t>
  </si>
  <si>
    <t>01 UNIT XCMG PNEUMATIC ROLLER XP263S ( VOIR BL)</t>
  </si>
  <si>
    <t>EURL BOUGHEZALA ENTERPRISES GENERAUX ET LOCATION M</t>
  </si>
  <si>
    <t>AC26004LDJD051</t>
  </si>
  <si>
    <t>SARL GETL TRAVAUX</t>
  </si>
  <si>
    <t>AC26004LDJD052</t>
  </si>
  <si>
    <t>AC26004LDJD053</t>
  </si>
  <si>
    <t>01 UNIT HYUNDAI EXCAVATOR 34T HX340HD WITH HYUNDAI HAMMER HDBB-165Z ( VOIR BL)</t>
  </si>
  <si>
    <t>EURL TRAVAZ TRAVAUX GENERAL</t>
  </si>
  <si>
    <t>AC26004LDJD054</t>
  </si>
  <si>
    <t>01 UNIT SINOTRUK HOWO 6X4 MIXER TRUCK LHD-10 CBM ( VOIR BL)</t>
  </si>
  <si>
    <t>AC26004LDJD055</t>
  </si>
  <si>
    <t>AC26004LDJD056</t>
  </si>
  <si>
    <t>01 UNIT CIMC 3 AXLE LOW BED TRAILER ( VOIR BL)</t>
  </si>
  <si>
    <t>GUEMAOUN SADOK</t>
  </si>
  <si>
    <t>AC26004LDJD057</t>
  </si>
  <si>
    <t>SARL MEGRES IDEAL CB</t>
  </si>
  <si>
    <t>AC26004LDJD058</t>
  </si>
  <si>
    <t>01 UNIT CONCRETE TRUCK MIXER ZOOMLION 10JBH ( VOIR BL)</t>
  </si>
  <si>
    <t>BENMERIOUL MOUNIR</t>
  </si>
  <si>
    <t>AC26004LDJD059</t>
  </si>
  <si>
    <t>01 UNIT HYUNDAI HX340HD EXCAVATOR 01 UNIT HYUNDAI BREAKER HDBB- 165Z ( VOIR BL)</t>
  </si>
  <si>
    <t>BANAHED MOHAMMED</t>
  </si>
  <si>
    <t>AC26004LDJD060</t>
  </si>
  <si>
    <t>KANTOUR KAMAL</t>
  </si>
  <si>
    <t>AC26004LDJD061</t>
  </si>
  <si>
    <t>01 UNIT HYUNDAI HX220HD EXCAVATOR 01 UNIT HYUNDAI HDBB-140Z80 (VOIR BL)</t>
  </si>
  <si>
    <t>MAHFOUDI ABDELDJALIL</t>
  </si>
  <si>
    <t>AC26004LDJD062</t>
  </si>
  <si>
    <t>01 UNIT HYUNDAI HX220 HD EXCAVATOR 01 UNIT HYUNDAI BREAKER HDBB-140Z ( VOIR BL)</t>
  </si>
  <si>
    <t>AZIZI SEYFEDDINE</t>
  </si>
  <si>
    <t>AC26004LDJD063</t>
  </si>
  <si>
    <t>03 UNITS HYUNDAI HX340HD EXCAVATOR 03 UNITS HYUNDAI BREAKER (VOIR BL)</t>
  </si>
  <si>
    <t>SARL SHANGLIN ALGERIE</t>
  </si>
  <si>
    <t>AC26004LDJD064</t>
  </si>
  <si>
    <t>22 UNITS POWERPLUS PGC480L-II GARBAGE TRUCK / SPARE PARTS TOOL BOX (VOIR BL)</t>
  </si>
  <si>
    <t>AC26004LDJD065</t>
  </si>
  <si>
    <t>19 UNITS PM680Z-II MIXER TRUCK ( VOIR BL)</t>
  </si>
  <si>
    <t>AC26004LDJD066</t>
  </si>
  <si>
    <t>25 UNITS PD680Z-II DUMP TRUCK ( VOIR BL)</t>
  </si>
  <si>
    <t>AC26004LDJD161</t>
  </si>
  <si>
    <t>01 UNIT PD680Z-II DUMP TRUCK ( VOIR BL)</t>
  </si>
  <si>
    <t>AC26004LDJD162A</t>
  </si>
  <si>
    <t>01 UNIT PC480Z-II CARGO TRUCK ( VOIR BL)</t>
  </si>
  <si>
    <t>AC26004LDJD162B</t>
  </si>
  <si>
    <t>AC26004LDJD163</t>
  </si>
  <si>
    <t>01 UNIT PC480S-II CARGO TRUCK ( VOIR BL)</t>
  </si>
  <si>
    <t>AC26004LDJD164</t>
  </si>
  <si>
    <t>01 UNIT PC480XS-II CARGO TRUCK ( VOIR BL)</t>
  </si>
  <si>
    <t>AC26004LDJD067</t>
  </si>
  <si>
    <t>01 UNIT ZOOMLION STRIAK 43M CONCRETE PUMP TRUCK ( VOIR BL )</t>
  </si>
  <si>
    <t>SARL ETHB BELHADJ AHMED</t>
  </si>
  <si>
    <t>AC26004LDJD068</t>
  </si>
  <si>
    <t>01 UNIT ZOOMLION STRIAK 43M CONCRETE PUMP TRUCK (VOIR BL)</t>
  </si>
  <si>
    <t>EURL EL ITIHAD FLG</t>
  </si>
  <si>
    <t>AC26004LDJD079</t>
  </si>
  <si>
    <t>04 UNITS SINOTRUK 6X4 DUMP TRUCK (VOIR BL)</t>
  </si>
  <si>
    <t>SARL LES FRERS ZAHEM ET MOBARKI COMMERCE</t>
  </si>
  <si>
    <t>AC26004LDJD080</t>
  </si>
  <si>
    <t>SARL PNEUMATIQUE KHECHIN MADI</t>
  </si>
  <si>
    <t>AC26004LDJD081</t>
  </si>
  <si>
    <t>01 UNIT HYUNDAI EXCAVATOR 01 UNIT HYUNDAI BREAKER HAMMER HDBB165Z ( VOIR BL)</t>
  </si>
  <si>
    <t>SARL ABBASSI G.T.P.H</t>
  </si>
  <si>
    <t>AC26004LDJD082</t>
  </si>
  <si>
    <t>04 UNITS HYUNDAI CRAWLER EXCAVATOR HX340HD WITH ACCESSORIES ( VOIR BL)</t>
  </si>
  <si>
    <t>KOURDOURLI ELHAJD</t>
  </si>
  <si>
    <t>AC26004LDJD083</t>
  </si>
  <si>
    <t>01 UNIT HY-3500 SELF LOADING CONCRETE MIXER ( VOIR VOIR )</t>
  </si>
  <si>
    <t>SARL RB GLOBAL SERVICES</t>
  </si>
  <si>
    <t>AC26004LDJD085</t>
  </si>
  <si>
    <t>01 UNIT SHACMAN 6X4 F2000 WATER TANK TRUCK ( VOIR BL)</t>
  </si>
  <si>
    <t>AC26004LDJD086/152</t>
  </si>
  <si>
    <t>01 UNIT SHACMAN F2000 6*4 DUMP TRUCK 01 UNIT DEVELON CRAWLER EXCAVATOR XD360LCA-7B ( VOIR BL)</t>
  </si>
  <si>
    <t>SARL HOUARA GRANDS ENTREPRISES T</t>
  </si>
  <si>
    <t>AC26004LDJD088</t>
  </si>
  <si>
    <t>GUERRACHE ABDELHAFID</t>
  </si>
  <si>
    <t>AC26004LDJD090</t>
  </si>
  <si>
    <t>ETPHB KADDOURI BACHIR</t>
  </si>
  <si>
    <t>AC26004LDJD091</t>
  </si>
  <si>
    <t>01 UNIT F2000 DUMP TRUCK ( VOIR BL)</t>
  </si>
  <si>
    <t>SARL ENTREPRISE L</t>
  </si>
  <si>
    <t>AC26004LDJD092</t>
  </si>
  <si>
    <t>01 UNIT XCMG CONCRETE PUMP TRUCK XS47 ( VOIR BL)</t>
  </si>
  <si>
    <t>SARL HADJ ALI HYDRAULIQUE ET ROUTE</t>
  </si>
  <si>
    <t>AC26004LDJD093</t>
  </si>
  <si>
    <t>01 UNIT XCMG PAVER RP603 01 UNIT XCMG ASPHALT DISTRIBUTOR XLS705A ( VOIR BL)</t>
  </si>
  <si>
    <t>BANQUE DE L'AGRICULTURE ET DU DEVELOPPEMENT RURAL</t>
  </si>
  <si>
    <t>AC26004LDJD095A</t>
  </si>
  <si>
    <t>AC26004LDJD095B</t>
  </si>
  <si>
    <t>02 UNITS HYUNDAI ROCK BREAKER FOR EXCAVATER HX340HD (VOIR BL)</t>
  </si>
  <si>
    <t>EURL KIOUS INVESTISSEMENT</t>
  </si>
  <si>
    <t>AC26004LDJD096</t>
  </si>
  <si>
    <t>ASSAS TAREK</t>
  </si>
  <si>
    <t>AC26004LDJD098</t>
  </si>
  <si>
    <t>01 UNIT SINOTRUK HOWO TX 6X4 TIPPER TRUCK LHD-16 CBM SEMI REMORQUE (VOIR BL)</t>
  </si>
  <si>
    <t>SARL RED MAO SERVICES</t>
  </si>
  <si>
    <t>AC26004LDJD099</t>
  </si>
  <si>
    <t>01 UNIT TRUCK MOUNTED CRANE CAMION PLATEAU AND GRUE ( VOIR BL)</t>
  </si>
  <si>
    <t>AC26004LDJD100</t>
  </si>
  <si>
    <t>01 UNIT HAITUI BULLDOZER HD32 ( VOIR BL)</t>
  </si>
  <si>
    <t>EURL EL TAHOURE GRANDS TRAVAUX PUBLICS HYDRAULIQUE</t>
  </si>
  <si>
    <t>AC26004LDJD101</t>
  </si>
  <si>
    <t>01 UNIT EXCAVATOR HYUNDAI HX220HD ( VOIR BL)</t>
  </si>
  <si>
    <t>AC26004LDJD102</t>
  </si>
  <si>
    <t>SARL ZINE</t>
  </si>
  <si>
    <t>AC26004LDJD103</t>
  </si>
  <si>
    <t>01 UNIT XCMG ROAD ROLLER XP263S ( VOIR BL)</t>
  </si>
  <si>
    <t>SADOUKI CHAABANE</t>
  </si>
  <si>
    <t>AC26004LDJD104</t>
  </si>
  <si>
    <t>02 UNITS HX340HD HYUNDAI EXCAVATOR 02 UNITS HDBB-165 MODERN CRUSHER HYDRAULIC ( VOIR BL )</t>
  </si>
  <si>
    <t>SARL WIHDA TRUCKING COMPANY</t>
  </si>
  <si>
    <t>AC26004LDJD106A</t>
  </si>
  <si>
    <t>10 UNITS LEFT HAND DRIVE 6*4 HOWO TRACTOR ( VOIR BL)</t>
  </si>
  <si>
    <t>SARL FAST ROAD</t>
  </si>
  <si>
    <t>AC26004LDJD106B</t>
  </si>
  <si>
    <t>02 UNITS LEFT HAND DRIVE 6*4 HOWO TRACTOR ( VOIR BL)</t>
  </si>
  <si>
    <t>KHENTOUCHE BELKACEM</t>
  </si>
  <si>
    <t>AC26004LDJD107</t>
  </si>
  <si>
    <t>01 UNIT SANY NEW 2025 EXCAVATOR SY215C ( VOIR BL)</t>
  </si>
  <si>
    <t>EURL AL MAHMOUD SERVICES</t>
  </si>
  <si>
    <t>AC26004LDJD130</t>
  </si>
  <si>
    <t>01 UNIT SINOTRUK SITRAK G7S 6X4 TRACTOR TRUCK-AUTOMATIC GEARBOX ( VOIR BL)</t>
  </si>
  <si>
    <t>RAMDANI ABDELHAMID</t>
  </si>
  <si>
    <t>AC26004LDJD131</t>
  </si>
  <si>
    <t>1 UNIT SINOTRUK SITRAK 6x4 TRACTOR-MANUAL GEARBOX LHD ( VOIR BL)</t>
  </si>
  <si>
    <t>AC26004LDJD133</t>
  </si>
  <si>
    <t>01 UNIT SINOTRUK HOWO TX 6X4 TIPPER TRUCK LHD CHASSIS ( VOIR BL)</t>
  </si>
  <si>
    <t>DAHEUR GUESMIA</t>
  </si>
  <si>
    <t>AC26004LDJD134</t>
  </si>
  <si>
    <t>01 UNIT XCMG ZL50GN WHEEL LOADER (VOIR BL)</t>
  </si>
  <si>
    <t>AC26004LDJD135/136</t>
  </si>
  <si>
    <t>01 UNIT SINOTRUK HOWO-T7H 6X4 TRACTOR TRUCK LHD 01 UNIT THREE-AXLE 60-TON LOW-BED SEMI-TRAILER ( VOIR BL)</t>
  </si>
  <si>
    <t>ETP ACHI SALIM</t>
  </si>
  <si>
    <t>AC26004LDJD137</t>
  </si>
  <si>
    <t>01 UNIT XCMG 3T WHEEL LOADER LW300KN 01 UNIT XCMG 25T MOBILE CRANE QY25K5D ( VOIR BL)</t>
  </si>
  <si>
    <t>ACHI CHEMSEDDINE</t>
  </si>
  <si>
    <t>AC26004LDJD138</t>
  </si>
  <si>
    <t>01 UNIT XCMG 3T WHEEL LOADER 01 UNIT XCMG 25T MOBILE CRANE ( VOIR BL)</t>
  </si>
  <si>
    <t>SARL RESSAL AGLO BITON</t>
  </si>
  <si>
    <t>AC26004LDJD139</t>
  </si>
  <si>
    <t>01 UNIT CAMION SINOTRUCK 8X4 TIPPER LHD ( VOIR BL )</t>
  </si>
  <si>
    <t>EURL HOMA IMMO TRAVAUX</t>
  </si>
  <si>
    <t>AC26004LDJD140</t>
  </si>
  <si>
    <t>01 UNIT XCMG WHEEL LOADER ZL50GN 01 UNIT XCMG ROAD ROLLER XS203J (VOIR BL)</t>
  </si>
  <si>
    <t>AMMI KHEIREDDINE</t>
  </si>
  <si>
    <t>AC26004LDJD141</t>
  </si>
  <si>
    <t>01 UNIT HYUNDAI EXCAVATOR ( VOIR BL )</t>
  </si>
  <si>
    <t>SARL NIC ENTREPRISES</t>
  </si>
  <si>
    <t>AC26004LDJD142</t>
  </si>
  <si>
    <t>01 UNIT HYUNDAI CRAWLER EXCAVATOR HX340HD（VOIR BL）</t>
  </si>
  <si>
    <t>AC26004LDJD143</t>
  </si>
  <si>
    <t>AC26004LDJD144</t>
  </si>
  <si>
    <t>01 UNIT XCMG MOTOR GRADER GR215( VOIR BL)</t>
  </si>
  <si>
    <t>AC26004LDJD145</t>
  </si>
  <si>
    <t>SARL MIFA F</t>
  </si>
  <si>
    <t>AC26004LDJD146</t>
  </si>
  <si>
    <t>01 UNIT SHACMAN L3000 4X2 CARGO TRUCK ( VOIR BL)</t>
  </si>
  <si>
    <t>SARL BOSKADOR SERVICE</t>
  </si>
  <si>
    <t>AC26004LDJD147</t>
  </si>
  <si>
    <t>AC26004LDJD148</t>
  </si>
  <si>
    <t>01 UNIT SINOTRUK SITRAK 6×4 480HP TRACTOR TRUCK ( VOIR BL)</t>
  </si>
  <si>
    <t>BRINES ADEL</t>
  </si>
  <si>
    <t>AC26004LDJD149</t>
  </si>
  <si>
    <t>01 UNIT HYUNDAI EXCAVATOR HX340HD 01 UNIT DAEMO TOP HAMMER DRB300 (VOIR BL)</t>
  </si>
  <si>
    <t>AC26004LDJD150</t>
  </si>
  <si>
    <t>AC26004LDJD151A</t>
  </si>
  <si>
    <t>01 UNIT LONKING 16T FORKLIFT ( VOIR BL)</t>
  </si>
  <si>
    <t>SARL ELKANAS REALISATION GENERALES</t>
  </si>
  <si>
    <t>AC26004LDJD151B</t>
  </si>
  <si>
    <t>AC26004LDJD153</t>
  </si>
  <si>
    <t>01 UNIT SINOTRUK SITRAK 6X4 TRACTOR-MANUAL GEARBOX LHD ( VOIR BL)</t>
  </si>
  <si>
    <t>EURL BM GRAND TRAVAUX ET SERVICES</t>
  </si>
  <si>
    <t>AC26004LDJD154</t>
  </si>
  <si>
    <t>SARL BIG TRANSBAT</t>
  </si>
  <si>
    <t>AC26004LDJD155</t>
  </si>
  <si>
    <t>AC26004LDJD157</t>
  </si>
  <si>
    <t>TECHNO CERAM SARL</t>
  </si>
  <si>
    <t>AC26004LDJD158A</t>
  </si>
  <si>
    <t>05 UNITS SINOTRUCK SITRAK 8X4 TIPPER-AUTOMATIC GEARBOX LHD ( VOIR BL)</t>
  </si>
  <si>
    <t>EURL LUXE TILE</t>
  </si>
  <si>
    <t>AC26004LDJD158B</t>
  </si>
  <si>
    <t>SARL BOUZIDI MOHAMED BACHIR TRANS</t>
  </si>
  <si>
    <t>AC26004LDJD159</t>
  </si>
  <si>
    <t>ENTREPRISE LOUAFI FATHI</t>
  </si>
  <si>
    <t>AC26004LDJD160</t>
  </si>
  <si>
    <t>04 UNITS HYUNDAI EXCAVATOR HX340HD ( VOIR BL)</t>
  </si>
  <si>
    <t>EURL GHERBI MOURAD TRAVAUX ET SERVTCES</t>
  </si>
  <si>
    <t>AC26004LDJD165</t>
  </si>
  <si>
    <t>AC26004LDJD166</t>
  </si>
  <si>
    <t>01 UNIT XCMG TRUCK CRANE QY50KD ( VOIR BL)</t>
  </si>
  <si>
    <t>SARL ZIMO MULTI SERVICES</t>
  </si>
  <si>
    <t>AC26004LDJD167B/174</t>
  </si>
  <si>
    <t>01 UNIT SINOTRUK SITRAK 6X4 TRACTOR 01 UNIT XCMG MIX COMPACTOR XS143J ( VOIR BL)</t>
  </si>
  <si>
    <t>EURL ELHAMID CONSTRUCTION</t>
  </si>
  <si>
    <t>AC26004LDJD168</t>
  </si>
  <si>
    <t>01 UNIT XCMG XS203J SINGLE DRUM ROAD ROLLER (VOIR BL)</t>
  </si>
  <si>
    <t>SARL ACIER BETON MOSTAGANEM (ABM)</t>
  </si>
  <si>
    <t>AC26004LDJD169</t>
  </si>
  <si>
    <t>01 UNIT SINOTRUCK SITRAK 8X4 TIPPER TRUCK ( VOIR BL)</t>
  </si>
  <si>
    <t>SARL LES FILS D'ACIER DE CHLEF</t>
  </si>
  <si>
    <t>AC26004LDJD170</t>
  </si>
  <si>
    <t>01 UNIT SINOTRUCK SITRAK 6X4 TRACTOR-AUTOMATIC GEARBOX LHD ( VOIR BL)</t>
  </si>
  <si>
    <t>SAHOUANE LAHCENE</t>
  </si>
  <si>
    <t>AC26004LDJD171</t>
  </si>
  <si>
    <t>ELGHANNAY JAMEL</t>
  </si>
  <si>
    <t>AC26004LDJD172</t>
  </si>
  <si>
    <t>AC26004LDJD173</t>
  </si>
  <si>
    <t>SARL MBA DJEDID</t>
  </si>
  <si>
    <t>AC26004LDJD175</t>
  </si>
  <si>
    <t>AC26004LDJD176</t>
  </si>
  <si>
    <t>01 UNIT XCF30KT FORKLIFT (VOIR BL)</t>
  </si>
  <si>
    <t>PALMGRACHT</t>
  </si>
  <si>
    <t>SFFVPAVZDJ602001</t>
  </si>
  <si>
    <t>SFFVPAVZDJ602002</t>
  </si>
  <si>
    <t>MARIA F</t>
  </si>
  <si>
    <t>CHINA ROAD AND BRIDGE CORPORATIONATTN:Liao Yanli,</t>
  </si>
  <si>
    <t>106269LYG201A</t>
  </si>
  <si>
    <t>STEEL FORMWORK</t>
  </si>
  <si>
    <t>106269LYG201B</t>
  </si>
  <si>
    <t>GANTRY CRANE BRAND:ZHONGJIAN + 04 SOC</t>
  </si>
  <si>
    <t>AIB OMAR</t>
  </si>
  <si>
    <t>106269LYG202</t>
  </si>
  <si>
    <t>05 UNITS ZOOMLION 10JBH MIXER TRUCK + 01 UNIT ZOOMLION 38X-5RZ PUMP TRUCK</t>
  </si>
  <si>
    <t>EURL AID MINE SRVICING</t>
  </si>
  <si>
    <t>106269LYG205</t>
  </si>
  <si>
    <t>NEW EXCAVATOR+BREAKER HAMMER ACE340</t>
  </si>
  <si>
    <t>106269LYG206</t>
  </si>
  <si>
    <t>01 UNIT SHACMAN F2000 DUMP TRUCK OF 15T (BRAND NEW)</t>
  </si>
  <si>
    <t>106269LYG209210</t>
  </si>
  <si>
    <t>08 UNITS SHACMAN DUMP TRUCK + 05 UNITS SHACMAN WATER TRUCK</t>
  </si>
  <si>
    <t>SARL MERZOUGA</t>
  </si>
  <si>
    <t>106269LYG211</t>
  </si>
  <si>
    <t>01 UNIT SHACMAN F3000 20m3 SPRINKLER TRUCK</t>
  </si>
  <si>
    <t>ETB DOUIFI ZOHRA</t>
  </si>
  <si>
    <t>106269LYG212</t>
  </si>
  <si>
    <t>01 UNIT SHACMAN F2000 6X4 DUMP TRUCK</t>
  </si>
  <si>
    <t>SARL BROSSE PAVONIM</t>
  </si>
  <si>
    <t>106269LYG213</t>
  </si>
  <si>
    <t>01 UNIT IVECO PROUD BOX FREIGHT TRUCK</t>
  </si>
  <si>
    <t>SARL METIDJA EMBALLAGE</t>
  </si>
  <si>
    <t>106269LYG215</t>
  </si>
  <si>
    <t>04 PCKAGES CRESCENT FORMER TISSUE MACHINE CONSIST OF : LIGNE DE FABRICATION DE PATE A PAPIER COMPRENANT : DRYING SECTION (SECTION DE SECHAGE)</t>
  </si>
  <si>
    <t>106269LYG217</t>
  </si>
  <si>
    <t>01 UNIT CIMC BRAND NEW 70 TONS TRI-AXLELOWEBED SEMI-TRAILER</t>
  </si>
  <si>
    <t>SARL MULTI FOURNITURE INDUSTRIE</t>
  </si>
  <si>
    <t>106269LYG219</t>
  </si>
  <si>
    <t>01 UNIT SHACMAN L3000 LORRY TRUCK</t>
  </si>
  <si>
    <t>SARL SMS</t>
  </si>
  <si>
    <t>106269LYG220</t>
  </si>
  <si>
    <t>01 UNIT CIMC BRAND NEW 70 TONS TRI-AXLE LOWBED SEMI-TRAILER</t>
  </si>
  <si>
    <t>SARL YOURS SERVICES</t>
  </si>
  <si>
    <t>106269LYG221</t>
  </si>
  <si>
    <t>01 UNIT CIMC BRAND NEW 70TON TRI-AXLE LOWBED SEMI TRAILER</t>
  </si>
  <si>
    <t>ARAB LEASING CORPORATION SPA CITE FOR THE ACCOUNT</t>
  </si>
  <si>
    <t>106269LYG222</t>
  </si>
  <si>
    <t>01 UNIT SHANTUI BRAND SD32D BULLDOZER + 03 PACKAGES</t>
  </si>
  <si>
    <t>SARL E.T.P. DENNOUNI</t>
  </si>
  <si>
    <t>106269LYG223</t>
  </si>
  <si>
    <t>01 UNIT EXCAVATOR SHANTUI SE335LC + 01 PACKAGE</t>
  </si>
  <si>
    <t>106269LYG224</t>
  </si>
  <si>
    <t>01 UNIT PAVER SHANTUI SPS60-C6 + 02 PACKAGES</t>
  </si>
  <si>
    <t>SNC FRERES BEGGAT GRAND TRAVAUX</t>
  </si>
  <si>
    <t>106269LYG225</t>
  </si>
  <si>
    <t>01 UNIT BULLDOZER SHANTUI SD32D + 03 PACKAGES</t>
  </si>
  <si>
    <t>106269LYG226</t>
  </si>
  <si>
    <t>106269LYG228</t>
  </si>
  <si>
    <t>106269LYG229</t>
  </si>
  <si>
    <t>01 UNIT BULLDOZER SD32D SHANTUI + 03 PACKAGES</t>
  </si>
  <si>
    <t>SARL AGLOUEST</t>
  </si>
  <si>
    <t>106269LYG230</t>
  </si>
  <si>
    <t>01 UNIT WHEEL LOADER SHANTUI L55-B5</t>
  </si>
  <si>
    <t>SARL CERAM GLASS</t>
  </si>
  <si>
    <t>106269LYG231</t>
  </si>
  <si>
    <t>EURL GEDEN</t>
  </si>
  <si>
    <t>106269LYG232</t>
  </si>
  <si>
    <t>EURL TRONAX SERVICES</t>
  </si>
  <si>
    <t>106269LYG233</t>
  </si>
  <si>
    <t>106269LYG234</t>
  </si>
  <si>
    <t>SARL SIDI AHMED LAID TP ET LOC MATER</t>
  </si>
  <si>
    <t>106269LYG235</t>
  </si>
  <si>
    <t>GREEN SKY S</t>
  </si>
  <si>
    <t>106269LYG236</t>
  </si>
  <si>
    <t>2 semi-trailers Chassis No:LJRD12386SN073996 / LJRD12388SN073997</t>
  </si>
  <si>
    <t>ATALLAH BOUBAKER</t>
  </si>
  <si>
    <t>106269LYG237A</t>
  </si>
  <si>
    <t>01 UNIT SHACMAN F2000 6*4 DUMP TRUCK</t>
  </si>
  <si>
    <t>BALI AHMED</t>
  </si>
  <si>
    <t>106269LYG237B</t>
  </si>
  <si>
    <t>106269LYG242</t>
  </si>
  <si>
    <t>SUPPLY OF 2 SLAG POTS 27.7 CBM</t>
  </si>
  <si>
    <t>SPA ENTREPRISE NATIONALE DE FORAGE ( ENAFOR )</t>
  </si>
  <si>
    <t>106269LYG216</t>
  </si>
  <si>
    <t>220 BUNDLES DRILL PIPE</t>
  </si>
  <si>
    <t>SARL GROUPE HOBBI</t>
  </si>
  <si>
    <t>106269LYG238239240</t>
  </si>
  <si>
    <t>508 BUNDLES OF PRIME HOT ROLLED STEEL H-BEAMS AND I-BEAMS AND U PROFILES</t>
  </si>
  <si>
    <t>106269LYG241243</t>
  </si>
  <si>
    <t>201BUNDLES (PIECES:6992PIECES) PRIME HOT ROLLED STEEL U-PROFILES</t>
  </si>
  <si>
    <t>SPA TECHNO CAST</t>
  </si>
  <si>
    <t>CORNIERES</t>
  </si>
  <si>
    <t>106269TJ201204</t>
  </si>
  <si>
    <t>2820 HOT LAMINATED ANGLE BARS</t>
  </si>
  <si>
    <t>106269TJ205210</t>
  </si>
  <si>
    <t>4144 HOT LAMINATED ANGLE BARS</t>
  </si>
  <si>
    <t>106269TJ211212232</t>
  </si>
  <si>
    <t>1211 HOT LAMINATED ANGLE BARS</t>
  </si>
  <si>
    <t>106269TJ213214</t>
  </si>
  <si>
    <t>89 PLATED TINNED FOR COILS STEEL</t>
  </si>
  <si>
    <t>106269TJ215216</t>
  </si>
  <si>
    <t>106 PLATED TINNED FOR COILS STEEL</t>
  </si>
  <si>
    <t>106269TJ217</t>
  </si>
  <si>
    <t>64 PRE-PAINTED STEEL IN COILS</t>
  </si>
  <si>
    <t>106269TJ219221</t>
  </si>
  <si>
    <t>79 COLD ROLLED STEEL IN COILS</t>
  </si>
  <si>
    <t>106269TJ222223</t>
  </si>
  <si>
    <t>72 PLATED TINNED FOR COILS STEEL</t>
  </si>
  <si>
    <t>106269TJ224225</t>
  </si>
  <si>
    <t>75 PLATED TINNED FOR COILS STEEL</t>
  </si>
  <si>
    <t>106269TJ226230</t>
  </si>
  <si>
    <t>112 HOT ROLLED STEEL IN COILS</t>
  </si>
  <si>
    <t>ER NAZIRE</t>
  </si>
  <si>
    <t>SARL METAL DELEST</t>
  </si>
  <si>
    <t>EN26041HDJD001</t>
  </si>
  <si>
    <t>PRIME HOT ROLLED COILS</t>
  </si>
  <si>
    <t>EN26041HDJD006-008</t>
  </si>
  <si>
    <t>EN26041HDJD009</t>
  </si>
  <si>
    <t>EN26041HDJD012</t>
  </si>
  <si>
    <t>SPA PROTUIL</t>
  </si>
  <si>
    <t>EN26041HDJD013</t>
  </si>
  <si>
    <t>NATRA INTERNATIONAL SPA ROUTE DE</t>
  </si>
  <si>
    <t>EN26041ZDJD041/50</t>
  </si>
  <si>
    <t>PRIME HOT ROLLED STEEL H-BEAMS</t>
  </si>
  <si>
    <t>SARL BILBAO</t>
  </si>
  <si>
    <t>EN26041ZDJD043-45/51</t>
  </si>
  <si>
    <t>PRIME NEWLY HOT ROLLED STEEL CHANNEL /PRIME HOT ROLLED STEEL H-BEAMS</t>
  </si>
  <si>
    <t>STEELOR IMPORT EXPORT SARL</t>
  </si>
  <si>
    <t>EN26041ZDJD046</t>
  </si>
  <si>
    <t>EN26041ZDJD048</t>
  </si>
  <si>
    <t>SARL BENOUATAS INDUSTRIE</t>
  </si>
  <si>
    <t>EN26041ZDJD053-57</t>
  </si>
  <si>
    <t>EN26041ZDJD001</t>
  </si>
  <si>
    <t>50 UNITS HIGER AUTOBUS MODEL C-100-KLQ6106G / 30 UNITS HIGER AUTOCAR MODEL V-11-KLQ6116 / 120 UNITS HIGER AUTOCAR MODEL NEW V8-KLQ6886 ( VOIR BL )</t>
  </si>
  <si>
    <t>EN26041ZDJD004</t>
  </si>
  <si>
    <t>SARL EL MAZRAA LO</t>
  </si>
  <si>
    <t>EN26041ZDJD005</t>
  </si>
  <si>
    <t>1 UNIT HIGER MICRO BUS 15 SEAT VAN ( VOIR BL )</t>
  </si>
  <si>
    <t>EN26041ZDJD006</t>
  </si>
  <si>
    <t>01 UNIT SHACMAN F2000 6X4 DUMP TRUCK SX3255JM384 ( VOIR BL )</t>
  </si>
  <si>
    <t>SARL BELLAKEHAL GTP</t>
  </si>
  <si>
    <t>EN26041ZDJD007</t>
  </si>
  <si>
    <t>02 UNITS XCMG XS203J ROAD ROLLER XS203J + 01 UNIT XCMG ZL50GN WHEEL LOADER ( VOIR BL )</t>
  </si>
  <si>
    <t>EN26041ZDJD008</t>
  </si>
  <si>
    <t>1 UNIT XCMG XP163 ROLLER ( VOIR BL )</t>
  </si>
  <si>
    <t>DEMANE DEBBIH SIF EDDINE</t>
  </si>
  <si>
    <t>EN26041ZDJD009</t>
  </si>
  <si>
    <t>1 UNIT SINOTRUK HOWO TX 6X4 TIPPER TRUCK LHD-16 CBM ZZ3257N384GB1 ( VOIR BL )</t>
  </si>
  <si>
    <t>EURL AZROU OUKHAROUV</t>
  </si>
  <si>
    <t>EN26041ZDJD010</t>
  </si>
  <si>
    <t>01 UNIT SINOTRUK HOWO TX 8X4 TIPPER 400HP ZZ3317V356GB1 ( VOIR BL )</t>
  </si>
  <si>
    <t>BELLAHRECHE ABDELWAHEB</t>
  </si>
  <si>
    <t>EN26041ZDJD012</t>
  </si>
  <si>
    <t>1 UNIT XCMG ZL50GN WHEEL LOADER ZL50GN ( VOIR BL )</t>
  </si>
  <si>
    <t>BENHIZIA FOUAZ</t>
  </si>
  <si>
    <t>EN26041ZDJD013</t>
  </si>
  <si>
    <t>01 UNIT SHACMAN F2000 6X4 CONCRETE MIXER TRUCK SX5255GJBJR334 ( VOIR BL )</t>
  </si>
  <si>
    <t>DJERBAA AISSA</t>
  </si>
  <si>
    <t>EN26041ZDJD014</t>
  </si>
  <si>
    <t>2 UNITS SHACMAN F2000 6X4 DUMP TRUCK SX3255JM384 ( VOIR BL )</t>
  </si>
  <si>
    <t>EURL MENA FORSENE ELRAY</t>
  </si>
  <si>
    <t>EN26041ZDJD015</t>
  </si>
  <si>
    <t>1 UNIT SHACMAN F2000 6X4 DUMP TRUCK SX3255JM384 ( VOIR BL )</t>
  </si>
  <si>
    <t>EURL LOUNIS SAF CONSTRUCTION</t>
  </si>
  <si>
    <t>EN26041ZDJD016</t>
  </si>
  <si>
    <t>EURL MISSAOUI ALLAL</t>
  </si>
  <si>
    <t>EN26041ZDJD017</t>
  </si>
  <si>
    <t>EN26041ZDJD018</t>
  </si>
  <si>
    <t>1 UNIT DUMP TRUCK 6x4 SHACMAN F2000 SX3255JM384 ( VOIR BL )</t>
  </si>
  <si>
    <t>EN26041ZDJD019</t>
  </si>
  <si>
    <t>1 UNIT SINOTRUK SITRAK 6 4 TRACTOR TRUCK ZZ4256V364HC1H ( VOIR BL )</t>
  </si>
  <si>
    <t>EURL DERDOUR SERVICE</t>
  </si>
  <si>
    <t>EN26041ZDJD020</t>
  </si>
  <si>
    <t>EN26041ZDJD021</t>
  </si>
  <si>
    <t>1 UNIT SINOTRUK SITRAK 6X4 TRACTOR ZZ4256V364HC1B ( VOIR BL )</t>
  </si>
  <si>
    <t>EN26041ZDJD022</t>
  </si>
  <si>
    <t>1 UNIT XCMG ZL 50GN 5T WHEEL LOADER ZL50GN ( VOIR BL )</t>
  </si>
  <si>
    <t>EN26041ZDJD023/24</t>
  </si>
  <si>
    <t>01 UNIT SHACMAN F3000 6X4 DUMP TRUK SX3255DR384 + 1 UNIT SHACMAN F3000 6X4 WATER SPRINKLER TRUCK SX5255GYSDN434 ( VOIR BL )</t>
  </si>
  <si>
    <t>BELOUZ BELKACEM</t>
  </si>
  <si>
    <t>EN26041ZDJD025/26</t>
  </si>
  <si>
    <t>01 UNIT SHACMAN F2000 6X4/DUMP TRUCK SX3255JM384 + 01 UNIT SHACMAN L3000 4X2 CHASSIS TRUCK SX11858J501 ( VOIR BL )</t>
  </si>
  <si>
    <t>E.G.T.P.H ABDI YOUSSOUF ISLAM</t>
  </si>
  <si>
    <t>EN26041ZDJD027</t>
  </si>
  <si>
    <t>SARL HRATHI</t>
  </si>
  <si>
    <t>EN26041ZDJD028</t>
  </si>
  <si>
    <t>01 UNIT SHACMAN F2000 6X4 DUMP TRUCK SX3255JM384 SX3255JM384 + 01 UNIT SHACMAN F2000 6X4 CONCRETE MIXER TRUCK 10M3 SX5255GJBJR334 ( VOIR BL )</t>
  </si>
  <si>
    <t>EURL EL HANA LILAFRICHA</t>
  </si>
  <si>
    <t>EN26041ZDJD029</t>
  </si>
  <si>
    <t>01 UNIT SINOTRUK SITRAK 4X2 TRACTOR ZZ4186V391HC1B ( VOIR BL )</t>
  </si>
  <si>
    <t>SARL ALAMHAR</t>
  </si>
  <si>
    <t>EN26041ZDJD030</t>
  </si>
  <si>
    <t>BEN KORICHI KHALED</t>
  </si>
  <si>
    <t>EN26041ZDJD031</t>
  </si>
  <si>
    <t>1 UNIT SHACMAN L3000 4*2 CARGO TRUCK SX11858J501 ( VOIR BL )</t>
  </si>
  <si>
    <t>EURL KADRI METAUX</t>
  </si>
  <si>
    <t>EN26041ZDJD033</t>
  </si>
  <si>
    <t>01 UNIT SINOTRUCK SITRAK 6X4 TRACTOR TRUCK 480HP ZZ4256V364HC1B + 01 UNIT CIMC 3 AXLES CARGO TRAILER ZJV9400DY +01 UNIT SINOTRUCK HOWO TX 6X4 CHASSIS 340HP ZZ1257N464GB1 ( VOIR BL )</t>
  </si>
  <si>
    <t>SARL FAB EL KODS</t>
  </si>
  <si>
    <t>EN26041ZDJD035/036</t>
  </si>
  <si>
    <t>01 UNIT SITRAK 8X4 TIPPER TRUCK LHD + 01 UNIT HELI CPCD30-WS1K2 DIESEL FORKLIFT ( VOIR BL )</t>
  </si>
  <si>
    <t>BECHERIRAT HADI</t>
  </si>
  <si>
    <t>EN26041ZDJD037/038</t>
  </si>
  <si>
    <t>1 UNIT CIMC 2 AXLES CARGO SEMI TRAILER CSQ9401D + 1 UNIT SINOTRUK SITRAK 4x2 TRACTOR AUTOMATIC GEAR BOX LHD ZZ4186V391HC1B ( VOIR BL )</t>
  </si>
  <si>
    <t>EN26041ZDJD039</t>
  </si>
  <si>
    <t>01 UNIT SHACMAN F2000 20M3 WATER TANKER TRUCK ( VOIR BL )</t>
  </si>
  <si>
    <t>EN26041ZDJD040</t>
  </si>
  <si>
    <t>EN26041ZDJD058</t>
  </si>
  <si>
    <t>01 UNIT SHACMAN F2000 6X4 DUMP / 01 UNIT SHACMAN F2000 20M3 WATER TANKER TRUCK ( VOIR BL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</si>
</sst>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2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b/>
      <sz val="8"/>
      <name val="Times New Roman"/>
      <charset val="134"/>
    </font>
    <font>
      <b/>
      <sz val="8"/>
      <color rgb="FF7030A0"/>
      <name val="Times New Roman"/>
      <charset val="134"/>
    </font>
    <font>
      <b/>
      <sz val="8"/>
      <color theme="1"/>
      <name val="Times New Roman"/>
      <charset val="134"/>
    </font>
    <font>
      <b/>
      <sz val="8"/>
      <color rgb="FF00B0F0"/>
      <name val="Times New Roman"/>
      <charset val="134"/>
    </font>
    <font>
      <b/>
      <sz val="8"/>
      <color rgb="FFFF0000"/>
      <name val="Times New Roman"/>
      <charset val="134"/>
    </font>
    <font>
      <b/>
      <sz val="8"/>
      <color rgb="FF0070C0"/>
      <name val="Times New Roman"/>
      <charset val="134"/>
    </font>
    <font>
      <sz val="12"/>
      <color theme="1"/>
      <name val="Times New Roman"/>
      <charset val="134"/>
    </font>
    <font>
      <b/>
      <sz val="9"/>
      <color rgb="FFFF0000"/>
      <name val="Times New Roman"/>
      <charset val="134"/>
    </font>
    <font>
      <b/>
      <sz val="9"/>
      <color rgb="FF7030A0"/>
      <name val="Times New Roman"/>
      <charset val="134"/>
    </font>
    <font>
      <b/>
      <sz val="9"/>
      <color rgb="FF00B0F0"/>
      <name val="Times New Roman"/>
      <charset val="134"/>
    </font>
    <font>
      <sz val="11"/>
      <color theme="1"/>
      <name val="Times New Roman"/>
      <charset val="134"/>
    </font>
    <font>
      <sz val="9"/>
      <name val="Times New Roman"/>
      <charset val="134"/>
    </font>
    <font>
      <sz val="9"/>
      <color rgb="FF7030A0"/>
      <name val="Times New Roman"/>
      <charset val="134"/>
    </font>
    <font>
      <sz val="9"/>
      <color rgb="FF00B0F0"/>
      <name val="Times New Roman"/>
      <charset val="134"/>
    </font>
    <font>
      <sz val="9"/>
      <color rgb="FFFF0000"/>
      <name val="Times New Roman"/>
      <charset val="134"/>
    </font>
    <font>
      <sz val="9"/>
      <color rgb="FF0070C0"/>
      <name val="Times New Roman"/>
      <charset val="134"/>
    </font>
    <font>
      <b/>
      <sz val="9"/>
      <color rgb="FF0070C0"/>
      <name val="Times New Roman"/>
      <charset val="134"/>
    </font>
    <font>
      <sz val="9"/>
      <color theme="1"/>
      <name val="Times New Roman"/>
      <charset val="134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u/>
      <sz val="11"/>
      <color theme="1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b/>
      <sz val="9"/>
      <name val="Times New Roman"/>
      <charset val="134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theme="5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theme="5" tint="0.59999389629810485"/>
      </patternFill>
    </fill>
    <fill>
      <patternFill patternType="solid">
        <fgColor rgb="FF7030A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0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14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49" fontId="10" fillId="5" borderId="1" xfId="0" applyNumberFormat="1" applyFont="1" applyFill="1" applyBorder="1" applyAlignment="1">
      <alignment horizontal="right" vertical="center"/>
    </xf>
    <xf numFmtId="49" fontId="9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5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14" fontId="9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right" vertical="center"/>
    </xf>
    <xf numFmtId="49" fontId="9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14" fontId="13" fillId="0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14" fontId="13" fillId="4" borderId="1" xfId="0" applyNumberFormat="1" applyFont="1" applyFill="1" applyBorder="1" applyAlignment="1">
      <alignment horizontal="center" vertical="center"/>
    </xf>
    <xf numFmtId="14" fontId="13" fillId="7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4" fontId="1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right" vertical="center"/>
    </xf>
    <xf numFmtId="1" fontId="19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14" fontId="16" fillId="10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right" vertical="center"/>
    </xf>
    <xf numFmtId="1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14" fontId="19" fillId="11" borderId="1" xfId="0" applyNumberFormat="1" applyFont="1" applyFill="1" applyBorder="1" applyAlignment="1">
      <alignment horizontal="center" vertical="center"/>
    </xf>
    <xf numFmtId="14" fontId="19" fillId="8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vertical="center"/>
    </xf>
    <xf numFmtId="49" fontId="14" fillId="8" borderId="1" xfId="0" applyNumberFormat="1" applyFont="1" applyFill="1" applyBorder="1" applyAlignment="1">
      <alignment horizontal="right" vertical="center"/>
    </xf>
    <xf numFmtId="1" fontId="19" fillId="8" borderId="1" xfId="0" applyNumberFormat="1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>
      <alignment horizontal="center" vertical="center"/>
    </xf>
    <xf numFmtId="1" fontId="15" fillId="8" borderId="1" xfId="0" applyNumberFormat="1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1" fontId="19" fillId="12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right" vertical="center"/>
    </xf>
    <xf numFmtId="14" fontId="13" fillId="3" borderId="1" xfId="0" applyNumberFormat="1" applyFont="1" applyFill="1" applyBorder="1" applyAlignment="1">
      <alignment horizontal="center" vertical="center"/>
    </xf>
    <xf numFmtId="14" fontId="13" fillId="10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vertical="center"/>
    </xf>
    <xf numFmtId="14" fontId="20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4" fontId="20" fillId="10" borderId="1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right" vertical="center"/>
    </xf>
    <xf numFmtId="1" fontId="20" fillId="3" borderId="1" xfId="0" applyNumberFormat="1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14" fontId="19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23" fillId="0" borderId="1" xfId="1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vertical="center"/>
    </xf>
    <xf numFmtId="14" fontId="19" fillId="14" borderId="1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/>
    </xf>
    <xf numFmtId="14" fontId="13" fillId="14" borderId="1" xfId="0" applyNumberFormat="1" applyFont="1" applyFill="1" applyBorder="1" applyAlignment="1">
      <alignment horizontal="center" vertical="center"/>
    </xf>
    <xf numFmtId="49" fontId="14" fillId="14" borderId="1" xfId="0" applyNumberFormat="1" applyFont="1" applyFill="1" applyBorder="1" applyAlignment="1">
      <alignment horizontal="right" vertical="center"/>
    </xf>
    <xf numFmtId="1" fontId="19" fillId="14" borderId="1" xfId="0" applyNumberFormat="1" applyFont="1" applyFill="1" applyBorder="1" applyAlignment="1">
      <alignment horizontal="center" vertical="center"/>
    </xf>
    <xf numFmtId="164" fontId="14" fillId="14" borderId="1" xfId="0" applyNumberFormat="1" applyFont="1" applyFill="1" applyBorder="1" applyAlignment="1">
      <alignment horizontal="center" vertical="center"/>
    </xf>
    <xf numFmtId="1" fontId="15" fillId="14" borderId="1" xfId="0" applyNumberFormat="1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vertical="center"/>
    </xf>
    <xf numFmtId="14" fontId="19" fillId="15" borderId="1" xfId="0" applyNumberFormat="1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left" vertical="center"/>
    </xf>
    <xf numFmtId="14" fontId="13" fillId="15" borderId="1" xfId="0" applyNumberFormat="1" applyFont="1" applyFill="1" applyBorder="1" applyAlignment="1">
      <alignment horizontal="center" vertical="center"/>
    </xf>
    <xf numFmtId="49" fontId="14" fillId="15" borderId="1" xfId="0" applyNumberFormat="1" applyFont="1" applyFill="1" applyBorder="1" applyAlignment="1">
      <alignment horizontal="right" vertical="center"/>
    </xf>
    <xf numFmtId="1" fontId="19" fillId="15" borderId="1" xfId="0" applyNumberFormat="1" applyFont="1" applyFill="1" applyBorder="1" applyAlignment="1">
      <alignment horizontal="center" vertical="center"/>
    </xf>
    <xf numFmtId="164" fontId="14" fillId="15" borderId="1" xfId="0" applyNumberFormat="1" applyFont="1" applyFill="1" applyBorder="1" applyAlignment="1">
      <alignment horizontal="center" vertical="center"/>
    </xf>
    <xf numFmtId="1" fontId="15" fillId="15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/>
    </xf>
    <xf numFmtId="0" fontId="19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vertical="center"/>
    </xf>
    <xf numFmtId="14" fontId="19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left" vertical="center"/>
    </xf>
    <xf numFmtId="0" fontId="19" fillId="17" borderId="1" xfId="0" applyFont="1" applyFill="1" applyBorder="1" applyAlignment="1">
      <alignment horizontal="left" vertical="center"/>
    </xf>
    <xf numFmtId="49" fontId="14" fillId="17" borderId="1" xfId="0" applyNumberFormat="1" applyFont="1" applyFill="1" applyBorder="1" applyAlignment="1">
      <alignment horizontal="right" vertical="center"/>
    </xf>
    <xf numFmtId="1" fontId="19" fillId="17" borderId="1" xfId="0" applyNumberFormat="1" applyFont="1" applyFill="1" applyBorder="1" applyAlignment="1">
      <alignment horizontal="center" vertical="center"/>
    </xf>
    <xf numFmtId="164" fontId="14" fillId="17" borderId="1" xfId="0" applyNumberFormat="1" applyFont="1" applyFill="1" applyBorder="1" applyAlignment="1">
      <alignment horizontal="center" vertical="center"/>
    </xf>
    <xf numFmtId="1" fontId="15" fillId="17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vertical="center"/>
    </xf>
    <xf numFmtId="14" fontId="19" fillId="16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left" vertical="center"/>
    </xf>
    <xf numFmtId="49" fontId="14" fillId="16" borderId="1" xfId="0" applyNumberFormat="1" applyFont="1" applyFill="1" applyBorder="1" applyAlignment="1">
      <alignment horizontal="right" vertical="center"/>
    </xf>
    <xf numFmtId="1" fontId="19" fillId="16" borderId="1" xfId="0" applyNumberFormat="1" applyFont="1" applyFill="1" applyBorder="1" applyAlignment="1">
      <alignment horizontal="center" vertical="center"/>
    </xf>
    <xf numFmtId="164" fontId="14" fillId="16" borderId="1" xfId="0" applyNumberFormat="1" applyFont="1" applyFill="1" applyBorder="1" applyAlignment="1">
      <alignment horizontal="center" vertical="center"/>
    </xf>
    <xf numFmtId="1" fontId="15" fillId="16" borderId="1" xfId="0" applyNumberFormat="1" applyFont="1" applyFill="1" applyBorder="1" applyAlignment="1">
      <alignment horizontal="center" vertical="center"/>
    </xf>
    <xf numFmtId="14" fontId="16" fillId="4" borderId="1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vertical="center"/>
    </xf>
    <xf numFmtId="14" fontId="13" fillId="16" borderId="1" xfId="0" applyNumberFormat="1" applyFont="1" applyFill="1" applyBorder="1" applyAlignment="1">
      <alignment horizontal="center" vertical="center"/>
    </xf>
    <xf numFmtId="49" fontId="13" fillId="16" borderId="1" xfId="0" applyNumberFormat="1" applyFont="1" applyFill="1" applyBorder="1" applyAlignment="1">
      <alignment horizontal="right" vertical="center"/>
    </xf>
    <xf numFmtId="1" fontId="13" fillId="16" borderId="1" xfId="0" applyNumberFormat="1" applyFont="1" applyFill="1" applyBorder="1" applyAlignment="1">
      <alignment horizontal="center" vertical="center"/>
    </xf>
    <xf numFmtId="164" fontId="13" fillId="16" borderId="1" xfId="0" applyNumberFormat="1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1" fontId="12" fillId="16" borderId="1" xfId="0" applyNumberFormat="1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14" fontId="13" fillId="11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 wrapText="1"/>
    </xf>
    <xf numFmtId="0" fontId="19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vertical="center"/>
    </xf>
    <xf numFmtId="14" fontId="19" fillId="20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left" vertical="center"/>
    </xf>
    <xf numFmtId="49" fontId="14" fillId="20" borderId="1" xfId="0" applyNumberFormat="1" applyFont="1" applyFill="1" applyBorder="1" applyAlignment="1">
      <alignment horizontal="right" vertical="center"/>
    </xf>
    <xf numFmtId="1" fontId="19" fillId="20" borderId="1" xfId="0" applyNumberFormat="1" applyFont="1" applyFill="1" applyBorder="1" applyAlignment="1">
      <alignment horizontal="center" vertical="center"/>
    </xf>
    <xf numFmtId="164" fontId="14" fillId="20" borderId="1" xfId="0" applyNumberFormat="1" applyFont="1" applyFill="1" applyBorder="1" applyAlignment="1">
      <alignment horizontal="center" vertical="center"/>
    </xf>
    <xf numFmtId="1" fontId="15" fillId="20" borderId="1" xfId="0" applyNumberFormat="1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horizontal="left" vertical="center"/>
    </xf>
    <xf numFmtId="0" fontId="13" fillId="20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center" vertical="center"/>
    </xf>
    <xf numFmtId="0" fontId="0" fillId="0" borderId="0" xfId="0" applyBorder="1"/>
    <xf numFmtId="14" fontId="13" fillId="20" borderId="1" xfId="0" applyNumberFormat="1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9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vertical="center"/>
    </xf>
    <xf numFmtId="14" fontId="19" fillId="21" borderId="1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left" vertical="center"/>
    </xf>
    <xf numFmtId="14" fontId="13" fillId="21" borderId="1" xfId="0" applyNumberFormat="1" applyFont="1" applyFill="1" applyBorder="1" applyAlignment="1">
      <alignment horizontal="center" vertical="center"/>
    </xf>
    <xf numFmtId="49" fontId="14" fillId="21" borderId="1" xfId="0" applyNumberFormat="1" applyFont="1" applyFill="1" applyBorder="1" applyAlignment="1">
      <alignment horizontal="right" vertical="center"/>
    </xf>
    <xf numFmtId="1" fontId="19" fillId="21" borderId="1" xfId="0" applyNumberFormat="1" applyFont="1" applyFill="1" applyBorder="1" applyAlignment="1">
      <alignment horizontal="center" vertical="center"/>
    </xf>
    <xf numFmtId="164" fontId="14" fillId="21" borderId="1" xfId="0" applyNumberFormat="1" applyFont="1" applyFill="1" applyBorder="1" applyAlignment="1">
      <alignment horizontal="center" vertical="center"/>
    </xf>
    <xf numFmtId="0" fontId="16" fillId="20" borderId="1" xfId="0" applyFont="1" applyFill="1" applyBorder="1" applyAlignment="1">
      <alignment vertical="center"/>
    </xf>
    <xf numFmtId="1" fontId="15" fillId="21" borderId="1" xfId="0" applyNumberFormat="1" applyFont="1" applyFill="1" applyBorder="1" applyAlignment="1">
      <alignment horizontal="center" vertical="center"/>
    </xf>
    <xf numFmtId="165" fontId="14" fillId="21" borderId="1" xfId="0" applyNumberFormat="1" applyFont="1" applyFill="1" applyBorder="1" applyAlignment="1">
      <alignment horizontal="center" vertical="center"/>
    </xf>
    <xf numFmtId="2" fontId="14" fillId="15" borderId="1" xfId="0" applyNumberFormat="1" applyFont="1" applyFill="1" applyBorder="1" applyAlignment="1">
      <alignment horizontal="center" vertical="center"/>
    </xf>
    <xf numFmtId="2" fontId="14" fillId="21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2" fontId="14" fillId="20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4" fillId="0" borderId="1" xfId="0" applyFont="1" applyFill="1" applyBorder="1" applyAlignment="1">
      <alignment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49" fontId="16" fillId="0" borderId="1" xfId="0" applyNumberFormat="1" applyFont="1" applyFill="1" applyBorder="1" applyAlignment="1">
      <alignment horizontal="right" vertical="center"/>
    </xf>
    <xf numFmtId="1" fontId="16" fillId="0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14" fontId="19" fillId="4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9" fillId="20" borderId="1" xfId="0" applyNumberFormat="1" applyFont="1" applyFill="1" applyBorder="1" applyAlignment="1">
      <alignment horizontal="right" vertical="center"/>
    </xf>
    <xf numFmtId="164" fontId="19" fillId="2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9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1" fontId="19" fillId="3" borderId="1" xfId="0" applyNumberFormat="1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49" fontId="14" fillId="11" borderId="1" xfId="0" applyNumberFormat="1" applyFont="1" applyFill="1" applyBorder="1" applyAlignment="1">
      <alignment horizontal="right" vertical="center"/>
    </xf>
    <xf numFmtId="1" fontId="19" fillId="11" borderId="1" xfId="0" applyNumberFormat="1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14" fontId="20" fillId="3" borderId="1" xfId="0" applyNumberFormat="1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14" fontId="19" fillId="20" borderId="1" xfId="0" applyNumberFormat="1" applyFont="1" applyFill="1" applyBorder="1" applyAlignment="1">
      <alignment horizontal="left" vertical="center"/>
    </xf>
    <xf numFmtId="49" fontId="19" fillId="21" borderId="1" xfId="0" applyNumberFormat="1" applyFont="1" applyFill="1" applyBorder="1" applyAlignment="1">
      <alignment horizontal="right" vertical="center"/>
    </xf>
    <xf numFmtId="164" fontId="19" fillId="21" borderId="1" xfId="0" applyNumberFormat="1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left" vertical="center"/>
    </xf>
    <xf numFmtId="0" fontId="13" fillId="21" borderId="1" xfId="0" applyFont="1" applyFill="1" applyBorder="1" applyAlignment="1">
      <alignment vertical="center"/>
    </xf>
    <xf numFmtId="49" fontId="13" fillId="21" borderId="1" xfId="0" applyNumberFormat="1" applyFont="1" applyFill="1" applyBorder="1" applyAlignment="1">
      <alignment horizontal="right" vertical="center"/>
    </xf>
    <xf numFmtId="1" fontId="13" fillId="21" borderId="1" xfId="0" applyNumberFormat="1" applyFont="1" applyFill="1" applyBorder="1" applyAlignment="1">
      <alignment horizontal="center" vertical="center"/>
    </xf>
    <xf numFmtId="164" fontId="13" fillId="21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/>
    <xf numFmtId="0" fontId="26" fillId="15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0" fontId="26" fillId="11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14" fontId="19" fillId="22" borderId="1" xfId="0" applyNumberFormat="1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20" fillId="22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vertical="center"/>
    </xf>
    <xf numFmtId="14" fontId="13" fillId="22" borderId="1" xfId="0" applyNumberFormat="1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vertical="center"/>
    </xf>
    <xf numFmtId="1" fontId="20" fillId="22" borderId="1" xfId="0" applyNumberFormat="1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left" vertical="center"/>
    </xf>
    <xf numFmtId="0" fontId="25" fillId="22" borderId="1" xfId="0" applyFont="1" applyFill="1" applyBorder="1" applyAlignment="1">
      <alignment horizontal="left" vertical="center"/>
    </xf>
    <xf numFmtId="0" fontId="18" fillId="22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1" fontId="26" fillId="21" borderId="1" xfId="0" applyNumberFormat="1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vertical="center"/>
    </xf>
    <xf numFmtId="0" fontId="19" fillId="23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vertical="center"/>
    </xf>
    <xf numFmtId="14" fontId="19" fillId="23" borderId="1" xfId="0" applyNumberFormat="1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14" fontId="13" fillId="23" borderId="1" xfId="0" applyNumberFormat="1" applyFont="1" applyFill="1" applyBorder="1" applyAlignment="1">
      <alignment horizontal="center" vertical="center"/>
    </xf>
    <xf numFmtId="1" fontId="19" fillId="23" borderId="1" xfId="0" applyNumberFormat="1" applyFont="1" applyFill="1" applyBorder="1" applyAlignment="1">
      <alignment horizontal="center" vertical="center"/>
    </xf>
    <xf numFmtId="164" fontId="14" fillId="23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10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3DA4-7995-4F77-83C1-99BDA7320C93}">
  <sheetPr>
    <tabColor theme="1"/>
  </sheetPr>
  <dimension ref="A1:AV2073"/>
  <sheetViews>
    <sheetView tabSelected="1" topLeftCell="D1" zoomScaleNormal="100" workbookViewId="0">
      <pane ySplit="1" topLeftCell="A305" activePane="bottomLeft" state="frozen"/>
      <selection pane="bottomLeft" activeCell="X317" sqref="X317"/>
    </sheetView>
  </sheetViews>
  <sheetFormatPr defaultColWidth="11.42578125" defaultRowHeight="15.75"/>
  <cols>
    <col min="1" max="1" width="9" style="63" customWidth="1"/>
    <col min="2" max="2" width="13.5703125" style="65" customWidth="1"/>
    <col min="3" max="3" width="9.42578125" style="66" customWidth="1"/>
    <col min="4" max="4" width="8.85546875" style="66" customWidth="1"/>
    <col min="5" max="5" width="5.5703125" style="63" customWidth="1"/>
    <col min="6" max="6" width="6.7109375" style="68" customWidth="1"/>
    <col min="7" max="7" width="5.5703125" style="69" customWidth="1"/>
    <col min="8" max="8" width="15" style="65" customWidth="1"/>
    <col min="9" max="9" width="11" style="65" customWidth="1"/>
    <col min="10" max="10" width="9" style="65" customWidth="1"/>
    <col min="11" max="12" width="8.5703125" style="299" customWidth="1"/>
    <col min="13" max="13" width="6.85546875" style="65" customWidth="1"/>
    <col min="14" max="14" width="6.85546875" style="63" customWidth="1"/>
    <col min="15" max="15" width="6.85546875" style="65" customWidth="1"/>
    <col min="16" max="16" width="5.5703125" style="288" customWidth="1"/>
    <col min="17" max="17" width="7.7109375" style="224" customWidth="1"/>
    <col min="18" max="18" width="6.7109375" style="65" customWidth="1"/>
    <col min="19" max="19" width="17.5703125" style="65" customWidth="1"/>
    <col min="20" max="20" width="7.140625" style="65" customWidth="1"/>
    <col min="21" max="21" width="6.5703125" style="65" customWidth="1"/>
    <col min="22" max="22" width="3.7109375" style="65" customWidth="1"/>
    <col min="23" max="23" width="3.85546875" style="65" customWidth="1"/>
    <col min="24" max="24" width="5.5703125" style="65" customWidth="1"/>
    <col min="25" max="25" width="6" style="65" customWidth="1"/>
    <col min="26" max="27" width="8.7109375" style="235" customWidth="1"/>
    <col min="28" max="28" width="8.7109375" style="31" customWidth="1"/>
    <col min="29" max="29" width="8.7109375" style="32" customWidth="1"/>
    <col min="30" max="32" width="11.42578125" style="32"/>
    <col min="33" max="33" width="11.42578125" style="33"/>
    <col min="34" max="48" width="11.42578125" style="34"/>
  </cols>
  <sheetData>
    <row r="1" spans="1:48" s="19" customFormat="1" ht="4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" t="s">
        <v>14</v>
      </c>
      <c r="P1" s="10" t="s">
        <v>15</v>
      </c>
      <c r="Q1" s="11" t="s">
        <v>16</v>
      </c>
      <c r="R1" s="12" t="s">
        <v>17</v>
      </c>
      <c r="S1" s="11" t="s">
        <v>18</v>
      </c>
      <c r="T1" s="12" t="s">
        <v>19</v>
      </c>
      <c r="U1" s="13" t="s">
        <v>20</v>
      </c>
      <c r="V1" s="1" t="s">
        <v>21</v>
      </c>
      <c r="W1" s="1" t="s">
        <v>22</v>
      </c>
      <c r="X1" s="14" t="s">
        <v>23</v>
      </c>
      <c r="Y1" s="12"/>
      <c r="Z1" s="15"/>
      <c r="AA1" s="15"/>
      <c r="AB1" s="16"/>
      <c r="AC1" s="16"/>
      <c r="AD1" s="16"/>
      <c r="AE1" s="16"/>
      <c r="AF1" s="16"/>
      <c r="AG1" s="17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15" customHeight="1">
      <c r="A2" s="20"/>
      <c r="B2" s="21"/>
      <c r="C2" s="22"/>
      <c r="D2" s="22"/>
      <c r="E2" s="20"/>
      <c r="F2" s="23"/>
      <c r="G2" s="24"/>
      <c r="H2" s="25"/>
      <c r="I2" s="25"/>
      <c r="J2" s="21" t="s">
        <v>24</v>
      </c>
      <c r="K2" s="22"/>
      <c r="L2" s="22"/>
      <c r="M2" s="26"/>
      <c r="N2" s="27">
        <v>568</v>
      </c>
      <c r="O2" s="28">
        <v>2244.9120999999991</v>
      </c>
      <c r="P2" s="29">
        <v>1233</v>
      </c>
      <c r="Q2" s="25"/>
      <c r="R2" s="25"/>
      <c r="S2" s="25"/>
      <c r="T2" s="20"/>
      <c r="U2" s="25"/>
      <c r="V2" s="20"/>
      <c r="W2" s="20"/>
      <c r="X2" s="20" t="s">
        <v>25</v>
      </c>
      <c r="Y2" s="20"/>
      <c r="Z2" s="30"/>
      <c r="AA2" s="30"/>
    </row>
    <row r="3" spans="1:48" ht="15" customHeight="1">
      <c r="A3" s="20"/>
      <c r="B3" s="21"/>
      <c r="C3" s="22"/>
      <c r="D3" s="22"/>
      <c r="E3" s="20"/>
      <c r="F3" s="23"/>
      <c r="G3" s="24"/>
      <c r="H3" s="25"/>
      <c r="I3" s="25"/>
      <c r="J3" s="21" t="s">
        <v>26</v>
      </c>
      <c r="K3" s="22"/>
      <c r="L3" s="22"/>
      <c r="M3" s="26"/>
      <c r="N3" s="27">
        <v>32</v>
      </c>
      <c r="O3" s="28">
        <v>1200.2369999999999</v>
      </c>
      <c r="P3" s="29">
        <v>1272</v>
      </c>
      <c r="Q3" s="25"/>
      <c r="R3" s="25"/>
      <c r="S3" s="25"/>
      <c r="T3" s="20"/>
      <c r="U3" s="25"/>
      <c r="V3" s="20"/>
      <c r="W3" s="20"/>
      <c r="X3" s="20" t="s">
        <v>25</v>
      </c>
      <c r="Y3" s="20"/>
      <c r="Z3" s="30"/>
      <c r="AA3" s="30"/>
    </row>
    <row r="4" spans="1:48" ht="15" customHeight="1">
      <c r="A4" s="20"/>
      <c r="B4" s="21"/>
      <c r="C4" s="22"/>
      <c r="D4" s="22"/>
      <c r="E4" s="20"/>
      <c r="F4" s="23"/>
      <c r="G4" s="24"/>
      <c r="H4" s="25"/>
      <c r="I4" s="25"/>
      <c r="J4" s="21" t="s">
        <v>27</v>
      </c>
      <c r="K4" s="22"/>
      <c r="L4" s="22"/>
      <c r="M4" s="26"/>
      <c r="N4" s="27">
        <v>3350</v>
      </c>
      <c r="O4" s="28">
        <v>4396.7710000000297</v>
      </c>
      <c r="P4" s="29">
        <v>27029.5</v>
      </c>
      <c r="Q4" s="25"/>
      <c r="R4" s="25"/>
      <c r="S4" s="25"/>
      <c r="T4" s="20"/>
      <c r="U4" s="25"/>
      <c r="V4" s="20"/>
      <c r="W4" s="20"/>
      <c r="X4" s="20" t="s">
        <v>25</v>
      </c>
      <c r="Y4" s="20"/>
      <c r="Z4" s="30"/>
      <c r="AA4" s="30"/>
    </row>
    <row r="5" spans="1:48" ht="15" customHeight="1">
      <c r="A5" s="20"/>
      <c r="B5" s="21"/>
      <c r="C5" s="22"/>
      <c r="D5" s="22"/>
      <c r="E5" s="20"/>
      <c r="F5" s="23"/>
      <c r="G5" s="24"/>
      <c r="H5" s="25"/>
      <c r="I5" s="25"/>
      <c r="J5" s="21" t="s">
        <v>28</v>
      </c>
      <c r="K5" s="22"/>
      <c r="L5" s="22"/>
      <c r="M5" s="26"/>
      <c r="N5" s="27">
        <v>70</v>
      </c>
      <c r="O5" s="28">
        <v>489.08799999999997</v>
      </c>
      <c r="P5" s="29">
        <v>2058</v>
      </c>
      <c r="Q5" s="25"/>
      <c r="R5" s="25"/>
      <c r="S5" s="25"/>
      <c r="T5" s="20"/>
      <c r="U5" s="25"/>
      <c r="V5" s="20"/>
      <c r="W5" s="20"/>
      <c r="X5" s="20" t="s">
        <v>25</v>
      </c>
      <c r="Y5" s="20"/>
      <c r="Z5" s="30"/>
      <c r="AA5" s="30"/>
    </row>
    <row r="6" spans="1:48" ht="15" customHeight="1">
      <c r="A6" s="20"/>
      <c r="B6" s="21"/>
      <c r="C6" s="22"/>
      <c r="D6" s="22"/>
      <c r="E6" s="20"/>
      <c r="F6" s="23"/>
      <c r="G6" s="24"/>
      <c r="H6" s="25"/>
      <c r="I6" s="25"/>
      <c r="J6" s="21" t="s">
        <v>29</v>
      </c>
      <c r="K6" s="22"/>
      <c r="L6" s="22"/>
      <c r="M6" s="26"/>
      <c r="N6" s="27">
        <v>84</v>
      </c>
      <c r="O6" s="28">
        <v>198.32009857142859</v>
      </c>
      <c r="P6" s="29">
        <v>1458</v>
      </c>
      <c r="Q6" s="25"/>
      <c r="R6" s="25"/>
      <c r="S6" s="25"/>
      <c r="T6" s="20"/>
      <c r="U6" s="25"/>
      <c r="V6" s="20"/>
      <c r="W6" s="20"/>
      <c r="X6" s="20" t="s">
        <v>25</v>
      </c>
      <c r="Y6" s="20"/>
      <c r="Z6" s="30"/>
      <c r="AA6" s="30"/>
    </row>
    <row r="7" spans="1:48" ht="15" customHeight="1">
      <c r="A7" s="20"/>
      <c r="B7" s="21"/>
      <c r="C7" s="22"/>
      <c r="D7" s="22"/>
      <c r="E7" s="20">
        <v>9838</v>
      </c>
      <c r="F7" s="23">
        <v>21000</v>
      </c>
      <c r="G7" s="24">
        <v>3500</v>
      </c>
      <c r="H7" s="25"/>
      <c r="I7" s="25"/>
      <c r="J7" s="21" t="s">
        <v>30</v>
      </c>
      <c r="K7" s="22"/>
      <c r="L7" s="22"/>
      <c r="M7" s="26"/>
      <c r="N7" s="35">
        <f>0</f>
        <v>0</v>
      </c>
      <c r="O7" s="28">
        <f>+N7*2.135</f>
        <v>0</v>
      </c>
      <c r="P7" s="29">
        <f>G7/E7*N7</f>
        <v>0</v>
      </c>
      <c r="Q7" s="25"/>
      <c r="R7" s="25"/>
      <c r="S7" s="25"/>
      <c r="T7" s="20"/>
      <c r="U7" s="25"/>
      <c r="V7" s="20"/>
      <c r="W7" s="20"/>
      <c r="X7" s="20" t="s">
        <v>25</v>
      </c>
      <c r="Y7" s="20"/>
      <c r="Z7" s="30"/>
      <c r="AA7" s="30"/>
    </row>
    <row r="8" spans="1:48" ht="15" customHeight="1">
      <c r="A8" s="36"/>
      <c r="B8" s="37"/>
      <c r="C8" s="38"/>
      <c r="D8" s="38"/>
      <c r="E8" s="36"/>
      <c r="F8" s="39"/>
      <c r="G8" s="40"/>
      <c r="H8" s="41"/>
      <c r="I8" s="41"/>
      <c r="J8" s="37" t="s">
        <v>31</v>
      </c>
      <c r="K8" s="38"/>
      <c r="L8" s="38"/>
      <c r="M8" s="42"/>
      <c r="N8" s="43"/>
      <c r="O8" s="44"/>
      <c r="P8" s="45">
        <v>6300</v>
      </c>
      <c r="Q8" s="41"/>
      <c r="R8" s="41"/>
      <c r="S8" s="41"/>
      <c r="T8" s="36"/>
      <c r="U8" s="41"/>
      <c r="V8" s="36"/>
      <c r="W8" s="36"/>
      <c r="X8" s="36" t="s">
        <v>25</v>
      </c>
      <c r="Y8" s="36"/>
      <c r="Z8" s="30"/>
      <c r="AA8" s="30"/>
    </row>
    <row r="9" spans="1:48" ht="15" customHeight="1">
      <c r="A9" s="46">
        <v>20190174</v>
      </c>
      <c r="B9" s="47" t="s">
        <v>32</v>
      </c>
      <c r="C9" s="48">
        <v>43602</v>
      </c>
      <c r="D9" s="48">
        <v>43603</v>
      </c>
      <c r="E9" s="49">
        <v>1</v>
      </c>
      <c r="F9" s="50">
        <v>8.6839999999999993</v>
      </c>
      <c r="G9" s="51">
        <v>30</v>
      </c>
      <c r="H9" s="52" t="s">
        <v>33</v>
      </c>
      <c r="I9" s="52" t="s">
        <v>34</v>
      </c>
      <c r="J9" s="52" t="s">
        <v>35</v>
      </c>
      <c r="K9" s="53">
        <f t="shared" ref="K9:K72" si="0">D9+8</f>
        <v>43611</v>
      </c>
      <c r="L9" s="54">
        <f t="shared" ref="L9:L72" si="1">K9+60</f>
        <v>43671</v>
      </c>
      <c r="M9" s="55" t="s">
        <v>36</v>
      </c>
      <c r="N9" s="49">
        <v>1</v>
      </c>
      <c r="O9" s="50">
        <f t="shared" ref="O9:O72" si="2">F9/E9*N9</f>
        <v>8.6839999999999993</v>
      </c>
      <c r="P9" s="56">
        <v>30</v>
      </c>
      <c r="Q9" s="57" t="s">
        <v>37</v>
      </c>
      <c r="R9" s="58"/>
      <c r="S9" s="52"/>
      <c r="T9" s="59"/>
      <c r="U9" s="58"/>
      <c r="V9" s="60" t="s">
        <v>38</v>
      </c>
      <c r="W9" s="61" t="s">
        <v>39</v>
      </c>
      <c r="X9" s="62" t="s">
        <v>25</v>
      </c>
      <c r="Y9" s="63">
        <f>O9/N9</f>
        <v>8.6839999999999993</v>
      </c>
      <c r="Z9" s="64">
        <f t="shared" ref="Z9:Z72" si="3">E9-N9</f>
        <v>0</v>
      </c>
      <c r="AA9" s="64">
        <v>185</v>
      </c>
    </row>
    <row r="10" spans="1:48" ht="15" customHeight="1">
      <c r="A10" s="63">
        <v>20240306</v>
      </c>
      <c r="B10" s="65" t="s">
        <v>40</v>
      </c>
      <c r="C10" s="66">
        <v>45601</v>
      </c>
      <c r="D10" s="66">
        <v>45654</v>
      </c>
      <c r="E10" s="67">
        <v>3</v>
      </c>
      <c r="F10" s="68">
        <v>17.7</v>
      </c>
      <c r="G10" s="69">
        <v>72</v>
      </c>
      <c r="H10" s="70" t="s">
        <v>41</v>
      </c>
      <c r="I10" s="70" t="s">
        <v>42</v>
      </c>
      <c r="J10" s="65" t="s">
        <v>28</v>
      </c>
      <c r="K10" s="53">
        <f t="shared" si="0"/>
        <v>45662</v>
      </c>
      <c r="L10" s="54">
        <f t="shared" si="1"/>
        <v>45722</v>
      </c>
      <c r="M10" s="71"/>
      <c r="N10" s="72">
        <f>E10</f>
        <v>3</v>
      </c>
      <c r="O10" s="50">
        <f t="shared" si="2"/>
        <v>17.7</v>
      </c>
      <c r="P10" s="56">
        <f t="shared" ref="P10:P73" si="4">G10/E10*N10</f>
        <v>72</v>
      </c>
      <c r="Q10" s="73"/>
      <c r="R10" s="58"/>
      <c r="S10" s="74" t="s">
        <v>43</v>
      </c>
      <c r="T10" s="75" t="s">
        <v>44</v>
      </c>
      <c r="U10" s="58"/>
      <c r="V10" s="46"/>
      <c r="W10" s="46"/>
      <c r="X10" s="62" t="s">
        <v>25</v>
      </c>
      <c r="Y10" s="63">
        <f>O10/N10</f>
        <v>5.8999999999999995</v>
      </c>
      <c r="Z10" s="64">
        <f t="shared" si="3"/>
        <v>0</v>
      </c>
      <c r="AA10" s="64">
        <v>316</v>
      </c>
    </row>
    <row r="11" spans="1:48" ht="15" customHeight="1">
      <c r="A11" s="63">
        <v>20240306</v>
      </c>
      <c r="B11" s="65" t="s">
        <v>40</v>
      </c>
      <c r="C11" s="66">
        <v>45601</v>
      </c>
      <c r="D11" s="66">
        <v>45654</v>
      </c>
      <c r="E11" s="67">
        <v>31</v>
      </c>
      <c r="F11" s="68">
        <v>0</v>
      </c>
      <c r="G11" s="69">
        <v>30</v>
      </c>
      <c r="H11" s="70" t="s">
        <v>41</v>
      </c>
      <c r="I11" s="70" t="s">
        <v>24</v>
      </c>
      <c r="J11" s="65" t="s">
        <v>24</v>
      </c>
      <c r="K11" s="53">
        <f t="shared" si="0"/>
        <v>45662</v>
      </c>
      <c r="L11" s="54">
        <f t="shared" si="1"/>
        <v>45722</v>
      </c>
      <c r="M11" s="71"/>
      <c r="N11" s="72">
        <f>E11</f>
        <v>31</v>
      </c>
      <c r="O11" s="50">
        <f t="shared" si="2"/>
        <v>0</v>
      </c>
      <c r="P11" s="56">
        <f t="shared" si="4"/>
        <v>30</v>
      </c>
      <c r="Q11" s="73"/>
      <c r="R11" s="58"/>
      <c r="S11" s="74" t="s">
        <v>45</v>
      </c>
      <c r="T11" s="75">
        <v>124</v>
      </c>
      <c r="U11" s="58"/>
      <c r="V11" s="46"/>
      <c r="W11" s="46"/>
      <c r="X11" s="62" t="s">
        <v>25</v>
      </c>
      <c r="Y11" s="63">
        <f>O11/N11</f>
        <v>0</v>
      </c>
      <c r="Z11" s="64">
        <f t="shared" si="3"/>
        <v>0</v>
      </c>
      <c r="AA11" s="64">
        <v>38</v>
      </c>
    </row>
    <row r="12" spans="1:48" ht="18" customHeight="1">
      <c r="A12" s="63">
        <v>20240328</v>
      </c>
      <c r="B12" s="65" t="s">
        <v>46</v>
      </c>
      <c r="C12" s="66">
        <v>45617</v>
      </c>
      <c r="D12" s="66">
        <v>45661</v>
      </c>
      <c r="E12" s="67">
        <v>2</v>
      </c>
      <c r="F12" s="68">
        <v>0.97699999999999998</v>
      </c>
      <c r="G12" s="69">
        <v>6</v>
      </c>
      <c r="H12" s="70" t="s">
        <v>47</v>
      </c>
      <c r="I12" s="70" t="s">
        <v>24</v>
      </c>
      <c r="J12" s="65" t="s">
        <v>24</v>
      </c>
      <c r="K12" s="53">
        <f t="shared" si="0"/>
        <v>45669</v>
      </c>
      <c r="L12" s="54">
        <f t="shared" si="1"/>
        <v>45729</v>
      </c>
      <c r="M12" s="71"/>
      <c r="N12" s="72">
        <f>E12</f>
        <v>2</v>
      </c>
      <c r="O12" s="50">
        <f t="shared" si="2"/>
        <v>0.97699999999999998</v>
      </c>
      <c r="P12" s="56">
        <f t="shared" si="4"/>
        <v>6</v>
      </c>
      <c r="Q12" s="57" t="s">
        <v>48</v>
      </c>
      <c r="R12" s="58"/>
      <c r="S12" s="74" t="s">
        <v>49</v>
      </c>
      <c r="T12" s="75">
        <v>107</v>
      </c>
      <c r="U12" s="58"/>
      <c r="V12" s="46"/>
      <c r="W12" s="46"/>
      <c r="X12" s="62" t="s">
        <v>25</v>
      </c>
      <c r="Y12" s="63">
        <f>O12/N12</f>
        <v>0.48849999999999999</v>
      </c>
      <c r="Z12" s="64">
        <f t="shared" si="3"/>
        <v>0</v>
      </c>
      <c r="AA12" s="64">
        <v>1254</v>
      </c>
    </row>
    <row r="13" spans="1:48" ht="18" customHeight="1">
      <c r="A13" s="76">
        <v>20240350</v>
      </c>
      <c r="B13" s="77" t="s">
        <v>50</v>
      </c>
      <c r="C13" s="78">
        <v>45645</v>
      </c>
      <c r="D13" s="78">
        <v>45666</v>
      </c>
      <c r="E13" s="76">
        <v>195</v>
      </c>
      <c r="F13" s="79">
        <v>895.7</v>
      </c>
      <c r="G13" s="76">
        <v>455</v>
      </c>
      <c r="H13" s="80" t="s">
        <v>51</v>
      </c>
      <c r="I13" s="80" t="s">
        <v>52</v>
      </c>
      <c r="J13" s="77" t="s">
        <v>52</v>
      </c>
      <c r="K13" s="78">
        <f t="shared" si="0"/>
        <v>45674</v>
      </c>
      <c r="L13" s="81">
        <f t="shared" si="1"/>
        <v>45734</v>
      </c>
      <c r="M13" s="82"/>
      <c r="N13" s="83">
        <f>E13-91-6-30-7-6-14-10-6-15</f>
        <v>10</v>
      </c>
      <c r="O13" s="84">
        <f t="shared" si="2"/>
        <v>45.933333333333337</v>
      </c>
      <c r="P13" s="85">
        <f t="shared" si="4"/>
        <v>23.333333333333336</v>
      </c>
      <c r="Q13" s="80" t="s">
        <v>53</v>
      </c>
      <c r="R13" s="80"/>
      <c r="S13" s="80" t="s">
        <v>54</v>
      </c>
      <c r="T13" s="86">
        <v>11</v>
      </c>
      <c r="U13" s="80"/>
      <c r="V13" s="76"/>
      <c r="W13" s="76"/>
      <c r="X13" s="76" t="s">
        <v>55</v>
      </c>
      <c r="Y13" s="63">
        <f>F13/E13</f>
        <v>4.5933333333333337</v>
      </c>
      <c r="Z13" s="64">
        <f t="shared" si="3"/>
        <v>185</v>
      </c>
      <c r="AA13" s="64">
        <v>834</v>
      </c>
    </row>
    <row r="14" spans="1:48" ht="18" customHeight="1">
      <c r="A14" s="63">
        <v>20240354</v>
      </c>
      <c r="B14" s="65" t="s">
        <v>56</v>
      </c>
      <c r="C14" s="66">
        <v>45655</v>
      </c>
      <c r="D14" s="66">
        <v>45677</v>
      </c>
      <c r="E14" s="67">
        <v>1</v>
      </c>
      <c r="F14" s="68">
        <v>27.98</v>
      </c>
      <c r="G14" s="69">
        <v>24</v>
      </c>
      <c r="H14" s="52" t="s">
        <v>57</v>
      </c>
      <c r="I14" s="52" t="s">
        <v>58</v>
      </c>
      <c r="J14" s="70" t="s">
        <v>28</v>
      </c>
      <c r="K14" s="53">
        <f t="shared" si="0"/>
        <v>45685</v>
      </c>
      <c r="L14" s="54">
        <f t="shared" si="1"/>
        <v>45745</v>
      </c>
      <c r="M14" s="71" t="s">
        <v>59</v>
      </c>
      <c r="N14" s="72">
        <f>E14</f>
        <v>1</v>
      </c>
      <c r="O14" s="50">
        <f t="shared" si="2"/>
        <v>27.98</v>
      </c>
      <c r="P14" s="56">
        <f t="shared" si="4"/>
        <v>24</v>
      </c>
      <c r="Q14" s="73"/>
      <c r="R14" s="58"/>
      <c r="S14" s="74" t="s">
        <v>60</v>
      </c>
      <c r="T14" s="75">
        <v>78</v>
      </c>
      <c r="U14" s="58"/>
      <c r="V14" s="46"/>
      <c r="W14" s="46"/>
      <c r="X14" s="62" t="s">
        <v>25</v>
      </c>
      <c r="Y14" s="63">
        <f t="shared" ref="Y14:Y21" si="5">O14/N14</f>
        <v>27.98</v>
      </c>
      <c r="Z14" s="64">
        <f t="shared" si="3"/>
        <v>0</v>
      </c>
      <c r="AA14" s="64">
        <v>1479</v>
      </c>
    </row>
    <row r="15" spans="1:48" ht="18" customHeight="1">
      <c r="A15" s="63">
        <v>20240397</v>
      </c>
      <c r="B15" s="65" t="s">
        <v>61</v>
      </c>
      <c r="C15" s="66">
        <v>45686</v>
      </c>
      <c r="D15" s="66">
        <v>45686</v>
      </c>
      <c r="E15" s="67">
        <v>12</v>
      </c>
      <c r="F15" s="68">
        <v>144.5</v>
      </c>
      <c r="G15" s="69">
        <v>288</v>
      </c>
      <c r="H15" s="52" t="s">
        <v>62</v>
      </c>
      <c r="I15" s="70" t="s">
        <v>63</v>
      </c>
      <c r="J15" s="65" t="s">
        <v>28</v>
      </c>
      <c r="K15" s="53">
        <f t="shared" si="0"/>
        <v>45694</v>
      </c>
      <c r="L15" s="54">
        <f t="shared" si="1"/>
        <v>45754</v>
      </c>
      <c r="M15" s="71" t="s">
        <v>64</v>
      </c>
      <c r="N15" s="72">
        <f>E15</f>
        <v>12</v>
      </c>
      <c r="O15" s="50">
        <f t="shared" si="2"/>
        <v>144.5</v>
      </c>
      <c r="P15" s="56">
        <f t="shared" si="4"/>
        <v>288</v>
      </c>
      <c r="Q15" s="73"/>
      <c r="R15" s="58"/>
      <c r="S15" s="74" t="s">
        <v>65</v>
      </c>
      <c r="T15" s="75">
        <v>3</v>
      </c>
      <c r="U15" s="58"/>
      <c r="V15" s="46"/>
      <c r="W15" s="46"/>
      <c r="X15" s="62" t="s">
        <v>25</v>
      </c>
      <c r="Y15" s="63">
        <f t="shared" si="5"/>
        <v>12.041666666666666</v>
      </c>
      <c r="Z15" s="64">
        <f t="shared" si="3"/>
        <v>0</v>
      </c>
      <c r="AA15" s="64">
        <v>197</v>
      </c>
    </row>
    <row r="16" spans="1:48" ht="18" customHeight="1">
      <c r="A16" s="63">
        <v>20250004</v>
      </c>
      <c r="B16" s="65" t="s">
        <v>66</v>
      </c>
      <c r="C16" s="66">
        <v>45677</v>
      </c>
      <c r="D16" s="66">
        <v>45678</v>
      </c>
      <c r="E16" s="67">
        <v>1</v>
      </c>
      <c r="F16" s="68">
        <v>33.792000000000002</v>
      </c>
      <c r="G16" s="69">
        <v>24</v>
      </c>
      <c r="H16" s="70" t="s">
        <v>67</v>
      </c>
      <c r="I16" s="70" t="s">
        <v>58</v>
      </c>
      <c r="J16" s="65" t="s">
        <v>28</v>
      </c>
      <c r="K16" s="53">
        <f t="shared" si="0"/>
        <v>45686</v>
      </c>
      <c r="L16" s="54">
        <f t="shared" si="1"/>
        <v>45746</v>
      </c>
      <c r="M16" s="71"/>
      <c r="N16" s="72">
        <f>E16</f>
        <v>1</v>
      </c>
      <c r="O16" s="50">
        <f t="shared" si="2"/>
        <v>33.792000000000002</v>
      </c>
      <c r="P16" s="56">
        <f t="shared" si="4"/>
        <v>24</v>
      </c>
      <c r="Q16" s="73"/>
      <c r="R16" s="58"/>
      <c r="S16" s="74" t="s">
        <v>68</v>
      </c>
      <c r="T16" s="75">
        <v>11</v>
      </c>
      <c r="U16" s="58"/>
      <c r="V16" s="46"/>
      <c r="W16" s="46"/>
      <c r="X16" s="62" t="s">
        <v>25</v>
      </c>
      <c r="Y16" s="63">
        <f t="shared" si="5"/>
        <v>33.792000000000002</v>
      </c>
      <c r="Z16" s="64">
        <f t="shared" si="3"/>
        <v>0</v>
      </c>
      <c r="AA16" s="64">
        <v>2</v>
      </c>
    </row>
    <row r="17" spans="1:30" ht="18" customHeight="1">
      <c r="A17" s="63">
        <v>20250004</v>
      </c>
      <c r="B17" s="65" t="s">
        <v>66</v>
      </c>
      <c r="C17" s="66">
        <v>45677</v>
      </c>
      <c r="D17" s="66">
        <v>45678</v>
      </c>
      <c r="E17" s="67">
        <v>1</v>
      </c>
      <c r="F17" s="68">
        <v>0</v>
      </c>
      <c r="G17" s="69">
        <v>3</v>
      </c>
      <c r="H17" s="70" t="s">
        <v>67</v>
      </c>
      <c r="I17" s="70" t="s">
        <v>24</v>
      </c>
      <c r="J17" s="65" t="s">
        <v>24</v>
      </c>
      <c r="K17" s="53">
        <f t="shared" si="0"/>
        <v>45686</v>
      </c>
      <c r="L17" s="54">
        <f t="shared" si="1"/>
        <v>45746</v>
      </c>
      <c r="M17" s="71"/>
      <c r="N17" s="72">
        <f>E17</f>
        <v>1</v>
      </c>
      <c r="O17" s="50">
        <f t="shared" si="2"/>
        <v>0</v>
      </c>
      <c r="P17" s="56">
        <f t="shared" si="4"/>
        <v>3</v>
      </c>
      <c r="Q17" s="57" t="s">
        <v>69</v>
      </c>
      <c r="R17" s="58"/>
      <c r="S17" s="74" t="s">
        <v>68</v>
      </c>
      <c r="T17" s="75">
        <v>11</v>
      </c>
      <c r="U17" s="58"/>
      <c r="V17" s="46"/>
      <c r="W17" s="46"/>
      <c r="X17" s="62" t="s">
        <v>25</v>
      </c>
      <c r="Y17" s="63">
        <f t="shared" si="5"/>
        <v>0</v>
      </c>
      <c r="Z17" s="64">
        <f t="shared" si="3"/>
        <v>0</v>
      </c>
      <c r="AA17" s="64">
        <v>1</v>
      </c>
    </row>
    <row r="18" spans="1:30" ht="18" customHeight="1">
      <c r="A18" s="87">
        <v>20240382</v>
      </c>
      <c r="B18" s="88" t="s">
        <v>70</v>
      </c>
      <c r="C18" s="89">
        <v>45687</v>
      </c>
      <c r="D18" s="90">
        <v>45703</v>
      </c>
      <c r="E18" s="60">
        <v>321</v>
      </c>
      <c r="F18" s="91">
        <v>3769.79</v>
      </c>
      <c r="G18" s="92">
        <v>234</v>
      </c>
      <c r="H18" s="93" t="s">
        <v>71</v>
      </c>
      <c r="I18" s="93" t="s">
        <v>72</v>
      </c>
      <c r="J18" s="94" t="s">
        <v>72</v>
      </c>
      <c r="K18" s="53">
        <f t="shared" si="0"/>
        <v>45711</v>
      </c>
      <c r="L18" s="54">
        <f t="shared" si="1"/>
        <v>45771</v>
      </c>
      <c r="M18" s="95" t="s">
        <v>73</v>
      </c>
      <c r="N18" s="96">
        <f>E18-218-30-11-4-28-25</f>
        <v>5</v>
      </c>
      <c r="O18" s="97">
        <f t="shared" si="2"/>
        <v>58.71947040498442</v>
      </c>
      <c r="P18" s="98">
        <f t="shared" si="4"/>
        <v>3.6448598130841119</v>
      </c>
      <c r="Q18" s="73"/>
      <c r="R18" s="58"/>
      <c r="S18" s="74" t="s">
        <v>74</v>
      </c>
      <c r="T18" s="75" t="s">
        <v>75</v>
      </c>
      <c r="U18" s="58"/>
      <c r="V18" s="46"/>
      <c r="W18" s="46"/>
      <c r="X18" s="99" t="s">
        <v>76</v>
      </c>
      <c r="Y18" s="63">
        <f t="shared" si="5"/>
        <v>11.743894080996885</v>
      </c>
      <c r="Z18" s="64">
        <f t="shared" si="3"/>
        <v>316</v>
      </c>
      <c r="AA18" s="64">
        <v>3</v>
      </c>
    </row>
    <row r="19" spans="1:30" ht="18" customHeight="1">
      <c r="A19" s="61">
        <v>20240382</v>
      </c>
      <c r="B19" s="94" t="s">
        <v>70</v>
      </c>
      <c r="C19" s="90">
        <v>45687</v>
      </c>
      <c r="D19" s="90">
        <v>45703</v>
      </c>
      <c r="E19" s="60">
        <v>46</v>
      </c>
      <c r="F19" s="91">
        <v>2016.8</v>
      </c>
      <c r="G19" s="92">
        <v>63.25</v>
      </c>
      <c r="H19" s="93" t="s">
        <v>77</v>
      </c>
      <c r="I19" s="93" t="s">
        <v>72</v>
      </c>
      <c r="J19" s="94" t="s">
        <v>72</v>
      </c>
      <c r="K19" s="53">
        <f t="shared" si="0"/>
        <v>45711</v>
      </c>
      <c r="L19" s="54">
        <f t="shared" si="1"/>
        <v>45771</v>
      </c>
      <c r="M19" s="95" t="s">
        <v>73</v>
      </c>
      <c r="N19" s="100">
        <f>E19-38</f>
        <v>8</v>
      </c>
      <c r="O19" s="97">
        <f t="shared" si="2"/>
        <v>350.74782608695654</v>
      </c>
      <c r="P19" s="98">
        <f t="shared" si="4"/>
        <v>11</v>
      </c>
      <c r="Q19" s="73"/>
      <c r="R19" s="58"/>
      <c r="S19" s="74" t="s">
        <v>78</v>
      </c>
      <c r="T19" s="75">
        <v>12</v>
      </c>
      <c r="U19" s="58"/>
      <c r="V19" s="46"/>
      <c r="W19" s="46"/>
      <c r="X19" s="99" t="s">
        <v>76</v>
      </c>
      <c r="Y19" s="63">
        <f t="shared" si="5"/>
        <v>43.843478260869567</v>
      </c>
      <c r="Z19" s="64">
        <f t="shared" si="3"/>
        <v>38</v>
      </c>
      <c r="AA19" s="64">
        <v>1481</v>
      </c>
    </row>
    <row r="20" spans="1:30" ht="18" customHeight="1">
      <c r="A20" s="87">
        <v>20240364</v>
      </c>
      <c r="B20" s="88" t="s">
        <v>79</v>
      </c>
      <c r="C20" s="89">
        <v>45677</v>
      </c>
      <c r="D20" s="66">
        <v>45708</v>
      </c>
      <c r="E20" s="67">
        <v>1</v>
      </c>
      <c r="F20" s="68">
        <v>39.369999999999997</v>
      </c>
      <c r="G20" s="69">
        <v>24</v>
      </c>
      <c r="H20" s="70" t="s">
        <v>80</v>
      </c>
      <c r="I20" s="70" t="s">
        <v>81</v>
      </c>
      <c r="J20" s="65" t="s">
        <v>26</v>
      </c>
      <c r="K20" s="53">
        <f t="shared" si="0"/>
        <v>45716</v>
      </c>
      <c r="L20" s="54">
        <f t="shared" si="1"/>
        <v>45776</v>
      </c>
      <c r="M20" s="71" t="s">
        <v>82</v>
      </c>
      <c r="N20" s="72">
        <f>E20</f>
        <v>1</v>
      </c>
      <c r="O20" s="50">
        <f t="shared" si="2"/>
        <v>39.369999999999997</v>
      </c>
      <c r="P20" s="56">
        <f t="shared" si="4"/>
        <v>24</v>
      </c>
      <c r="Q20" s="73"/>
      <c r="R20" s="58"/>
      <c r="S20" s="74" t="s">
        <v>83</v>
      </c>
      <c r="T20" s="75">
        <v>87</v>
      </c>
      <c r="U20" s="58"/>
      <c r="V20" s="46"/>
      <c r="W20" s="46"/>
      <c r="X20" s="62" t="s">
        <v>25</v>
      </c>
      <c r="Y20" s="63">
        <f t="shared" si="5"/>
        <v>39.369999999999997</v>
      </c>
      <c r="Z20" s="64">
        <f t="shared" si="3"/>
        <v>0</v>
      </c>
      <c r="AA20" s="64">
        <v>200</v>
      </c>
    </row>
    <row r="21" spans="1:30" ht="18" customHeight="1">
      <c r="A21" s="63">
        <v>20240364</v>
      </c>
      <c r="B21" s="65" t="s">
        <v>79</v>
      </c>
      <c r="C21" s="66">
        <v>45677</v>
      </c>
      <c r="D21" s="66">
        <v>45708</v>
      </c>
      <c r="E21" s="67">
        <v>3</v>
      </c>
      <c r="F21" s="68">
        <v>0</v>
      </c>
      <c r="G21" s="69">
        <v>6</v>
      </c>
      <c r="H21" s="70" t="s">
        <v>80</v>
      </c>
      <c r="I21" s="70" t="s">
        <v>24</v>
      </c>
      <c r="J21" s="65" t="s">
        <v>24</v>
      </c>
      <c r="K21" s="53">
        <f t="shared" si="0"/>
        <v>45716</v>
      </c>
      <c r="L21" s="54">
        <f t="shared" si="1"/>
        <v>45776</v>
      </c>
      <c r="M21" s="71" t="s">
        <v>82</v>
      </c>
      <c r="N21" s="72">
        <f>E21</f>
        <v>3</v>
      </c>
      <c r="O21" s="50">
        <f t="shared" si="2"/>
        <v>0</v>
      </c>
      <c r="P21" s="56">
        <f t="shared" si="4"/>
        <v>6</v>
      </c>
      <c r="Q21" s="73"/>
      <c r="R21" s="58"/>
      <c r="S21" s="74" t="s">
        <v>83</v>
      </c>
      <c r="T21" s="75">
        <v>87</v>
      </c>
      <c r="U21" s="58"/>
      <c r="V21" s="46"/>
      <c r="W21" s="46"/>
      <c r="X21" s="62" t="s">
        <v>25</v>
      </c>
      <c r="Y21" s="63">
        <f t="shared" si="5"/>
        <v>0</v>
      </c>
      <c r="Z21" s="64">
        <f t="shared" si="3"/>
        <v>0</v>
      </c>
      <c r="AA21" s="64">
        <v>142</v>
      </c>
    </row>
    <row r="22" spans="1:30" ht="18" customHeight="1">
      <c r="A22" s="61">
        <v>20240399</v>
      </c>
      <c r="B22" s="94" t="s">
        <v>84</v>
      </c>
      <c r="C22" s="90">
        <v>45652</v>
      </c>
      <c r="D22" s="90">
        <v>45711</v>
      </c>
      <c r="E22" s="60">
        <v>1255</v>
      </c>
      <c r="F22" s="91">
        <v>2322.7199999999998</v>
      </c>
      <c r="G22" s="92">
        <v>197.02173913043501</v>
      </c>
      <c r="H22" s="93" t="s">
        <v>85</v>
      </c>
      <c r="I22" s="74" t="s">
        <v>86</v>
      </c>
      <c r="J22" s="94" t="s">
        <v>86</v>
      </c>
      <c r="K22" s="53">
        <f t="shared" si="0"/>
        <v>45719</v>
      </c>
      <c r="L22" s="54">
        <f t="shared" si="1"/>
        <v>45779</v>
      </c>
      <c r="M22" s="95" t="s">
        <v>87</v>
      </c>
      <c r="N22" s="96">
        <f>E22-72-27-72-27-18-27-9-36-63-30-108-72-30-153-72-81-18-39-36-36-45-9-55-7-35-20-7-7-14-6-23</f>
        <v>1</v>
      </c>
      <c r="O22" s="97">
        <f t="shared" si="2"/>
        <v>1.8507729083665336</v>
      </c>
      <c r="P22" s="98">
        <f t="shared" si="4"/>
        <v>0.15698943357006773</v>
      </c>
      <c r="Q22" s="73"/>
      <c r="R22" s="58"/>
      <c r="S22" s="74" t="s">
        <v>88</v>
      </c>
      <c r="T22" s="75">
        <v>41</v>
      </c>
      <c r="U22" s="58"/>
      <c r="V22" s="46"/>
      <c r="W22" s="46"/>
      <c r="X22" s="99" t="s">
        <v>76</v>
      </c>
      <c r="Y22" s="63"/>
      <c r="Z22" s="64">
        <f t="shared" si="3"/>
        <v>1254</v>
      </c>
      <c r="AA22" s="64">
        <v>468</v>
      </c>
    </row>
    <row r="23" spans="1:30" ht="18" customHeight="1">
      <c r="A23" s="61">
        <v>20240393</v>
      </c>
      <c r="B23" s="94" t="s">
        <v>89</v>
      </c>
      <c r="C23" s="90">
        <v>45701</v>
      </c>
      <c r="D23" s="90">
        <v>45714</v>
      </c>
      <c r="E23" s="60">
        <v>894</v>
      </c>
      <c r="F23" s="91">
        <v>1240.748</v>
      </c>
      <c r="G23" s="92">
        <v>773</v>
      </c>
      <c r="H23" s="93" t="s">
        <v>90</v>
      </c>
      <c r="I23" s="93" t="s">
        <v>91</v>
      </c>
      <c r="J23" s="74" t="s">
        <v>92</v>
      </c>
      <c r="K23" s="53">
        <f t="shared" si="0"/>
        <v>45722</v>
      </c>
      <c r="L23" s="53">
        <f t="shared" si="1"/>
        <v>45782</v>
      </c>
      <c r="M23" s="95" t="s">
        <v>93</v>
      </c>
      <c r="N23" s="96">
        <f>E23-140-100-40-60-120-20-80-20-20-20-75-10-29-29-30-21-20</f>
        <v>60</v>
      </c>
      <c r="O23" s="97">
        <f t="shared" si="2"/>
        <v>83.271677852349001</v>
      </c>
      <c r="P23" s="98">
        <f t="shared" si="4"/>
        <v>51.879194630872483</v>
      </c>
      <c r="Q23" s="73"/>
      <c r="R23" s="58"/>
      <c r="S23" s="74" t="s">
        <v>94</v>
      </c>
      <c r="T23" s="75" t="s">
        <v>95</v>
      </c>
      <c r="U23" s="58"/>
      <c r="V23" s="46"/>
      <c r="W23" s="46"/>
      <c r="X23" s="99" t="s">
        <v>76</v>
      </c>
      <c r="Y23" s="63"/>
      <c r="Z23" s="64">
        <f t="shared" si="3"/>
        <v>834</v>
      </c>
      <c r="AA23" s="64">
        <v>1251</v>
      </c>
      <c r="AD23" s="32">
        <f>4+10+14+2+30</f>
        <v>60</v>
      </c>
    </row>
    <row r="24" spans="1:30" ht="18" customHeight="1">
      <c r="A24" s="61">
        <v>20250066</v>
      </c>
      <c r="B24" s="94" t="s">
        <v>96</v>
      </c>
      <c r="C24" s="90">
        <v>45734</v>
      </c>
      <c r="D24" s="90">
        <v>45754</v>
      </c>
      <c r="E24" s="60">
        <v>1482</v>
      </c>
      <c r="F24" s="91">
        <v>10065.763000000001</v>
      </c>
      <c r="G24" s="92">
        <v>1084</v>
      </c>
      <c r="H24" s="93" t="s">
        <v>97</v>
      </c>
      <c r="I24" s="93" t="s">
        <v>72</v>
      </c>
      <c r="J24" s="94" t="s">
        <v>72</v>
      </c>
      <c r="K24" s="53">
        <f t="shared" si="0"/>
        <v>45762</v>
      </c>
      <c r="L24" s="54">
        <f t="shared" si="1"/>
        <v>45822</v>
      </c>
      <c r="M24" s="95" t="s">
        <v>98</v>
      </c>
      <c r="N24" s="96">
        <f>E24-64-31-42-21-6-23-29-42-14-14-35-49-52-21-48-21-7-7-34-16-8-14-8-8-6-14-8-24-7-21-22-30-56-14-8-46-45-35-14-61-7-12-7-15-13-28-56-24-63-8-28-8-16-24-21-16-8-16-6-24-2-10-7-19-16</f>
        <v>3</v>
      </c>
      <c r="O24" s="97">
        <f t="shared" si="2"/>
        <v>20.376038461538464</v>
      </c>
      <c r="P24" s="98">
        <f t="shared" si="4"/>
        <v>2.1943319838056681</v>
      </c>
      <c r="Q24" s="57" t="s">
        <v>99</v>
      </c>
      <c r="R24" s="101" t="s">
        <v>100</v>
      </c>
      <c r="S24" s="74" t="s">
        <v>101</v>
      </c>
      <c r="T24" s="75" t="s">
        <v>102</v>
      </c>
      <c r="U24" s="101"/>
      <c r="V24" s="46"/>
      <c r="W24" s="46"/>
      <c r="X24" s="99" t="s">
        <v>76</v>
      </c>
      <c r="Y24" s="63">
        <f>O24/N24</f>
        <v>6.792012820512821</v>
      </c>
      <c r="Z24" s="64">
        <f t="shared" si="3"/>
        <v>1479</v>
      </c>
      <c r="AA24" s="64">
        <v>3471</v>
      </c>
    </row>
    <row r="25" spans="1:30" ht="18" customHeight="1">
      <c r="A25" s="61">
        <v>20250066</v>
      </c>
      <c r="B25" s="94" t="s">
        <v>96</v>
      </c>
      <c r="C25" s="90">
        <v>45734</v>
      </c>
      <c r="D25" s="90">
        <v>45754</v>
      </c>
      <c r="E25" s="60">
        <v>200</v>
      </c>
      <c r="F25" s="91">
        <v>945.67</v>
      </c>
      <c r="G25" s="92">
        <v>467</v>
      </c>
      <c r="H25" s="93" t="s">
        <v>103</v>
      </c>
      <c r="I25" s="93" t="s">
        <v>52</v>
      </c>
      <c r="J25" s="94" t="s">
        <v>52</v>
      </c>
      <c r="K25" s="53">
        <f t="shared" si="0"/>
        <v>45762</v>
      </c>
      <c r="L25" s="54">
        <f t="shared" si="1"/>
        <v>45822</v>
      </c>
      <c r="M25" s="95" t="s">
        <v>98</v>
      </c>
      <c r="N25" s="96">
        <f>E25-38-21-10-8-12-13-22-12-37-24</f>
        <v>3</v>
      </c>
      <c r="O25" s="97">
        <f t="shared" si="2"/>
        <v>14.18505</v>
      </c>
      <c r="P25" s="98">
        <f t="shared" si="4"/>
        <v>7.0049999999999999</v>
      </c>
      <c r="Q25" s="57" t="s">
        <v>99</v>
      </c>
      <c r="R25" s="58"/>
      <c r="S25" s="74" t="s">
        <v>104</v>
      </c>
      <c r="T25" s="75">
        <v>22</v>
      </c>
      <c r="U25" s="58"/>
      <c r="V25" s="46"/>
      <c r="W25" s="46"/>
      <c r="X25" s="99" t="s">
        <v>76</v>
      </c>
      <c r="Y25" s="63">
        <f>O25/N25</f>
        <v>4.7283499999999998</v>
      </c>
      <c r="Z25" s="64">
        <f t="shared" si="3"/>
        <v>197</v>
      </c>
      <c r="AA25" s="64">
        <v>1</v>
      </c>
    </row>
    <row r="26" spans="1:30" ht="18" customHeight="1">
      <c r="A26" s="76">
        <v>20250066</v>
      </c>
      <c r="B26" s="77" t="s">
        <v>96</v>
      </c>
      <c r="C26" s="78">
        <v>45734</v>
      </c>
      <c r="D26" s="78">
        <v>45754</v>
      </c>
      <c r="E26" s="76">
        <v>2</v>
      </c>
      <c r="F26" s="79">
        <v>11.7</v>
      </c>
      <c r="G26" s="102">
        <v>80</v>
      </c>
      <c r="H26" s="80" t="s">
        <v>105</v>
      </c>
      <c r="I26" s="80" t="s">
        <v>106</v>
      </c>
      <c r="J26" s="77" t="s">
        <v>29</v>
      </c>
      <c r="K26" s="53">
        <f t="shared" si="0"/>
        <v>45762</v>
      </c>
      <c r="L26" s="54">
        <f t="shared" si="1"/>
        <v>45822</v>
      </c>
      <c r="M26" s="103" t="s">
        <v>98</v>
      </c>
      <c r="N26" s="83">
        <f>E26-2</f>
        <v>0</v>
      </c>
      <c r="O26" s="84">
        <f t="shared" si="2"/>
        <v>0</v>
      </c>
      <c r="P26" s="85">
        <f t="shared" si="4"/>
        <v>0</v>
      </c>
      <c r="Q26" s="80"/>
      <c r="R26" s="80"/>
      <c r="S26" s="80" t="s">
        <v>107</v>
      </c>
      <c r="T26" s="86">
        <v>47</v>
      </c>
      <c r="U26" s="80"/>
      <c r="V26" s="76"/>
      <c r="W26" s="76"/>
      <c r="X26" s="76" t="s">
        <v>55</v>
      </c>
      <c r="Y26" s="63" t="e">
        <f>O26/N26</f>
        <v>#DIV/0!</v>
      </c>
      <c r="Z26" s="64">
        <f t="shared" si="3"/>
        <v>2</v>
      </c>
      <c r="AA26" s="64">
        <v>8</v>
      </c>
    </row>
    <row r="27" spans="1:30" ht="18" customHeight="1">
      <c r="A27" s="61">
        <v>20250066</v>
      </c>
      <c r="B27" s="94" t="s">
        <v>96</v>
      </c>
      <c r="C27" s="90">
        <v>45734</v>
      </c>
      <c r="D27" s="90">
        <v>45754</v>
      </c>
      <c r="E27" s="60">
        <v>104</v>
      </c>
      <c r="F27" s="91">
        <v>1.1240000000000001</v>
      </c>
      <c r="G27" s="92">
        <v>1040</v>
      </c>
      <c r="H27" s="93" t="s">
        <v>105</v>
      </c>
      <c r="I27" s="93" t="s">
        <v>24</v>
      </c>
      <c r="J27" s="94" t="s">
        <v>24</v>
      </c>
      <c r="K27" s="53">
        <f t="shared" si="0"/>
        <v>45762</v>
      </c>
      <c r="L27" s="54">
        <f t="shared" si="1"/>
        <v>45822</v>
      </c>
      <c r="M27" s="95" t="s">
        <v>98</v>
      </c>
      <c r="N27" s="96">
        <f>E27</f>
        <v>104</v>
      </c>
      <c r="O27" s="97">
        <f t="shared" si="2"/>
        <v>1.1240000000000001</v>
      </c>
      <c r="P27" s="98">
        <f t="shared" si="4"/>
        <v>1040</v>
      </c>
      <c r="Q27" s="73"/>
      <c r="R27" s="58"/>
      <c r="S27" s="74" t="s">
        <v>108</v>
      </c>
      <c r="T27" s="75">
        <v>48</v>
      </c>
      <c r="U27" s="58"/>
      <c r="V27" s="46"/>
      <c r="W27" s="46"/>
      <c r="X27" s="99" t="s">
        <v>76</v>
      </c>
      <c r="Y27" s="63">
        <f>O27/N27</f>
        <v>1.0807692307692308E-2</v>
      </c>
      <c r="Z27" s="64">
        <f t="shared" si="3"/>
        <v>0</v>
      </c>
      <c r="AA27" s="64">
        <v>1</v>
      </c>
    </row>
    <row r="28" spans="1:30" ht="18" customHeight="1">
      <c r="A28" s="87">
        <v>20250045</v>
      </c>
      <c r="B28" s="88" t="s">
        <v>109</v>
      </c>
      <c r="C28" s="89">
        <v>45761</v>
      </c>
      <c r="D28" s="90">
        <v>45780</v>
      </c>
      <c r="E28" s="60">
        <v>1</v>
      </c>
      <c r="F28" s="91">
        <v>0.21</v>
      </c>
      <c r="G28" s="92">
        <v>2</v>
      </c>
      <c r="H28" s="93" t="s">
        <v>110</v>
      </c>
      <c r="I28" s="93" t="s">
        <v>24</v>
      </c>
      <c r="J28" s="94" t="s">
        <v>24</v>
      </c>
      <c r="K28" s="53">
        <f t="shared" si="0"/>
        <v>45788</v>
      </c>
      <c r="L28" s="54">
        <f t="shared" si="1"/>
        <v>45848</v>
      </c>
      <c r="M28" s="95" t="s">
        <v>111</v>
      </c>
      <c r="N28" s="96">
        <f>E28</f>
        <v>1</v>
      </c>
      <c r="O28" s="97">
        <f t="shared" si="2"/>
        <v>0.21</v>
      </c>
      <c r="P28" s="98">
        <f t="shared" si="4"/>
        <v>2</v>
      </c>
      <c r="Q28" s="73"/>
      <c r="R28" s="58"/>
      <c r="S28" s="74" t="s">
        <v>112</v>
      </c>
      <c r="T28" s="75">
        <v>118</v>
      </c>
      <c r="U28" s="58"/>
      <c r="V28" s="46"/>
      <c r="W28" s="46"/>
      <c r="X28" s="99" t="s">
        <v>76</v>
      </c>
      <c r="Y28" s="63">
        <f>O28/N28</f>
        <v>0.21</v>
      </c>
      <c r="Z28" s="64">
        <f t="shared" si="3"/>
        <v>0</v>
      </c>
      <c r="AA28" s="64">
        <v>2</v>
      </c>
    </row>
    <row r="29" spans="1:30" ht="18" customHeight="1">
      <c r="A29" s="76">
        <v>20250045</v>
      </c>
      <c r="B29" s="77" t="s">
        <v>109</v>
      </c>
      <c r="C29" s="78">
        <v>45761</v>
      </c>
      <c r="D29" s="78">
        <v>45780</v>
      </c>
      <c r="E29" s="76">
        <v>1</v>
      </c>
      <c r="F29" s="79">
        <v>9</v>
      </c>
      <c r="G29" s="102">
        <v>24</v>
      </c>
      <c r="H29" s="80" t="s">
        <v>110</v>
      </c>
      <c r="I29" s="80" t="s">
        <v>113</v>
      </c>
      <c r="J29" s="77" t="s">
        <v>28</v>
      </c>
      <c r="K29" s="104">
        <f t="shared" si="0"/>
        <v>45788</v>
      </c>
      <c r="L29" s="105">
        <f t="shared" si="1"/>
        <v>45848</v>
      </c>
      <c r="M29" s="103" t="s">
        <v>111</v>
      </c>
      <c r="N29" s="83">
        <f>E29-1</f>
        <v>0</v>
      </c>
      <c r="O29" s="84">
        <f t="shared" si="2"/>
        <v>0</v>
      </c>
      <c r="P29" s="85">
        <f t="shared" si="4"/>
        <v>0</v>
      </c>
      <c r="Q29" s="80">
        <v>561</v>
      </c>
      <c r="R29" s="80">
        <v>504</v>
      </c>
      <c r="S29" s="80" t="s">
        <v>114</v>
      </c>
      <c r="T29" s="86">
        <v>92</v>
      </c>
      <c r="U29" s="80"/>
      <c r="V29" s="76"/>
      <c r="W29" s="76"/>
      <c r="X29" s="76" t="s">
        <v>55</v>
      </c>
      <c r="Y29" s="63"/>
      <c r="Z29" s="64">
        <f t="shared" si="3"/>
        <v>1</v>
      </c>
      <c r="AA29" s="64">
        <v>117</v>
      </c>
    </row>
    <row r="30" spans="1:30" ht="18" customHeight="1">
      <c r="A30" s="63">
        <v>20250117</v>
      </c>
      <c r="B30" s="65" t="s">
        <v>115</v>
      </c>
      <c r="C30" s="66">
        <v>45780</v>
      </c>
      <c r="D30" s="66">
        <v>45782</v>
      </c>
      <c r="E30" s="67">
        <v>1</v>
      </c>
      <c r="F30" s="68">
        <v>0.188</v>
      </c>
      <c r="G30" s="69">
        <v>2</v>
      </c>
      <c r="H30" s="70" t="s">
        <v>116</v>
      </c>
      <c r="I30" s="70" t="s">
        <v>24</v>
      </c>
      <c r="J30" s="65" t="s">
        <v>24</v>
      </c>
      <c r="K30" s="53">
        <f t="shared" si="0"/>
        <v>45790</v>
      </c>
      <c r="L30" s="54">
        <f t="shared" si="1"/>
        <v>45850</v>
      </c>
      <c r="M30" s="71" t="s">
        <v>117</v>
      </c>
      <c r="N30" s="72">
        <f>E30</f>
        <v>1</v>
      </c>
      <c r="O30" s="50">
        <f t="shared" si="2"/>
        <v>0.188</v>
      </c>
      <c r="P30" s="56">
        <f t="shared" si="4"/>
        <v>2</v>
      </c>
      <c r="Q30" s="73"/>
      <c r="R30" s="58"/>
      <c r="S30" s="74" t="s">
        <v>118</v>
      </c>
      <c r="T30" s="75">
        <v>65</v>
      </c>
      <c r="U30" s="58"/>
      <c r="V30" s="46"/>
      <c r="W30" s="46"/>
      <c r="X30" s="62" t="s">
        <v>25</v>
      </c>
      <c r="Y30" s="63">
        <f>O30/N30</f>
        <v>0.188</v>
      </c>
      <c r="Z30" s="64">
        <f t="shared" si="3"/>
        <v>0</v>
      </c>
      <c r="AA30" s="64">
        <v>55</v>
      </c>
    </row>
    <row r="31" spans="1:30" ht="18" customHeight="1">
      <c r="A31" s="106">
        <v>20250117</v>
      </c>
      <c r="B31" s="107" t="s">
        <v>115</v>
      </c>
      <c r="C31" s="108">
        <v>45780</v>
      </c>
      <c r="D31" s="108">
        <v>45782</v>
      </c>
      <c r="E31" s="106">
        <v>3</v>
      </c>
      <c r="F31" s="106">
        <v>1.353</v>
      </c>
      <c r="G31" s="106">
        <v>6</v>
      </c>
      <c r="H31" s="109" t="s">
        <v>119</v>
      </c>
      <c r="I31" s="109" t="s">
        <v>24</v>
      </c>
      <c r="J31" s="107" t="s">
        <v>24</v>
      </c>
      <c r="K31" s="108">
        <f t="shared" si="0"/>
        <v>45790</v>
      </c>
      <c r="L31" s="110">
        <f t="shared" si="1"/>
        <v>45850</v>
      </c>
      <c r="M31" s="111" t="s">
        <v>117</v>
      </c>
      <c r="N31" s="112">
        <f>E31-3</f>
        <v>0</v>
      </c>
      <c r="O31" s="113">
        <f t="shared" si="2"/>
        <v>0</v>
      </c>
      <c r="P31" s="112">
        <f t="shared" si="4"/>
        <v>0</v>
      </c>
      <c r="Q31" s="109"/>
      <c r="R31" s="109"/>
      <c r="S31" s="109" t="s">
        <v>120</v>
      </c>
      <c r="T31" s="114">
        <v>91</v>
      </c>
      <c r="U31" s="109"/>
      <c r="V31" s="106"/>
      <c r="W31" s="106"/>
      <c r="X31" s="106" t="s">
        <v>55</v>
      </c>
      <c r="Y31" s="63" t="e">
        <f>O31/N31</f>
        <v>#DIV/0!</v>
      </c>
      <c r="Z31" s="64">
        <f t="shared" si="3"/>
        <v>3</v>
      </c>
      <c r="AA31" s="64">
        <v>477</v>
      </c>
    </row>
    <row r="32" spans="1:30" ht="18" customHeight="1">
      <c r="A32" s="87">
        <v>20250039</v>
      </c>
      <c r="B32" s="88" t="s">
        <v>121</v>
      </c>
      <c r="C32" s="89">
        <v>45756</v>
      </c>
      <c r="D32" s="90">
        <v>45784</v>
      </c>
      <c r="E32" s="60">
        <v>1488</v>
      </c>
      <c r="F32" s="91">
        <v>1252.114</v>
      </c>
      <c r="G32" s="92">
        <v>1750</v>
      </c>
      <c r="H32" s="93" t="s">
        <v>122</v>
      </c>
      <c r="I32" s="93" t="s">
        <v>123</v>
      </c>
      <c r="J32" s="94" t="s">
        <v>123</v>
      </c>
      <c r="K32" s="53">
        <f t="shared" si="0"/>
        <v>45792</v>
      </c>
      <c r="L32" s="54">
        <f t="shared" si="1"/>
        <v>45852</v>
      </c>
      <c r="M32" s="95" t="s">
        <v>124</v>
      </c>
      <c r="N32" s="96">
        <f>E32-88-110-80-104-164-45-110-91-120-234-251-50-12-20-2</f>
        <v>7</v>
      </c>
      <c r="O32" s="97">
        <f t="shared" si="2"/>
        <v>5.8903212365591404</v>
      </c>
      <c r="P32" s="98">
        <f t="shared" si="4"/>
        <v>8.23252688172043</v>
      </c>
      <c r="Q32" s="73"/>
      <c r="R32" s="58"/>
      <c r="S32" s="74" t="s">
        <v>125</v>
      </c>
      <c r="T32" s="75">
        <v>86</v>
      </c>
      <c r="U32" s="58"/>
      <c r="V32" s="46"/>
      <c r="W32" s="46"/>
      <c r="X32" s="99" t="s">
        <v>76</v>
      </c>
      <c r="Y32" s="63"/>
      <c r="Z32" s="64">
        <f t="shared" si="3"/>
        <v>1481</v>
      </c>
      <c r="AA32" s="64">
        <v>18</v>
      </c>
    </row>
    <row r="33" spans="1:27" ht="18" customHeight="1">
      <c r="A33" s="63">
        <v>20250039</v>
      </c>
      <c r="B33" s="65" t="s">
        <v>121</v>
      </c>
      <c r="C33" s="66">
        <v>45756</v>
      </c>
      <c r="D33" s="66">
        <v>45784</v>
      </c>
      <c r="E33" s="67">
        <v>207</v>
      </c>
      <c r="F33" s="68">
        <v>143.21799999999999</v>
      </c>
      <c r="G33" s="69">
        <v>145</v>
      </c>
      <c r="H33" s="115" t="s">
        <v>126</v>
      </c>
      <c r="I33" s="70" t="s">
        <v>86</v>
      </c>
      <c r="J33" s="65" t="s">
        <v>86</v>
      </c>
      <c r="K33" s="53">
        <f t="shared" si="0"/>
        <v>45792</v>
      </c>
      <c r="L33" s="54">
        <f t="shared" si="1"/>
        <v>45852</v>
      </c>
      <c r="M33" s="71" t="s">
        <v>124</v>
      </c>
      <c r="N33" s="72">
        <f>E33</f>
        <v>207</v>
      </c>
      <c r="O33" s="50">
        <f t="shared" si="2"/>
        <v>143.21799999999999</v>
      </c>
      <c r="P33" s="56">
        <f t="shared" si="4"/>
        <v>145</v>
      </c>
      <c r="Q33" s="73"/>
      <c r="R33" s="58"/>
      <c r="S33" s="74" t="s">
        <v>127</v>
      </c>
      <c r="T33" s="75">
        <v>94</v>
      </c>
      <c r="U33" s="58"/>
      <c r="V33" s="46"/>
      <c r="W33" s="46"/>
      <c r="X33" s="62" t="s">
        <v>25</v>
      </c>
      <c r="Y33" s="63">
        <f>O33/N33</f>
        <v>0.69187439613526569</v>
      </c>
      <c r="Z33" s="64">
        <f t="shared" si="3"/>
        <v>0</v>
      </c>
      <c r="AA33" s="64">
        <v>388</v>
      </c>
    </row>
    <row r="34" spans="1:27" ht="18" customHeight="1">
      <c r="A34" s="61">
        <v>20250091</v>
      </c>
      <c r="B34" s="94" t="s">
        <v>128</v>
      </c>
      <c r="C34" s="90">
        <v>45783</v>
      </c>
      <c r="D34" s="90">
        <v>45802</v>
      </c>
      <c r="E34" s="60">
        <v>201</v>
      </c>
      <c r="F34" s="91">
        <v>234.8</v>
      </c>
      <c r="G34" s="92">
        <v>99</v>
      </c>
      <c r="H34" s="93" t="s">
        <v>129</v>
      </c>
      <c r="I34" s="93" t="s">
        <v>123</v>
      </c>
      <c r="J34" s="94" t="s">
        <v>123</v>
      </c>
      <c r="K34" s="53">
        <f t="shared" si="0"/>
        <v>45810</v>
      </c>
      <c r="L34" s="54">
        <f t="shared" si="1"/>
        <v>45870</v>
      </c>
      <c r="M34" s="95" t="s">
        <v>130</v>
      </c>
      <c r="N34" s="96">
        <f>E34-200</f>
        <v>1</v>
      </c>
      <c r="O34" s="97">
        <f t="shared" si="2"/>
        <v>1.1681592039800996</v>
      </c>
      <c r="P34" s="98">
        <f t="shared" si="4"/>
        <v>0.4925373134328358</v>
      </c>
      <c r="Q34" s="73"/>
      <c r="R34" s="58"/>
      <c r="S34" s="74" t="s">
        <v>131</v>
      </c>
      <c r="T34" s="75">
        <v>10</v>
      </c>
      <c r="U34" s="58"/>
      <c r="V34" s="46"/>
      <c r="W34" s="46"/>
      <c r="X34" s="99" t="s">
        <v>76</v>
      </c>
      <c r="Y34" s="63">
        <f>O34/N34</f>
        <v>1.1681592039800996</v>
      </c>
      <c r="Z34" s="64">
        <f t="shared" si="3"/>
        <v>200</v>
      </c>
      <c r="AA34" s="64">
        <v>132</v>
      </c>
    </row>
    <row r="35" spans="1:27" ht="18" customHeight="1">
      <c r="A35" s="61">
        <v>20250091</v>
      </c>
      <c r="B35" s="94" t="s">
        <v>128</v>
      </c>
      <c r="C35" s="90">
        <v>45783</v>
      </c>
      <c r="D35" s="90">
        <v>45802</v>
      </c>
      <c r="E35" s="60">
        <v>158</v>
      </c>
      <c r="F35" s="91">
        <v>299.5</v>
      </c>
      <c r="G35" s="92">
        <v>123</v>
      </c>
      <c r="H35" s="93" t="s">
        <v>132</v>
      </c>
      <c r="I35" s="93" t="s">
        <v>123</v>
      </c>
      <c r="J35" s="94" t="s">
        <v>123</v>
      </c>
      <c r="K35" s="53">
        <f t="shared" si="0"/>
        <v>45810</v>
      </c>
      <c r="L35" s="53">
        <f t="shared" si="1"/>
        <v>45870</v>
      </c>
      <c r="M35" s="95" t="s">
        <v>130</v>
      </c>
      <c r="N35" s="96">
        <f>E35-75-67</f>
        <v>16</v>
      </c>
      <c r="O35" s="97">
        <f t="shared" si="2"/>
        <v>30.329113924050635</v>
      </c>
      <c r="P35" s="98">
        <f t="shared" si="4"/>
        <v>12.455696202531646</v>
      </c>
      <c r="Q35" s="73"/>
      <c r="R35" s="58"/>
      <c r="S35" s="74" t="s">
        <v>133</v>
      </c>
      <c r="T35" s="75">
        <v>15</v>
      </c>
      <c r="U35" s="58"/>
      <c r="V35" s="46"/>
      <c r="W35" s="46"/>
      <c r="X35" s="99" t="s">
        <v>76</v>
      </c>
      <c r="Y35" s="63"/>
      <c r="Z35" s="64">
        <f t="shared" si="3"/>
        <v>142</v>
      </c>
      <c r="AA35" s="64">
        <v>1</v>
      </c>
    </row>
    <row r="36" spans="1:27" ht="18" customHeight="1">
      <c r="A36" s="61">
        <v>20250091</v>
      </c>
      <c r="B36" s="94" t="s">
        <v>128</v>
      </c>
      <c r="C36" s="90">
        <v>45783</v>
      </c>
      <c r="D36" s="90">
        <v>45802</v>
      </c>
      <c r="E36" s="60">
        <v>470</v>
      </c>
      <c r="F36" s="91">
        <v>668.06</v>
      </c>
      <c r="G36" s="92">
        <v>408</v>
      </c>
      <c r="H36" s="93" t="s">
        <v>134</v>
      </c>
      <c r="I36" s="93" t="s">
        <v>91</v>
      </c>
      <c r="J36" s="94" t="s">
        <v>92</v>
      </c>
      <c r="K36" s="53">
        <f t="shared" si="0"/>
        <v>45810</v>
      </c>
      <c r="L36" s="53">
        <f t="shared" si="1"/>
        <v>45870</v>
      </c>
      <c r="M36" s="95" t="s">
        <v>130</v>
      </c>
      <c r="N36" s="96">
        <f>E36-32-51-19-15-88-35-38-71-50-69</f>
        <v>2</v>
      </c>
      <c r="O36" s="97">
        <f t="shared" si="2"/>
        <v>2.8428085106382976</v>
      </c>
      <c r="P36" s="98">
        <f t="shared" si="4"/>
        <v>1.7361702127659575</v>
      </c>
      <c r="Q36" s="73"/>
      <c r="R36" s="58"/>
      <c r="S36" s="74" t="s">
        <v>135</v>
      </c>
      <c r="T36" s="75" t="s">
        <v>136</v>
      </c>
      <c r="U36" s="58"/>
      <c r="V36" s="46"/>
      <c r="W36" s="46"/>
      <c r="X36" s="99" t="s">
        <v>76</v>
      </c>
      <c r="Y36" s="63">
        <f>O36/N36</f>
        <v>1.4214042553191488</v>
      </c>
      <c r="Z36" s="64">
        <f t="shared" si="3"/>
        <v>468</v>
      </c>
      <c r="AA36" s="64">
        <v>1</v>
      </c>
    </row>
    <row r="37" spans="1:27" ht="18" customHeight="1">
      <c r="A37" s="63">
        <v>20250091</v>
      </c>
      <c r="B37" s="65" t="s">
        <v>128</v>
      </c>
      <c r="C37" s="66">
        <v>45783</v>
      </c>
      <c r="D37" s="66">
        <v>45802</v>
      </c>
      <c r="E37" s="67">
        <v>2</v>
      </c>
      <c r="F37" s="68">
        <v>11.6</v>
      </c>
      <c r="G37" s="69">
        <v>120</v>
      </c>
      <c r="H37" s="70" t="s">
        <v>137</v>
      </c>
      <c r="I37" s="70" t="s">
        <v>138</v>
      </c>
      <c r="J37" s="65" t="s">
        <v>28</v>
      </c>
      <c r="K37" s="53">
        <f t="shared" si="0"/>
        <v>45810</v>
      </c>
      <c r="L37" s="53">
        <f t="shared" si="1"/>
        <v>45870</v>
      </c>
      <c r="M37" s="71" t="s">
        <v>130</v>
      </c>
      <c r="N37" s="72">
        <f>E37</f>
        <v>2</v>
      </c>
      <c r="O37" s="50">
        <f t="shared" si="2"/>
        <v>11.6</v>
      </c>
      <c r="P37" s="56">
        <f t="shared" si="4"/>
        <v>120</v>
      </c>
      <c r="Q37" s="73"/>
      <c r="R37" s="58"/>
      <c r="S37" s="74" t="s">
        <v>139</v>
      </c>
      <c r="T37" s="75"/>
      <c r="U37" s="58"/>
      <c r="V37" s="46"/>
      <c r="W37" s="46"/>
      <c r="X37" s="62" t="s">
        <v>25</v>
      </c>
      <c r="Y37" s="63">
        <f>O37/N37</f>
        <v>5.8</v>
      </c>
      <c r="Z37" s="64">
        <f t="shared" si="3"/>
        <v>0</v>
      </c>
      <c r="AA37" s="64">
        <v>1</v>
      </c>
    </row>
    <row r="38" spans="1:27" ht="18" customHeight="1">
      <c r="A38" s="61">
        <v>20250083</v>
      </c>
      <c r="B38" s="94" t="s">
        <v>140</v>
      </c>
      <c r="C38" s="90">
        <v>45765</v>
      </c>
      <c r="D38" s="90">
        <v>45825</v>
      </c>
      <c r="E38" s="60">
        <v>1260</v>
      </c>
      <c r="F38" s="91">
        <v>1777.576</v>
      </c>
      <c r="G38" s="92">
        <v>620</v>
      </c>
      <c r="H38" s="93" t="s">
        <v>141</v>
      </c>
      <c r="I38" s="93" t="s">
        <v>123</v>
      </c>
      <c r="J38" s="94" t="s">
        <v>123</v>
      </c>
      <c r="K38" s="53">
        <f t="shared" si="0"/>
        <v>45833</v>
      </c>
      <c r="L38" s="53">
        <f t="shared" si="1"/>
        <v>45893</v>
      </c>
      <c r="M38" s="95" t="s">
        <v>142</v>
      </c>
      <c r="N38" s="96">
        <f>E38-190-118-20-28-13-68-15-222-180-70-20-38-60-100-16-25-19-25-24</f>
        <v>9</v>
      </c>
      <c r="O38" s="97">
        <f t="shared" si="2"/>
        <v>12.696971428571429</v>
      </c>
      <c r="P38" s="98">
        <f t="shared" si="4"/>
        <v>4.4285714285714279</v>
      </c>
      <c r="Q38" s="73"/>
      <c r="R38" s="58"/>
      <c r="S38" s="74" t="s">
        <v>143</v>
      </c>
      <c r="T38" s="75">
        <v>83</v>
      </c>
      <c r="U38" s="58"/>
      <c r="V38" s="46"/>
      <c r="W38" s="46"/>
      <c r="X38" s="99" t="s">
        <v>76</v>
      </c>
      <c r="Y38" s="63">
        <f>O38/N38</f>
        <v>1.4107746031746031</v>
      </c>
      <c r="Z38" s="64">
        <f t="shared" si="3"/>
        <v>1251</v>
      </c>
      <c r="AA38" s="64">
        <v>1</v>
      </c>
    </row>
    <row r="39" spans="1:27" ht="18" customHeight="1">
      <c r="A39" s="61">
        <v>20250083</v>
      </c>
      <c r="B39" s="94" t="s">
        <v>140</v>
      </c>
      <c r="C39" s="90">
        <v>45765</v>
      </c>
      <c r="D39" s="90">
        <v>45825</v>
      </c>
      <c r="E39" s="60">
        <v>3640</v>
      </c>
      <c r="F39" s="91">
        <v>4013.1</v>
      </c>
      <c r="G39" s="92">
        <v>3160</v>
      </c>
      <c r="H39" s="93" t="s">
        <v>144</v>
      </c>
      <c r="I39" s="93" t="s">
        <v>91</v>
      </c>
      <c r="J39" s="94" t="s">
        <v>92</v>
      </c>
      <c r="K39" s="53">
        <f t="shared" si="0"/>
        <v>45833</v>
      </c>
      <c r="L39" s="53">
        <f t="shared" si="1"/>
        <v>45893</v>
      </c>
      <c r="M39" s="95" t="s">
        <v>142</v>
      </c>
      <c r="N39" s="96">
        <f>E39-200-204-200-200-200-200-200-201-200-120-100-120-120-120-120-125-120-120-120-100-100-45-120-80-16-20</f>
        <v>169</v>
      </c>
      <c r="O39" s="97">
        <f t="shared" si="2"/>
        <v>186.32250000000002</v>
      </c>
      <c r="P39" s="98">
        <f t="shared" si="4"/>
        <v>146.71428571428572</v>
      </c>
      <c r="Q39" s="73"/>
      <c r="R39" s="58"/>
      <c r="S39" s="74" t="s">
        <v>145</v>
      </c>
      <c r="T39" s="75">
        <v>109</v>
      </c>
      <c r="U39" s="58"/>
      <c r="V39" s="46"/>
      <c r="W39" s="46"/>
      <c r="X39" s="99" t="s">
        <v>76</v>
      </c>
      <c r="Y39" s="63">
        <f>O39/N39</f>
        <v>1.1025</v>
      </c>
      <c r="Z39" s="64">
        <f t="shared" si="3"/>
        <v>3471</v>
      </c>
      <c r="AA39" s="64">
        <v>41</v>
      </c>
    </row>
    <row r="40" spans="1:27" ht="18" customHeight="1">
      <c r="A40" s="76">
        <v>20250083</v>
      </c>
      <c r="B40" s="77" t="s">
        <v>140</v>
      </c>
      <c r="C40" s="78">
        <v>45765</v>
      </c>
      <c r="D40" s="78">
        <v>45825</v>
      </c>
      <c r="E40" s="76">
        <v>1</v>
      </c>
      <c r="F40" s="79">
        <v>24.422000000000001</v>
      </c>
      <c r="G40" s="102">
        <v>24</v>
      </c>
      <c r="H40" s="80" t="s">
        <v>146</v>
      </c>
      <c r="I40" s="80" t="s">
        <v>147</v>
      </c>
      <c r="J40" s="77" t="s">
        <v>26</v>
      </c>
      <c r="K40" s="78">
        <f t="shared" si="0"/>
        <v>45833</v>
      </c>
      <c r="L40" s="78">
        <f t="shared" si="1"/>
        <v>45893</v>
      </c>
      <c r="M40" s="82" t="s">
        <v>142</v>
      </c>
      <c r="N40" s="83">
        <f>E40-1</f>
        <v>0</v>
      </c>
      <c r="O40" s="84">
        <f t="shared" si="2"/>
        <v>0</v>
      </c>
      <c r="P40" s="85">
        <f t="shared" si="4"/>
        <v>0</v>
      </c>
      <c r="Q40" s="80"/>
      <c r="R40" s="80"/>
      <c r="S40" s="80" t="s">
        <v>148</v>
      </c>
      <c r="T40" s="86">
        <v>80</v>
      </c>
      <c r="U40" s="80"/>
      <c r="V40" s="76"/>
      <c r="W40" s="76"/>
      <c r="X40" s="76" t="s">
        <v>55</v>
      </c>
      <c r="Y40" s="63"/>
      <c r="Z40" s="64">
        <f t="shared" si="3"/>
        <v>1</v>
      </c>
      <c r="AA40" s="64">
        <v>127</v>
      </c>
    </row>
    <row r="41" spans="1:27" ht="18" customHeight="1">
      <c r="A41" s="61">
        <v>20250083</v>
      </c>
      <c r="B41" s="94" t="s">
        <v>140</v>
      </c>
      <c r="C41" s="90">
        <v>45765</v>
      </c>
      <c r="D41" s="90">
        <v>45825</v>
      </c>
      <c r="E41" s="60">
        <v>9</v>
      </c>
      <c r="F41" s="91">
        <v>0</v>
      </c>
      <c r="G41" s="92">
        <v>18</v>
      </c>
      <c r="H41" s="93" t="s">
        <v>146</v>
      </c>
      <c r="I41" s="93" t="s">
        <v>24</v>
      </c>
      <c r="J41" s="94" t="s">
        <v>24</v>
      </c>
      <c r="K41" s="53">
        <f t="shared" si="0"/>
        <v>45833</v>
      </c>
      <c r="L41" s="53">
        <f t="shared" si="1"/>
        <v>45893</v>
      </c>
      <c r="M41" s="95" t="s">
        <v>142</v>
      </c>
      <c r="N41" s="96">
        <f>E41-8</f>
        <v>1</v>
      </c>
      <c r="O41" s="97">
        <f t="shared" si="2"/>
        <v>0</v>
      </c>
      <c r="P41" s="98">
        <f t="shared" si="4"/>
        <v>2</v>
      </c>
      <c r="Q41" s="73"/>
      <c r="R41" s="58"/>
      <c r="S41" s="74" t="s">
        <v>148</v>
      </c>
      <c r="T41" s="75">
        <v>80</v>
      </c>
      <c r="U41" s="58"/>
      <c r="V41" s="46"/>
      <c r="W41" s="46"/>
      <c r="X41" s="99" t="s">
        <v>76</v>
      </c>
      <c r="Y41" s="63"/>
      <c r="Z41" s="64">
        <f t="shared" si="3"/>
        <v>8</v>
      </c>
      <c r="AA41" s="64">
        <v>1</v>
      </c>
    </row>
    <row r="42" spans="1:27" ht="18" customHeight="1">
      <c r="A42" s="76">
        <v>20250095</v>
      </c>
      <c r="B42" s="77" t="s">
        <v>149</v>
      </c>
      <c r="C42" s="78">
        <v>45802</v>
      </c>
      <c r="D42" s="78">
        <v>45828</v>
      </c>
      <c r="E42" s="76">
        <v>1</v>
      </c>
      <c r="F42" s="79">
        <v>8</v>
      </c>
      <c r="G42" s="102">
        <v>18</v>
      </c>
      <c r="H42" s="80" t="s">
        <v>150</v>
      </c>
      <c r="I42" s="80" t="s">
        <v>113</v>
      </c>
      <c r="J42" s="77" t="s">
        <v>28</v>
      </c>
      <c r="K42" s="78">
        <f t="shared" si="0"/>
        <v>45836</v>
      </c>
      <c r="L42" s="78">
        <f t="shared" si="1"/>
        <v>45896</v>
      </c>
      <c r="M42" s="82" t="s">
        <v>151</v>
      </c>
      <c r="N42" s="83">
        <f>E42-1</f>
        <v>0</v>
      </c>
      <c r="O42" s="84">
        <f t="shared" si="2"/>
        <v>0</v>
      </c>
      <c r="P42" s="85">
        <f t="shared" si="4"/>
        <v>0</v>
      </c>
      <c r="Q42" s="80"/>
      <c r="R42" s="80"/>
      <c r="S42" s="80" t="s">
        <v>152</v>
      </c>
      <c r="T42" s="86">
        <v>43</v>
      </c>
      <c r="U42" s="80"/>
      <c r="V42" s="76"/>
      <c r="W42" s="76"/>
      <c r="X42" s="76" t="s">
        <v>55</v>
      </c>
      <c r="Y42" s="63"/>
      <c r="Z42" s="64">
        <f t="shared" si="3"/>
        <v>1</v>
      </c>
      <c r="AA42" s="64">
        <v>31</v>
      </c>
    </row>
    <row r="43" spans="1:27" ht="18" customHeight="1">
      <c r="A43" s="116">
        <v>20250095</v>
      </c>
      <c r="B43" s="117" t="s">
        <v>149</v>
      </c>
      <c r="C43" s="118">
        <v>45802</v>
      </c>
      <c r="D43" s="118">
        <v>45828</v>
      </c>
      <c r="E43" s="46">
        <v>1</v>
      </c>
      <c r="F43" s="119">
        <v>0.10100000000000001</v>
      </c>
      <c r="G43" s="120">
        <v>3</v>
      </c>
      <c r="H43" s="121" t="s">
        <v>150</v>
      </c>
      <c r="I43" s="121" t="s">
        <v>24</v>
      </c>
      <c r="J43" s="117" t="s">
        <v>24</v>
      </c>
      <c r="K43" s="53">
        <f t="shared" si="0"/>
        <v>45836</v>
      </c>
      <c r="L43" s="53">
        <f t="shared" si="1"/>
        <v>45896</v>
      </c>
      <c r="M43" s="71" t="s">
        <v>151</v>
      </c>
      <c r="N43" s="72">
        <f>E43</f>
        <v>1</v>
      </c>
      <c r="O43" s="50">
        <f t="shared" si="2"/>
        <v>0.10100000000000001</v>
      </c>
      <c r="P43" s="56">
        <f t="shared" si="4"/>
        <v>3</v>
      </c>
      <c r="Q43" s="73"/>
      <c r="R43" s="58"/>
      <c r="S43" s="74" t="s">
        <v>153</v>
      </c>
      <c r="T43" s="75">
        <v>61</v>
      </c>
      <c r="U43" s="58"/>
      <c r="V43" s="46"/>
      <c r="W43" s="46"/>
      <c r="X43" s="62" t="s">
        <v>25</v>
      </c>
      <c r="Y43" s="63">
        <f>F43/E43</f>
        <v>0.10100000000000001</v>
      </c>
      <c r="Z43" s="64">
        <f t="shared" si="3"/>
        <v>0</v>
      </c>
      <c r="AA43" s="64">
        <v>4</v>
      </c>
    </row>
    <row r="44" spans="1:27" ht="18" customHeight="1">
      <c r="A44" s="76">
        <v>20250095</v>
      </c>
      <c r="B44" s="77" t="s">
        <v>149</v>
      </c>
      <c r="C44" s="78">
        <v>45802</v>
      </c>
      <c r="D44" s="78">
        <v>45828</v>
      </c>
      <c r="E44" s="76">
        <v>2</v>
      </c>
      <c r="F44" s="79">
        <v>16</v>
      </c>
      <c r="G44" s="102">
        <v>36</v>
      </c>
      <c r="H44" s="80" t="s">
        <v>154</v>
      </c>
      <c r="I44" s="80" t="s">
        <v>113</v>
      </c>
      <c r="J44" s="77" t="s">
        <v>28</v>
      </c>
      <c r="K44" s="78">
        <f t="shared" si="0"/>
        <v>45836</v>
      </c>
      <c r="L44" s="78">
        <f t="shared" si="1"/>
        <v>45896</v>
      </c>
      <c r="M44" s="82" t="s">
        <v>151</v>
      </c>
      <c r="N44" s="83">
        <f>E44-2</f>
        <v>0</v>
      </c>
      <c r="O44" s="84">
        <f t="shared" si="2"/>
        <v>0</v>
      </c>
      <c r="P44" s="85">
        <f t="shared" si="4"/>
        <v>0</v>
      </c>
      <c r="Q44" s="80"/>
      <c r="R44" s="80"/>
      <c r="S44" s="80" t="s">
        <v>155</v>
      </c>
      <c r="T44" s="86">
        <v>39</v>
      </c>
      <c r="U44" s="80"/>
      <c r="V44" s="76"/>
      <c r="W44" s="76"/>
      <c r="X44" s="76" t="s">
        <v>55</v>
      </c>
      <c r="Y44" s="63"/>
      <c r="Z44" s="64">
        <f t="shared" si="3"/>
        <v>2</v>
      </c>
      <c r="AA44" s="64">
        <v>6</v>
      </c>
    </row>
    <row r="45" spans="1:27" ht="18" customHeight="1">
      <c r="A45" s="116">
        <v>20250095</v>
      </c>
      <c r="B45" s="117" t="s">
        <v>149</v>
      </c>
      <c r="C45" s="118">
        <v>45802</v>
      </c>
      <c r="D45" s="118">
        <v>45828</v>
      </c>
      <c r="E45" s="46">
        <v>1</v>
      </c>
      <c r="F45" s="119">
        <v>0.35199999999999998</v>
      </c>
      <c r="G45" s="120">
        <v>3</v>
      </c>
      <c r="H45" s="121" t="s">
        <v>154</v>
      </c>
      <c r="I45" s="121" t="s">
        <v>24</v>
      </c>
      <c r="J45" s="117" t="s">
        <v>24</v>
      </c>
      <c r="K45" s="53">
        <f t="shared" si="0"/>
        <v>45836</v>
      </c>
      <c r="L45" s="53">
        <f t="shared" si="1"/>
        <v>45896</v>
      </c>
      <c r="M45" s="71" t="s">
        <v>151</v>
      </c>
      <c r="N45" s="72">
        <f>E45</f>
        <v>1</v>
      </c>
      <c r="O45" s="50">
        <f t="shared" si="2"/>
        <v>0.35199999999999998</v>
      </c>
      <c r="P45" s="56">
        <f t="shared" si="4"/>
        <v>3</v>
      </c>
      <c r="Q45" s="73"/>
      <c r="R45" s="58"/>
      <c r="S45" s="74" t="s">
        <v>156</v>
      </c>
      <c r="T45" s="75">
        <v>62</v>
      </c>
      <c r="U45" s="58"/>
      <c r="V45" s="46"/>
      <c r="W45" s="46"/>
      <c r="X45" s="62" t="s">
        <v>25</v>
      </c>
      <c r="Y45" s="63">
        <f>F45/E45</f>
        <v>0.35199999999999998</v>
      </c>
      <c r="Z45" s="64">
        <f t="shared" si="3"/>
        <v>0</v>
      </c>
      <c r="AA45" s="64">
        <v>3</v>
      </c>
    </row>
    <row r="46" spans="1:27" ht="18" customHeight="1">
      <c r="A46" s="87">
        <v>20250095</v>
      </c>
      <c r="B46" s="88" t="s">
        <v>149</v>
      </c>
      <c r="C46" s="89">
        <v>45802</v>
      </c>
      <c r="D46" s="118">
        <v>45828</v>
      </c>
      <c r="E46" s="46">
        <v>5</v>
      </c>
      <c r="F46" s="119">
        <v>1.986</v>
      </c>
      <c r="G46" s="120">
        <v>15</v>
      </c>
      <c r="H46" s="121" t="s">
        <v>157</v>
      </c>
      <c r="I46" s="121" t="s">
        <v>24</v>
      </c>
      <c r="J46" s="117" t="s">
        <v>24</v>
      </c>
      <c r="K46" s="53">
        <f t="shared" si="0"/>
        <v>45836</v>
      </c>
      <c r="L46" s="53">
        <f t="shared" si="1"/>
        <v>45896</v>
      </c>
      <c r="M46" s="71" t="s">
        <v>151</v>
      </c>
      <c r="N46" s="72">
        <f>E46</f>
        <v>5</v>
      </c>
      <c r="O46" s="50">
        <f t="shared" si="2"/>
        <v>1.986</v>
      </c>
      <c r="P46" s="56">
        <f t="shared" si="4"/>
        <v>15</v>
      </c>
      <c r="Q46" s="73"/>
      <c r="R46" s="58"/>
      <c r="S46" s="74" t="s">
        <v>158</v>
      </c>
      <c r="T46" s="75">
        <v>59</v>
      </c>
      <c r="U46" s="58"/>
      <c r="V46" s="46"/>
      <c r="W46" s="46"/>
      <c r="X46" s="62" t="s">
        <v>25</v>
      </c>
      <c r="Y46" s="63">
        <f>F46/E46</f>
        <v>0.3972</v>
      </c>
      <c r="Z46" s="64">
        <f t="shared" si="3"/>
        <v>0</v>
      </c>
      <c r="AA46" s="64">
        <v>1</v>
      </c>
    </row>
    <row r="47" spans="1:27" ht="18" customHeight="1">
      <c r="A47" s="87">
        <v>20250095</v>
      </c>
      <c r="B47" s="88" t="s">
        <v>149</v>
      </c>
      <c r="C47" s="89">
        <v>45802</v>
      </c>
      <c r="D47" s="90">
        <v>45828</v>
      </c>
      <c r="E47" s="60">
        <v>119</v>
      </c>
      <c r="F47" s="91">
        <v>581.76</v>
      </c>
      <c r="G47" s="92">
        <v>262</v>
      </c>
      <c r="H47" s="93" t="s">
        <v>159</v>
      </c>
      <c r="I47" s="93" t="s">
        <v>52</v>
      </c>
      <c r="J47" s="94" t="s">
        <v>52</v>
      </c>
      <c r="K47" s="53">
        <f t="shared" si="0"/>
        <v>45836</v>
      </c>
      <c r="L47" s="53">
        <f t="shared" si="1"/>
        <v>45896</v>
      </c>
      <c r="M47" s="95" t="s">
        <v>151</v>
      </c>
      <c r="N47" s="96">
        <f>E47-117</f>
        <v>2</v>
      </c>
      <c r="O47" s="97">
        <f t="shared" si="2"/>
        <v>9.777478991596638</v>
      </c>
      <c r="P47" s="98">
        <f t="shared" si="4"/>
        <v>4.4033613445378155</v>
      </c>
      <c r="Q47" s="73"/>
      <c r="R47" s="58"/>
      <c r="S47" s="74" t="s">
        <v>160</v>
      </c>
      <c r="T47" s="75">
        <v>100</v>
      </c>
      <c r="U47" s="58"/>
      <c r="V47" s="46"/>
      <c r="W47" s="46"/>
      <c r="X47" s="99" t="s">
        <v>76</v>
      </c>
      <c r="Y47" s="63"/>
      <c r="Z47" s="64">
        <f t="shared" si="3"/>
        <v>117</v>
      </c>
      <c r="AA47" s="64">
        <v>32</v>
      </c>
    </row>
    <row r="48" spans="1:27" ht="18" customHeight="1">
      <c r="A48" s="61">
        <v>20250095</v>
      </c>
      <c r="B48" s="94" t="s">
        <v>149</v>
      </c>
      <c r="C48" s="90">
        <v>45802</v>
      </c>
      <c r="D48" s="90">
        <v>45828</v>
      </c>
      <c r="E48" s="60">
        <v>58</v>
      </c>
      <c r="F48" s="91">
        <v>1572.819</v>
      </c>
      <c r="G48" s="92">
        <v>46</v>
      </c>
      <c r="H48" s="93" t="s">
        <v>161</v>
      </c>
      <c r="I48" s="93" t="s">
        <v>72</v>
      </c>
      <c r="J48" s="94" t="s">
        <v>72</v>
      </c>
      <c r="K48" s="53">
        <f t="shared" si="0"/>
        <v>45836</v>
      </c>
      <c r="L48" s="53">
        <f t="shared" si="1"/>
        <v>45896</v>
      </c>
      <c r="M48" s="95" t="s">
        <v>151</v>
      </c>
      <c r="N48" s="96">
        <f>E48-10-16-16-10-3</f>
        <v>3</v>
      </c>
      <c r="O48" s="97">
        <f t="shared" si="2"/>
        <v>81.352706896551723</v>
      </c>
      <c r="P48" s="98">
        <f t="shared" si="4"/>
        <v>2.3793103448275863</v>
      </c>
      <c r="Q48" s="73"/>
      <c r="R48" s="58"/>
      <c r="S48" s="74" t="s">
        <v>162</v>
      </c>
      <c r="T48" s="75">
        <v>73</v>
      </c>
      <c r="U48" s="58"/>
      <c r="V48" s="46"/>
      <c r="W48" s="46"/>
      <c r="X48" s="99" t="s">
        <v>76</v>
      </c>
      <c r="Y48" s="63"/>
      <c r="Z48" s="64">
        <f t="shared" si="3"/>
        <v>55</v>
      </c>
      <c r="AA48" s="64">
        <v>1</v>
      </c>
    </row>
    <row r="49" spans="1:27" ht="18" customHeight="1">
      <c r="A49" s="61">
        <v>20250129</v>
      </c>
      <c r="B49" s="94" t="s">
        <v>163</v>
      </c>
      <c r="C49" s="90">
        <v>45794</v>
      </c>
      <c r="D49" s="90">
        <v>45830</v>
      </c>
      <c r="E49" s="60">
        <v>483</v>
      </c>
      <c r="F49" s="91">
        <v>518.11199999999997</v>
      </c>
      <c r="G49" s="92">
        <v>237</v>
      </c>
      <c r="H49" s="93" t="s">
        <v>164</v>
      </c>
      <c r="I49" s="93" t="s">
        <v>123</v>
      </c>
      <c r="J49" s="94" t="s">
        <v>123</v>
      </c>
      <c r="K49" s="53">
        <f t="shared" si="0"/>
        <v>45838</v>
      </c>
      <c r="L49" s="53">
        <f t="shared" si="1"/>
        <v>45898</v>
      </c>
      <c r="M49" s="95" t="s">
        <v>165</v>
      </c>
      <c r="N49" s="96">
        <f>E49-160-30-85-30-30-60-30-30-22</f>
        <v>6</v>
      </c>
      <c r="O49" s="97">
        <f t="shared" si="2"/>
        <v>6.4361739130434783</v>
      </c>
      <c r="P49" s="98">
        <f t="shared" si="4"/>
        <v>2.9440993788819876</v>
      </c>
      <c r="Q49" s="122"/>
      <c r="R49" s="58"/>
      <c r="S49" s="74" t="s">
        <v>166</v>
      </c>
      <c r="T49" s="75">
        <v>65</v>
      </c>
      <c r="U49" s="58"/>
      <c r="V49" s="46"/>
      <c r="W49" s="46"/>
      <c r="X49" s="99" t="s">
        <v>76</v>
      </c>
      <c r="Y49" s="63">
        <f t="shared" ref="Y49:Y54" si="6">F49/E49</f>
        <v>1.0726956521739131</v>
      </c>
      <c r="Z49" s="64">
        <f t="shared" si="3"/>
        <v>477</v>
      </c>
      <c r="AA49" s="64">
        <v>12</v>
      </c>
    </row>
    <row r="50" spans="1:27" ht="18" customHeight="1">
      <c r="A50" s="123">
        <v>20250120</v>
      </c>
      <c r="B50" s="124" t="s">
        <v>167</v>
      </c>
      <c r="C50" s="125">
        <v>45806</v>
      </c>
      <c r="D50" s="125">
        <v>45836</v>
      </c>
      <c r="E50" s="126">
        <v>286</v>
      </c>
      <c r="F50" s="127">
        <v>2815.46</v>
      </c>
      <c r="G50" s="128">
        <v>229</v>
      </c>
      <c r="H50" s="129" t="s">
        <v>168</v>
      </c>
      <c r="I50" s="129" t="s">
        <v>72</v>
      </c>
      <c r="J50" s="124" t="s">
        <v>72</v>
      </c>
      <c r="K50" s="130">
        <f t="shared" si="0"/>
        <v>45844</v>
      </c>
      <c r="L50" s="130">
        <f t="shared" si="1"/>
        <v>45904</v>
      </c>
      <c r="M50" s="131" t="s">
        <v>169</v>
      </c>
      <c r="N50" s="132">
        <f>E50-10-8</f>
        <v>268</v>
      </c>
      <c r="O50" s="133">
        <f t="shared" si="2"/>
        <v>2638.2632167832166</v>
      </c>
      <c r="P50" s="134">
        <f t="shared" si="4"/>
        <v>214.58741258741259</v>
      </c>
      <c r="Q50" s="73" t="s">
        <v>170</v>
      </c>
      <c r="R50" s="58" t="s">
        <v>171</v>
      </c>
      <c r="S50" s="52" t="s">
        <v>172</v>
      </c>
      <c r="T50" s="59">
        <v>39</v>
      </c>
      <c r="U50" s="58"/>
      <c r="V50" s="46"/>
      <c r="W50" s="46"/>
      <c r="X50" s="99" t="s">
        <v>76</v>
      </c>
      <c r="Y50" s="63">
        <f t="shared" si="6"/>
        <v>9.8442657342657345</v>
      </c>
      <c r="Z50" s="64">
        <f t="shared" si="3"/>
        <v>18</v>
      </c>
      <c r="AA50" s="64">
        <v>146</v>
      </c>
    </row>
    <row r="51" spans="1:27" ht="18" customHeight="1">
      <c r="A51" s="135">
        <v>20250146</v>
      </c>
      <c r="B51" s="136" t="s">
        <v>173</v>
      </c>
      <c r="C51" s="137">
        <v>45825</v>
      </c>
      <c r="D51" s="137">
        <v>45845</v>
      </c>
      <c r="E51" s="138">
        <v>402</v>
      </c>
      <c r="F51" s="139">
        <v>3836.76</v>
      </c>
      <c r="G51" s="140">
        <v>370</v>
      </c>
      <c r="H51" s="141" t="s">
        <v>174</v>
      </c>
      <c r="I51" s="141" t="s">
        <v>72</v>
      </c>
      <c r="J51" s="136" t="s">
        <v>72</v>
      </c>
      <c r="K51" s="142">
        <f t="shared" si="0"/>
        <v>45853</v>
      </c>
      <c r="L51" s="142">
        <f t="shared" si="1"/>
        <v>45913</v>
      </c>
      <c r="M51" s="143" t="s">
        <v>175</v>
      </c>
      <c r="N51" s="144">
        <f>E51-40-9-39-62-102-130-6</f>
        <v>14</v>
      </c>
      <c r="O51" s="145">
        <f t="shared" si="2"/>
        <v>133.61850746268658</v>
      </c>
      <c r="P51" s="146">
        <f t="shared" si="4"/>
        <v>12.885572139303482</v>
      </c>
      <c r="Q51" s="73" t="s">
        <v>176</v>
      </c>
      <c r="R51" s="58" t="s">
        <v>177</v>
      </c>
      <c r="S51" s="147" t="s">
        <v>178</v>
      </c>
      <c r="T51" s="148">
        <v>14</v>
      </c>
      <c r="U51" s="149"/>
      <c r="V51" s="46"/>
      <c r="W51" s="46"/>
      <c r="X51" s="99" t="s">
        <v>76</v>
      </c>
      <c r="Y51" s="63">
        <f t="shared" si="6"/>
        <v>9.5441791044776121</v>
      </c>
      <c r="Z51" s="64">
        <f t="shared" si="3"/>
        <v>388</v>
      </c>
      <c r="AA51" s="64">
        <v>4</v>
      </c>
    </row>
    <row r="52" spans="1:27" ht="18" customHeight="1">
      <c r="A52" s="150">
        <v>20250146</v>
      </c>
      <c r="B52" s="151" t="s">
        <v>173</v>
      </c>
      <c r="C52" s="152">
        <v>45825</v>
      </c>
      <c r="D52" s="152">
        <v>45845</v>
      </c>
      <c r="E52" s="153">
        <v>165</v>
      </c>
      <c r="F52" s="154">
        <v>1720.425</v>
      </c>
      <c r="G52" s="155">
        <v>34</v>
      </c>
      <c r="H52" s="156" t="s">
        <v>174</v>
      </c>
      <c r="I52" s="157" t="s">
        <v>72</v>
      </c>
      <c r="J52" s="151" t="s">
        <v>72</v>
      </c>
      <c r="K52" s="53">
        <f t="shared" si="0"/>
        <v>45853</v>
      </c>
      <c r="L52" s="53">
        <f t="shared" si="1"/>
        <v>45913</v>
      </c>
      <c r="M52" s="158" t="s">
        <v>175</v>
      </c>
      <c r="N52" s="72">
        <f>E52</f>
        <v>165</v>
      </c>
      <c r="O52" s="50">
        <f t="shared" si="2"/>
        <v>1720.425</v>
      </c>
      <c r="P52" s="56">
        <f t="shared" si="4"/>
        <v>34</v>
      </c>
      <c r="Q52" s="73" t="s">
        <v>176</v>
      </c>
      <c r="R52" s="58" t="s">
        <v>179</v>
      </c>
      <c r="S52" s="147" t="s">
        <v>180</v>
      </c>
      <c r="T52" s="148">
        <v>25</v>
      </c>
      <c r="U52" s="149"/>
      <c r="V52" s="46"/>
      <c r="W52" s="46"/>
      <c r="X52" s="62" t="s">
        <v>25</v>
      </c>
      <c r="Y52" s="63">
        <f t="shared" si="6"/>
        <v>10.426818181818181</v>
      </c>
      <c r="Z52" s="64">
        <f t="shared" si="3"/>
        <v>0</v>
      </c>
      <c r="AA52" s="64">
        <v>48</v>
      </c>
    </row>
    <row r="53" spans="1:27" ht="18" customHeight="1">
      <c r="A53" s="150">
        <v>20250146</v>
      </c>
      <c r="B53" s="151" t="s">
        <v>173</v>
      </c>
      <c r="C53" s="152">
        <v>45825</v>
      </c>
      <c r="D53" s="152">
        <v>45845</v>
      </c>
      <c r="E53" s="153">
        <v>26</v>
      </c>
      <c r="F53" s="154">
        <v>409.23</v>
      </c>
      <c r="G53" s="155">
        <v>24</v>
      </c>
      <c r="H53" s="156" t="s">
        <v>174</v>
      </c>
      <c r="I53" s="157" t="s">
        <v>72</v>
      </c>
      <c r="J53" s="151" t="s">
        <v>72</v>
      </c>
      <c r="K53" s="53">
        <f t="shared" si="0"/>
        <v>45853</v>
      </c>
      <c r="L53" s="53">
        <f t="shared" si="1"/>
        <v>45913</v>
      </c>
      <c r="M53" s="158" t="s">
        <v>175</v>
      </c>
      <c r="N53" s="72">
        <f>E53</f>
        <v>26</v>
      </c>
      <c r="O53" s="50">
        <f t="shared" si="2"/>
        <v>409.23</v>
      </c>
      <c r="P53" s="56">
        <f t="shared" si="4"/>
        <v>24</v>
      </c>
      <c r="Q53" s="73" t="s">
        <v>176</v>
      </c>
      <c r="R53" s="58" t="s">
        <v>181</v>
      </c>
      <c r="S53" s="147" t="s">
        <v>182</v>
      </c>
      <c r="T53" s="148">
        <v>30</v>
      </c>
      <c r="U53" s="149"/>
      <c r="V53" s="46"/>
      <c r="W53" s="46"/>
      <c r="X53" s="62" t="s">
        <v>25</v>
      </c>
      <c r="Y53" s="63">
        <f t="shared" si="6"/>
        <v>15.739615384615385</v>
      </c>
      <c r="Z53" s="64">
        <f t="shared" si="3"/>
        <v>0</v>
      </c>
      <c r="AA53" s="64">
        <v>60</v>
      </c>
    </row>
    <row r="54" spans="1:27" ht="18" customHeight="1">
      <c r="A54" s="150">
        <v>20250146</v>
      </c>
      <c r="B54" s="151" t="s">
        <v>173</v>
      </c>
      <c r="C54" s="152">
        <v>45825</v>
      </c>
      <c r="D54" s="152">
        <v>45845</v>
      </c>
      <c r="E54" s="153">
        <v>87</v>
      </c>
      <c r="F54" s="154">
        <v>753.83299999999997</v>
      </c>
      <c r="G54" s="155">
        <v>80</v>
      </c>
      <c r="H54" s="156" t="s">
        <v>174</v>
      </c>
      <c r="I54" s="157" t="s">
        <v>72</v>
      </c>
      <c r="J54" s="151" t="s">
        <v>72</v>
      </c>
      <c r="K54" s="53">
        <f t="shared" si="0"/>
        <v>45853</v>
      </c>
      <c r="L54" s="53">
        <f t="shared" si="1"/>
        <v>45913</v>
      </c>
      <c r="M54" s="158" t="s">
        <v>175</v>
      </c>
      <c r="N54" s="159">
        <f>E54</f>
        <v>87</v>
      </c>
      <c r="O54" s="160">
        <f t="shared" si="2"/>
        <v>753.83299999999997</v>
      </c>
      <c r="P54" s="161">
        <f t="shared" si="4"/>
        <v>80</v>
      </c>
      <c r="Q54" s="162" t="s">
        <v>176</v>
      </c>
      <c r="R54" s="149" t="s">
        <v>183</v>
      </c>
      <c r="S54" s="147" t="s">
        <v>184</v>
      </c>
      <c r="T54" s="148">
        <v>93</v>
      </c>
      <c r="U54" s="149"/>
      <c r="V54" s="46"/>
      <c r="W54" s="46"/>
      <c r="X54" s="62" t="s">
        <v>25</v>
      </c>
      <c r="Y54" s="63">
        <f t="shared" si="6"/>
        <v>8.6647471264367812</v>
      </c>
      <c r="Z54" s="64">
        <f t="shared" si="3"/>
        <v>0</v>
      </c>
      <c r="AA54" s="64">
        <v>60</v>
      </c>
    </row>
    <row r="55" spans="1:27" ht="18" customHeight="1">
      <c r="A55" s="163">
        <v>20250146</v>
      </c>
      <c r="B55" s="164" t="s">
        <v>173</v>
      </c>
      <c r="C55" s="165">
        <v>45825</v>
      </c>
      <c r="D55" s="165">
        <v>45845</v>
      </c>
      <c r="E55" s="166">
        <v>134</v>
      </c>
      <c r="F55" s="167">
        <v>1828.28</v>
      </c>
      <c r="G55" s="168">
        <v>123</v>
      </c>
      <c r="H55" s="169" t="s">
        <v>185</v>
      </c>
      <c r="I55" s="169" t="s">
        <v>72</v>
      </c>
      <c r="J55" s="164" t="s">
        <v>72</v>
      </c>
      <c r="K55" s="53">
        <f t="shared" si="0"/>
        <v>45853</v>
      </c>
      <c r="L55" s="53">
        <f t="shared" si="1"/>
        <v>45913</v>
      </c>
      <c r="M55" s="170" t="s">
        <v>175</v>
      </c>
      <c r="N55" s="171">
        <f>E55-17-31-18-9-16-9-9-9-10-4</f>
        <v>2</v>
      </c>
      <c r="O55" s="172">
        <f t="shared" si="2"/>
        <v>27.287761194029851</v>
      </c>
      <c r="P55" s="173">
        <f t="shared" si="4"/>
        <v>1.835820895522388</v>
      </c>
      <c r="Q55" s="162" t="s">
        <v>176</v>
      </c>
      <c r="R55" s="149" t="s">
        <v>186</v>
      </c>
      <c r="S55" s="147" t="s">
        <v>187</v>
      </c>
      <c r="T55" s="148">
        <v>31</v>
      </c>
      <c r="U55" s="149"/>
      <c r="V55" s="46"/>
      <c r="W55" s="46"/>
      <c r="X55" s="99" t="s">
        <v>76</v>
      </c>
      <c r="Y55" s="63"/>
      <c r="Z55" s="64">
        <f t="shared" si="3"/>
        <v>132</v>
      </c>
      <c r="AA55" s="64">
        <v>71</v>
      </c>
    </row>
    <row r="56" spans="1:27" ht="18" customHeight="1">
      <c r="A56" s="150">
        <v>20250146</v>
      </c>
      <c r="B56" s="151" t="s">
        <v>173</v>
      </c>
      <c r="C56" s="152">
        <v>45825</v>
      </c>
      <c r="D56" s="152">
        <v>45845</v>
      </c>
      <c r="E56" s="153">
        <v>258</v>
      </c>
      <c r="F56" s="154">
        <v>2004.7850000000001</v>
      </c>
      <c r="G56" s="155">
        <v>237</v>
      </c>
      <c r="H56" s="157" t="s">
        <v>188</v>
      </c>
      <c r="I56" s="157" t="s">
        <v>72</v>
      </c>
      <c r="J56" s="151" t="s">
        <v>72</v>
      </c>
      <c r="K56" s="53">
        <f t="shared" si="0"/>
        <v>45853</v>
      </c>
      <c r="L56" s="53">
        <f t="shared" si="1"/>
        <v>45913</v>
      </c>
      <c r="M56" s="158" t="s">
        <v>175</v>
      </c>
      <c r="N56" s="159">
        <f>E56</f>
        <v>258</v>
      </c>
      <c r="O56" s="160">
        <f t="shared" si="2"/>
        <v>2004.7850000000001</v>
      </c>
      <c r="P56" s="56">
        <f t="shared" si="4"/>
        <v>237</v>
      </c>
      <c r="Q56" s="162" t="s">
        <v>176</v>
      </c>
      <c r="R56" s="149" t="s">
        <v>189</v>
      </c>
      <c r="S56" s="147" t="s">
        <v>190</v>
      </c>
      <c r="T56" s="148">
        <v>7</v>
      </c>
      <c r="U56" s="149"/>
      <c r="V56" s="46"/>
      <c r="W56" s="46"/>
      <c r="X56" s="62" t="s">
        <v>25</v>
      </c>
      <c r="Y56" s="63">
        <f>F56/E56</f>
        <v>7.7704844961240314</v>
      </c>
      <c r="Z56" s="64">
        <f t="shared" si="3"/>
        <v>0</v>
      </c>
      <c r="AA56" s="64">
        <v>1</v>
      </c>
    </row>
    <row r="57" spans="1:27" ht="18" customHeight="1">
      <c r="A57" s="116">
        <v>20250146</v>
      </c>
      <c r="B57" s="117" t="s">
        <v>173</v>
      </c>
      <c r="C57" s="118">
        <v>45825</v>
      </c>
      <c r="D57" s="118">
        <v>45845</v>
      </c>
      <c r="E57" s="46">
        <v>132</v>
      </c>
      <c r="F57" s="119">
        <v>1479.375</v>
      </c>
      <c r="G57" s="120">
        <v>121</v>
      </c>
      <c r="H57" s="121" t="s">
        <v>168</v>
      </c>
      <c r="I57" s="121" t="s">
        <v>72</v>
      </c>
      <c r="J57" s="117" t="s">
        <v>72</v>
      </c>
      <c r="K57" s="53">
        <f t="shared" si="0"/>
        <v>45853</v>
      </c>
      <c r="L57" s="53">
        <f t="shared" si="1"/>
        <v>45913</v>
      </c>
      <c r="M57" s="71" t="s">
        <v>175</v>
      </c>
      <c r="N57" s="72">
        <f>E57</f>
        <v>132</v>
      </c>
      <c r="O57" s="50">
        <f t="shared" si="2"/>
        <v>1479.375</v>
      </c>
      <c r="P57" s="56">
        <f t="shared" si="4"/>
        <v>121</v>
      </c>
      <c r="Q57" s="162" t="s">
        <v>176</v>
      </c>
      <c r="R57" s="149" t="s">
        <v>191</v>
      </c>
      <c r="S57" s="147" t="s">
        <v>192</v>
      </c>
      <c r="T57" s="148">
        <v>92</v>
      </c>
      <c r="U57" s="149"/>
      <c r="V57" s="46"/>
      <c r="W57" s="46"/>
      <c r="X57" s="62" t="s">
        <v>25</v>
      </c>
      <c r="Y57" s="63">
        <f>F57/E57</f>
        <v>11.207386363636363</v>
      </c>
      <c r="Z57" s="64">
        <f t="shared" si="3"/>
        <v>0</v>
      </c>
      <c r="AA57" s="64">
        <v>1</v>
      </c>
    </row>
    <row r="58" spans="1:27" ht="18" customHeight="1">
      <c r="A58" s="76">
        <v>20250146</v>
      </c>
      <c r="B58" s="77" t="s">
        <v>173</v>
      </c>
      <c r="C58" s="78">
        <v>45825</v>
      </c>
      <c r="D58" s="78">
        <v>45845</v>
      </c>
      <c r="E58" s="76">
        <v>1</v>
      </c>
      <c r="F58" s="79">
        <v>10</v>
      </c>
      <c r="G58" s="102">
        <v>24</v>
      </c>
      <c r="H58" s="80" t="s">
        <v>193</v>
      </c>
      <c r="I58" s="80" t="s">
        <v>194</v>
      </c>
      <c r="J58" s="77" t="s">
        <v>26</v>
      </c>
      <c r="K58" s="174">
        <f t="shared" si="0"/>
        <v>45853</v>
      </c>
      <c r="L58" s="174">
        <f t="shared" si="1"/>
        <v>45913</v>
      </c>
      <c r="M58" s="82" t="s">
        <v>175</v>
      </c>
      <c r="N58" s="83">
        <f>E58-1</f>
        <v>0</v>
      </c>
      <c r="O58" s="84">
        <f t="shared" si="2"/>
        <v>0</v>
      </c>
      <c r="P58" s="85">
        <f t="shared" si="4"/>
        <v>0</v>
      </c>
      <c r="Q58" s="80" t="s">
        <v>195</v>
      </c>
      <c r="R58" s="80"/>
      <c r="S58" s="80" t="s">
        <v>196</v>
      </c>
      <c r="T58" s="86">
        <v>90</v>
      </c>
      <c r="U58" s="80"/>
      <c r="V58" s="76"/>
      <c r="W58" s="76"/>
      <c r="X58" s="76" t="s">
        <v>55</v>
      </c>
      <c r="Y58" s="63">
        <f>F58/E58</f>
        <v>10</v>
      </c>
      <c r="Z58" s="64">
        <f t="shared" si="3"/>
        <v>1</v>
      </c>
      <c r="AA58" s="64">
        <v>3541</v>
      </c>
    </row>
    <row r="59" spans="1:27" ht="18" customHeight="1">
      <c r="A59" s="76">
        <v>20250146</v>
      </c>
      <c r="B59" s="77" t="s">
        <v>173</v>
      </c>
      <c r="C59" s="78">
        <v>45825</v>
      </c>
      <c r="D59" s="78">
        <v>45845</v>
      </c>
      <c r="E59" s="76">
        <v>1</v>
      </c>
      <c r="F59" s="79">
        <v>4.07</v>
      </c>
      <c r="G59" s="102">
        <v>24</v>
      </c>
      <c r="H59" s="80" t="s">
        <v>193</v>
      </c>
      <c r="I59" s="80" t="s">
        <v>197</v>
      </c>
      <c r="J59" s="77" t="s">
        <v>26</v>
      </c>
      <c r="K59" s="174">
        <f t="shared" si="0"/>
        <v>45853</v>
      </c>
      <c r="L59" s="174">
        <f t="shared" si="1"/>
        <v>45913</v>
      </c>
      <c r="M59" s="82" t="s">
        <v>175</v>
      </c>
      <c r="N59" s="83">
        <f>E59-1</f>
        <v>0</v>
      </c>
      <c r="O59" s="84">
        <f t="shared" si="2"/>
        <v>0</v>
      </c>
      <c r="P59" s="85">
        <f t="shared" si="4"/>
        <v>0</v>
      </c>
      <c r="Q59" s="80" t="s">
        <v>195</v>
      </c>
      <c r="R59" s="80"/>
      <c r="S59" s="80" t="s">
        <v>196</v>
      </c>
      <c r="T59" s="86">
        <v>90</v>
      </c>
      <c r="U59" s="80"/>
      <c r="V59" s="76"/>
      <c r="W59" s="76"/>
      <c r="X59" s="76" t="s">
        <v>55</v>
      </c>
      <c r="Y59" s="63">
        <f>F59/E59</f>
        <v>4.07</v>
      </c>
      <c r="Z59" s="64">
        <f t="shared" si="3"/>
        <v>1</v>
      </c>
      <c r="AA59" s="64">
        <v>1</v>
      </c>
    </row>
    <row r="60" spans="1:27" ht="18" customHeight="1">
      <c r="A60" s="166">
        <v>20250146</v>
      </c>
      <c r="B60" s="175" t="s">
        <v>173</v>
      </c>
      <c r="C60" s="176">
        <v>45825</v>
      </c>
      <c r="D60" s="176">
        <v>45845</v>
      </c>
      <c r="E60" s="166">
        <v>3</v>
      </c>
      <c r="F60" s="167">
        <v>0</v>
      </c>
      <c r="G60" s="168">
        <v>9</v>
      </c>
      <c r="H60" s="147" t="s">
        <v>193</v>
      </c>
      <c r="I60" s="147" t="s">
        <v>24</v>
      </c>
      <c r="J60" s="175" t="s">
        <v>24</v>
      </c>
      <c r="K60" s="53">
        <f t="shared" si="0"/>
        <v>45853</v>
      </c>
      <c r="L60" s="53">
        <f t="shared" si="1"/>
        <v>45913</v>
      </c>
      <c r="M60" s="177" t="s">
        <v>175</v>
      </c>
      <c r="N60" s="178">
        <f>E60-1</f>
        <v>2</v>
      </c>
      <c r="O60" s="179">
        <f t="shared" si="2"/>
        <v>0</v>
      </c>
      <c r="P60" s="161">
        <f t="shared" si="4"/>
        <v>6</v>
      </c>
      <c r="Q60" s="162" t="s">
        <v>198</v>
      </c>
      <c r="R60" s="52"/>
      <c r="S60" s="147" t="s">
        <v>196</v>
      </c>
      <c r="T60" s="180">
        <v>90</v>
      </c>
      <c r="U60" s="52"/>
      <c r="V60" s="46"/>
      <c r="W60" s="46"/>
      <c r="X60" s="99" t="s">
        <v>76</v>
      </c>
      <c r="Y60" s="63">
        <f>F60/E60</f>
        <v>0</v>
      </c>
      <c r="Z60" s="64">
        <f t="shared" si="3"/>
        <v>1</v>
      </c>
      <c r="AA60" s="64">
        <v>1</v>
      </c>
    </row>
    <row r="61" spans="1:27" ht="18" customHeight="1">
      <c r="A61" s="76">
        <v>20250123</v>
      </c>
      <c r="B61" s="77" t="s">
        <v>199</v>
      </c>
      <c r="C61" s="78">
        <v>45836</v>
      </c>
      <c r="D61" s="78">
        <v>45855</v>
      </c>
      <c r="E61" s="76">
        <v>1</v>
      </c>
      <c r="F61" s="79">
        <v>8.56</v>
      </c>
      <c r="G61" s="102">
        <v>24</v>
      </c>
      <c r="H61" s="80" t="s">
        <v>200</v>
      </c>
      <c r="I61" s="80" t="s">
        <v>63</v>
      </c>
      <c r="J61" s="77" t="s">
        <v>28</v>
      </c>
      <c r="K61" s="174">
        <f t="shared" si="0"/>
        <v>45863</v>
      </c>
      <c r="L61" s="174">
        <f t="shared" si="1"/>
        <v>45923</v>
      </c>
      <c r="M61" s="82" t="s">
        <v>201</v>
      </c>
      <c r="N61" s="83">
        <f>E61-1</f>
        <v>0</v>
      </c>
      <c r="O61" s="84">
        <f t="shared" si="2"/>
        <v>0</v>
      </c>
      <c r="P61" s="85">
        <f t="shared" si="4"/>
        <v>0</v>
      </c>
      <c r="Q61" s="80" t="s">
        <v>202</v>
      </c>
      <c r="R61" s="80"/>
      <c r="S61" s="80" t="s">
        <v>203</v>
      </c>
      <c r="T61" s="86">
        <v>56</v>
      </c>
      <c r="U61" s="80"/>
      <c r="V61" s="76"/>
      <c r="W61" s="76"/>
      <c r="X61" s="76" t="s">
        <v>55</v>
      </c>
      <c r="Y61" s="63"/>
      <c r="Z61" s="64">
        <f t="shared" si="3"/>
        <v>1</v>
      </c>
      <c r="AA61" s="64">
        <v>1</v>
      </c>
    </row>
    <row r="62" spans="1:27" ht="18" customHeight="1">
      <c r="A62" s="163">
        <v>20250123</v>
      </c>
      <c r="B62" s="164" t="s">
        <v>199</v>
      </c>
      <c r="C62" s="165">
        <v>45836</v>
      </c>
      <c r="D62" s="165">
        <v>45855</v>
      </c>
      <c r="E62" s="166">
        <v>1</v>
      </c>
      <c r="F62" s="167">
        <v>0</v>
      </c>
      <c r="G62" s="168">
        <v>3</v>
      </c>
      <c r="H62" s="169" t="s">
        <v>200</v>
      </c>
      <c r="I62" s="169" t="s">
        <v>24</v>
      </c>
      <c r="J62" s="164" t="s">
        <v>24</v>
      </c>
      <c r="K62" s="53">
        <f t="shared" si="0"/>
        <v>45863</v>
      </c>
      <c r="L62" s="53">
        <f t="shared" si="1"/>
        <v>45923</v>
      </c>
      <c r="M62" s="170" t="s">
        <v>201</v>
      </c>
      <c r="N62" s="171">
        <f>E62</f>
        <v>1</v>
      </c>
      <c r="O62" s="172">
        <f t="shared" si="2"/>
        <v>0</v>
      </c>
      <c r="P62" s="173">
        <f t="shared" si="4"/>
        <v>3</v>
      </c>
      <c r="Q62" s="162" t="s">
        <v>204</v>
      </c>
      <c r="R62" s="58"/>
      <c r="S62" s="147" t="s">
        <v>203</v>
      </c>
      <c r="T62" s="148">
        <v>56</v>
      </c>
      <c r="U62" s="58"/>
      <c r="V62" s="46"/>
      <c r="W62" s="46"/>
      <c r="X62" s="99" t="s">
        <v>76</v>
      </c>
      <c r="Y62" s="63">
        <f>F62/E62</f>
        <v>0</v>
      </c>
      <c r="Z62" s="64">
        <f t="shared" si="3"/>
        <v>0</v>
      </c>
      <c r="AA62" s="64">
        <v>980</v>
      </c>
    </row>
    <row r="63" spans="1:27" ht="18" customHeight="1">
      <c r="A63" s="63">
        <v>20250123</v>
      </c>
      <c r="B63" s="65" t="s">
        <v>199</v>
      </c>
      <c r="C63" s="66">
        <v>45836</v>
      </c>
      <c r="D63" s="66">
        <v>45855</v>
      </c>
      <c r="E63" s="67">
        <v>1</v>
      </c>
      <c r="F63" s="68">
        <v>17.5</v>
      </c>
      <c r="G63" s="69">
        <v>40</v>
      </c>
      <c r="H63" s="70" t="s">
        <v>205</v>
      </c>
      <c r="I63" s="70" t="s">
        <v>206</v>
      </c>
      <c r="J63" s="65" t="s">
        <v>26</v>
      </c>
      <c r="K63" s="53">
        <f t="shared" si="0"/>
        <v>45863</v>
      </c>
      <c r="L63" s="53">
        <f t="shared" si="1"/>
        <v>45923</v>
      </c>
      <c r="M63" s="71" t="s">
        <v>201</v>
      </c>
      <c r="N63" s="72">
        <f>E63</f>
        <v>1</v>
      </c>
      <c r="O63" s="50">
        <f t="shared" si="2"/>
        <v>17.5</v>
      </c>
      <c r="P63" s="56">
        <f t="shared" si="4"/>
        <v>40</v>
      </c>
      <c r="Q63" s="162" t="s">
        <v>202</v>
      </c>
      <c r="R63" s="58"/>
      <c r="S63" s="147" t="s">
        <v>207</v>
      </c>
      <c r="T63" s="148">
        <v>52</v>
      </c>
      <c r="U63" s="58"/>
      <c r="V63" s="46"/>
      <c r="W63" s="46"/>
      <c r="X63" s="62" t="s">
        <v>25</v>
      </c>
      <c r="Y63" s="63">
        <f>F63/E63</f>
        <v>17.5</v>
      </c>
      <c r="Z63" s="64">
        <f t="shared" si="3"/>
        <v>0</v>
      </c>
      <c r="AA63" s="64">
        <v>1549</v>
      </c>
    </row>
    <row r="64" spans="1:27" ht="18" customHeight="1">
      <c r="A64" s="63">
        <v>20250123</v>
      </c>
      <c r="B64" s="65" t="s">
        <v>199</v>
      </c>
      <c r="C64" s="66">
        <v>45836</v>
      </c>
      <c r="D64" s="66">
        <v>45855</v>
      </c>
      <c r="E64" s="67">
        <v>1</v>
      </c>
      <c r="F64" s="68">
        <v>17.5</v>
      </c>
      <c r="G64" s="69">
        <v>24</v>
      </c>
      <c r="H64" s="70" t="s">
        <v>205</v>
      </c>
      <c r="I64" s="70" t="s">
        <v>208</v>
      </c>
      <c r="J64" s="65" t="s">
        <v>26</v>
      </c>
      <c r="K64" s="53">
        <f t="shared" si="0"/>
        <v>45863</v>
      </c>
      <c r="L64" s="53">
        <f t="shared" si="1"/>
        <v>45923</v>
      </c>
      <c r="M64" s="71" t="s">
        <v>201</v>
      </c>
      <c r="N64" s="72">
        <f>E64</f>
        <v>1</v>
      </c>
      <c r="O64" s="50">
        <f t="shared" si="2"/>
        <v>17.5</v>
      </c>
      <c r="P64" s="56">
        <f t="shared" si="4"/>
        <v>24</v>
      </c>
      <c r="Q64" s="162" t="s">
        <v>202</v>
      </c>
      <c r="R64" s="58"/>
      <c r="S64" s="147" t="s">
        <v>207</v>
      </c>
      <c r="T64" s="148">
        <v>52</v>
      </c>
      <c r="U64" s="58"/>
      <c r="V64" s="46"/>
      <c r="W64" s="46"/>
      <c r="X64" s="62" t="s">
        <v>25</v>
      </c>
      <c r="Y64" s="63">
        <f>F64/E64</f>
        <v>17.5</v>
      </c>
      <c r="Z64" s="64">
        <f t="shared" si="3"/>
        <v>0</v>
      </c>
      <c r="AA64" s="64">
        <v>67</v>
      </c>
    </row>
    <row r="65" spans="1:27" ht="18" customHeight="1">
      <c r="A65" s="63">
        <v>20250123</v>
      </c>
      <c r="B65" s="65" t="s">
        <v>199</v>
      </c>
      <c r="C65" s="66">
        <v>45836</v>
      </c>
      <c r="D65" s="66">
        <v>45855</v>
      </c>
      <c r="E65" s="67">
        <v>2</v>
      </c>
      <c r="F65" s="68">
        <v>12.87</v>
      </c>
      <c r="G65" s="69">
        <v>30</v>
      </c>
      <c r="H65" s="70" t="s">
        <v>209</v>
      </c>
      <c r="I65" s="70" t="s">
        <v>24</v>
      </c>
      <c r="J65" s="65" t="s">
        <v>24</v>
      </c>
      <c r="K65" s="53">
        <f t="shared" si="0"/>
        <v>45863</v>
      </c>
      <c r="L65" s="53">
        <f t="shared" si="1"/>
        <v>45923</v>
      </c>
      <c r="M65" s="71" t="s">
        <v>201</v>
      </c>
      <c r="N65" s="72">
        <f>E65</f>
        <v>2</v>
      </c>
      <c r="O65" s="50">
        <f t="shared" si="2"/>
        <v>12.87</v>
      </c>
      <c r="P65" s="56">
        <f t="shared" si="4"/>
        <v>30</v>
      </c>
      <c r="Q65" s="162" t="s">
        <v>202</v>
      </c>
      <c r="R65" s="58"/>
      <c r="S65" s="147" t="s">
        <v>210</v>
      </c>
      <c r="T65" s="148">
        <v>110</v>
      </c>
      <c r="U65" s="58"/>
      <c r="V65" s="46"/>
      <c r="W65" s="46"/>
      <c r="X65" s="62" t="s">
        <v>25</v>
      </c>
      <c r="Y65" s="63">
        <f>F65/E65</f>
        <v>6.4349999999999996</v>
      </c>
      <c r="Z65" s="64">
        <f t="shared" si="3"/>
        <v>0</v>
      </c>
      <c r="AA65" s="64">
        <v>436</v>
      </c>
    </row>
    <row r="66" spans="1:27" ht="18" customHeight="1">
      <c r="A66" s="76">
        <v>20250123</v>
      </c>
      <c r="B66" s="77" t="s">
        <v>199</v>
      </c>
      <c r="C66" s="78">
        <v>45836</v>
      </c>
      <c r="D66" s="78">
        <v>45855</v>
      </c>
      <c r="E66" s="76">
        <v>680</v>
      </c>
      <c r="F66" s="76">
        <v>1548.16</v>
      </c>
      <c r="G66" s="76">
        <v>381</v>
      </c>
      <c r="H66" s="80" t="s">
        <v>141</v>
      </c>
      <c r="I66" s="80" t="s">
        <v>123</v>
      </c>
      <c r="J66" s="77" t="s">
        <v>123</v>
      </c>
      <c r="K66" s="78">
        <f t="shared" si="0"/>
        <v>45863</v>
      </c>
      <c r="L66" s="78">
        <f t="shared" si="1"/>
        <v>45923</v>
      </c>
      <c r="M66" s="82" t="s">
        <v>201</v>
      </c>
      <c r="N66" s="83">
        <f>E66-41-97-89-14-42-71-33-89-38-80-27-14-14-14-9-8</f>
        <v>0</v>
      </c>
      <c r="O66" s="84">
        <f t="shared" si="2"/>
        <v>0</v>
      </c>
      <c r="P66" s="83">
        <f t="shared" si="4"/>
        <v>0</v>
      </c>
      <c r="Q66" s="80" t="s">
        <v>211</v>
      </c>
      <c r="R66" s="80"/>
      <c r="S66" s="80" t="s">
        <v>212</v>
      </c>
      <c r="T66" s="86">
        <v>104</v>
      </c>
      <c r="U66" s="80"/>
      <c r="V66" s="76"/>
      <c r="W66" s="76"/>
      <c r="X66" s="76" t="s">
        <v>55</v>
      </c>
      <c r="Y66" s="63">
        <f>F66/E66</f>
        <v>2.2767058823529411</v>
      </c>
      <c r="Z66" s="181">
        <f t="shared" si="3"/>
        <v>680</v>
      </c>
      <c r="AA66" s="64">
        <v>454</v>
      </c>
    </row>
    <row r="67" spans="1:27" ht="18" customHeight="1">
      <c r="A67" s="87">
        <v>20250199</v>
      </c>
      <c r="B67" s="88" t="s">
        <v>213</v>
      </c>
      <c r="C67" s="89">
        <v>45860</v>
      </c>
      <c r="D67" s="165">
        <v>45860</v>
      </c>
      <c r="E67" s="166">
        <v>42</v>
      </c>
      <c r="F67" s="167">
        <v>296.39100000000002</v>
      </c>
      <c r="G67" s="168">
        <v>350</v>
      </c>
      <c r="H67" s="169" t="s">
        <v>214</v>
      </c>
      <c r="I67" s="169" t="s">
        <v>24</v>
      </c>
      <c r="J67" s="164" t="s">
        <v>24</v>
      </c>
      <c r="K67" s="53">
        <f t="shared" si="0"/>
        <v>45868</v>
      </c>
      <c r="L67" s="53">
        <f t="shared" si="1"/>
        <v>45928</v>
      </c>
      <c r="M67" s="170"/>
      <c r="N67" s="171">
        <f>E67-12-10-19</f>
        <v>1</v>
      </c>
      <c r="O67" s="172">
        <f t="shared" si="2"/>
        <v>7.0569285714285721</v>
      </c>
      <c r="P67" s="173">
        <f t="shared" si="4"/>
        <v>8.3333333333333339</v>
      </c>
      <c r="Q67" s="73"/>
      <c r="R67" s="58"/>
      <c r="S67" s="147" t="s">
        <v>215</v>
      </c>
      <c r="T67" s="148">
        <v>1</v>
      </c>
      <c r="U67" s="58"/>
      <c r="V67" s="46"/>
      <c r="W67" s="46"/>
      <c r="X67" s="99" t="s">
        <v>76</v>
      </c>
      <c r="Y67" s="63"/>
      <c r="Z67" s="64">
        <f t="shared" si="3"/>
        <v>41</v>
      </c>
      <c r="AA67" s="64">
        <v>191</v>
      </c>
    </row>
    <row r="68" spans="1:27" ht="18" customHeight="1">
      <c r="A68" s="63">
        <v>20250163</v>
      </c>
      <c r="B68" s="65" t="s">
        <v>216</v>
      </c>
      <c r="C68" s="66">
        <v>45810</v>
      </c>
      <c r="D68" s="66">
        <v>45867</v>
      </c>
      <c r="E68" s="67">
        <v>13</v>
      </c>
      <c r="F68" s="68">
        <v>177.18</v>
      </c>
      <c r="G68" s="69">
        <v>10</v>
      </c>
      <c r="H68" s="70" t="s">
        <v>217</v>
      </c>
      <c r="I68" s="70" t="s">
        <v>72</v>
      </c>
      <c r="J68" s="65" t="s">
        <v>72</v>
      </c>
      <c r="K68" s="53">
        <f t="shared" si="0"/>
        <v>45875</v>
      </c>
      <c r="L68" s="53">
        <f t="shared" si="1"/>
        <v>45935</v>
      </c>
      <c r="M68" s="71" t="s">
        <v>218</v>
      </c>
      <c r="N68" s="72">
        <f>E68</f>
        <v>13</v>
      </c>
      <c r="O68" s="50">
        <f t="shared" si="2"/>
        <v>177.18</v>
      </c>
      <c r="P68" s="56">
        <f t="shared" si="4"/>
        <v>10</v>
      </c>
      <c r="Q68" s="73"/>
      <c r="R68" s="149" t="s">
        <v>219</v>
      </c>
      <c r="S68" s="147" t="s">
        <v>220</v>
      </c>
      <c r="T68" s="148">
        <v>131</v>
      </c>
      <c r="U68" s="149"/>
      <c r="V68" s="46"/>
      <c r="W68" s="46"/>
      <c r="X68" s="62" t="s">
        <v>25</v>
      </c>
      <c r="Y68" s="63">
        <f t="shared" ref="Y68:Y81" si="7">F68/E68</f>
        <v>13.629230769230769</v>
      </c>
      <c r="Z68" s="64">
        <f t="shared" si="3"/>
        <v>0</v>
      </c>
      <c r="AA68" s="64">
        <v>145</v>
      </c>
    </row>
    <row r="69" spans="1:27" ht="18" customHeight="1">
      <c r="A69" s="163">
        <v>20250163</v>
      </c>
      <c r="B69" s="164" t="s">
        <v>216</v>
      </c>
      <c r="C69" s="165">
        <v>45810</v>
      </c>
      <c r="D69" s="165">
        <v>45867</v>
      </c>
      <c r="E69" s="166">
        <v>250</v>
      </c>
      <c r="F69" s="167">
        <v>251</v>
      </c>
      <c r="G69" s="168">
        <v>217</v>
      </c>
      <c r="H69" s="169" t="s">
        <v>221</v>
      </c>
      <c r="I69" s="169" t="s">
        <v>91</v>
      </c>
      <c r="J69" s="164" t="s">
        <v>92</v>
      </c>
      <c r="K69" s="53">
        <f t="shared" si="0"/>
        <v>45875</v>
      </c>
      <c r="L69" s="53">
        <f t="shared" si="1"/>
        <v>45935</v>
      </c>
      <c r="M69" s="170" t="s">
        <v>218</v>
      </c>
      <c r="N69" s="171">
        <f>E69-90-18-19</f>
        <v>123</v>
      </c>
      <c r="O69" s="172">
        <f t="shared" si="2"/>
        <v>123.492</v>
      </c>
      <c r="P69" s="173">
        <f t="shared" si="4"/>
        <v>106.764</v>
      </c>
      <c r="Q69" s="162"/>
      <c r="R69" s="58"/>
      <c r="S69" s="147" t="s">
        <v>222</v>
      </c>
      <c r="T69" s="148">
        <v>115</v>
      </c>
      <c r="U69" s="58"/>
      <c r="V69" s="46"/>
      <c r="W69" s="46"/>
      <c r="X69" s="99" t="s">
        <v>76</v>
      </c>
      <c r="Y69" s="63">
        <f t="shared" si="7"/>
        <v>1.004</v>
      </c>
      <c r="Z69" s="64">
        <f t="shared" si="3"/>
        <v>127</v>
      </c>
      <c r="AA69" s="64">
        <v>180</v>
      </c>
    </row>
    <row r="70" spans="1:27" ht="18" customHeight="1">
      <c r="A70" s="76">
        <v>20250163</v>
      </c>
      <c r="B70" s="77" t="s">
        <v>216</v>
      </c>
      <c r="C70" s="78">
        <v>45810</v>
      </c>
      <c r="D70" s="78">
        <v>45867</v>
      </c>
      <c r="E70" s="76">
        <v>1</v>
      </c>
      <c r="F70" s="79">
        <v>50</v>
      </c>
      <c r="G70" s="102">
        <v>40</v>
      </c>
      <c r="H70" s="80" t="s">
        <v>223</v>
      </c>
      <c r="I70" s="80" t="s">
        <v>24</v>
      </c>
      <c r="J70" s="77" t="s">
        <v>24</v>
      </c>
      <c r="K70" s="174">
        <f t="shared" si="0"/>
        <v>45875</v>
      </c>
      <c r="L70" s="174">
        <f t="shared" si="1"/>
        <v>45935</v>
      </c>
      <c r="M70" s="82" t="s">
        <v>218</v>
      </c>
      <c r="N70" s="83">
        <f>E70-1</f>
        <v>0</v>
      </c>
      <c r="O70" s="84">
        <f t="shared" si="2"/>
        <v>0</v>
      </c>
      <c r="P70" s="85">
        <f t="shared" si="4"/>
        <v>0</v>
      </c>
      <c r="Q70" s="80" t="s">
        <v>224</v>
      </c>
      <c r="R70" s="80"/>
      <c r="S70" s="80" t="s">
        <v>225</v>
      </c>
      <c r="T70" s="86">
        <v>32</v>
      </c>
      <c r="U70" s="80"/>
      <c r="V70" s="76"/>
      <c r="W70" s="76"/>
      <c r="X70" s="76" t="s">
        <v>55</v>
      </c>
      <c r="Y70" s="63">
        <f t="shared" si="7"/>
        <v>50</v>
      </c>
      <c r="Z70" s="64">
        <f t="shared" si="3"/>
        <v>1</v>
      </c>
      <c r="AA70" s="64">
        <v>200</v>
      </c>
    </row>
    <row r="71" spans="1:27" ht="18" customHeight="1">
      <c r="A71" s="163">
        <v>20250163</v>
      </c>
      <c r="B71" s="164" t="s">
        <v>216</v>
      </c>
      <c r="C71" s="165">
        <v>45810</v>
      </c>
      <c r="D71" s="165">
        <v>45867</v>
      </c>
      <c r="E71" s="166">
        <v>36</v>
      </c>
      <c r="F71" s="167">
        <v>156.93100000000001</v>
      </c>
      <c r="G71" s="168">
        <v>108</v>
      </c>
      <c r="H71" s="169" t="s">
        <v>223</v>
      </c>
      <c r="I71" s="169" t="s">
        <v>24</v>
      </c>
      <c r="J71" s="164" t="s">
        <v>24</v>
      </c>
      <c r="K71" s="53">
        <f t="shared" si="0"/>
        <v>45875</v>
      </c>
      <c r="L71" s="53">
        <f t="shared" si="1"/>
        <v>45935</v>
      </c>
      <c r="M71" s="170" t="s">
        <v>218</v>
      </c>
      <c r="N71" s="171">
        <f>E71-1-18-2-9-1</f>
        <v>5</v>
      </c>
      <c r="O71" s="172">
        <f t="shared" si="2"/>
        <v>21.795972222222222</v>
      </c>
      <c r="P71" s="173">
        <f t="shared" si="4"/>
        <v>15</v>
      </c>
      <c r="Q71" s="162" t="s">
        <v>224</v>
      </c>
      <c r="R71" s="58"/>
      <c r="S71" s="147" t="s">
        <v>225</v>
      </c>
      <c r="T71" s="148">
        <v>32</v>
      </c>
      <c r="U71" s="58"/>
      <c r="V71" s="46"/>
      <c r="W71" s="46"/>
      <c r="X71" s="99" t="s">
        <v>76</v>
      </c>
      <c r="Y71" s="63">
        <f t="shared" si="7"/>
        <v>4.3591944444444444</v>
      </c>
      <c r="Z71" s="64">
        <f t="shared" si="3"/>
        <v>31</v>
      </c>
      <c r="AA71" s="64">
        <v>185</v>
      </c>
    </row>
    <row r="72" spans="1:27" ht="18" customHeight="1">
      <c r="A72" s="76">
        <v>20250163</v>
      </c>
      <c r="B72" s="77" t="s">
        <v>216</v>
      </c>
      <c r="C72" s="78">
        <v>45810</v>
      </c>
      <c r="D72" s="78">
        <v>45867</v>
      </c>
      <c r="E72" s="76">
        <v>4</v>
      </c>
      <c r="F72" s="79">
        <v>144</v>
      </c>
      <c r="G72" s="102">
        <v>96</v>
      </c>
      <c r="H72" s="80" t="s">
        <v>226</v>
      </c>
      <c r="I72" s="80" t="s">
        <v>194</v>
      </c>
      <c r="J72" s="77" t="s">
        <v>26</v>
      </c>
      <c r="K72" s="174">
        <f t="shared" si="0"/>
        <v>45875</v>
      </c>
      <c r="L72" s="174">
        <f t="shared" si="1"/>
        <v>45935</v>
      </c>
      <c r="M72" s="82" t="s">
        <v>218</v>
      </c>
      <c r="N72" s="83">
        <f>E72-4</f>
        <v>0</v>
      </c>
      <c r="O72" s="84">
        <f t="shared" si="2"/>
        <v>0</v>
      </c>
      <c r="P72" s="85">
        <f t="shared" si="4"/>
        <v>0</v>
      </c>
      <c r="Q72" s="80" t="s">
        <v>227</v>
      </c>
      <c r="R72" s="80"/>
      <c r="S72" s="80" t="s">
        <v>228</v>
      </c>
      <c r="T72" s="86">
        <v>17</v>
      </c>
      <c r="U72" s="80"/>
      <c r="V72" s="76"/>
      <c r="W72" s="76"/>
      <c r="X72" s="76" t="s">
        <v>55</v>
      </c>
      <c r="Y72" s="63">
        <f t="shared" si="7"/>
        <v>36</v>
      </c>
      <c r="Z72" s="64">
        <f t="shared" si="3"/>
        <v>4</v>
      </c>
      <c r="AA72" s="64">
        <v>76</v>
      </c>
    </row>
    <row r="73" spans="1:27" ht="18" customHeight="1">
      <c r="A73" s="163">
        <v>20250163</v>
      </c>
      <c r="B73" s="164" t="s">
        <v>216</v>
      </c>
      <c r="C73" s="165">
        <v>45810</v>
      </c>
      <c r="D73" s="165">
        <v>45867</v>
      </c>
      <c r="E73" s="166">
        <v>8</v>
      </c>
      <c r="F73" s="167">
        <v>0</v>
      </c>
      <c r="G73" s="168">
        <v>24</v>
      </c>
      <c r="H73" s="169" t="s">
        <v>226</v>
      </c>
      <c r="I73" s="169" t="s">
        <v>24</v>
      </c>
      <c r="J73" s="164" t="s">
        <v>24</v>
      </c>
      <c r="K73" s="176">
        <f t="shared" ref="K73:K136" si="8">D73+8</f>
        <v>45875</v>
      </c>
      <c r="L73" s="176">
        <f t="shared" ref="L73:L136" si="9">K73+60</f>
        <v>45935</v>
      </c>
      <c r="M73" s="170" t="s">
        <v>218</v>
      </c>
      <c r="N73" s="171">
        <f>E73-6</f>
        <v>2</v>
      </c>
      <c r="O73" s="172">
        <f t="shared" ref="O73:O136" si="10">F73/E73*N73</f>
        <v>0</v>
      </c>
      <c r="P73" s="173">
        <f t="shared" si="4"/>
        <v>6</v>
      </c>
      <c r="Q73" s="162" t="s">
        <v>224</v>
      </c>
      <c r="R73" s="58"/>
      <c r="S73" s="147" t="s">
        <v>228</v>
      </c>
      <c r="T73" s="148">
        <v>17</v>
      </c>
      <c r="U73" s="58"/>
      <c r="V73" s="46"/>
      <c r="W73" s="46"/>
      <c r="X73" s="182" t="s">
        <v>76</v>
      </c>
      <c r="Y73" s="63">
        <f t="shared" si="7"/>
        <v>0</v>
      </c>
      <c r="Z73" s="64">
        <f t="shared" ref="Z73:Z136" si="11">E73-N73</f>
        <v>6</v>
      </c>
      <c r="AA73" s="64">
        <v>158</v>
      </c>
    </row>
    <row r="74" spans="1:27" ht="18" customHeight="1">
      <c r="A74" s="76">
        <v>20250163</v>
      </c>
      <c r="B74" s="77" t="s">
        <v>216</v>
      </c>
      <c r="C74" s="78">
        <v>45810</v>
      </c>
      <c r="D74" s="78">
        <v>45867</v>
      </c>
      <c r="E74" s="76">
        <v>3</v>
      </c>
      <c r="F74" s="79">
        <v>57.6</v>
      </c>
      <c r="G74" s="102">
        <v>72</v>
      </c>
      <c r="H74" s="80" t="s">
        <v>229</v>
      </c>
      <c r="I74" s="80" t="s">
        <v>42</v>
      </c>
      <c r="J74" s="77" t="s">
        <v>28</v>
      </c>
      <c r="K74" s="174">
        <f t="shared" si="8"/>
        <v>45875</v>
      </c>
      <c r="L74" s="174">
        <f t="shared" si="9"/>
        <v>45935</v>
      </c>
      <c r="M74" s="82" t="s">
        <v>218</v>
      </c>
      <c r="N74" s="83">
        <f>E74-3</f>
        <v>0</v>
      </c>
      <c r="O74" s="84">
        <f t="shared" si="10"/>
        <v>0</v>
      </c>
      <c r="P74" s="85">
        <f t="shared" ref="P74:P137" si="12">G74/E74*N74</f>
        <v>0</v>
      </c>
      <c r="Q74" s="80" t="s">
        <v>227</v>
      </c>
      <c r="R74" s="80"/>
      <c r="S74" s="80" t="s">
        <v>230</v>
      </c>
      <c r="T74" s="86">
        <v>60</v>
      </c>
      <c r="U74" s="80"/>
      <c r="V74" s="76"/>
      <c r="W74" s="76"/>
      <c r="X74" s="76" t="s">
        <v>55</v>
      </c>
      <c r="Y74" s="63">
        <f t="shared" si="7"/>
        <v>19.2</v>
      </c>
      <c r="Z74" s="64">
        <f t="shared" si="11"/>
        <v>3</v>
      </c>
      <c r="AA74" s="64">
        <v>1</v>
      </c>
    </row>
    <row r="75" spans="1:27" ht="18" customHeight="1">
      <c r="A75" s="76">
        <v>20250163</v>
      </c>
      <c r="B75" s="77" t="s">
        <v>216</v>
      </c>
      <c r="C75" s="78">
        <v>45810</v>
      </c>
      <c r="D75" s="78">
        <v>45867</v>
      </c>
      <c r="E75" s="76">
        <v>1</v>
      </c>
      <c r="F75" s="79">
        <v>0</v>
      </c>
      <c r="G75" s="102">
        <v>3</v>
      </c>
      <c r="H75" s="80" t="s">
        <v>229</v>
      </c>
      <c r="I75" s="80" t="s">
        <v>24</v>
      </c>
      <c r="J75" s="77" t="s">
        <v>24</v>
      </c>
      <c r="K75" s="174">
        <f t="shared" si="8"/>
        <v>45875</v>
      </c>
      <c r="L75" s="174">
        <f t="shared" si="9"/>
        <v>45935</v>
      </c>
      <c r="M75" s="82" t="s">
        <v>218</v>
      </c>
      <c r="N75" s="83">
        <f>E75-1</f>
        <v>0</v>
      </c>
      <c r="O75" s="84">
        <f t="shared" si="10"/>
        <v>0</v>
      </c>
      <c r="P75" s="85">
        <f t="shared" si="12"/>
        <v>0</v>
      </c>
      <c r="Q75" s="80" t="s">
        <v>224</v>
      </c>
      <c r="R75" s="80"/>
      <c r="S75" s="80" t="s">
        <v>230</v>
      </c>
      <c r="T75" s="86">
        <v>60</v>
      </c>
      <c r="U75" s="80"/>
      <c r="V75" s="76"/>
      <c r="W75" s="76"/>
      <c r="X75" s="76" t="s">
        <v>55</v>
      </c>
      <c r="Y75" s="63">
        <f t="shared" si="7"/>
        <v>0</v>
      </c>
      <c r="Z75" s="64">
        <f t="shared" si="11"/>
        <v>1</v>
      </c>
      <c r="AA75" s="64">
        <v>2</v>
      </c>
    </row>
    <row r="76" spans="1:27" ht="18" customHeight="1">
      <c r="A76" s="63">
        <v>20250163</v>
      </c>
      <c r="B76" s="65" t="s">
        <v>216</v>
      </c>
      <c r="C76" s="66">
        <v>45810</v>
      </c>
      <c r="D76" s="66">
        <v>45867</v>
      </c>
      <c r="E76" s="67">
        <v>1</v>
      </c>
      <c r="F76" s="68">
        <v>0.40300000000000002</v>
      </c>
      <c r="G76" s="69">
        <v>3</v>
      </c>
      <c r="H76" s="70" t="s">
        <v>229</v>
      </c>
      <c r="I76" s="70" t="s">
        <v>24</v>
      </c>
      <c r="J76" s="65" t="s">
        <v>24</v>
      </c>
      <c r="K76" s="53">
        <f t="shared" si="8"/>
        <v>45875</v>
      </c>
      <c r="L76" s="53">
        <f t="shared" si="9"/>
        <v>45935</v>
      </c>
      <c r="M76" s="71" t="s">
        <v>218</v>
      </c>
      <c r="N76" s="72">
        <f>E76</f>
        <v>1</v>
      </c>
      <c r="O76" s="50">
        <f t="shared" si="10"/>
        <v>0.40300000000000002</v>
      </c>
      <c r="P76" s="56">
        <f t="shared" si="12"/>
        <v>3</v>
      </c>
      <c r="Q76" s="162" t="s">
        <v>224</v>
      </c>
      <c r="R76" s="58"/>
      <c r="S76" s="147" t="s">
        <v>231</v>
      </c>
      <c r="T76" s="148">
        <v>65</v>
      </c>
      <c r="U76" s="58"/>
      <c r="V76" s="46"/>
      <c r="W76" s="46"/>
      <c r="X76" s="62" t="s">
        <v>25</v>
      </c>
      <c r="Y76" s="63">
        <f t="shared" si="7"/>
        <v>0.40300000000000002</v>
      </c>
      <c r="Z76" s="64">
        <f t="shared" si="11"/>
        <v>0</v>
      </c>
      <c r="AA76" s="64">
        <v>1</v>
      </c>
    </row>
    <row r="77" spans="1:27" ht="18" customHeight="1">
      <c r="A77" s="163">
        <v>20250163</v>
      </c>
      <c r="B77" s="164" t="s">
        <v>216</v>
      </c>
      <c r="C77" s="165">
        <v>45810</v>
      </c>
      <c r="D77" s="165">
        <v>45867</v>
      </c>
      <c r="E77" s="166">
        <v>35</v>
      </c>
      <c r="F77" s="167">
        <v>180.05</v>
      </c>
      <c r="G77" s="168">
        <v>80</v>
      </c>
      <c r="H77" s="169" t="s">
        <v>232</v>
      </c>
      <c r="I77" s="169" t="s">
        <v>233</v>
      </c>
      <c r="J77" s="164" t="s">
        <v>24</v>
      </c>
      <c r="K77" s="53">
        <f t="shared" si="8"/>
        <v>45875</v>
      </c>
      <c r="L77" s="53">
        <f t="shared" si="9"/>
        <v>45935</v>
      </c>
      <c r="M77" s="170" t="s">
        <v>218</v>
      </c>
      <c r="N77" s="171">
        <f>E77-16-15-1</f>
        <v>3</v>
      </c>
      <c r="O77" s="172">
        <f t="shared" si="10"/>
        <v>15.432857142857145</v>
      </c>
      <c r="P77" s="173">
        <f t="shared" si="12"/>
        <v>6.8571428571428568</v>
      </c>
      <c r="Q77" s="162" t="s">
        <v>224</v>
      </c>
      <c r="R77" s="58"/>
      <c r="S77" s="147" t="s">
        <v>234</v>
      </c>
      <c r="T77" s="148">
        <v>118</v>
      </c>
      <c r="U77" s="58"/>
      <c r="V77" s="46"/>
      <c r="W77" s="46"/>
      <c r="X77" s="99" t="s">
        <v>76</v>
      </c>
      <c r="Y77" s="63">
        <f t="shared" si="7"/>
        <v>5.144285714285715</v>
      </c>
      <c r="Z77" s="64">
        <f t="shared" si="11"/>
        <v>32</v>
      </c>
      <c r="AA77" s="64">
        <v>2</v>
      </c>
    </row>
    <row r="78" spans="1:27" ht="18" customHeight="1">
      <c r="A78" s="63">
        <v>20250163</v>
      </c>
      <c r="B78" s="65" t="s">
        <v>216</v>
      </c>
      <c r="C78" s="66">
        <v>45810</v>
      </c>
      <c r="D78" s="66">
        <v>45867</v>
      </c>
      <c r="E78" s="67">
        <v>71</v>
      </c>
      <c r="F78" s="68">
        <v>211.30799999999999</v>
      </c>
      <c r="G78" s="183">
        <v>120</v>
      </c>
      <c r="H78" s="70" t="s">
        <v>217</v>
      </c>
      <c r="I78" s="70" t="s">
        <v>233</v>
      </c>
      <c r="J78" s="65" t="s">
        <v>24</v>
      </c>
      <c r="K78" s="53">
        <f t="shared" si="8"/>
        <v>45875</v>
      </c>
      <c r="L78" s="53">
        <f t="shared" si="9"/>
        <v>45935</v>
      </c>
      <c r="M78" s="71" t="s">
        <v>218</v>
      </c>
      <c r="N78" s="72">
        <f>E78</f>
        <v>71</v>
      </c>
      <c r="O78" s="50">
        <f t="shared" si="10"/>
        <v>211.30799999999999</v>
      </c>
      <c r="P78" s="56">
        <f t="shared" si="12"/>
        <v>120</v>
      </c>
      <c r="Q78" s="162" t="s">
        <v>224</v>
      </c>
      <c r="R78" s="58"/>
      <c r="S78" s="147" t="s">
        <v>235</v>
      </c>
      <c r="T78" s="148">
        <v>130</v>
      </c>
      <c r="U78" s="58"/>
      <c r="V78" s="46"/>
      <c r="W78" s="46"/>
      <c r="X78" s="62" t="s">
        <v>25</v>
      </c>
      <c r="Y78" s="63">
        <f t="shared" si="7"/>
        <v>2.976169014084507</v>
      </c>
      <c r="Z78" s="64">
        <f t="shared" si="11"/>
        <v>0</v>
      </c>
      <c r="AA78" s="64">
        <v>1</v>
      </c>
    </row>
    <row r="79" spans="1:27" ht="18" customHeight="1">
      <c r="A79" s="76">
        <v>20250163</v>
      </c>
      <c r="B79" s="77" t="s">
        <v>216</v>
      </c>
      <c r="C79" s="78">
        <v>45810</v>
      </c>
      <c r="D79" s="78">
        <v>45867</v>
      </c>
      <c r="E79" s="76">
        <v>1</v>
      </c>
      <c r="F79" s="79">
        <v>22.47</v>
      </c>
      <c r="G79" s="76">
        <v>40</v>
      </c>
      <c r="H79" s="80" t="s">
        <v>236</v>
      </c>
      <c r="I79" s="80" t="s">
        <v>147</v>
      </c>
      <c r="J79" s="77" t="s">
        <v>26</v>
      </c>
      <c r="K79" s="174">
        <f t="shared" si="8"/>
        <v>45875</v>
      </c>
      <c r="L79" s="174">
        <f t="shared" si="9"/>
        <v>45935</v>
      </c>
      <c r="M79" s="82" t="s">
        <v>218</v>
      </c>
      <c r="N79" s="83">
        <f>E79-1</f>
        <v>0</v>
      </c>
      <c r="O79" s="84">
        <f t="shared" si="10"/>
        <v>0</v>
      </c>
      <c r="P79" s="85">
        <f t="shared" si="12"/>
        <v>0</v>
      </c>
      <c r="Q79" s="80" t="s">
        <v>227</v>
      </c>
      <c r="R79" s="80"/>
      <c r="S79" s="80" t="s">
        <v>237</v>
      </c>
      <c r="T79" s="86">
        <v>7</v>
      </c>
      <c r="U79" s="80"/>
      <c r="V79" s="76"/>
      <c r="W79" s="76"/>
      <c r="X79" s="76" t="s">
        <v>55</v>
      </c>
      <c r="Y79" s="63">
        <f t="shared" si="7"/>
        <v>22.47</v>
      </c>
      <c r="Z79" s="64">
        <f t="shared" si="11"/>
        <v>1</v>
      </c>
      <c r="AA79" s="64">
        <v>2</v>
      </c>
    </row>
    <row r="80" spans="1:27" ht="18" customHeight="1">
      <c r="A80" s="166">
        <v>20250163</v>
      </c>
      <c r="B80" s="175" t="s">
        <v>216</v>
      </c>
      <c r="C80" s="176">
        <v>45810</v>
      </c>
      <c r="D80" s="176">
        <v>45867</v>
      </c>
      <c r="E80" s="166">
        <v>13</v>
      </c>
      <c r="F80" s="167">
        <v>100</v>
      </c>
      <c r="G80" s="166">
        <v>42</v>
      </c>
      <c r="H80" s="147" t="s">
        <v>236</v>
      </c>
      <c r="I80" s="147" t="s">
        <v>24</v>
      </c>
      <c r="J80" s="175" t="s">
        <v>24</v>
      </c>
      <c r="K80" s="53">
        <f t="shared" si="8"/>
        <v>45875</v>
      </c>
      <c r="L80" s="53">
        <f t="shared" si="9"/>
        <v>45935</v>
      </c>
      <c r="M80" s="170" t="s">
        <v>218</v>
      </c>
      <c r="N80" s="178">
        <f>E80-6-6</f>
        <v>1</v>
      </c>
      <c r="O80" s="179">
        <f t="shared" si="10"/>
        <v>7.6923076923076925</v>
      </c>
      <c r="P80" s="173">
        <f t="shared" si="12"/>
        <v>3.2307692307692308</v>
      </c>
      <c r="Q80" s="147" t="s">
        <v>224</v>
      </c>
      <c r="R80" s="147"/>
      <c r="S80" s="147" t="s">
        <v>237</v>
      </c>
      <c r="T80" s="148">
        <v>7</v>
      </c>
      <c r="U80" s="58"/>
      <c r="V80" s="46"/>
      <c r="W80" s="46"/>
      <c r="X80" s="99" t="s">
        <v>76</v>
      </c>
      <c r="Y80" s="63">
        <f t="shared" si="7"/>
        <v>7.6923076923076925</v>
      </c>
      <c r="Z80" s="64">
        <f t="shared" si="11"/>
        <v>12</v>
      </c>
      <c r="AA80" s="64">
        <v>1</v>
      </c>
    </row>
    <row r="81" spans="1:27" ht="18" customHeight="1">
      <c r="A81" s="184">
        <v>20250134</v>
      </c>
      <c r="B81" s="185" t="s">
        <v>238</v>
      </c>
      <c r="C81" s="186">
        <v>45838</v>
      </c>
      <c r="D81" s="66">
        <v>45874</v>
      </c>
      <c r="E81" s="67">
        <v>25</v>
      </c>
      <c r="F81" s="68">
        <v>72.7</v>
      </c>
      <c r="G81" s="69">
        <v>18</v>
      </c>
      <c r="H81" s="70" t="s">
        <v>239</v>
      </c>
      <c r="I81" s="70" t="s">
        <v>86</v>
      </c>
      <c r="J81" s="65" t="s">
        <v>86</v>
      </c>
      <c r="K81" s="53">
        <f t="shared" si="8"/>
        <v>45882</v>
      </c>
      <c r="L81" s="53">
        <f t="shared" si="9"/>
        <v>45942</v>
      </c>
      <c r="M81" s="71" t="s">
        <v>240</v>
      </c>
      <c r="N81" s="72">
        <f>E81</f>
        <v>25</v>
      </c>
      <c r="O81" s="50">
        <f t="shared" si="10"/>
        <v>72.7</v>
      </c>
      <c r="P81" s="56">
        <f t="shared" si="12"/>
        <v>18</v>
      </c>
      <c r="Q81" s="162" t="s">
        <v>241</v>
      </c>
      <c r="R81" s="58"/>
      <c r="S81" s="147" t="s">
        <v>242</v>
      </c>
      <c r="T81" s="148">
        <v>67</v>
      </c>
      <c r="U81" s="58"/>
      <c r="V81" s="46"/>
      <c r="W81" s="46"/>
      <c r="X81" s="62" t="s">
        <v>25</v>
      </c>
      <c r="Y81" s="63">
        <f t="shared" si="7"/>
        <v>2.9079999999999999</v>
      </c>
      <c r="Z81" s="64">
        <f t="shared" si="11"/>
        <v>0</v>
      </c>
      <c r="AA81" s="64">
        <v>1</v>
      </c>
    </row>
    <row r="82" spans="1:27" ht="18" customHeight="1">
      <c r="A82" s="163">
        <v>20250134</v>
      </c>
      <c r="B82" s="164" t="s">
        <v>238</v>
      </c>
      <c r="C82" s="165">
        <v>45838</v>
      </c>
      <c r="D82" s="165">
        <v>45874</v>
      </c>
      <c r="E82" s="166">
        <v>147</v>
      </c>
      <c r="F82" s="167">
        <v>1461</v>
      </c>
      <c r="G82" s="168">
        <v>118</v>
      </c>
      <c r="H82" s="169" t="s">
        <v>174</v>
      </c>
      <c r="I82" s="169" t="s">
        <v>72</v>
      </c>
      <c r="J82" s="164" t="s">
        <v>72</v>
      </c>
      <c r="K82" s="53">
        <f t="shared" si="8"/>
        <v>45882</v>
      </c>
      <c r="L82" s="53">
        <f t="shared" si="9"/>
        <v>45942</v>
      </c>
      <c r="M82" s="170" t="s">
        <v>240</v>
      </c>
      <c r="N82" s="171">
        <f>E82-87-59</f>
        <v>1</v>
      </c>
      <c r="O82" s="172">
        <f t="shared" si="10"/>
        <v>9.9387755102040813</v>
      </c>
      <c r="P82" s="173">
        <f t="shared" si="12"/>
        <v>0.80272108843537415</v>
      </c>
      <c r="Q82" s="162" t="s">
        <v>243</v>
      </c>
      <c r="R82" s="149" t="s">
        <v>244</v>
      </c>
      <c r="S82" s="147" t="s">
        <v>245</v>
      </c>
      <c r="T82" s="148">
        <v>104</v>
      </c>
      <c r="U82" s="149"/>
      <c r="V82" s="46"/>
      <c r="W82" s="46"/>
      <c r="X82" s="99" t="s">
        <v>76</v>
      </c>
      <c r="Y82" s="63"/>
      <c r="Z82" s="64">
        <f t="shared" si="11"/>
        <v>146</v>
      </c>
      <c r="AA82" s="64">
        <v>1</v>
      </c>
    </row>
    <row r="83" spans="1:27" ht="18" customHeight="1">
      <c r="A83" s="116">
        <v>20250134</v>
      </c>
      <c r="B83" s="117" t="s">
        <v>238</v>
      </c>
      <c r="C83" s="118">
        <v>45838</v>
      </c>
      <c r="D83" s="118">
        <v>45874</v>
      </c>
      <c r="E83" s="46">
        <v>106</v>
      </c>
      <c r="F83" s="119">
        <v>1114.22</v>
      </c>
      <c r="G83" s="120">
        <v>85</v>
      </c>
      <c r="H83" s="121" t="s">
        <v>174</v>
      </c>
      <c r="I83" s="121" t="s">
        <v>72</v>
      </c>
      <c r="J83" s="117" t="s">
        <v>72</v>
      </c>
      <c r="K83" s="53">
        <f t="shared" si="8"/>
        <v>45882</v>
      </c>
      <c r="L83" s="53">
        <f t="shared" si="9"/>
        <v>45942</v>
      </c>
      <c r="M83" s="71" t="s">
        <v>240</v>
      </c>
      <c r="N83" s="72">
        <f>E83</f>
        <v>106</v>
      </c>
      <c r="O83" s="50">
        <f t="shared" si="10"/>
        <v>1114.22</v>
      </c>
      <c r="P83" s="56">
        <f t="shared" si="12"/>
        <v>85</v>
      </c>
      <c r="Q83" s="162" t="s">
        <v>243</v>
      </c>
      <c r="R83" s="149" t="s">
        <v>244</v>
      </c>
      <c r="S83" s="147" t="s">
        <v>246</v>
      </c>
      <c r="T83" s="148">
        <v>109</v>
      </c>
      <c r="U83" s="149"/>
      <c r="V83" s="46"/>
      <c r="W83" s="46"/>
      <c r="X83" s="62" t="s">
        <v>25</v>
      </c>
      <c r="Y83" s="63">
        <f t="shared" ref="Y83:Y89" si="13">F83/E83</f>
        <v>10.511509433962264</v>
      </c>
      <c r="Z83" s="64">
        <f t="shared" si="11"/>
        <v>0</v>
      </c>
      <c r="AA83" s="64">
        <v>1</v>
      </c>
    </row>
    <row r="84" spans="1:27" ht="18" customHeight="1">
      <c r="A84" s="163">
        <v>20250134</v>
      </c>
      <c r="B84" s="164" t="s">
        <v>238</v>
      </c>
      <c r="C84" s="165">
        <v>45838</v>
      </c>
      <c r="D84" s="165">
        <v>45874</v>
      </c>
      <c r="E84" s="166">
        <v>6</v>
      </c>
      <c r="F84" s="167">
        <v>77.954999999999998</v>
      </c>
      <c r="G84" s="168">
        <v>5</v>
      </c>
      <c r="H84" s="169" t="s">
        <v>247</v>
      </c>
      <c r="I84" s="169" t="s">
        <v>72</v>
      </c>
      <c r="J84" s="164" t="s">
        <v>72</v>
      </c>
      <c r="K84" s="53">
        <f t="shared" si="8"/>
        <v>45882</v>
      </c>
      <c r="L84" s="53">
        <f t="shared" si="9"/>
        <v>45942</v>
      </c>
      <c r="M84" s="170" t="s">
        <v>240</v>
      </c>
      <c r="N84" s="171">
        <f>E84-4</f>
        <v>2</v>
      </c>
      <c r="O84" s="172">
        <f t="shared" si="10"/>
        <v>25.984999999999999</v>
      </c>
      <c r="P84" s="173">
        <f t="shared" si="12"/>
        <v>1.6666666666666667</v>
      </c>
      <c r="Q84" s="162" t="s">
        <v>243</v>
      </c>
      <c r="R84" s="149" t="s">
        <v>248</v>
      </c>
      <c r="S84" s="147" t="s">
        <v>249</v>
      </c>
      <c r="T84" s="148">
        <v>99</v>
      </c>
      <c r="U84" s="149"/>
      <c r="V84" s="46"/>
      <c r="W84" s="46"/>
      <c r="X84" s="99" t="s">
        <v>76</v>
      </c>
      <c r="Y84" s="63">
        <f t="shared" si="13"/>
        <v>12.9925</v>
      </c>
      <c r="Z84" s="64">
        <f t="shared" si="11"/>
        <v>4</v>
      </c>
      <c r="AA84" s="64">
        <v>127</v>
      </c>
    </row>
    <row r="85" spans="1:27" ht="18" customHeight="1">
      <c r="A85" s="163">
        <v>20250134</v>
      </c>
      <c r="B85" s="164" t="s">
        <v>238</v>
      </c>
      <c r="C85" s="165">
        <v>45838</v>
      </c>
      <c r="D85" s="165">
        <v>45874</v>
      </c>
      <c r="E85" s="166">
        <v>92</v>
      </c>
      <c r="F85" s="167">
        <v>974.77</v>
      </c>
      <c r="G85" s="168">
        <v>74</v>
      </c>
      <c r="H85" s="169" t="s">
        <v>250</v>
      </c>
      <c r="I85" s="169" t="s">
        <v>72</v>
      </c>
      <c r="J85" s="164" t="s">
        <v>72</v>
      </c>
      <c r="K85" s="53">
        <f t="shared" si="8"/>
        <v>45882</v>
      </c>
      <c r="L85" s="53">
        <f t="shared" si="9"/>
        <v>45942</v>
      </c>
      <c r="M85" s="170" t="s">
        <v>240</v>
      </c>
      <c r="N85" s="171">
        <f>E85-16-20-12</f>
        <v>44</v>
      </c>
      <c r="O85" s="172">
        <f t="shared" si="10"/>
        <v>466.19434782608698</v>
      </c>
      <c r="P85" s="173">
        <f t="shared" si="12"/>
        <v>35.391304347826086</v>
      </c>
      <c r="Q85" s="162" t="s">
        <v>243</v>
      </c>
      <c r="R85" s="149" t="s">
        <v>251</v>
      </c>
      <c r="S85" s="147" t="s">
        <v>252</v>
      </c>
      <c r="T85" s="148">
        <v>102</v>
      </c>
      <c r="U85" s="149"/>
      <c r="V85" s="46"/>
      <c r="W85" s="46"/>
      <c r="X85" s="99" t="s">
        <v>76</v>
      </c>
      <c r="Y85" s="63">
        <f t="shared" si="13"/>
        <v>10.595326086956522</v>
      </c>
      <c r="Z85" s="64">
        <f t="shared" si="11"/>
        <v>48</v>
      </c>
      <c r="AA85" s="64">
        <v>44</v>
      </c>
    </row>
    <row r="86" spans="1:27" ht="18" customHeight="1">
      <c r="A86" s="76">
        <v>20250134</v>
      </c>
      <c r="B86" s="77" t="s">
        <v>238</v>
      </c>
      <c r="C86" s="78">
        <v>45838</v>
      </c>
      <c r="D86" s="78">
        <v>45874</v>
      </c>
      <c r="E86" s="76">
        <v>375</v>
      </c>
      <c r="F86" s="76">
        <v>382.45</v>
      </c>
      <c r="G86" s="76">
        <v>188</v>
      </c>
      <c r="H86" s="80" t="s">
        <v>253</v>
      </c>
      <c r="I86" s="80" t="s">
        <v>123</v>
      </c>
      <c r="J86" s="77" t="s">
        <v>123</v>
      </c>
      <c r="K86" s="78">
        <f t="shared" si="8"/>
        <v>45882</v>
      </c>
      <c r="L86" s="78">
        <f t="shared" si="9"/>
        <v>45942</v>
      </c>
      <c r="M86" s="82" t="s">
        <v>240</v>
      </c>
      <c r="N86" s="83">
        <f>E86-60-90-75-60-15-29-29-15-2</f>
        <v>0</v>
      </c>
      <c r="O86" s="84">
        <f t="shared" si="10"/>
        <v>0</v>
      </c>
      <c r="P86" s="83">
        <f t="shared" si="12"/>
        <v>0</v>
      </c>
      <c r="Q86" s="80" t="s">
        <v>254</v>
      </c>
      <c r="R86" s="80"/>
      <c r="S86" s="80" t="s">
        <v>255</v>
      </c>
      <c r="T86" s="86">
        <v>30</v>
      </c>
      <c r="U86" s="80"/>
      <c r="V86" s="76"/>
      <c r="W86" s="76"/>
      <c r="X86" s="76" t="s">
        <v>55</v>
      </c>
      <c r="Y86" s="63">
        <f t="shared" si="13"/>
        <v>1.0198666666666667</v>
      </c>
      <c r="Z86" s="64">
        <f t="shared" si="11"/>
        <v>375</v>
      </c>
      <c r="AA86" s="64">
        <v>940</v>
      </c>
    </row>
    <row r="87" spans="1:27" ht="18" customHeight="1">
      <c r="A87" s="63">
        <v>20250134</v>
      </c>
      <c r="B87" s="65" t="s">
        <v>238</v>
      </c>
      <c r="C87" s="66">
        <v>45838</v>
      </c>
      <c r="D87" s="66">
        <v>45874</v>
      </c>
      <c r="E87" s="67">
        <v>180</v>
      </c>
      <c r="F87" s="68">
        <v>172.05199999999999</v>
      </c>
      <c r="G87" s="69">
        <v>90</v>
      </c>
      <c r="H87" s="70" t="s">
        <v>256</v>
      </c>
      <c r="I87" s="70" t="s">
        <v>123</v>
      </c>
      <c r="J87" s="65" t="s">
        <v>123</v>
      </c>
      <c r="K87" s="53">
        <f t="shared" si="8"/>
        <v>45882</v>
      </c>
      <c r="L87" s="53">
        <f t="shared" si="9"/>
        <v>45942</v>
      </c>
      <c r="M87" s="71" t="s">
        <v>240</v>
      </c>
      <c r="N87" s="72">
        <f>E87</f>
        <v>180</v>
      </c>
      <c r="O87" s="50">
        <f t="shared" si="10"/>
        <v>172.05199999999999</v>
      </c>
      <c r="P87" s="56">
        <f t="shared" si="12"/>
        <v>90</v>
      </c>
      <c r="Q87" s="162" t="s">
        <v>257</v>
      </c>
      <c r="R87" s="58"/>
      <c r="S87" s="147" t="s">
        <v>258</v>
      </c>
      <c r="T87" s="148">
        <v>42</v>
      </c>
      <c r="U87" s="58"/>
      <c r="V87" s="46"/>
      <c r="W87" s="46"/>
      <c r="X87" s="62" t="s">
        <v>25</v>
      </c>
      <c r="Y87" s="63">
        <f t="shared" si="13"/>
        <v>0.95584444444444439</v>
      </c>
      <c r="Z87" s="64">
        <f t="shared" si="11"/>
        <v>0</v>
      </c>
      <c r="AA87" s="64">
        <v>125</v>
      </c>
    </row>
    <row r="88" spans="1:27" ht="18" customHeight="1">
      <c r="A88" s="163">
        <v>20250134</v>
      </c>
      <c r="B88" s="164" t="s">
        <v>238</v>
      </c>
      <c r="C88" s="165">
        <v>45838</v>
      </c>
      <c r="D88" s="165">
        <v>45874</v>
      </c>
      <c r="E88" s="166">
        <v>150</v>
      </c>
      <c r="F88" s="167">
        <v>148.667</v>
      </c>
      <c r="G88" s="168">
        <v>75</v>
      </c>
      <c r="H88" s="169" t="s">
        <v>256</v>
      </c>
      <c r="I88" s="169" t="s">
        <v>123</v>
      </c>
      <c r="J88" s="164" t="s">
        <v>123</v>
      </c>
      <c r="K88" s="53">
        <f t="shared" si="8"/>
        <v>45882</v>
      </c>
      <c r="L88" s="53">
        <f t="shared" si="9"/>
        <v>45942</v>
      </c>
      <c r="M88" s="170" t="s">
        <v>240</v>
      </c>
      <c r="N88" s="171">
        <f>E88-60</f>
        <v>90</v>
      </c>
      <c r="O88" s="172">
        <f t="shared" si="10"/>
        <v>89.200199999999995</v>
      </c>
      <c r="P88" s="173">
        <f t="shared" si="12"/>
        <v>45</v>
      </c>
      <c r="Q88" s="162" t="s">
        <v>259</v>
      </c>
      <c r="R88" s="58"/>
      <c r="S88" s="147" t="s">
        <v>260</v>
      </c>
      <c r="T88" s="148">
        <v>43</v>
      </c>
      <c r="U88" s="58"/>
      <c r="V88" s="46"/>
      <c r="W88" s="46"/>
      <c r="X88" s="182" t="s">
        <v>76</v>
      </c>
      <c r="Y88" s="63">
        <f t="shared" si="13"/>
        <v>0.99111333333333329</v>
      </c>
      <c r="Z88" s="64">
        <f t="shared" si="11"/>
        <v>60</v>
      </c>
      <c r="AA88" s="64">
        <v>81</v>
      </c>
    </row>
    <row r="89" spans="1:27" ht="18" customHeight="1">
      <c r="A89" s="163">
        <v>20250134</v>
      </c>
      <c r="B89" s="164" t="s">
        <v>238</v>
      </c>
      <c r="C89" s="165">
        <v>45838</v>
      </c>
      <c r="D89" s="165">
        <v>45874</v>
      </c>
      <c r="E89" s="166">
        <v>250</v>
      </c>
      <c r="F89" s="167">
        <v>276.21699999999998</v>
      </c>
      <c r="G89" s="168">
        <v>125</v>
      </c>
      <c r="H89" s="169" t="s">
        <v>129</v>
      </c>
      <c r="I89" s="169" t="s">
        <v>123</v>
      </c>
      <c r="J89" s="164" t="s">
        <v>123</v>
      </c>
      <c r="K89" s="53">
        <f t="shared" si="8"/>
        <v>45882</v>
      </c>
      <c r="L89" s="53">
        <f t="shared" si="9"/>
        <v>45942</v>
      </c>
      <c r="M89" s="170" t="s">
        <v>240</v>
      </c>
      <c r="N89" s="171">
        <f>E89-60</f>
        <v>190</v>
      </c>
      <c r="O89" s="172">
        <f t="shared" si="10"/>
        <v>209.92491999999999</v>
      </c>
      <c r="P89" s="173">
        <f t="shared" si="12"/>
        <v>95</v>
      </c>
      <c r="Q89" s="162" t="s">
        <v>261</v>
      </c>
      <c r="R89" s="58"/>
      <c r="S89" s="147" t="s">
        <v>262</v>
      </c>
      <c r="T89" s="148">
        <v>44</v>
      </c>
      <c r="U89" s="58"/>
      <c r="V89" s="46"/>
      <c r="W89" s="46"/>
      <c r="X89" s="182" t="s">
        <v>76</v>
      </c>
      <c r="Y89" s="63">
        <f t="shared" si="13"/>
        <v>1.104868</v>
      </c>
      <c r="Z89" s="64">
        <f t="shared" si="11"/>
        <v>60</v>
      </c>
      <c r="AA89" s="64">
        <v>20</v>
      </c>
    </row>
    <row r="90" spans="1:27" ht="18" customHeight="1">
      <c r="A90" s="163">
        <v>20250134</v>
      </c>
      <c r="B90" s="164" t="s">
        <v>238</v>
      </c>
      <c r="C90" s="165">
        <v>45838</v>
      </c>
      <c r="D90" s="165">
        <v>45874</v>
      </c>
      <c r="E90" s="166">
        <v>81</v>
      </c>
      <c r="F90" s="167">
        <v>162.65299999999999</v>
      </c>
      <c r="G90" s="168">
        <v>324</v>
      </c>
      <c r="H90" s="169" t="s">
        <v>263</v>
      </c>
      <c r="I90" s="169" t="s">
        <v>24</v>
      </c>
      <c r="J90" s="164" t="s">
        <v>24</v>
      </c>
      <c r="K90" s="53">
        <f t="shared" si="8"/>
        <v>45882</v>
      </c>
      <c r="L90" s="53">
        <f t="shared" si="9"/>
        <v>45942</v>
      </c>
      <c r="M90" s="170" t="s">
        <v>240</v>
      </c>
      <c r="N90" s="171">
        <f>E90-66-5</f>
        <v>10</v>
      </c>
      <c r="O90" s="172">
        <f t="shared" si="10"/>
        <v>20.080617283950616</v>
      </c>
      <c r="P90" s="173">
        <f t="shared" si="12"/>
        <v>40</v>
      </c>
      <c r="Q90" s="162" t="s">
        <v>264</v>
      </c>
      <c r="R90" s="58"/>
      <c r="S90" s="147" t="s">
        <v>265</v>
      </c>
      <c r="T90" s="148">
        <v>8</v>
      </c>
      <c r="U90" s="58"/>
      <c r="V90" s="46"/>
      <c r="W90" s="46"/>
      <c r="X90" s="99" t="s">
        <v>76</v>
      </c>
      <c r="Y90" s="63"/>
      <c r="Z90" s="64">
        <f t="shared" si="11"/>
        <v>71</v>
      </c>
      <c r="AA90" s="64">
        <v>1</v>
      </c>
    </row>
    <row r="91" spans="1:27" ht="18" customHeight="1">
      <c r="A91" s="76">
        <v>20250134</v>
      </c>
      <c r="B91" s="77" t="s">
        <v>238</v>
      </c>
      <c r="C91" s="78">
        <v>45838</v>
      </c>
      <c r="D91" s="78">
        <v>45874</v>
      </c>
      <c r="E91" s="76">
        <v>1</v>
      </c>
      <c r="F91" s="79">
        <v>9.2434999999999992</v>
      </c>
      <c r="G91" s="102">
        <v>24</v>
      </c>
      <c r="H91" s="80" t="s">
        <v>266</v>
      </c>
      <c r="I91" s="80" t="s">
        <v>267</v>
      </c>
      <c r="J91" s="77" t="s">
        <v>28</v>
      </c>
      <c r="K91" s="174">
        <f t="shared" si="8"/>
        <v>45882</v>
      </c>
      <c r="L91" s="174">
        <f t="shared" si="9"/>
        <v>45942</v>
      </c>
      <c r="M91" s="82" t="s">
        <v>240</v>
      </c>
      <c r="N91" s="83">
        <f>E91-1</f>
        <v>0</v>
      </c>
      <c r="O91" s="84">
        <f t="shared" si="10"/>
        <v>0</v>
      </c>
      <c r="P91" s="85">
        <f t="shared" si="12"/>
        <v>0</v>
      </c>
      <c r="Q91" s="80" t="s">
        <v>268</v>
      </c>
      <c r="R91" s="80"/>
      <c r="S91" s="80" t="s">
        <v>269</v>
      </c>
      <c r="T91" s="86">
        <v>13</v>
      </c>
      <c r="U91" s="80"/>
      <c r="V91" s="76"/>
      <c r="W91" s="76"/>
      <c r="X91" s="76" t="s">
        <v>55</v>
      </c>
      <c r="Y91" s="63">
        <f>F91/E91</f>
        <v>9.2434999999999992</v>
      </c>
      <c r="Z91" s="64">
        <f t="shared" si="11"/>
        <v>1</v>
      </c>
      <c r="AA91" s="30"/>
    </row>
    <row r="92" spans="1:27" ht="18" customHeight="1">
      <c r="A92" s="76">
        <v>20250134</v>
      </c>
      <c r="B92" s="77" t="s">
        <v>238</v>
      </c>
      <c r="C92" s="78">
        <v>45838</v>
      </c>
      <c r="D92" s="78">
        <v>45874</v>
      </c>
      <c r="E92" s="76">
        <v>1</v>
      </c>
      <c r="F92" s="79">
        <v>9.2434999999999992</v>
      </c>
      <c r="G92" s="102">
        <v>24</v>
      </c>
      <c r="H92" s="80" t="s">
        <v>266</v>
      </c>
      <c r="I92" s="80" t="s">
        <v>42</v>
      </c>
      <c r="J92" s="77" t="s">
        <v>28</v>
      </c>
      <c r="K92" s="174">
        <f t="shared" si="8"/>
        <v>45882</v>
      </c>
      <c r="L92" s="174">
        <f t="shared" si="9"/>
        <v>45942</v>
      </c>
      <c r="M92" s="82" t="s">
        <v>240</v>
      </c>
      <c r="N92" s="83">
        <f>E92-1</f>
        <v>0</v>
      </c>
      <c r="O92" s="84">
        <f t="shared" si="10"/>
        <v>0</v>
      </c>
      <c r="P92" s="85">
        <f t="shared" si="12"/>
        <v>0</v>
      </c>
      <c r="Q92" s="80" t="s">
        <v>268</v>
      </c>
      <c r="R92" s="80"/>
      <c r="S92" s="80" t="s">
        <v>269</v>
      </c>
      <c r="T92" s="86">
        <v>13</v>
      </c>
      <c r="U92" s="80"/>
      <c r="V92" s="76"/>
      <c r="W92" s="76"/>
      <c r="X92" s="76" t="s">
        <v>55</v>
      </c>
      <c r="Y92" s="63">
        <f>F92/E92</f>
        <v>9.2434999999999992</v>
      </c>
      <c r="Z92" s="64">
        <f t="shared" si="11"/>
        <v>1</v>
      </c>
      <c r="AA92" s="30"/>
    </row>
    <row r="93" spans="1:27" ht="18" customHeight="1">
      <c r="A93" s="63">
        <v>20250134</v>
      </c>
      <c r="B93" s="65" t="s">
        <v>238</v>
      </c>
      <c r="C93" s="66">
        <v>45838</v>
      </c>
      <c r="D93" s="66">
        <v>45874</v>
      </c>
      <c r="E93" s="67">
        <v>1</v>
      </c>
      <c r="F93" s="68">
        <v>0</v>
      </c>
      <c r="G93" s="69">
        <v>3</v>
      </c>
      <c r="H93" s="70" t="s">
        <v>266</v>
      </c>
      <c r="I93" s="70" t="s">
        <v>24</v>
      </c>
      <c r="J93" s="65" t="s">
        <v>24</v>
      </c>
      <c r="K93" s="53">
        <f t="shared" si="8"/>
        <v>45882</v>
      </c>
      <c r="L93" s="53">
        <f t="shared" si="9"/>
        <v>45942</v>
      </c>
      <c r="M93" s="71" t="s">
        <v>240</v>
      </c>
      <c r="N93" s="72">
        <f>E93</f>
        <v>1</v>
      </c>
      <c r="O93" s="50">
        <f t="shared" si="10"/>
        <v>0</v>
      </c>
      <c r="P93" s="56">
        <f t="shared" si="12"/>
        <v>3</v>
      </c>
      <c r="Q93" s="162" t="s">
        <v>264</v>
      </c>
      <c r="R93" s="58"/>
      <c r="S93" s="147" t="s">
        <v>269</v>
      </c>
      <c r="T93" s="148">
        <v>13</v>
      </c>
      <c r="U93" s="58"/>
      <c r="V93" s="46"/>
      <c r="W93" s="46"/>
      <c r="X93" s="62" t="s">
        <v>25</v>
      </c>
      <c r="Y93" s="63">
        <f>F93/E93</f>
        <v>0</v>
      </c>
      <c r="Z93" s="64">
        <f t="shared" si="11"/>
        <v>0</v>
      </c>
      <c r="AA93" s="30"/>
    </row>
    <row r="94" spans="1:27" ht="18" customHeight="1">
      <c r="A94" s="163">
        <v>20250134</v>
      </c>
      <c r="B94" s="164" t="s">
        <v>238</v>
      </c>
      <c r="C94" s="165">
        <v>45838</v>
      </c>
      <c r="D94" s="165">
        <v>45874</v>
      </c>
      <c r="E94" s="166">
        <v>3640</v>
      </c>
      <c r="F94" s="167">
        <v>4007.64</v>
      </c>
      <c r="G94" s="168">
        <v>3160</v>
      </c>
      <c r="H94" s="169" t="s">
        <v>270</v>
      </c>
      <c r="I94" s="169" t="s">
        <v>271</v>
      </c>
      <c r="J94" s="164" t="s">
        <v>92</v>
      </c>
      <c r="K94" s="53">
        <f t="shared" si="8"/>
        <v>45882</v>
      </c>
      <c r="L94" s="53">
        <f t="shared" si="9"/>
        <v>45942</v>
      </c>
      <c r="M94" s="170" t="s">
        <v>240</v>
      </c>
      <c r="N94" s="171">
        <f>E94-201-373-58-87-113-174-203-29-87-145-290-87-290-29-143-29-232-280-27-116-58-87-145-58-87-68-29-16</f>
        <v>99</v>
      </c>
      <c r="O94" s="172">
        <f t="shared" si="10"/>
        <v>108.999</v>
      </c>
      <c r="P94" s="173">
        <f t="shared" si="12"/>
        <v>85.945054945054949</v>
      </c>
      <c r="Q94" s="162" t="s">
        <v>272</v>
      </c>
      <c r="R94" s="58"/>
      <c r="S94" s="147" t="s">
        <v>273</v>
      </c>
      <c r="T94" s="148">
        <v>117</v>
      </c>
      <c r="U94" s="58"/>
      <c r="V94" s="46"/>
      <c r="W94" s="46"/>
      <c r="X94" s="99" t="s">
        <v>76</v>
      </c>
      <c r="Y94" s="63">
        <f>F94/E94</f>
        <v>1.101</v>
      </c>
      <c r="Z94" s="64">
        <f t="shared" si="11"/>
        <v>3541</v>
      </c>
      <c r="AA94" s="30"/>
    </row>
    <row r="95" spans="1:27" ht="18" customHeight="1">
      <c r="A95" s="76">
        <v>20250174</v>
      </c>
      <c r="B95" s="77" t="s">
        <v>274</v>
      </c>
      <c r="C95" s="78">
        <v>45847</v>
      </c>
      <c r="D95" s="78">
        <v>45881</v>
      </c>
      <c r="E95" s="76">
        <v>1</v>
      </c>
      <c r="F95" s="79">
        <v>27.9</v>
      </c>
      <c r="G95" s="102">
        <v>24</v>
      </c>
      <c r="H95" s="80" t="s">
        <v>275</v>
      </c>
      <c r="I95" s="80" t="s">
        <v>276</v>
      </c>
      <c r="J95" s="77" t="s">
        <v>26</v>
      </c>
      <c r="K95" s="174">
        <f t="shared" si="8"/>
        <v>45889</v>
      </c>
      <c r="L95" s="174">
        <f t="shared" si="9"/>
        <v>45949</v>
      </c>
      <c r="M95" s="82"/>
      <c r="N95" s="83">
        <f>E95-1</f>
        <v>0</v>
      </c>
      <c r="O95" s="84">
        <f t="shared" si="10"/>
        <v>0</v>
      </c>
      <c r="P95" s="85">
        <f t="shared" si="12"/>
        <v>0</v>
      </c>
      <c r="Q95" s="80" t="s">
        <v>268</v>
      </c>
      <c r="R95" s="80"/>
      <c r="S95" s="80" t="s">
        <v>277</v>
      </c>
      <c r="T95" s="86">
        <v>34</v>
      </c>
      <c r="U95" s="80"/>
      <c r="V95" s="76"/>
      <c r="W95" s="76"/>
      <c r="X95" s="76" t="s">
        <v>55</v>
      </c>
      <c r="Y95" s="63"/>
      <c r="Z95" s="64">
        <f t="shared" si="11"/>
        <v>1</v>
      </c>
      <c r="AA95" s="30"/>
    </row>
    <row r="96" spans="1:27" ht="18" customHeight="1">
      <c r="A96" s="76">
        <v>20250174</v>
      </c>
      <c r="B96" s="77" t="s">
        <v>274</v>
      </c>
      <c r="C96" s="78">
        <v>45847</v>
      </c>
      <c r="D96" s="78">
        <v>45881</v>
      </c>
      <c r="E96" s="76">
        <v>1</v>
      </c>
      <c r="F96" s="79">
        <v>27.9</v>
      </c>
      <c r="G96" s="102">
        <v>24</v>
      </c>
      <c r="H96" s="80" t="s">
        <v>275</v>
      </c>
      <c r="I96" s="80" t="s">
        <v>208</v>
      </c>
      <c r="J96" s="77" t="s">
        <v>26</v>
      </c>
      <c r="K96" s="174">
        <f t="shared" si="8"/>
        <v>45889</v>
      </c>
      <c r="L96" s="174">
        <f t="shared" si="9"/>
        <v>45949</v>
      </c>
      <c r="M96" s="82"/>
      <c r="N96" s="83">
        <f>E96-1</f>
        <v>0</v>
      </c>
      <c r="O96" s="84">
        <f t="shared" si="10"/>
        <v>0</v>
      </c>
      <c r="P96" s="85">
        <f t="shared" si="12"/>
        <v>0</v>
      </c>
      <c r="Q96" s="80" t="s">
        <v>278</v>
      </c>
      <c r="R96" s="80"/>
      <c r="S96" s="80" t="s">
        <v>277</v>
      </c>
      <c r="T96" s="86">
        <v>34</v>
      </c>
      <c r="U96" s="80"/>
      <c r="V96" s="76"/>
      <c r="W96" s="76"/>
      <c r="X96" s="76" t="s">
        <v>55</v>
      </c>
      <c r="Y96" s="63"/>
      <c r="Z96" s="64">
        <f t="shared" si="11"/>
        <v>1</v>
      </c>
      <c r="AA96" s="30"/>
    </row>
    <row r="97" spans="1:27" ht="18" customHeight="1">
      <c r="A97" s="163">
        <v>20250174</v>
      </c>
      <c r="B97" s="164" t="s">
        <v>274</v>
      </c>
      <c r="C97" s="165">
        <v>45847</v>
      </c>
      <c r="D97" s="165">
        <v>45881</v>
      </c>
      <c r="E97" s="166">
        <v>2</v>
      </c>
      <c r="F97" s="167">
        <v>52</v>
      </c>
      <c r="G97" s="168">
        <v>48</v>
      </c>
      <c r="H97" s="169" t="s">
        <v>275</v>
      </c>
      <c r="I97" s="169" t="s">
        <v>208</v>
      </c>
      <c r="J97" s="164" t="s">
        <v>26</v>
      </c>
      <c r="K97" s="53">
        <f t="shared" si="8"/>
        <v>45889</v>
      </c>
      <c r="L97" s="53">
        <f t="shared" si="9"/>
        <v>45949</v>
      </c>
      <c r="M97" s="170"/>
      <c r="N97" s="171">
        <f>E97</f>
        <v>2</v>
      </c>
      <c r="O97" s="172">
        <f t="shared" si="10"/>
        <v>52</v>
      </c>
      <c r="P97" s="173">
        <f t="shared" si="12"/>
        <v>48</v>
      </c>
      <c r="Q97" s="162" t="s">
        <v>278</v>
      </c>
      <c r="R97" s="58"/>
      <c r="S97" s="147" t="s">
        <v>279</v>
      </c>
      <c r="T97" s="148">
        <v>35</v>
      </c>
      <c r="U97" s="58"/>
      <c r="V97" s="46"/>
      <c r="W97" s="46"/>
      <c r="X97" s="62" t="s">
        <v>25</v>
      </c>
      <c r="Y97" s="63">
        <f t="shared" ref="Y97:Y104" si="14">F97/E97</f>
        <v>26</v>
      </c>
      <c r="Z97" s="64">
        <f t="shared" si="11"/>
        <v>0</v>
      </c>
      <c r="AA97" s="30"/>
    </row>
    <row r="98" spans="1:27" ht="18" customHeight="1">
      <c r="A98" s="63">
        <v>20250174</v>
      </c>
      <c r="B98" s="65" t="s">
        <v>274</v>
      </c>
      <c r="C98" s="66">
        <v>45847</v>
      </c>
      <c r="D98" s="66">
        <v>45881</v>
      </c>
      <c r="E98" s="67">
        <v>2</v>
      </c>
      <c r="F98" s="68">
        <v>40</v>
      </c>
      <c r="G98" s="69">
        <v>80</v>
      </c>
      <c r="H98" s="70" t="s">
        <v>280</v>
      </c>
      <c r="I98" s="70" t="s">
        <v>208</v>
      </c>
      <c r="J98" s="65" t="s">
        <v>26</v>
      </c>
      <c r="K98" s="53">
        <f t="shared" si="8"/>
        <v>45889</v>
      </c>
      <c r="L98" s="53">
        <f t="shared" si="9"/>
        <v>45949</v>
      </c>
      <c r="M98" s="71"/>
      <c r="N98" s="72">
        <f>E98</f>
        <v>2</v>
      </c>
      <c r="O98" s="50">
        <f t="shared" si="10"/>
        <v>40</v>
      </c>
      <c r="P98" s="56">
        <f t="shared" si="12"/>
        <v>80</v>
      </c>
      <c r="Q98" s="162" t="s">
        <v>278</v>
      </c>
      <c r="R98" s="58"/>
      <c r="S98" s="147" t="s">
        <v>281</v>
      </c>
      <c r="T98" s="148">
        <v>36</v>
      </c>
      <c r="U98" s="58"/>
      <c r="V98" s="46"/>
      <c r="W98" s="46"/>
      <c r="X98" s="62" t="s">
        <v>25</v>
      </c>
      <c r="Y98" s="63">
        <f t="shared" si="14"/>
        <v>20</v>
      </c>
      <c r="Z98" s="64">
        <f t="shared" si="11"/>
        <v>0</v>
      </c>
      <c r="AA98" s="30"/>
    </row>
    <row r="99" spans="1:27" ht="18" customHeight="1">
      <c r="A99" s="63">
        <v>20250174</v>
      </c>
      <c r="B99" s="65" t="s">
        <v>274</v>
      </c>
      <c r="C99" s="66">
        <v>45847</v>
      </c>
      <c r="D99" s="66">
        <v>45881</v>
      </c>
      <c r="E99" s="67">
        <v>2</v>
      </c>
      <c r="F99" s="68">
        <v>39</v>
      </c>
      <c r="G99" s="69">
        <v>48</v>
      </c>
      <c r="H99" s="70" t="s">
        <v>280</v>
      </c>
      <c r="I99" s="70" t="s">
        <v>206</v>
      </c>
      <c r="J99" s="65" t="s">
        <v>26</v>
      </c>
      <c r="K99" s="53">
        <f t="shared" si="8"/>
        <v>45889</v>
      </c>
      <c r="L99" s="53">
        <f t="shared" si="9"/>
        <v>45949</v>
      </c>
      <c r="M99" s="71"/>
      <c r="N99" s="72">
        <f>E99</f>
        <v>2</v>
      </c>
      <c r="O99" s="50">
        <f t="shared" si="10"/>
        <v>39</v>
      </c>
      <c r="P99" s="56">
        <f t="shared" si="12"/>
        <v>48</v>
      </c>
      <c r="Q99" s="162" t="s">
        <v>278</v>
      </c>
      <c r="R99" s="58"/>
      <c r="S99" s="147" t="s">
        <v>281</v>
      </c>
      <c r="T99" s="148">
        <v>36</v>
      </c>
      <c r="U99" s="58"/>
      <c r="V99" s="46"/>
      <c r="W99" s="46"/>
      <c r="X99" s="62" t="s">
        <v>25</v>
      </c>
      <c r="Y99" s="63">
        <f t="shared" si="14"/>
        <v>19.5</v>
      </c>
      <c r="Z99" s="64">
        <f t="shared" si="11"/>
        <v>0</v>
      </c>
      <c r="AA99" s="64">
        <v>1</v>
      </c>
    </row>
    <row r="100" spans="1:27" ht="18" customHeight="1">
      <c r="A100" s="76">
        <v>20250174</v>
      </c>
      <c r="B100" s="77" t="s">
        <v>274</v>
      </c>
      <c r="C100" s="78">
        <v>45847</v>
      </c>
      <c r="D100" s="78">
        <v>45881</v>
      </c>
      <c r="E100" s="76">
        <v>1</v>
      </c>
      <c r="F100" s="79">
        <v>50.734999999999999</v>
      </c>
      <c r="G100" s="76">
        <v>40</v>
      </c>
      <c r="H100" s="80" t="s">
        <v>282</v>
      </c>
      <c r="I100" s="80" t="s">
        <v>24</v>
      </c>
      <c r="J100" s="77" t="s">
        <v>24</v>
      </c>
      <c r="K100" s="174">
        <f t="shared" si="8"/>
        <v>45889</v>
      </c>
      <c r="L100" s="174">
        <f t="shared" si="9"/>
        <v>45949</v>
      </c>
      <c r="M100" s="82"/>
      <c r="N100" s="83">
        <f>E100-1</f>
        <v>0</v>
      </c>
      <c r="O100" s="84">
        <f t="shared" si="10"/>
        <v>0</v>
      </c>
      <c r="P100" s="85">
        <f t="shared" si="12"/>
        <v>0</v>
      </c>
      <c r="Q100" s="80" t="s">
        <v>283</v>
      </c>
      <c r="R100" s="80"/>
      <c r="S100" s="80" t="s">
        <v>284</v>
      </c>
      <c r="T100" s="86">
        <v>93</v>
      </c>
      <c r="U100" s="80"/>
      <c r="V100" s="76"/>
      <c r="W100" s="76"/>
      <c r="X100" s="76" t="s">
        <v>55</v>
      </c>
      <c r="Y100" s="63">
        <f t="shared" si="14"/>
        <v>50.734999999999999</v>
      </c>
      <c r="Z100" s="64">
        <f t="shared" si="11"/>
        <v>1</v>
      </c>
      <c r="AA100" s="30"/>
    </row>
    <row r="101" spans="1:27" ht="18" customHeight="1">
      <c r="A101" s="63">
        <v>20250174</v>
      </c>
      <c r="B101" s="65" t="s">
        <v>274</v>
      </c>
      <c r="C101" s="66">
        <v>45847</v>
      </c>
      <c r="D101" s="66">
        <v>45881</v>
      </c>
      <c r="E101" s="67">
        <v>8</v>
      </c>
      <c r="F101" s="68">
        <v>0</v>
      </c>
      <c r="G101" s="69">
        <v>24</v>
      </c>
      <c r="H101" s="70" t="s">
        <v>282</v>
      </c>
      <c r="I101" s="70" t="s">
        <v>147</v>
      </c>
      <c r="J101" s="65" t="s">
        <v>26</v>
      </c>
      <c r="K101" s="53">
        <f t="shared" si="8"/>
        <v>45889</v>
      </c>
      <c r="L101" s="53">
        <f t="shared" si="9"/>
        <v>45949</v>
      </c>
      <c r="M101" s="71"/>
      <c r="N101" s="72">
        <f>E101</f>
        <v>8</v>
      </c>
      <c r="O101" s="50">
        <f t="shared" si="10"/>
        <v>0</v>
      </c>
      <c r="P101" s="56">
        <f t="shared" si="12"/>
        <v>24</v>
      </c>
      <c r="Q101" s="162" t="s">
        <v>278</v>
      </c>
      <c r="R101" s="58"/>
      <c r="S101" s="147" t="s">
        <v>284</v>
      </c>
      <c r="T101" s="148">
        <v>93</v>
      </c>
      <c r="U101" s="58"/>
      <c r="V101" s="46"/>
      <c r="W101" s="46"/>
      <c r="X101" s="62" t="s">
        <v>25</v>
      </c>
      <c r="Y101" s="63">
        <f t="shared" si="14"/>
        <v>0</v>
      </c>
      <c r="Z101" s="64">
        <f t="shared" si="11"/>
        <v>0</v>
      </c>
      <c r="AA101" s="64">
        <v>273</v>
      </c>
    </row>
    <row r="102" spans="1:27" ht="18" customHeight="1">
      <c r="A102" s="163">
        <v>20250174</v>
      </c>
      <c r="B102" s="164" t="s">
        <v>274</v>
      </c>
      <c r="C102" s="165">
        <v>45847</v>
      </c>
      <c r="D102" s="165">
        <v>45881</v>
      </c>
      <c r="E102" s="166">
        <v>1000</v>
      </c>
      <c r="F102" s="167">
        <v>1106.4739999999999</v>
      </c>
      <c r="G102" s="168">
        <v>490</v>
      </c>
      <c r="H102" s="169" t="s">
        <v>285</v>
      </c>
      <c r="I102" s="169" t="s">
        <v>123</v>
      </c>
      <c r="J102" s="164" t="s">
        <v>123</v>
      </c>
      <c r="K102" s="53">
        <f t="shared" si="8"/>
        <v>45889</v>
      </c>
      <c r="L102" s="53">
        <f t="shared" si="9"/>
        <v>45949</v>
      </c>
      <c r="M102" s="170"/>
      <c r="N102" s="171">
        <f>E102-243-120-280-105-40-60-30-30-30-18-13-11</f>
        <v>20</v>
      </c>
      <c r="O102" s="172">
        <f t="shared" si="10"/>
        <v>22.129480000000001</v>
      </c>
      <c r="P102" s="173">
        <f t="shared" si="12"/>
        <v>9.8000000000000007</v>
      </c>
      <c r="Q102" s="162" t="s">
        <v>286</v>
      </c>
      <c r="R102" s="58"/>
      <c r="S102" s="147" t="s">
        <v>287</v>
      </c>
      <c r="T102" s="148">
        <v>70</v>
      </c>
      <c r="U102" s="58"/>
      <c r="V102" s="46"/>
      <c r="W102" s="46"/>
      <c r="X102" s="99" t="s">
        <v>76</v>
      </c>
      <c r="Y102" s="63">
        <f t="shared" si="14"/>
        <v>1.106474</v>
      </c>
      <c r="Z102" s="64">
        <f t="shared" si="11"/>
        <v>980</v>
      </c>
      <c r="AA102" s="64">
        <v>324</v>
      </c>
    </row>
    <row r="103" spans="1:27" ht="18" customHeight="1">
      <c r="A103" s="76">
        <v>20250174</v>
      </c>
      <c r="B103" s="77" t="s">
        <v>274</v>
      </c>
      <c r="C103" s="78">
        <v>45847</v>
      </c>
      <c r="D103" s="78">
        <v>45881</v>
      </c>
      <c r="E103" s="76">
        <v>300</v>
      </c>
      <c r="F103" s="76">
        <v>316.49700000000001</v>
      </c>
      <c r="G103" s="76">
        <v>147</v>
      </c>
      <c r="H103" s="80" t="s">
        <v>288</v>
      </c>
      <c r="I103" s="80" t="s">
        <v>123</v>
      </c>
      <c r="J103" s="77" t="s">
        <v>123</v>
      </c>
      <c r="K103" s="78">
        <f t="shared" si="8"/>
        <v>45889</v>
      </c>
      <c r="L103" s="78">
        <f t="shared" si="9"/>
        <v>45949</v>
      </c>
      <c r="M103" s="82"/>
      <c r="N103" s="83">
        <f>E103-150-70-35-25-20</f>
        <v>0</v>
      </c>
      <c r="O103" s="84">
        <f t="shared" si="10"/>
        <v>0</v>
      </c>
      <c r="P103" s="83">
        <f t="shared" si="12"/>
        <v>0</v>
      </c>
      <c r="Q103" s="80" t="s">
        <v>286</v>
      </c>
      <c r="R103" s="80"/>
      <c r="S103" s="80" t="s">
        <v>289</v>
      </c>
      <c r="T103" s="86">
        <v>58</v>
      </c>
      <c r="U103" s="80"/>
      <c r="V103" s="76"/>
      <c r="W103" s="76"/>
      <c r="X103" s="76" t="s">
        <v>55</v>
      </c>
      <c r="Y103" s="63">
        <f t="shared" si="14"/>
        <v>1.0549900000000001</v>
      </c>
      <c r="Z103" s="181">
        <f t="shared" si="11"/>
        <v>300</v>
      </c>
      <c r="AA103" s="64">
        <v>298</v>
      </c>
    </row>
    <row r="104" spans="1:27" ht="18" customHeight="1">
      <c r="A104" s="63">
        <v>20250174</v>
      </c>
      <c r="B104" s="65" t="s">
        <v>274</v>
      </c>
      <c r="C104" s="66">
        <v>45847</v>
      </c>
      <c r="D104" s="66">
        <v>45881</v>
      </c>
      <c r="E104" s="67">
        <v>200</v>
      </c>
      <c r="F104" s="68">
        <v>217.2</v>
      </c>
      <c r="G104" s="69">
        <v>98</v>
      </c>
      <c r="H104" s="70" t="s">
        <v>290</v>
      </c>
      <c r="I104" s="70" t="s">
        <v>123</v>
      </c>
      <c r="J104" s="65" t="s">
        <v>123</v>
      </c>
      <c r="K104" s="53">
        <f t="shared" si="8"/>
        <v>45889</v>
      </c>
      <c r="L104" s="53">
        <f t="shared" si="9"/>
        <v>45949</v>
      </c>
      <c r="M104" s="71"/>
      <c r="N104" s="72">
        <f>E104</f>
        <v>200</v>
      </c>
      <c r="O104" s="50">
        <f t="shared" si="10"/>
        <v>217.19999999999996</v>
      </c>
      <c r="P104" s="56">
        <f t="shared" si="12"/>
        <v>98</v>
      </c>
      <c r="Q104" s="162" t="s">
        <v>286</v>
      </c>
      <c r="R104" s="58"/>
      <c r="S104" s="147" t="s">
        <v>291</v>
      </c>
      <c r="T104" s="148">
        <v>109</v>
      </c>
      <c r="U104" s="58"/>
      <c r="V104" s="46"/>
      <c r="W104" s="46"/>
      <c r="X104" s="62" t="s">
        <v>25</v>
      </c>
      <c r="Y104" s="63">
        <f t="shared" si="14"/>
        <v>1.0859999999999999</v>
      </c>
      <c r="Z104" s="64">
        <f t="shared" si="11"/>
        <v>0</v>
      </c>
      <c r="AA104" s="64">
        <v>719</v>
      </c>
    </row>
    <row r="105" spans="1:27" ht="18" customHeight="1">
      <c r="A105" s="163">
        <v>20250174</v>
      </c>
      <c r="B105" s="164" t="s">
        <v>274</v>
      </c>
      <c r="C105" s="165">
        <v>45847</v>
      </c>
      <c r="D105" s="165">
        <v>45881</v>
      </c>
      <c r="E105" s="166">
        <v>2600</v>
      </c>
      <c r="F105" s="167">
        <v>2256.9319999999998</v>
      </c>
      <c r="G105" s="168">
        <v>1820</v>
      </c>
      <c r="H105" s="169" t="s">
        <v>292</v>
      </c>
      <c r="I105" s="169" t="s">
        <v>86</v>
      </c>
      <c r="J105" s="169" t="s">
        <v>86</v>
      </c>
      <c r="K105" s="53">
        <f t="shared" si="8"/>
        <v>45889</v>
      </c>
      <c r="L105" s="53">
        <f t="shared" si="9"/>
        <v>45949</v>
      </c>
      <c r="M105" s="170"/>
      <c r="N105" s="171">
        <f>E105-10-10-25-10-20-11-5-5-15-15-10-20-5-50-5-17-16-16-64-156-288-48-160-48-64-64-64-32-16-16-32-40-16-16-16-16-16-48-32-32</f>
        <v>1051</v>
      </c>
      <c r="O105" s="172">
        <f t="shared" si="10"/>
        <v>912.32135846153847</v>
      </c>
      <c r="P105" s="173">
        <f t="shared" si="12"/>
        <v>735.69999999999993</v>
      </c>
      <c r="Q105" s="162" t="s">
        <v>293</v>
      </c>
      <c r="R105" s="58"/>
      <c r="S105" s="147" t="s">
        <v>294</v>
      </c>
      <c r="T105" s="148">
        <v>82</v>
      </c>
      <c r="U105" s="58"/>
      <c r="V105" s="46"/>
      <c r="W105" s="46"/>
      <c r="X105" s="99" t="s">
        <v>76</v>
      </c>
      <c r="Y105" s="63"/>
      <c r="Z105" s="64">
        <f t="shared" si="11"/>
        <v>1549</v>
      </c>
      <c r="AA105" s="30"/>
    </row>
    <row r="106" spans="1:27" ht="18" customHeight="1">
      <c r="A106" s="87">
        <v>20250195</v>
      </c>
      <c r="B106" s="88" t="s">
        <v>295</v>
      </c>
      <c r="C106" s="89">
        <v>45857</v>
      </c>
      <c r="D106" s="89">
        <v>45888</v>
      </c>
      <c r="E106" s="166">
        <v>68</v>
      </c>
      <c r="F106" s="167">
        <v>365.19600000000003</v>
      </c>
      <c r="G106" s="168">
        <v>54</v>
      </c>
      <c r="H106" s="169" t="s">
        <v>296</v>
      </c>
      <c r="I106" s="169" t="s">
        <v>72</v>
      </c>
      <c r="J106" s="164" t="s">
        <v>72</v>
      </c>
      <c r="K106" s="53">
        <f t="shared" si="8"/>
        <v>45896</v>
      </c>
      <c r="L106" s="53">
        <f t="shared" si="9"/>
        <v>45956</v>
      </c>
      <c r="M106" s="170"/>
      <c r="N106" s="171">
        <f>E106-56-11</f>
        <v>1</v>
      </c>
      <c r="O106" s="172">
        <f t="shared" si="10"/>
        <v>5.3705294117647062</v>
      </c>
      <c r="P106" s="173">
        <f t="shared" si="12"/>
        <v>0.79411764705882348</v>
      </c>
      <c r="Q106" s="73"/>
      <c r="R106" s="187" t="s">
        <v>297</v>
      </c>
      <c r="S106" s="147" t="s">
        <v>298</v>
      </c>
      <c r="T106" s="148">
        <v>150</v>
      </c>
      <c r="U106" s="149"/>
      <c r="V106" s="46"/>
      <c r="W106" s="46"/>
      <c r="X106" s="99" t="s">
        <v>76</v>
      </c>
      <c r="Y106" s="63">
        <f t="shared" ref="Y106:Y115" si="15">F106/E106</f>
        <v>5.3705294117647062</v>
      </c>
      <c r="Z106" s="64">
        <f t="shared" si="11"/>
        <v>67</v>
      </c>
      <c r="AA106" s="64">
        <v>1</v>
      </c>
    </row>
    <row r="107" spans="1:27" ht="18" customHeight="1">
      <c r="A107" s="163">
        <v>20250195</v>
      </c>
      <c r="B107" s="164" t="s">
        <v>295</v>
      </c>
      <c r="C107" s="165">
        <v>45857</v>
      </c>
      <c r="D107" s="165">
        <v>45888</v>
      </c>
      <c r="E107" s="166">
        <v>467</v>
      </c>
      <c r="F107" s="167">
        <v>2454.1979999999999</v>
      </c>
      <c r="G107" s="168">
        <v>373</v>
      </c>
      <c r="H107" s="169" t="s">
        <v>299</v>
      </c>
      <c r="I107" s="169" t="s">
        <v>52</v>
      </c>
      <c r="J107" s="164" t="s">
        <v>52</v>
      </c>
      <c r="K107" s="53">
        <f t="shared" si="8"/>
        <v>45896</v>
      </c>
      <c r="L107" s="53">
        <f t="shared" si="9"/>
        <v>45956</v>
      </c>
      <c r="M107" s="170"/>
      <c r="N107" s="171">
        <f>E107-16-77-112-58-143-30</f>
        <v>31</v>
      </c>
      <c r="O107" s="172">
        <f t="shared" si="10"/>
        <v>162.91250107066381</v>
      </c>
      <c r="P107" s="173">
        <f t="shared" si="12"/>
        <v>24.760171306209852</v>
      </c>
      <c r="Q107" s="162" t="s">
        <v>300</v>
      </c>
      <c r="R107" s="58"/>
      <c r="S107" s="147" t="s">
        <v>301</v>
      </c>
      <c r="T107" s="148">
        <v>148</v>
      </c>
      <c r="U107" s="58"/>
      <c r="V107" s="46"/>
      <c r="W107" s="46"/>
      <c r="X107" s="99" t="s">
        <v>76</v>
      </c>
      <c r="Y107" s="63">
        <f t="shared" si="15"/>
        <v>5.2552419700214132</v>
      </c>
      <c r="Z107" s="64">
        <f t="shared" si="11"/>
        <v>436</v>
      </c>
      <c r="AA107" s="64">
        <v>1</v>
      </c>
    </row>
    <row r="108" spans="1:27" ht="18" customHeight="1">
      <c r="A108" s="163">
        <v>20250195</v>
      </c>
      <c r="B108" s="164" t="s">
        <v>295</v>
      </c>
      <c r="C108" s="165">
        <v>45857</v>
      </c>
      <c r="D108" s="165">
        <v>45888</v>
      </c>
      <c r="E108" s="166">
        <v>500</v>
      </c>
      <c r="F108" s="167">
        <v>550</v>
      </c>
      <c r="G108" s="168">
        <v>245</v>
      </c>
      <c r="H108" s="169" t="s">
        <v>302</v>
      </c>
      <c r="I108" s="169" t="s">
        <v>303</v>
      </c>
      <c r="J108" s="164" t="s">
        <v>123</v>
      </c>
      <c r="K108" s="53">
        <f t="shared" si="8"/>
        <v>45896</v>
      </c>
      <c r="L108" s="53">
        <f t="shared" si="9"/>
        <v>45956</v>
      </c>
      <c r="M108" s="170"/>
      <c r="N108" s="171">
        <f>E108-120-54-56-75-81-68</f>
        <v>46</v>
      </c>
      <c r="O108" s="172">
        <f t="shared" si="10"/>
        <v>50.6</v>
      </c>
      <c r="P108" s="173">
        <f t="shared" si="12"/>
        <v>22.54</v>
      </c>
      <c r="Q108" s="162" t="s">
        <v>304</v>
      </c>
      <c r="R108" s="58"/>
      <c r="S108" s="147" t="s">
        <v>305</v>
      </c>
      <c r="T108" s="148">
        <v>151</v>
      </c>
      <c r="U108" s="58"/>
      <c r="V108" s="46"/>
      <c r="W108" s="46"/>
      <c r="X108" s="99" t="s">
        <v>76</v>
      </c>
      <c r="Y108" s="63">
        <f t="shared" si="15"/>
        <v>1.1000000000000001</v>
      </c>
      <c r="Z108" s="64">
        <f t="shared" si="11"/>
        <v>454</v>
      </c>
      <c r="AA108" s="64">
        <v>146</v>
      </c>
    </row>
    <row r="109" spans="1:27" ht="18" customHeight="1">
      <c r="A109" s="163">
        <v>20250195</v>
      </c>
      <c r="B109" s="164" t="s">
        <v>295</v>
      </c>
      <c r="C109" s="165">
        <v>45857</v>
      </c>
      <c r="D109" s="165">
        <v>45888</v>
      </c>
      <c r="E109" s="166">
        <v>200</v>
      </c>
      <c r="F109" s="167">
        <v>330</v>
      </c>
      <c r="G109" s="168">
        <v>174</v>
      </c>
      <c r="H109" s="169" t="s">
        <v>134</v>
      </c>
      <c r="I109" s="169" t="s">
        <v>91</v>
      </c>
      <c r="J109" s="164" t="s">
        <v>92</v>
      </c>
      <c r="K109" s="53">
        <f t="shared" si="8"/>
        <v>45896</v>
      </c>
      <c r="L109" s="53">
        <f t="shared" si="9"/>
        <v>45956</v>
      </c>
      <c r="M109" s="170"/>
      <c r="N109" s="171">
        <f>E109-36-125-30</f>
        <v>9</v>
      </c>
      <c r="O109" s="172">
        <f t="shared" si="10"/>
        <v>14.85</v>
      </c>
      <c r="P109" s="173">
        <f t="shared" si="12"/>
        <v>7.83</v>
      </c>
      <c r="Q109" s="73"/>
      <c r="R109" s="58"/>
      <c r="S109" s="147" t="s">
        <v>306</v>
      </c>
      <c r="T109" s="148">
        <v>35</v>
      </c>
      <c r="U109" s="58"/>
      <c r="V109" s="46"/>
      <c r="W109" s="46"/>
      <c r="X109" s="99" t="s">
        <v>76</v>
      </c>
      <c r="Y109" s="63">
        <f t="shared" si="15"/>
        <v>1.65</v>
      </c>
      <c r="Z109" s="64">
        <f t="shared" si="11"/>
        <v>191</v>
      </c>
      <c r="AA109" s="64">
        <v>272</v>
      </c>
    </row>
    <row r="110" spans="1:27" ht="18" customHeight="1">
      <c r="A110" s="163">
        <v>20250195</v>
      </c>
      <c r="B110" s="164" t="s">
        <v>295</v>
      </c>
      <c r="C110" s="165">
        <v>45857</v>
      </c>
      <c r="D110" s="165">
        <v>45888</v>
      </c>
      <c r="E110" s="166">
        <v>200</v>
      </c>
      <c r="F110" s="167">
        <v>330</v>
      </c>
      <c r="G110" s="168">
        <v>174</v>
      </c>
      <c r="H110" s="169" t="s">
        <v>134</v>
      </c>
      <c r="I110" s="169" t="s">
        <v>91</v>
      </c>
      <c r="J110" s="164" t="s">
        <v>92</v>
      </c>
      <c r="K110" s="176">
        <f t="shared" si="8"/>
        <v>45896</v>
      </c>
      <c r="L110" s="176">
        <f t="shared" si="9"/>
        <v>45956</v>
      </c>
      <c r="M110" s="170"/>
      <c r="N110" s="171">
        <f>E110-95-50</f>
        <v>55</v>
      </c>
      <c r="O110" s="172">
        <f t="shared" si="10"/>
        <v>90.75</v>
      </c>
      <c r="P110" s="173">
        <f t="shared" si="12"/>
        <v>47.85</v>
      </c>
      <c r="Q110" s="73"/>
      <c r="R110" s="58"/>
      <c r="S110" s="147" t="s">
        <v>307</v>
      </c>
      <c r="T110" s="148">
        <v>34</v>
      </c>
      <c r="U110" s="58"/>
      <c r="V110" s="46"/>
      <c r="W110" s="46"/>
      <c r="X110" s="99" t="s">
        <v>76</v>
      </c>
      <c r="Y110" s="63">
        <f t="shared" si="15"/>
        <v>1.65</v>
      </c>
      <c r="Z110" s="64">
        <f t="shared" si="11"/>
        <v>145</v>
      </c>
      <c r="AA110" s="64">
        <v>69</v>
      </c>
    </row>
    <row r="111" spans="1:27" ht="18" customHeight="1">
      <c r="A111" s="163">
        <v>20250195</v>
      </c>
      <c r="B111" s="164" t="s">
        <v>295</v>
      </c>
      <c r="C111" s="165">
        <v>45857</v>
      </c>
      <c r="D111" s="165">
        <v>45888</v>
      </c>
      <c r="E111" s="166">
        <v>200</v>
      </c>
      <c r="F111" s="167">
        <v>330</v>
      </c>
      <c r="G111" s="168">
        <v>174</v>
      </c>
      <c r="H111" s="169" t="s">
        <v>134</v>
      </c>
      <c r="I111" s="169" t="s">
        <v>91</v>
      </c>
      <c r="J111" s="164" t="s">
        <v>92</v>
      </c>
      <c r="K111" s="176">
        <f t="shared" si="8"/>
        <v>45896</v>
      </c>
      <c r="L111" s="176">
        <f t="shared" si="9"/>
        <v>45956</v>
      </c>
      <c r="M111" s="170"/>
      <c r="N111" s="171">
        <f>E111-85-95</f>
        <v>20</v>
      </c>
      <c r="O111" s="172">
        <f t="shared" si="10"/>
        <v>33</v>
      </c>
      <c r="P111" s="173">
        <f t="shared" si="12"/>
        <v>17.399999999999999</v>
      </c>
      <c r="Q111" s="73"/>
      <c r="R111" s="58"/>
      <c r="S111" s="147" t="s">
        <v>308</v>
      </c>
      <c r="T111" s="148">
        <v>37</v>
      </c>
      <c r="U111" s="58"/>
      <c r="V111" s="46"/>
      <c r="W111" s="46"/>
      <c r="X111" s="99" t="s">
        <v>76</v>
      </c>
      <c r="Y111" s="63">
        <f t="shared" si="15"/>
        <v>1.65</v>
      </c>
      <c r="Z111" s="64">
        <f t="shared" si="11"/>
        <v>180</v>
      </c>
      <c r="AA111" s="64">
        <v>95</v>
      </c>
    </row>
    <row r="112" spans="1:27" ht="18" customHeight="1">
      <c r="A112" s="76">
        <v>20250195</v>
      </c>
      <c r="B112" s="77" t="s">
        <v>295</v>
      </c>
      <c r="C112" s="78">
        <v>45857</v>
      </c>
      <c r="D112" s="78">
        <v>45888</v>
      </c>
      <c r="E112" s="76">
        <v>200</v>
      </c>
      <c r="F112" s="79">
        <v>330</v>
      </c>
      <c r="G112" s="76">
        <v>174</v>
      </c>
      <c r="H112" s="80" t="s">
        <v>90</v>
      </c>
      <c r="I112" s="80" t="s">
        <v>91</v>
      </c>
      <c r="J112" s="77" t="s">
        <v>92</v>
      </c>
      <c r="K112" s="78">
        <f t="shared" si="8"/>
        <v>45896</v>
      </c>
      <c r="L112" s="78">
        <f t="shared" si="9"/>
        <v>45956</v>
      </c>
      <c r="M112" s="82"/>
      <c r="N112" s="83">
        <f>E112-18-130-52</f>
        <v>0</v>
      </c>
      <c r="O112" s="84">
        <f t="shared" si="10"/>
        <v>0</v>
      </c>
      <c r="P112" s="83">
        <f t="shared" si="12"/>
        <v>0</v>
      </c>
      <c r="Q112" s="80"/>
      <c r="R112" s="80"/>
      <c r="S112" s="80" t="s">
        <v>309</v>
      </c>
      <c r="T112" s="86">
        <v>38</v>
      </c>
      <c r="U112" s="80"/>
      <c r="V112" s="76"/>
      <c r="W112" s="76"/>
      <c r="X112" s="76" t="s">
        <v>55</v>
      </c>
      <c r="Y112" s="63">
        <f t="shared" si="15"/>
        <v>1.65</v>
      </c>
      <c r="Z112" s="64">
        <f t="shared" si="11"/>
        <v>200</v>
      </c>
      <c r="AA112" s="64">
        <v>84</v>
      </c>
    </row>
    <row r="113" spans="1:27" ht="18" customHeight="1">
      <c r="A113" s="163">
        <v>20250195</v>
      </c>
      <c r="B113" s="164" t="s">
        <v>295</v>
      </c>
      <c r="C113" s="165">
        <v>45857</v>
      </c>
      <c r="D113" s="165">
        <v>45888</v>
      </c>
      <c r="E113" s="166">
        <v>200</v>
      </c>
      <c r="F113" s="167">
        <v>330</v>
      </c>
      <c r="G113" s="168">
        <v>174</v>
      </c>
      <c r="H113" s="169" t="s">
        <v>90</v>
      </c>
      <c r="I113" s="169" t="s">
        <v>91</v>
      </c>
      <c r="J113" s="164" t="s">
        <v>92</v>
      </c>
      <c r="K113" s="53">
        <f t="shared" si="8"/>
        <v>45896</v>
      </c>
      <c r="L113" s="53">
        <f t="shared" si="9"/>
        <v>45956</v>
      </c>
      <c r="M113" s="170"/>
      <c r="N113" s="171">
        <f>E113-20-90-20-25-30</f>
        <v>15</v>
      </c>
      <c r="O113" s="172">
        <f t="shared" si="10"/>
        <v>24.75</v>
      </c>
      <c r="P113" s="173">
        <f t="shared" si="12"/>
        <v>13.05</v>
      </c>
      <c r="Q113" s="73"/>
      <c r="R113" s="58"/>
      <c r="S113" s="147" t="s">
        <v>310</v>
      </c>
      <c r="T113" s="148">
        <v>39</v>
      </c>
      <c r="U113" s="58"/>
      <c r="V113" s="46"/>
      <c r="W113" s="46"/>
      <c r="X113" s="99" t="s">
        <v>76</v>
      </c>
      <c r="Y113" s="63">
        <f t="shared" si="15"/>
        <v>1.65</v>
      </c>
      <c r="Z113" s="64">
        <f t="shared" si="11"/>
        <v>185</v>
      </c>
      <c r="AA113" s="64">
        <v>60</v>
      </c>
    </row>
    <row r="114" spans="1:27" ht="18" customHeight="1">
      <c r="A114" s="163">
        <v>20250195</v>
      </c>
      <c r="B114" s="164" t="s">
        <v>295</v>
      </c>
      <c r="C114" s="165">
        <v>45857</v>
      </c>
      <c r="D114" s="165">
        <v>45888</v>
      </c>
      <c r="E114" s="166">
        <v>80</v>
      </c>
      <c r="F114" s="167">
        <v>132</v>
      </c>
      <c r="G114" s="168">
        <v>69</v>
      </c>
      <c r="H114" s="169" t="s">
        <v>90</v>
      </c>
      <c r="I114" s="169" t="s">
        <v>91</v>
      </c>
      <c r="J114" s="164" t="s">
        <v>92</v>
      </c>
      <c r="K114" s="53">
        <f t="shared" si="8"/>
        <v>45896</v>
      </c>
      <c r="L114" s="53">
        <f t="shared" si="9"/>
        <v>45956</v>
      </c>
      <c r="M114" s="170"/>
      <c r="N114" s="171">
        <f>E114-20-56</f>
        <v>4</v>
      </c>
      <c r="O114" s="172">
        <f t="shared" si="10"/>
        <v>6.6</v>
      </c>
      <c r="P114" s="173">
        <f t="shared" si="12"/>
        <v>3.45</v>
      </c>
      <c r="Q114" s="73"/>
      <c r="R114" s="58"/>
      <c r="S114" s="147" t="s">
        <v>311</v>
      </c>
      <c r="T114" s="148">
        <v>40</v>
      </c>
      <c r="U114" s="58"/>
      <c r="V114" s="46"/>
      <c r="W114" s="46"/>
      <c r="X114" s="99" t="s">
        <v>76</v>
      </c>
      <c r="Y114" s="63">
        <f t="shared" si="15"/>
        <v>1.65</v>
      </c>
      <c r="Z114" s="64">
        <f t="shared" si="11"/>
        <v>76</v>
      </c>
      <c r="AA114" s="64">
        <v>536</v>
      </c>
    </row>
    <row r="115" spans="1:27" ht="18" customHeight="1">
      <c r="A115" s="163">
        <v>20250195</v>
      </c>
      <c r="B115" s="164" t="s">
        <v>295</v>
      </c>
      <c r="C115" s="165">
        <v>45857</v>
      </c>
      <c r="D115" s="165">
        <v>45888</v>
      </c>
      <c r="E115" s="166">
        <v>160</v>
      </c>
      <c r="F115" s="167">
        <v>264</v>
      </c>
      <c r="G115" s="168">
        <v>139</v>
      </c>
      <c r="H115" s="169" t="s">
        <v>90</v>
      </c>
      <c r="I115" s="169" t="s">
        <v>91</v>
      </c>
      <c r="J115" s="164" t="s">
        <v>92</v>
      </c>
      <c r="K115" s="53">
        <f t="shared" si="8"/>
        <v>45896</v>
      </c>
      <c r="L115" s="53">
        <f t="shared" si="9"/>
        <v>45956</v>
      </c>
      <c r="M115" s="170"/>
      <c r="N115" s="171">
        <f>E115-18-68-60-12</f>
        <v>2</v>
      </c>
      <c r="O115" s="172">
        <f t="shared" si="10"/>
        <v>3.3</v>
      </c>
      <c r="P115" s="173">
        <f t="shared" si="12"/>
        <v>1.7375</v>
      </c>
      <c r="Q115" s="73"/>
      <c r="R115" s="58"/>
      <c r="S115" s="147" t="s">
        <v>312</v>
      </c>
      <c r="T115" s="148">
        <v>41</v>
      </c>
      <c r="U115" s="58"/>
      <c r="V115" s="46"/>
      <c r="W115" s="46"/>
      <c r="X115" s="99" t="s">
        <v>76</v>
      </c>
      <c r="Y115" s="63">
        <f t="shared" si="15"/>
        <v>1.65</v>
      </c>
      <c r="Z115" s="64">
        <f t="shared" si="11"/>
        <v>158</v>
      </c>
      <c r="AA115" s="64">
        <v>1</v>
      </c>
    </row>
    <row r="116" spans="1:27" ht="18" customHeight="1">
      <c r="A116" s="163">
        <v>20250195</v>
      </c>
      <c r="B116" s="164" t="s">
        <v>295</v>
      </c>
      <c r="C116" s="165">
        <v>45857</v>
      </c>
      <c r="D116" s="165">
        <v>45888</v>
      </c>
      <c r="E116" s="166">
        <v>2</v>
      </c>
      <c r="F116" s="167">
        <v>25</v>
      </c>
      <c r="G116" s="168">
        <v>48</v>
      </c>
      <c r="H116" s="169" t="s">
        <v>313</v>
      </c>
      <c r="I116" s="169" t="s">
        <v>42</v>
      </c>
      <c r="J116" s="164" t="s">
        <v>28</v>
      </c>
      <c r="K116" s="53">
        <f t="shared" si="8"/>
        <v>45896</v>
      </c>
      <c r="L116" s="53">
        <f t="shared" si="9"/>
        <v>45956</v>
      </c>
      <c r="M116" s="170"/>
      <c r="N116" s="171">
        <f>E116-1</f>
        <v>1</v>
      </c>
      <c r="O116" s="172">
        <f t="shared" si="10"/>
        <v>12.5</v>
      </c>
      <c r="P116" s="173">
        <f t="shared" si="12"/>
        <v>24</v>
      </c>
      <c r="Q116" s="162" t="s">
        <v>314</v>
      </c>
      <c r="R116" s="58"/>
      <c r="S116" s="147" t="s">
        <v>315</v>
      </c>
      <c r="T116" s="148">
        <v>103</v>
      </c>
      <c r="U116" s="58"/>
      <c r="V116" s="46"/>
      <c r="W116" s="46"/>
      <c r="X116" s="99" t="s">
        <v>76</v>
      </c>
      <c r="Y116" s="63">
        <v>27.5</v>
      </c>
      <c r="Z116" s="64">
        <f t="shared" si="11"/>
        <v>1</v>
      </c>
      <c r="AA116" s="64">
        <v>3</v>
      </c>
    </row>
    <row r="117" spans="1:27" ht="18" customHeight="1">
      <c r="A117" s="76">
        <v>20250195</v>
      </c>
      <c r="B117" s="77" t="s">
        <v>295</v>
      </c>
      <c r="C117" s="78">
        <v>45857</v>
      </c>
      <c r="D117" s="78">
        <v>45888</v>
      </c>
      <c r="E117" s="76">
        <v>2</v>
      </c>
      <c r="F117" s="79">
        <v>30</v>
      </c>
      <c r="G117" s="102">
        <v>48</v>
      </c>
      <c r="H117" s="80" t="s">
        <v>313</v>
      </c>
      <c r="I117" s="80" t="s">
        <v>42</v>
      </c>
      <c r="J117" s="77" t="s">
        <v>28</v>
      </c>
      <c r="K117" s="174">
        <f t="shared" si="8"/>
        <v>45896</v>
      </c>
      <c r="L117" s="174">
        <f t="shared" si="9"/>
        <v>45956</v>
      </c>
      <c r="M117" s="82"/>
      <c r="N117" s="83">
        <f>E117-2</f>
        <v>0</v>
      </c>
      <c r="O117" s="84">
        <f t="shared" si="10"/>
        <v>0</v>
      </c>
      <c r="P117" s="85">
        <f t="shared" si="12"/>
        <v>0</v>
      </c>
      <c r="Q117" s="80" t="s">
        <v>314</v>
      </c>
      <c r="R117" s="80"/>
      <c r="S117" s="80" t="s">
        <v>316</v>
      </c>
      <c r="T117" s="86">
        <v>104</v>
      </c>
      <c r="U117" s="80"/>
      <c r="V117" s="76"/>
      <c r="W117" s="76"/>
      <c r="X117" s="76" t="s">
        <v>55</v>
      </c>
      <c r="Y117" s="63"/>
      <c r="Z117" s="64">
        <f t="shared" si="11"/>
        <v>2</v>
      </c>
      <c r="AA117" s="30"/>
    </row>
    <row r="118" spans="1:27" ht="18" customHeight="1">
      <c r="A118" s="76">
        <v>20250195</v>
      </c>
      <c r="B118" s="77" t="s">
        <v>295</v>
      </c>
      <c r="C118" s="78">
        <v>45857</v>
      </c>
      <c r="D118" s="78">
        <v>45888</v>
      </c>
      <c r="E118" s="76">
        <v>1</v>
      </c>
      <c r="F118" s="79">
        <v>31.47</v>
      </c>
      <c r="G118" s="102">
        <v>60</v>
      </c>
      <c r="H118" s="80" t="s">
        <v>317</v>
      </c>
      <c r="I118" s="80" t="s">
        <v>138</v>
      </c>
      <c r="J118" s="77" t="s">
        <v>26</v>
      </c>
      <c r="K118" s="174">
        <f t="shared" si="8"/>
        <v>45896</v>
      </c>
      <c r="L118" s="174">
        <f t="shared" si="9"/>
        <v>45956</v>
      </c>
      <c r="M118" s="82"/>
      <c r="N118" s="83">
        <f>E118-1</f>
        <v>0</v>
      </c>
      <c r="O118" s="84">
        <f t="shared" si="10"/>
        <v>0</v>
      </c>
      <c r="P118" s="85">
        <f t="shared" si="12"/>
        <v>0</v>
      </c>
      <c r="Q118" s="80" t="s">
        <v>314</v>
      </c>
      <c r="R118" s="80"/>
      <c r="S118" s="80" t="s">
        <v>318</v>
      </c>
      <c r="T118" s="86">
        <v>127</v>
      </c>
      <c r="U118" s="80"/>
      <c r="V118" s="76"/>
      <c r="W118" s="76"/>
      <c r="X118" s="76" t="s">
        <v>55</v>
      </c>
      <c r="Y118" s="63">
        <f>F118/E118</f>
        <v>31.47</v>
      </c>
      <c r="Z118" s="64">
        <f t="shared" si="11"/>
        <v>1</v>
      </c>
      <c r="AA118" s="30"/>
    </row>
    <row r="119" spans="1:27" ht="18" customHeight="1">
      <c r="A119" s="163">
        <v>20250195</v>
      </c>
      <c r="B119" s="164" t="s">
        <v>295</v>
      </c>
      <c r="C119" s="165">
        <v>45857</v>
      </c>
      <c r="D119" s="165">
        <v>45888</v>
      </c>
      <c r="E119" s="166">
        <v>1</v>
      </c>
      <c r="F119" s="167">
        <v>0</v>
      </c>
      <c r="G119" s="168">
        <v>3</v>
      </c>
      <c r="H119" s="169" t="s">
        <v>317</v>
      </c>
      <c r="I119" s="169" t="s">
        <v>24</v>
      </c>
      <c r="J119" s="164" t="s">
        <v>24</v>
      </c>
      <c r="K119" s="53">
        <f t="shared" si="8"/>
        <v>45896</v>
      </c>
      <c r="L119" s="53">
        <f t="shared" si="9"/>
        <v>45956</v>
      </c>
      <c r="M119" s="170"/>
      <c r="N119" s="171">
        <f>E119</f>
        <v>1</v>
      </c>
      <c r="O119" s="172">
        <f t="shared" si="10"/>
        <v>0</v>
      </c>
      <c r="P119" s="173">
        <f t="shared" si="12"/>
        <v>3</v>
      </c>
      <c r="Q119" s="162" t="s">
        <v>319</v>
      </c>
      <c r="R119" s="58"/>
      <c r="S119" s="147" t="s">
        <v>318</v>
      </c>
      <c r="T119" s="148">
        <v>127</v>
      </c>
      <c r="U119" s="58"/>
      <c r="V119" s="46"/>
      <c r="W119" s="46"/>
      <c r="X119" s="99" t="s">
        <v>76</v>
      </c>
      <c r="Y119" s="63">
        <f>F119/E119</f>
        <v>0</v>
      </c>
      <c r="Z119" s="64">
        <f t="shared" si="11"/>
        <v>0</v>
      </c>
      <c r="AA119" s="64">
        <v>8</v>
      </c>
    </row>
    <row r="120" spans="1:27" ht="18" customHeight="1">
      <c r="A120" s="76">
        <v>20250195</v>
      </c>
      <c r="B120" s="77" t="s">
        <v>295</v>
      </c>
      <c r="C120" s="78">
        <v>45857</v>
      </c>
      <c r="D120" s="78">
        <v>45888</v>
      </c>
      <c r="E120" s="76">
        <v>2</v>
      </c>
      <c r="F120" s="79">
        <v>30</v>
      </c>
      <c r="G120" s="102">
        <v>48</v>
      </c>
      <c r="H120" s="80" t="s">
        <v>317</v>
      </c>
      <c r="I120" s="80" t="s">
        <v>42</v>
      </c>
      <c r="J120" s="77" t="s">
        <v>28</v>
      </c>
      <c r="K120" s="174">
        <f t="shared" si="8"/>
        <v>45896</v>
      </c>
      <c r="L120" s="174">
        <f t="shared" si="9"/>
        <v>45956</v>
      </c>
      <c r="M120" s="82"/>
      <c r="N120" s="83">
        <f>E120-2</f>
        <v>0</v>
      </c>
      <c r="O120" s="84">
        <f t="shared" si="10"/>
        <v>0</v>
      </c>
      <c r="P120" s="85">
        <f t="shared" si="12"/>
        <v>0</v>
      </c>
      <c r="Q120" s="80" t="s">
        <v>314</v>
      </c>
      <c r="R120" s="80"/>
      <c r="S120" s="80" t="s">
        <v>320</v>
      </c>
      <c r="T120" s="86">
        <v>128</v>
      </c>
      <c r="U120" s="80"/>
      <c r="V120" s="76"/>
      <c r="W120" s="76"/>
      <c r="X120" s="76" t="s">
        <v>55</v>
      </c>
      <c r="Y120" s="63"/>
      <c r="Z120" s="64">
        <f t="shared" si="11"/>
        <v>2</v>
      </c>
      <c r="AA120" s="64">
        <v>7436</v>
      </c>
    </row>
    <row r="121" spans="1:27" ht="18" customHeight="1">
      <c r="A121" s="76">
        <v>20250195</v>
      </c>
      <c r="B121" s="77" t="s">
        <v>295</v>
      </c>
      <c r="C121" s="78">
        <v>45857</v>
      </c>
      <c r="D121" s="78">
        <v>45888</v>
      </c>
      <c r="E121" s="76">
        <v>1</v>
      </c>
      <c r="F121" s="79">
        <v>7.19</v>
      </c>
      <c r="G121" s="102">
        <v>24</v>
      </c>
      <c r="H121" s="80" t="s">
        <v>321</v>
      </c>
      <c r="I121" s="80" t="s">
        <v>197</v>
      </c>
      <c r="J121" s="77" t="s">
        <v>26</v>
      </c>
      <c r="K121" s="174">
        <f t="shared" si="8"/>
        <v>45896</v>
      </c>
      <c r="L121" s="174">
        <f t="shared" si="9"/>
        <v>45956</v>
      </c>
      <c r="M121" s="82"/>
      <c r="N121" s="83">
        <f>E121-1</f>
        <v>0</v>
      </c>
      <c r="O121" s="84">
        <f t="shared" si="10"/>
        <v>0</v>
      </c>
      <c r="P121" s="85">
        <f t="shared" si="12"/>
        <v>0</v>
      </c>
      <c r="Q121" s="80" t="s">
        <v>314</v>
      </c>
      <c r="R121" s="80"/>
      <c r="S121" s="80" t="s">
        <v>322</v>
      </c>
      <c r="T121" s="86">
        <v>49</v>
      </c>
      <c r="U121" s="80"/>
      <c r="V121" s="76"/>
      <c r="W121" s="76"/>
      <c r="X121" s="76" t="s">
        <v>55</v>
      </c>
      <c r="Y121" s="63">
        <f>F121/E121</f>
        <v>7.19</v>
      </c>
      <c r="Z121" s="64">
        <f t="shared" si="11"/>
        <v>1</v>
      </c>
      <c r="AA121" s="30"/>
    </row>
    <row r="122" spans="1:27" ht="18" customHeight="1">
      <c r="A122" s="106">
        <v>20250195</v>
      </c>
      <c r="B122" s="107" t="s">
        <v>295</v>
      </c>
      <c r="C122" s="108">
        <v>45857</v>
      </c>
      <c r="D122" s="108">
        <v>45888</v>
      </c>
      <c r="E122" s="106">
        <v>2</v>
      </c>
      <c r="F122" s="106">
        <v>0</v>
      </c>
      <c r="G122" s="106">
        <v>6</v>
      </c>
      <c r="H122" s="109" t="s">
        <v>321</v>
      </c>
      <c r="I122" s="109" t="s">
        <v>24</v>
      </c>
      <c r="J122" s="107" t="s">
        <v>24</v>
      </c>
      <c r="K122" s="108">
        <f t="shared" si="8"/>
        <v>45896</v>
      </c>
      <c r="L122" s="108">
        <f t="shared" si="9"/>
        <v>45956</v>
      </c>
      <c r="M122" s="111"/>
      <c r="N122" s="112">
        <f>E122-2</f>
        <v>0</v>
      </c>
      <c r="O122" s="113">
        <f t="shared" si="10"/>
        <v>0</v>
      </c>
      <c r="P122" s="112">
        <f t="shared" si="12"/>
        <v>0</v>
      </c>
      <c r="Q122" s="109" t="s">
        <v>319</v>
      </c>
      <c r="R122" s="109"/>
      <c r="S122" s="109" t="s">
        <v>322</v>
      </c>
      <c r="T122" s="114">
        <v>49</v>
      </c>
      <c r="U122" s="109"/>
      <c r="V122" s="106"/>
      <c r="W122" s="106"/>
      <c r="X122" s="106" t="s">
        <v>55</v>
      </c>
      <c r="Y122" s="63">
        <f>F122/E122</f>
        <v>0</v>
      </c>
      <c r="Z122" s="64">
        <f t="shared" si="11"/>
        <v>2</v>
      </c>
      <c r="AA122" s="30"/>
    </row>
    <row r="123" spans="1:27" ht="18" customHeight="1">
      <c r="A123" s="63">
        <v>20250195</v>
      </c>
      <c r="B123" s="65" t="s">
        <v>295</v>
      </c>
      <c r="C123" s="66">
        <v>45857</v>
      </c>
      <c r="D123" s="66">
        <v>45888</v>
      </c>
      <c r="E123" s="67">
        <v>1</v>
      </c>
      <c r="F123" s="68">
        <v>10.6</v>
      </c>
      <c r="G123" s="69">
        <v>24</v>
      </c>
      <c r="H123" s="70" t="s">
        <v>323</v>
      </c>
      <c r="I123" s="70" t="s">
        <v>276</v>
      </c>
      <c r="J123" s="65" t="s">
        <v>26</v>
      </c>
      <c r="K123" s="53">
        <f t="shared" si="8"/>
        <v>45896</v>
      </c>
      <c r="L123" s="53">
        <f t="shared" si="9"/>
        <v>45956</v>
      </c>
      <c r="M123" s="71"/>
      <c r="N123" s="72">
        <f>E123</f>
        <v>1</v>
      </c>
      <c r="O123" s="50">
        <f t="shared" si="10"/>
        <v>10.6</v>
      </c>
      <c r="P123" s="56">
        <f t="shared" si="12"/>
        <v>24</v>
      </c>
      <c r="Q123" s="162" t="s">
        <v>314</v>
      </c>
      <c r="R123" s="58"/>
      <c r="S123" s="147" t="s">
        <v>324</v>
      </c>
      <c r="T123" s="148">
        <v>105</v>
      </c>
      <c r="U123" s="58"/>
      <c r="V123" s="46"/>
      <c r="W123" s="46"/>
      <c r="X123" s="62" t="s">
        <v>25</v>
      </c>
      <c r="Y123" s="63">
        <f>F123/E123</f>
        <v>10.6</v>
      </c>
      <c r="Z123" s="64">
        <f t="shared" si="11"/>
        <v>0</v>
      </c>
      <c r="AA123" s="64">
        <v>367</v>
      </c>
    </row>
    <row r="124" spans="1:27" ht="18" customHeight="1">
      <c r="A124" s="63">
        <v>20250195</v>
      </c>
      <c r="B124" s="65" t="s">
        <v>295</v>
      </c>
      <c r="C124" s="66">
        <v>45857</v>
      </c>
      <c r="D124" s="66">
        <v>45888</v>
      </c>
      <c r="E124" s="67">
        <v>1</v>
      </c>
      <c r="F124" s="68">
        <v>12.5</v>
      </c>
      <c r="G124" s="69">
        <v>24</v>
      </c>
      <c r="H124" s="70" t="s">
        <v>325</v>
      </c>
      <c r="I124" s="70" t="s">
        <v>42</v>
      </c>
      <c r="J124" s="65" t="s">
        <v>28</v>
      </c>
      <c r="K124" s="53">
        <f t="shared" si="8"/>
        <v>45896</v>
      </c>
      <c r="L124" s="53">
        <f t="shared" si="9"/>
        <v>45956</v>
      </c>
      <c r="M124" s="71"/>
      <c r="N124" s="72">
        <f>E124</f>
        <v>1</v>
      </c>
      <c r="O124" s="50">
        <f t="shared" si="10"/>
        <v>12.5</v>
      </c>
      <c r="P124" s="56">
        <f t="shared" si="12"/>
        <v>24</v>
      </c>
      <c r="Q124" s="162" t="s">
        <v>314</v>
      </c>
      <c r="R124" s="58"/>
      <c r="S124" s="147" t="s">
        <v>326</v>
      </c>
      <c r="T124" s="148">
        <v>111</v>
      </c>
      <c r="U124" s="58"/>
      <c r="V124" s="46"/>
      <c r="W124" s="46"/>
      <c r="X124" s="62" t="s">
        <v>25</v>
      </c>
      <c r="Y124" s="63">
        <f>F124/E124</f>
        <v>12.5</v>
      </c>
      <c r="Z124" s="64">
        <f t="shared" si="11"/>
        <v>0</v>
      </c>
      <c r="AA124" s="30"/>
    </row>
    <row r="125" spans="1:27" ht="18" customHeight="1">
      <c r="A125" s="63">
        <v>20250195</v>
      </c>
      <c r="B125" s="65" t="s">
        <v>295</v>
      </c>
      <c r="C125" s="66">
        <v>45857</v>
      </c>
      <c r="D125" s="66">
        <v>45888</v>
      </c>
      <c r="E125" s="67">
        <v>1</v>
      </c>
      <c r="F125" s="68">
        <v>4</v>
      </c>
      <c r="G125" s="69">
        <v>24</v>
      </c>
      <c r="H125" s="70" t="s">
        <v>327</v>
      </c>
      <c r="I125" s="70" t="s">
        <v>208</v>
      </c>
      <c r="J125" s="65" t="s">
        <v>26</v>
      </c>
      <c r="K125" s="53">
        <f t="shared" si="8"/>
        <v>45896</v>
      </c>
      <c r="L125" s="53">
        <f t="shared" si="9"/>
        <v>45956</v>
      </c>
      <c r="M125" s="71"/>
      <c r="N125" s="72">
        <f>E125</f>
        <v>1</v>
      </c>
      <c r="O125" s="50">
        <f t="shared" si="10"/>
        <v>4</v>
      </c>
      <c r="P125" s="56">
        <f t="shared" si="12"/>
        <v>24</v>
      </c>
      <c r="Q125" s="162" t="s">
        <v>314</v>
      </c>
      <c r="R125" s="58"/>
      <c r="S125" s="147" t="s">
        <v>328</v>
      </c>
      <c r="T125" s="148">
        <v>113</v>
      </c>
      <c r="U125" s="58"/>
      <c r="V125" s="46"/>
      <c r="W125" s="46"/>
      <c r="X125" s="62" t="s">
        <v>25</v>
      </c>
      <c r="Y125" s="63">
        <f>F125/E125</f>
        <v>4</v>
      </c>
      <c r="Z125" s="64">
        <f t="shared" si="11"/>
        <v>0</v>
      </c>
      <c r="AA125" s="30"/>
    </row>
    <row r="126" spans="1:27" ht="18" customHeight="1">
      <c r="A126" s="76">
        <v>20250189</v>
      </c>
      <c r="B126" s="77" t="s">
        <v>329</v>
      </c>
      <c r="C126" s="78">
        <v>45860</v>
      </c>
      <c r="D126" s="78">
        <v>45897</v>
      </c>
      <c r="E126" s="76">
        <v>1</v>
      </c>
      <c r="F126" s="79">
        <v>2.835</v>
      </c>
      <c r="G126" s="102">
        <v>24</v>
      </c>
      <c r="H126" s="80" t="s">
        <v>330</v>
      </c>
      <c r="I126" s="80" t="s">
        <v>106</v>
      </c>
      <c r="J126" s="77" t="s">
        <v>29</v>
      </c>
      <c r="K126" s="174">
        <f t="shared" si="8"/>
        <v>45905</v>
      </c>
      <c r="L126" s="174">
        <f t="shared" si="9"/>
        <v>45965</v>
      </c>
      <c r="M126" s="82"/>
      <c r="N126" s="83">
        <f>E126-1</f>
        <v>0</v>
      </c>
      <c r="O126" s="84">
        <f t="shared" si="10"/>
        <v>0</v>
      </c>
      <c r="P126" s="85">
        <f t="shared" si="12"/>
        <v>0</v>
      </c>
      <c r="Q126" s="80" t="s">
        <v>331</v>
      </c>
      <c r="R126" s="80"/>
      <c r="S126" s="80" t="s">
        <v>332</v>
      </c>
      <c r="T126" s="86">
        <v>12</v>
      </c>
      <c r="U126" s="80"/>
      <c r="V126" s="76"/>
      <c r="W126" s="76"/>
      <c r="X126" s="76" t="s">
        <v>55</v>
      </c>
      <c r="Y126" s="63"/>
      <c r="Z126" s="64">
        <f t="shared" si="11"/>
        <v>1</v>
      </c>
      <c r="AA126" s="64">
        <v>160</v>
      </c>
    </row>
    <row r="127" spans="1:27" ht="18" customHeight="1">
      <c r="A127" s="76">
        <v>20250189</v>
      </c>
      <c r="B127" s="77" t="s">
        <v>329</v>
      </c>
      <c r="C127" s="78">
        <v>45860</v>
      </c>
      <c r="D127" s="78">
        <v>45897</v>
      </c>
      <c r="E127" s="76">
        <v>1</v>
      </c>
      <c r="F127" s="79">
        <v>8.42</v>
      </c>
      <c r="G127" s="102">
        <v>40</v>
      </c>
      <c r="H127" s="80" t="s">
        <v>330</v>
      </c>
      <c r="I127" s="80" t="s">
        <v>106</v>
      </c>
      <c r="J127" s="77" t="s">
        <v>29</v>
      </c>
      <c r="K127" s="174">
        <f t="shared" si="8"/>
        <v>45905</v>
      </c>
      <c r="L127" s="174">
        <f t="shared" si="9"/>
        <v>45965</v>
      </c>
      <c r="M127" s="82"/>
      <c r="N127" s="83">
        <f>E127-1</f>
        <v>0</v>
      </c>
      <c r="O127" s="84">
        <f t="shared" si="10"/>
        <v>0</v>
      </c>
      <c r="P127" s="85">
        <f t="shared" si="12"/>
        <v>0</v>
      </c>
      <c r="Q127" s="80" t="s">
        <v>331</v>
      </c>
      <c r="R127" s="80"/>
      <c r="S127" s="80" t="s">
        <v>333</v>
      </c>
      <c r="T127" s="86">
        <v>13</v>
      </c>
      <c r="U127" s="80"/>
      <c r="V127" s="76"/>
      <c r="W127" s="76"/>
      <c r="X127" s="76" t="s">
        <v>55</v>
      </c>
      <c r="Y127" s="63">
        <f>F127/E127</f>
        <v>8.42</v>
      </c>
      <c r="Z127" s="64">
        <f t="shared" si="11"/>
        <v>1</v>
      </c>
      <c r="AA127" s="64">
        <v>574</v>
      </c>
    </row>
    <row r="128" spans="1:27" ht="18" customHeight="1">
      <c r="A128" s="188">
        <v>20250189</v>
      </c>
      <c r="B128" s="189" t="s">
        <v>329</v>
      </c>
      <c r="C128" s="190">
        <v>45860</v>
      </c>
      <c r="D128" s="190">
        <v>45897</v>
      </c>
      <c r="E128" s="191">
        <v>8</v>
      </c>
      <c r="F128" s="192">
        <v>4.5999999999999999E-2</v>
      </c>
      <c r="G128" s="193">
        <v>0</v>
      </c>
      <c r="H128" s="194" t="s">
        <v>330</v>
      </c>
      <c r="I128" s="194" t="s">
        <v>24</v>
      </c>
      <c r="J128" s="189" t="s">
        <v>24</v>
      </c>
      <c r="K128" s="53">
        <f t="shared" si="8"/>
        <v>45905</v>
      </c>
      <c r="L128" s="53">
        <f t="shared" si="9"/>
        <v>45965</v>
      </c>
      <c r="M128" s="195"/>
      <c r="N128" s="196">
        <f>E128</f>
        <v>8</v>
      </c>
      <c r="O128" s="197">
        <f t="shared" si="10"/>
        <v>4.5999999999999999E-2</v>
      </c>
      <c r="P128" s="198">
        <f t="shared" si="12"/>
        <v>0</v>
      </c>
      <c r="Q128" s="199" t="s">
        <v>334</v>
      </c>
      <c r="R128" s="58"/>
      <c r="S128" s="200" t="s">
        <v>335</v>
      </c>
      <c r="T128" s="201">
        <v>86</v>
      </c>
      <c r="U128" s="58"/>
      <c r="V128" s="46"/>
      <c r="W128" s="46"/>
      <c r="X128" s="62" t="s">
        <v>25</v>
      </c>
      <c r="Y128" s="63">
        <f>F128/E128</f>
        <v>5.7499999999999999E-3</v>
      </c>
      <c r="Z128" s="64">
        <f t="shared" si="11"/>
        <v>0</v>
      </c>
      <c r="AA128" s="64">
        <v>65</v>
      </c>
    </row>
    <row r="129" spans="1:48" ht="18" customHeight="1">
      <c r="A129" s="76">
        <v>20250189</v>
      </c>
      <c r="B129" s="77" t="s">
        <v>329</v>
      </c>
      <c r="C129" s="78">
        <v>45860</v>
      </c>
      <c r="D129" s="78">
        <v>45897</v>
      </c>
      <c r="E129" s="76">
        <v>1</v>
      </c>
      <c r="F129" s="79">
        <v>14.4</v>
      </c>
      <c r="G129" s="102">
        <v>40</v>
      </c>
      <c r="H129" s="80" t="s">
        <v>330</v>
      </c>
      <c r="I129" s="80" t="s">
        <v>106</v>
      </c>
      <c r="J129" s="77" t="s">
        <v>29</v>
      </c>
      <c r="K129" s="174">
        <f t="shared" si="8"/>
        <v>45905</v>
      </c>
      <c r="L129" s="174">
        <f t="shared" si="9"/>
        <v>45965</v>
      </c>
      <c r="M129" s="82"/>
      <c r="N129" s="83">
        <f>E129-1</f>
        <v>0</v>
      </c>
      <c r="O129" s="84">
        <f t="shared" si="10"/>
        <v>0</v>
      </c>
      <c r="P129" s="85">
        <f t="shared" si="12"/>
        <v>0</v>
      </c>
      <c r="Q129" s="80" t="s">
        <v>331</v>
      </c>
      <c r="R129" s="80"/>
      <c r="S129" s="80" t="s">
        <v>336</v>
      </c>
      <c r="T129" s="86">
        <v>14</v>
      </c>
      <c r="U129" s="80"/>
      <c r="V129" s="76"/>
      <c r="W129" s="76"/>
      <c r="X129" s="76" t="s">
        <v>55</v>
      </c>
      <c r="Y129" s="63"/>
      <c r="Z129" s="64">
        <f t="shared" si="11"/>
        <v>1</v>
      </c>
      <c r="AA129" s="64">
        <v>238</v>
      </c>
    </row>
    <row r="130" spans="1:48" ht="18" customHeight="1">
      <c r="A130" s="188">
        <v>20250189</v>
      </c>
      <c r="B130" s="189" t="s">
        <v>329</v>
      </c>
      <c r="C130" s="190">
        <v>45860</v>
      </c>
      <c r="D130" s="190">
        <v>45897</v>
      </c>
      <c r="E130" s="191">
        <v>5</v>
      </c>
      <c r="F130" s="192">
        <v>5.2999999999999999E-2</v>
      </c>
      <c r="G130" s="193">
        <v>0</v>
      </c>
      <c r="H130" s="194" t="s">
        <v>330</v>
      </c>
      <c r="I130" s="194" t="s">
        <v>24</v>
      </c>
      <c r="J130" s="189" t="s">
        <v>24</v>
      </c>
      <c r="K130" s="53">
        <f t="shared" si="8"/>
        <v>45905</v>
      </c>
      <c r="L130" s="53">
        <f t="shared" si="9"/>
        <v>45965</v>
      </c>
      <c r="M130" s="195"/>
      <c r="N130" s="196">
        <f>E130</f>
        <v>5</v>
      </c>
      <c r="O130" s="197">
        <f t="shared" si="10"/>
        <v>5.2999999999999999E-2</v>
      </c>
      <c r="P130" s="198">
        <f t="shared" si="12"/>
        <v>0</v>
      </c>
      <c r="Q130" s="199" t="s">
        <v>334</v>
      </c>
      <c r="R130" s="58"/>
      <c r="S130" s="200" t="s">
        <v>337</v>
      </c>
      <c r="T130" s="201">
        <v>85</v>
      </c>
      <c r="U130" s="58"/>
      <c r="V130" s="46"/>
      <c r="W130" s="46"/>
      <c r="X130" s="62" t="s">
        <v>25</v>
      </c>
      <c r="Y130" s="63">
        <f t="shared" ref="Y130:Y148" si="16">F130/E130</f>
        <v>1.06E-2</v>
      </c>
      <c r="Z130" s="64">
        <f t="shared" si="11"/>
        <v>0</v>
      </c>
      <c r="AA130" s="64">
        <v>24</v>
      </c>
    </row>
    <row r="131" spans="1:48" ht="18" customHeight="1">
      <c r="A131" s="63">
        <v>20250189</v>
      </c>
      <c r="B131" s="65" t="s">
        <v>329</v>
      </c>
      <c r="C131" s="66">
        <v>45860</v>
      </c>
      <c r="D131" s="66">
        <v>45897</v>
      </c>
      <c r="E131" s="67">
        <v>2</v>
      </c>
      <c r="F131" s="68">
        <v>5.0999999999999996</v>
      </c>
      <c r="G131" s="69">
        <v>80</v>
      </c>
      <c r="H131" s="70" t="s">
        <v>338</v>
      </c>
      <c r="I131" s="70" t="s">
        <v>106</v>
      </c>
      <c r="J131" s="65" t="s">
        <v>29</v>
      </c>
      <c r="K131" s="53">
        <f t="shared" si="8"/>
        <v>45905</v>
      </c>
      <c r="L131" s="53">
        <f t="shared" si="9"/>
        <v>45965</v>
      </c>
      <c r="M131" s="71"/>
      <c r="N131" s="72">
        <f>E131</f>
        <v>2</v>
      </c>
      <c r="O131" s="50">
        <f t="shared" si="10"/>
        <v>5.0999999999999996</v>
      </c>
      <c r="P131" s="56">
        <f t="shared" si="12"/>
        <v>80</v>
      </c>
      <c r="Q131" s="199" t="s">
        <v>331</v>
      </c>
      <c r="R131" s="58"/>
      <c r="S131" s="200" t="s">
        <v>339</v>
      </c>
      <c r="T131" s="201">
        <v>32</v>
      </c>
      <c r="U131" s="58"/>
      <c r="V131" s="46"/>
      <c r="W131" s="46"/>
      <c r="X131" s="62" t="s">
        <v>25</v>
      </c>
      <c r="Y131" s="63">
        <f t="shared" si="16"/>
        <v>2.5499999999999998</v>
      </c>
      <c r="Z131" s="64">
        <f t="shared" si="11"/>
        <v>0</v>
      </c>
      <c r="AA131" s="64">
        <v>59</v>
      </c>
    </row>
    <row r="132" spans="1:48" ht="18" customHeight="1">
      <c r="A132" s="76">
        <v>20250189</v>
      </c>
      <c r="B132" s="77" t="s">
        <v>329</v>
      </c>
      <c r="C132" s="78">
        <v>45860</v>
      </c>
      <c r="D132" s="78">
        <v>45897</v>
      </c>
      <c r="E132" s="76">
        <v>1</v>
      </c>
      <c r="F132" s="79">
        <v>10.3</v>
      </c>
      <c r="G132" s="102">
        <v>40</v>
      </c>
      <c r="H132" s="80" t="s">
        <v>340</v>
      </c>
      <c r="I132" s="80" t="s">
        <v>106</v>
      </c>
      <c r="J132" s="77" t="s">
        <v>29</v>
      </c>
      <c r="K132" s="174">
        <f t="shared" si="8"/>
        <v>45905</v>
      </c>
      <c r="L132" s="174">
        <f t="shared" si="9"/>
        <v>45965</v>
      </c>
      <c r="M132" s="82"/>
      <c r="N132" s="83">
        <f>E132-1</f>
        <v>0</v>
      </c>
      <c r="O132" s="84">
        <f t="shared" si="10"/>
        <v>0</v>
      </c>
      <c r="P132" s="85">
        <f t="shared" si="12"/>
        <v>0</v>
      </c>
      <c r="Q132" s="80" t="s">
        <v>331</v>
      </c>
      <c r="R132" s="80"/>
      <c r="S132" s="80" t="s">
        <v>341</v>
      </c>
      <c r="T132" s="86">
        <v>57</v>
      </c>
      <c r="U132" s="80"/>
      <c r="V132" s="76"/>
      <c r="W132" s="76"/>
      <c r="X132" s="76" t="s">
        <v>55</v>
      </c>
      <c r="Y132" s="63">
        <f t="shared" si="16"/>
        <v>10.3</v>
      </c>
      <c r="Z132" s="64">
        <f t="shared" si="11"/>
        <v>1</v>
      </c>
      <c r="AA132" s="64">
        <v>3</v>
      </c>
    </row>
    <row r="133" spans="1:48" ht="18" customHeight="1">
      <c r="A133" s="63">
        <v>20250189</v>
      </c>
      <c r="B133" s="65" t="s">
        <v>329</v>
      </c>
      <c r="C133" s="66">
        <v>45860</v>
      </c>
      <c r="D133" s="66">
        <v>45897</v>
      </c>
      <c r="E133" s="67">
        <v>20</v>
      </c>
      <c r="F133" s="68">
        <v>0.1338</v>
      </c>
      <c r="G133" s="69">
        <v>0</v>
      </c>
      <c r="H133" s="70" t="s">
        <v>340</v>
      </c>
      <c r="I133" s="70" t="s">
        <v>24</v>
      </c>
      <c r="J133" s="65" t="s">
        <v>24</v>
      </c>
      <c r="K133" s="53">
        <f t="shared" si="8"/>
        <v>45905</v>
      </c>
      <c r="L133" s="53">
        <f t="shared" si="9"/>
        <v>45965</v>
      </c>
      <c r="M133" s="71"/>
      <c r="N133" s="72">
        <f>E133</f>
        <v>20</v>
      </c>
      <c r="O133" s="50">
        <f t="shared" si="10"/>
        <v>0.1338</v>
      </c>
      <c r="P133" s="56">
        <f t="shared" si="12"/>
        <v>0</v>
      </c>
      <c r="Q133" s="199" t="s">
        <v>334</v>
      </c>
      <c r="R133" s="58"/>
      <c r="S133" s="200" t="s">
        <v>342</v>
      </c>
      <c r="T133" s="201">
        <v>75</v>
      </c>
      <c r="U133" s="58"/>
      <c r="V133" s="46"/>
      <c r="W133" s="46"/>
      <c r="X133" s="62" t="s">
        <v>25</v>
      </c>
      <c r="Y133" s="63">
        <f t="shared" si="16"/>
        <v>6.6899999999999998E-3</v>
      </c>
      <c r="Z133" s="64">
        <f t="shared" si="11"/>
        <v>0</v>
      </c>
      <c r="AA133" s="64">
        <v>2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</row>
    <row r="134" spans="1:48" ht="18" customHeight="1">
      <c r="A134" s="76">
        <v>20250189</v>
      </c>
      <c r="B134" s="77" t="s">
        <v>329</v>
      </c>
      <c r="C134" s="78">
        <v>45860</v>
      </c>
      <c r="D134" s="78">
        <v>45897</v>
      </c>
      <c r="E134" s="76">
        <v>1490</v>
      </c>
      <c r="F134" s="76">
        <v>2458.4450000000002</v>
      </c>
      <c r="G134" s="76">
        <v>727</v>
      </c>
      <c r="H134" s="80" t="s">
        <v>343</v>
      </c>
      <c r="I134" s="80" t="s">
        <v>123</v>
      </c>
      <c r="J134" s="77" t="s">
        <v>123</v>
      </c>
      <c r="K134" s="78">
        <f t="shared" si="8"/>
        <v>45905</v>
      </c>
      <c r="L134" s="78">
        <f t="shared" si="9"/>
        <v>45965</v>
      </c>
      <c r="M134" s="82"/>
      <c r="N134" s="83">
        <f>E134-113-65-50-60-200-180-25-10-90-100-20-80-50-27-60-65-110-50-18-38-44-5-4-6-20</f>
        <v>0</v>
      </c>
      <c r="O134" s="84">
        <f t="shared" si="10"/>
        <v>0</v>
      </c>
      <c r="P134" s="83">
        <f t="shared" si="12"/>
        <v>0</v>
      </c>
      <c r="Q134" s="80" t="s">
        <v>344</v>
      </c>
      <c r="R134" s="80"/>
      <c r="S134" s="80" t="s">
        <v>345</v>
      </c>
      <c r="T134" s="86">
        <v>62</v>
      </c>
      <c r="U134" s="80"/>
      <c r="V134" s="76"/>
      <c r="W134" s="76"/>
      <c r="X134" s="76" t="s">
        <v>55</v>
      </c>
      <c r="Y134" s="63">
        <f t="shared" si="16"/>
        <v>1.6499630872483222</v>
      </c>
      <c r="Z134" s="181">
        <f t="shared" si="11"/>
        <v>1490</v>
      </c>
      <c r="AA134" s="64">
        <v>7</v>
      </c>
      <c r="AB134" s="202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</row>
    <row r="135" spans="1:48" ht="18" customHeight="1">
      <c r="A135" s="76">
        <v>20250189</v>
      </c>
      <c r="B135" s="77" t="s">
        <v>329</v>
      </c>
      <c r="C135" s="78">
        <v>45860</v>
      </c>
      <c r="D135" s="78">
        <v>45897</v>
      </c>
      <c r="E135" s="76">
        <v>4345</v>
      </c>
      <c r="F135" s="76">
        <v>4560.3230000000003</v>
      </c>
      <c r="G135" s="76">
        <v>2120</v>
      </c>
      <c r="H135" s="80" t="s">
        <v>343</v>
      </c>
      <c r="I135" s="80" t="s">
        <v>123</v>
      </c>
      <c r="J135" s="77" t="s">
        <v>123</v>
      </c>
      <c r="K135" s="78">
        <f t="shared" si="8"/>
        <v>45905</v>
      </c>
      <c r="L135" s="78">
        <f t="shared" si="9"/>
        <v>45965</v>
      </c>
      <c r="M135" s="82"/>
      <c r="N135" s="83">
        <f>E135-26-182-260-309-234-231-309-231-179-78-153-10-192-52-308-72-205-218-206-156-234-6-56-2-1-17-3-60-2-1-1-26-34-24-6-246-15</f>
        <v>0</v>
      </c>
      <c r="O135" s="84">
        <f t="shared" si="10"/>
        <v>0</v>
      </c>
      <c r="P135" s="83">
        <f t="shared" si="12"/>
        <v>0</v>
      </c>
      <c r="Q135" s="80" t="s">
        <v>344</v>
      </c>
      <c r="R135" s="80"/>
      <c r="S135" s="80" t="s">
        <v>346</v>
      </c>
      <c r="T135" s="86">
        <v>64</v>
      </c>
      <c r="U135" s="80"/>
      <c r="V135" s="76"/>
      <c r="W135" s="76"/>
      <c r="X135" s="76" t="s">
        <v>55</v>
      </c>
      <c r="Y135" s="63">
        <f t="shared" si="16"/>
        <v>1.0495565017261221</v>
      </c>
      <c r="Z135" s="181">
        <f t="shared" si="11"/>
        <v>4345</v>
      </c>
      <c r="AA135" s="64">
        <v>3995</v>
      </c>
      <c r="AB135" s="202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</row>
    <row r="136" spans="1:48" ht="18" customHeight="1">
      <c r="A136" s="76">
        <v>20250189</v>
      </c>
      <c r="B136" s="77" t="s">
        <v>329</v>
      </c>
      <c r="C136" s="78">
        <v>45860</v>
      </c>
      <c r="D136" s="78">
        <v>45897</v>
      </c>
      <c r="E136" s="76">
        <v>2678</v>
      </c>
      <c r="F136" s="76">
        <v>2624.9929999999999</v>
      </c>
      <c r="G136" s="76">
        <v>1307</v>
      </c>
      <c r="H136" s="80" t="s">
        <v>343</v>
      </c>
      <c r="I136" s="80" t="s">
        <v>123</v>
      </c>
      <c r="J136" s="77" t="s">
        <v>123</v>
      </c>
      <c r="K136" s="78">
        <f t="shared" si="8"/>
        <v>45905</v>
      </c>
      <c r="L136" s="78">
        <f t="shared" si="9"/>
        <v>45965</v>
      </c>
      <c r="M136" s="82"/>
      <c r="N136" s="83">
        <f>E136-198-78-266-200-165-118-180-99-40-165-205-30-154-52-106-104-103-26-78-3-8-6-2-11-276-5</f>
        <v>0</v>
      </c>
      <c r="O136" s="84">
        <f t="shared" si="10"/>
        <v>0</v>
      </c>
      <c r="P136" s="83">
        <f t="shared" si="12"/>
        <v>0</v>
      </c>
      <c r="Q136" s="80" t="s">
        <v>344</v>
      </c>
      <c r="R136" s="80"/>
      <c r="S136" s="80" t="s">
        <v>347</v>
      </c>
      <c r="T136" s="86">
        <v>65</v>
      </c>
      <c r="U136" s="80"/>
      <c r="V136" s="76"/>
      <c r="W136" s="76"/>
      <c r="X136" s="76" t="s">
        <v>55</v>
      </c>
      <c r="Y136" s="63">
        <f t="shared" si="16"/>
        <v>0.98020649738610899</v>
      </c>
      <c r="Z136" s="181">
        <f t="shared" si="11"/>
        <v>2678</v>
      </c>
      <c r="AA136" s="64">
        <v>664</v>
      </c>
      <c r="AB136" s="202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</row>
    <row r="137" spans="1:48" ht="18" customHeight="1">
      <c r="A137" s="76">
        <v>20250189</v>
      </c>
      <c r="B137" s="77" t="s">
        <v>329</v>
      </c>
      <c r="C137" s="78">
        <v>45860</v>
      </c>
      <c r="D137" s="78">
        <v>45897</v>
      </c>
      <c r="E137" s="76">
        <v>127</v>
      </c>
      <c r="F137" s="76">
        <v>1468.5150000000001</v>
      </c>
      <c r="G137" s="76">
        <v>101</v>
      </c>
      <c r="H137" s="80" t="s">
        <v>250</v>
      </c>
      <c r="I137" s="80" t="s">
        <v>72</v>
      </c>
      <c r="J137" s="77" t="s">
        <v>72</v>
      </c>
      <c r="K137" s="78">
        <f t="shared" ref="K137:K200" si="17">D137+8</f>
        <v>45905</v>
      </c>
      <c r="L137" s="78">
        <f t="shared" ref="L137:L200" si="18">K137+60</f>
        <v>45965</v>
      </c>
      <c r="M137" s="82"/>
      <c r="N137" s="83">
        <f>E137-8-12-12-8-8-12-16-12-12-24-3</f>
        <v>0</v>
      </c>
      <c r="O137" s="84">
        <f t="shared" ref="O137:O200" si="19">F137/E137*N137</f>
        <v>0</v>
      </c>
      <c r="P137" s="83">
        <f t="shared" si="12"/>
        <v>0</v>
      </c>
      <c r="Q137" s="80"/>
      <c r="R137" s="80" t="s">
        <v>348</v>
      </c>
      <c r="S137" s="80" t="s">
        <v>349</v>
      </c>
      <c r="T137" s="86">
        <v>83</v>
      </c>
      <c r="U137" s="80"/>
      <c r="V137" s="76"/>
      <c r="W137" s="76"/>
      <c r="X137" s="76" t="s">
        <v>55</v>
      </c>
      <c r="Y137" s="63">
        <f t="shared" si="16"/>
        <v>11.563110236220473</v>
      </c>
      <c r="Z137" s="64">
        <f t="shared" ref="Z137:Z150" si="20">E137-N137</f>
        <v>127</v>
      </c>
      <c r="AA137" s="64">
        <v>7</v>
      </c>
      <c r="AB137" s="202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</row>
    <row r="138" spans="1:48" ht="18" customHeight="1">
      <c r="A138" s="188">
        <v>20250189</v>
      </c>
      <c r="B138" s="189" t="s">
        <v>329</v>
      </c>
      <c r="C138" s="190">
        <v>45860</v>
      </c>
      <c r="D138" s="190">
        <v>45897</v>
      </c>
      <c r="E138" s="191">
        <v>45</v>
      </c>
      <c r="F138" s="192">
        <v>520.02499999999998</v>
      </c>
      <c r="G138" s="193">
        <v>36</v>
      </c>
      <c r="H138" s="194" t="s">
        <v>250</v>
      </c>
      <c r="I138" s="194" t="s">
        <v>72</v>
      </c>
      <c r="J138" s="189" t="s">
        <v>72</v>
      </c>
      <c r="K138" s="203">
        <f t="shared" si="17"/>
        <v>45905</v>
      </c>
      <c r="L138" s="203">
        <f t="shared" si="18"/>
        <v>45965</v>
      </c>
      <c r="M138" s="195"/>
      <c r="N138" s="196">
        <f>E138-24-20</f>
        <v>1</v>
      </c>
      <c r="O138" s="197">
        <f t="shared" si="19"/>
        <v>11.556111111111111</v>
      </c>
      <c r="P138" s="198">
        <f t="shared" ref="P138:P179" si="21">G138/E138*N138</f>
        <v>0.8</v>
      </c>
      <c r="Q138" s="73"/>
      <c r="R138" s="204" t="s">
        <v>350</v>
      </c>
      <c r="S138" s="200" t="s">
        <v>351</v>
      </c>
      <c r="T138" s="201">
        <v>84</v>
      </c>
      <c r="U138" s="204"/>
      <c r="V138" s="46"/>
      <c r="W138" s="46"/>
      <c r="X138" s="99" t="s">
        <v>76</v>
      </c>
      <c r="Y138" s="63">
        <f t="shared" si="16"/>
        <v>11.556111111111111</v>
      </c>
      <c r="Z138" s="64">
        <f t="shared" si="20"/>
        <v>44</v>
      </c>
      <c r="AA138" s="30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</row>
    <row r="139" spans="1:48" ht="18" customHeight="1">
      <c r="A139" s="87">
        <v>20250194</v>
      </c>
      <c r="B139" s="88" t="s">
        <v>352</v>
      </c>
      <c r="C139" s="89">
        <v>45868</v>
      </c>
      <c r="D139" s="190">
        <v>45899</v>
      </c>
      <c r="E139" s="191">
        <v>947</v>
      </c>
      <c r="F139" s="192">
        <v>2840.7730000000001</v>
      </c>
      <c r="G139" s="193">
        <v>579</v>
      </c>
      <c r="H139" s="194" t="s">
        <v>353</v>
      </c>
      <c r="I139" s="189" t="s">
        <v>354</v>
      </c>
      <c r="J139" s="189" t="s">
        <v>354</v>
      </c>
      <c r="K139" s="53">
        <f t="shared" si="17"/>
        <v>45907</v>
      </c>
      <c r="L139" s="53">
        <f t="shared" si="18"/>
        <v>45967</v>
      </c>
      <c r="M139" s="195"/>
      <c r="N139" s="196">
        <f>E139-297-111-184-178-136-34</f>
        <v>7</v>
      </c>
      <c r="O139" s="197">
        <f t="shared" si="19"/>
        <v>20.998322069693771</v>
      </c>
      <c r="P139" s="198">
        <f t="shared" si="21"/>
        <v>4.2798310454065476</v>
      </c>
      <c r="Q139" s="199" t="s">
        <v>355</v>
      </c>
      <c r="R139" s="204" t="s">
        <v>356</v>
      </c>
      <c r="S139" s="200" t="s">
        <v>357</v>
      </c>
      <c r="T139" s="201">
        <v>14</v>
      </c>
      <c r="U139" s="204"/>
      <c r="V139" s="46"/>
      <c r="W139" s="46"/>
      <c r="X139" s="99" t="s">
        <v>76</v>
      </c>
      <c r="Y139" s="63">
        <f t="shared" si="16"/>
        <v>2.9997602956705385</v>
      </c>
      <c r="Z139" s="64">
        <f t="shared" si="20"/>
        <v>940</v>
      </c>
      <c r="AA139" s="30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</row>
    <row r="140" spans="1:48" ht="18" customHeight="1">
      <c r="A140" s="188">
        <v>20250194</v>
      </c>
      <c r="B140" s="189" t="s">
        <v>352</v>
      </c>
      <c r="C140" s="190">
        <v>45868</v>
      </c>
      <c r="D140" s="190">
        <v>45899</v>
      </c>
      <c r="E140" s="191">
        <v>127</v>
      </c>
      <c r="F140" s="192">
        <v>1360.0719999999999</v>
      </c>
      <c r="G140" s="193">
        <v>78</v>
      </c>
      <c r="H140" s="194" t="s">
        <v>299</v>
      </c>
      <c r="I140" s="189" t="s">
        <v>354</v>
      </c>
      <c r="J140" s="189" t="s">
        <v>354</v>
      </c>
      <c r="K140" s="53">
        <f t="shared" si="17"/>
        <v>45907</v>
      </c>
      <c r="L140" s="53">
        <f t="shared" si="18"/>
        <v>45967</v>
      </c>
      <c r="M140" s="195"/>
      <c r="N140" s="196">
        <f>E140-32-23-19-5-12-4-17-11-2</f>
        <v>2</v>
      </c>
      <c r="O140" s="197">
        <f t="shared" si="19"/>
        <v>21.418456692913384</v>
      </c>
      <c r="P140" s="198">
        <f t="shared" si="21"/>
        <v>1.2283464566929134</v>
      </c>
      <c r="Q140" s="199" t="s">
        <v>355</v>
      </c>
      <c r="R140" s="204" t="s">
        <v>358</v>
      </c>
      <c r="S140" s="200" t="s">
        <v>359</v>
      </c>
      <c r="T140" s="201" t="s">
        <v>360</v>
      </c>
      <c r="U140" s="204"/>
      <c r="V140" s="46"/>
      <c r="W140" s="46"/>
      <c r="X140" s="99" t="s">
        <v>76</v>
      </c>
      <c r="Y140" s="63">
        <f t="shared" si="16"/>
        <v>10.709228346456692</v>
      </c>
      <c r="Z140" s="64">
        <f t="shared" si="20"/>
        <v>125</v>
      </c>
      <c r="AA140" s="3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</row>
    <row r="141" spans="1:48" ht="18" customHeight="1">
      <c r="A141" s="188">
        <v>20250194</v>
      </c>
      <c r="B141" s="189" t="s">
        <v>352</v>
      </c>
      <c r="C141" s="190">
        <v>45868</v>
      </c>
      <c r="D141" s="190">
        <v>45899</v>
      </c>
      <c r="E141" s="191">
        <v>87</v>
      </c>
      <c r="F141" s="192">
        <v>492.72399999999999</v>
      </c>
      <c r="G141" s="193">
        <v>70</v>
      </c>
      <c r="H141" s="194" t="s">
        <v>361</v>
      </c>
      <c r="I141" s="194" t="s">
        <v>72</v>
      </c>
      <c r="J141" s="189" t="s">
        <v>72</v>
      </c>
      <c r="K141" s="53">
        <f t="shared" si="17"/>
        <v>45907</v>
      </c>
      <c r="L141" s="53">
        <f t="shared" si="18"/>
        <v>45967</v>
      </c>
      <c r="M141" s="195"/>
      <c r="N141" s="196">
        <f>E141-10-8-8-8-8-10-2-12-13-2</f>
        <v>6</v>
      </c>
      <c r="O141" s="197">
        <f t="shared" si="19"/>
        <v>33.98096551724138</v>
      </c>
      <c r="P141" s="198">
        <f t="shared" si="21"/>
        <v>4.8275862068965516</v>
      </c>
      <c r="Q141" s="73"/>
      <c r="R141" s="204" t="s">
        <v>362</v>
      </c>
      <c r="S141" s="200" t="s">
        <v>363</v>
      </c>
      <c r="T141" s="201" t="s">
        <v>364</v>
      </c>
      <c r="U141" s="204"/>
      <c r="V141" s="46"/>
      <c r="W141" s="46"/>
      <c r="X141" s="99" t="s">
        <v>76</v>
      </c>
      <c r="Y141" s="63">
        <f t="shared" si="16"/>
        <v>5.663494252873563</v>
      </c>
      <c r="Z141" s="64">
        <f t="shared" si="20"/>
        <v>81</v>
      </c>
      <c r="AA141" s="64">
        <v>830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</row>
    <row r="142" spans="1:48" ht="18" customHeight="1">
      <c r="A142" s="63">
        <v>20250194</v>
      </c>
      <c r="B142" s="65" t="s">
        <v>352</v>
      </c>
      <c r="C142" s="66">
        <v>45868</v>
      </c>
      <c r="D142" s="66">
        <v>45899</v>
      </c>
      <c r="E142" s="67">
        <v>238</v>
      </c>
      <c r="F142" s="68">
        <v>1960.0229999999999</v>
      </c>
      <c r="G142" s="69">
        <v>191</v>
      </c>
      <c r="H142" s="70" t="s">
        <v>174</v>
      </c>
      <c r="I142" s="70" t="s">
        <v>72</v>
      </c>
      <c r="J142" s="65" t="s">
        <v>72</v>
      </c>
      <c r="K142" s="53">
        <f t="shared" si="17"/>
        <v>45907</v>
      </c>
      <c r="L142" s="53">
        <f t="shared" si="18"/>
        <v>45967</v>
      </c>
      <c r="M142" s="71"/>
      <c r="N142" s="72">
        <f>E142</f>
        <v>238</v>
      </c>
      <c r="O142" s="50">
        <f t="shared" si="19"/>
        <v>1960.0229999999997</v>
      </c>
      <c r="P142" s="56">
        <f t="shared" si="21"/>
        <v>191</v>
      </c>
      <c r="Q142" s="73"/>
      <c r="R142" s="204" t="s">
        <v>365</v>
      </c>
      <c r="S142" s="200" t="s">
        <v>366</v>
      </c>
      <c r="T142" s="201">
        <v>8</v>
      </c>
      <c r="U142" s="204"/>
      <c r="V142" s="46"/>
      <c r="W142" s="46"/>
      <c r="X142" s="62" t="s">
        <v>25</v>
      </c>
      <c r="Y142" s="63">
        <f t="shared" si="16"/>
        <v>8.2353907563025199</v>
      </c>
      <c r="Z142" s="64">
        <f t="shared" si="20"/>
        <v>0</v>
      </c>
      <c r="AA142" s="30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</row>
    <row r="143" spans="1:48" ht="18" customHeight="1">
      <c r="A143" s="76">
        <v>20250194</v>
      </c>
      <c r="B143" s="77" t="s">
        <v>352</v>
      </c>
      <c r="C143" s="78">
        <v>45868</v>
      </c>
      <c r="D143" s="78">
        <v>45899</v>
      </c>
      <c r="E143" s="76">
        <v>98</v>
      </c>
      <c r="F143" s="79">
        <v>967.54</v>
      </c>
      <c r="G143" s="102">
        <v>79</v>
      </c>
      <c r="H143" s="80" t="s">
        <v>174</v>
      </c>
      <c r="I143" s="80" t="s">
        <v>72</v>
      </c>
      <c r="J143" s="77" t="s">
        <v>72</v>
      </c>
      <c r="K143" s="174">
        <f t="shared" si="17"/>
        <v>45907</v>
      </c>
      <c r="L143" s="174">
        <f t="shared" si="18"/>
        <v>45967</v>
      </c>
      <c r="M143" s="82"/>
      <c r="N143" s="83">
        <f>E143-21-57-15-5</f>
        <v>0</v>
      </c>
      <c r="O143" s="84">
        <f t="shared" si="19"/>
        <v>0</v>
      </c>
      <c r="P143" s="85">
        <f t="shared" si="21"/>
        <v>0</v>
      </c>
      <c r="Q143" s="80"/>
      <c r="R143" s="80" t="s">
        <v>367</v>
      </c>
      <c r="S143" s="80" t="s">
        <v>368</v>
      </c>
      <c r="T143" s="86">
        <v>12</v>
      </c>
      <c r="U143" s="80"/>
      <c r="V143" s="76"/>
      <c r="W143" s="76"/>
      <c r="X143" s="76" t="s">
        <v>55</v>
      </c>
      <c r="Y143" s="63">
        <f t="shared" si="16"/>
        <v>9.8728571428571428</v>
      </c>
      <c r="Z143" s="64">
        <f t="shared" si="20"/>
        <v>98</v>
      </c>
      <c r="AA143" s="64">
        <v>251</v>
      </c>
      <c r="AB143" s="202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</row>
    <row r="144" spans="1:48" ht="18" customHeight="1">
      <c r="A144" s="63">
        <v>20250194</v>
      </c>
      <c r="B144" s="65" t="s">
        <v>352</v>
      </c>
      <c r="C144" s="66">
        <v>45868</v>
      </c>
      <c r="D144" s="66">
        <v>45899</v>
      </c>
      <c r="E144" s="67">
        <v>61</v>
      </c>
      <c r="F144" s="68">
        <v>754.24</v>
      </c>
      <c r="G144" s="69">
        <v>49</v>
      </c>
      <c r="H144" s="70" t="s">
        <v>174</v>
      </c>
      <c r="I144" s="70" t="s">
        <v>72</v>
      </c>
      <c r="J144" s="65" t="s">
        <v>72</v>
      </c>
      <c r="K144" s="53">
        <f t="shared" si="17"/>
        <v>45907</v>
      </c>
      <c r="L144" s="53">
        <f t="shared" si="18"/>
        <v>45967</v>
      </c>
      <c r="M144" s="71"/>
      <c r="N144" s="72">
        <f>E144</f>
        <v>61</v>
      </c>
      <c r="O144" s="50">
        <f t="shared" si="19"/>
        <v>754.24</v>
      </c>
      <c r="P144" s="56">
        <f t="shared" si="21"/>
        <v>49</v>
      </c>
      <c r="Q144" s="73"/>
      <c r="R144" s="204" t="s">
        <v>369</v>
      </c>
      <c r="S144" s="200" t="s">
        <v>370</v>
      </c>
      <c r="T144" s="201">
        <v>25</v>
      </c>
      <c r="U144" s="204"/>
      <c r="V144" s="46"/>
      <c r="W144" s="46"/>
      <c r="X144" s="62" t="s">
        <v>25</v>
      </c>
      <c r="Y144" s="63">
        <f t="shared" si="16"/>
        <v>12.364590163934427</v>
      </c>
      <c r="Z144" s="64">
        <f t="shared" si="20"/>
        <v>0</v>
      </c>
      <c r="AA144" s="30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</row>
    <row r="145" spans="1:48" ht="18" customHeight="1">
      <c r="A145" s="63">
        <v>20250194</v>
      </c>
      <c r="B145" s="65" t="s">
        <v>352</v>
      </c>
      <c r="C145" s="66">
        <v>45868</v>
      </c>
      <c r="D145" s="66">
        <v>45899</v>
      </c>
      <c r="E145" s="67">
        <v>146</v>
      </c>
      <c r="F145" s="68">
        <v>1702.4570000000001</v>
      </c>
      <c r="G145" s="69">
        <v>117</v>
      </c>
      <c r="H145" s="70" t="s">
        <v>174</v>
      </c>
      <c r="I145" s="70" t="s">
        <v>72</v>
      </c>
      <c r="J145" s="65" t="s">
        <v>72</v>
      </c>
      <c r="K145" s="53">
        <f t="shared" si="17"/>
        <v>45907</v>
      </c>
      <c r="L145" s="53">
        <f t="shared" si="18"/>
        <v>45967</v>
      </c>
      <c r="M145" s="71"/>
      <c r="N145" s="72">
        <f>E145</f>
        <v>146</v>
      </c>
      <c r="O145" s="50">
        <f t="shared" si="19"/>
        <v>1702.4570000000001</v>
      </c>
      <c r="P145" s="56">
        <f t="shared" si="21"/>
        <v>117</v>
      </c>
      <c r="Q145" s="73"/>
      <c r="R145" s="204" t="s">
        <v>371</v>
      </c>
      <c r="S145" s="200" t="s">
        <v>372</v>
      </c>
      <c r="T145" s="201">
        <v>39</v>
      </c>
      <c r="U145" s="204"/>
      <c r="V145" s="46"/>
      <c r="W145" s="46"/>
      <c r="X145" s="62" t="s">
        <v>25</v>
      </c>
      <c r="Y145" s="63">
        <f t="shared" si="16"/>
        <v>11.660664383561645</v>
      </c>
      <c r="Z145" s="64">
        <f t="shared" si="20"/>
        <v>0</v>
      </c>
      <c r="AA145" s="30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</row>
    <row r="146" spans="1:48" ht="18" customHeight="1">
      <c r="A146" s="63">
        <v>20250194</v>
      </c>
      <c r="B146" s="65" t="s">
        <v>352</v>
      </c>
      <c r="C146" s="66">
        <v>45868</v>
      </c>
      <c r="D146" s="66">
        <v>45899</v>
      </c>
      <c r="E146" s="67">
        <v>85</v>
      </c>
      <c r="F146" s="68">
        <v>1011.74</v>
      </c>
      <c r="G146" s="69">
        <v>68</v>
      </c>
      <c r="H146" s="70" t="s">
        <v>174</v>
      </c>
      <c r="I146" s="70" t="s">
        <v>72</v>
      </c>
      <c r="J146" s="65" t="s">
        <v>72</v>
      </c>
      <c r="K146" s="53">
        <f t="shared" si="17"/>
        <v>45907</v>
      </c>
      <c r="L146" s="53">
        <f t="shared" si="18"/>
        <v>45967</v>
      </c>
      <c r="M146" s="71"/>
      <c r="N146" s="72">
        <f>E146</f>
        <v>85</v>
      </c>
      <c r="O146" s="50">
        <f t="shared" si="19"/>
        <v>1011.7400000000001</v>
      </c>
      <c r="P146" s="56">
        <f t="shared" si="21"/>
        <v>68</v>
      </c>
      <c r="Q146" s="73"/>
      <c r="R146" s="204" t="s">
        <v>371</v>
      </c>
      <c r="S146" s="200" t="s">
        <v>373</v>
      </c>
      <c r="T146" s="201">
        <v>40</v>
      </c>
      <c r="U146" s="204"/>
      <c r="V146" s="46"/>
      <c r="W146" s="46"/>
      <c r="X146" s="62" t="s">
        <v>25</v>
      </c>
      <c r="Y146" s="63">
        <f t="shared" si="16"/>
        <v>11.902823529411766</v>
      </c>
      <c r="Z146" s="64">
        <f t="shared" si="20"/>
        <v>0</v>
      </c>
      <c r="AA146" s="64">
        <v>178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</row>
    <row r="147" spans="1:48" ht="18" customHeight="1">
      <c r="A147" s="63">
        <v>20250194</v>
      </c>
      <c r="B147" s="65" t="s">
        <v>352</v>
      </c>
      <c r="C147" s="66">
        <v>45868</v>
      </c>
      <c r="D147" s="66">
        <v>45899</v>
      </c>
      <c r="E147" s="67">
        <v>142</v>
      </c>
      <c r="F147" s="68">
        <v>1812.6</v>
      </c>
      <c r="G147" s="69">
        <v>114</v>
      </c>
      <c r="H147" s="70" t="s">
        <v>174</v>
      </c>
      <c r="I147" s="70" t="s">
        <v>72</v>
      </c>
      <c r="J147" s="65" t="s">
        <v>72</v>
      </c>
      <c r="K147" s="53">
        <f t="shared" si="17"/>
        <v>45907</v>
      </c>
      <c r="L147" s="53">
        <f t="shared" si="18"/>
        <v>45967</v>
      </c>
      <c r="M147" s="71"/>
      <c r="N147" s="72">
        <f>E147</f>
        <v>142</v>
      </c>
      <c r="O147" s="50">
        <f t="shared" si="19"/>
        <v>1812.6</v>
      </c>
      <c r="P147" s="56">
        <f t="shared" si="21"/>
        <v>114</v>
      </c>
      <c r="Q147" s="73"/>
      <c r="R147" s="204" t="s">
        <v>374</v>
      </c>
      <c r="S147" s="200" t="s">
        <v>375</v>
      </c>
      <c r="T147" s="201">
        <v>41</v>
      </c>
      <c r="U147" s="204"/>
      <c r="V147" s="46"/>
      <c r="W147" s="46"/>
      <c r="X147" s="62" t="s">
        <v>25</v>
      </c>
      <c r="Y147" s="63">
        <f t="shared" si="16"/>
        <v>12.764788732394365</v>
      </c>
      <c r="Z147" s="64">
        <f t="shared" si="20"/>
        <v>0</v>
      </c>
      <c r="AA147" s="64">
        <v>4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</row>
    <row r="148" spans="1:48" ht="18" customHeight="1">
      <c r="A148" s="163">
        <v>20250194</v>
      </c>
      <c r="B148" s="164" t="s">
        <v>352</v>
      </c>
      <c r="C148" s="165">
        <v>45868</v>
      </c>
      <c r="D148" s="165">
        <v>45899</v>
      </c>
      <c r="E148" s="166">
        <v>50</v>
      </c>
      <c r="F148" s="167">
        <v>772.09</v>
      </c>
      <c r="G148" s="168">
        <v>40</v>
      </c>
      <c r="H148" s="169" t="s">
        <v>174</v>
      </c>
      <c r="I148" s="169" t="s">
        <v>72</v>
      </c>
      <c r="J148" s="164" t="s">
        <v>72</v>
      </c>
      <c r="K148" s="53">
        <f t="shared" si="17"/>
        <v>45907</v>
      </c>
      <c r="L148" s="53">
        <f t="shared" si="18"/>
        <v>45967</v>
      </c>
      <c r="M148" s="170"/>
      <c r="N148" s="171">
        <f>E148-20</f>
        <v>30</v>
      </c>
      <c r="O148" s="172">
        <f t="shared" si="19"/>
        <v>463.25400000000002</v>
      </c>
      <c r="P148" s="173">
        <f t="shared" si="21"/>
        <v>24</v>
      </c>
      <c r="Q148" s="73"/>
      <c r="R148" s="204" t="s">
        <v>376</v>
      </c>
      <c r="S148" s="200" t="s">
        <v>377</v>
      </c>
      <c r="T148" s="201">
        <v>85</v>
      </c>
      <c r="U148" s="204"/>
      <c r="V148" s="46"/>
      <c r="W148" s="46"/>
      <c r="X148" s="99" t="s">
        <v>76</v>
      </c>
      <c r="Y148" s="63">
        <f t="shared" si="16"/>
        <v>15.441800000000001</v>
      </c>
      <c r="Z148" s="64">
        <f t="shared" si="20"/>
        <v>20</v>
      </c>
      <c r="AA148" s="30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</row>
    <row r="149" spans="1:48" ht="18" customHeight="1">
      <c r="A149" s="188">
        <v>20250194</v>
      </c>
      <c r="B149" s="189" t="s">
        <v>352</v>
      </c>
      <c r="C149" s="190">
        <v>45868</v>
      </c>
      <c r="D149" s="190">
        <v>45899</v>
      </c>
      <c r="E149" s="191">
        <v>2</v>
      </c>
      <c r="F149" s="192">
        <v>10.7</v>
      </c>
      <c r="G149" s="193">
        <v>48</v>
      </c>
      <c r="H149" s="194" t="s">
        <v>378</v>
      </c>
      <c r="I149" s="194" t="s">
        <v>42</v>
      </c>
      <c r="J149" s="189" t="s">
        <v>28</v>
      </c>
      <c r="K149" s="53">
        <f t="shared" si="17"/>
        <v>45907</v>
      </c>
      <c r="L149" s="53">
        <f t="shared" si="18"/>
        <v>45967</v>
      </c>
      <c r="M149" s="195"/>
      <c r="N149" s="196">
        <f>E149-1</f>
        <v>1</v>
      </c>
      <c r="O149" s="197">
        <f t="shared" si="19"/>
        <v>5.35</v>
      </c>
      <c r="P149" s="198">
        <f t="shared" si="21"/>
        <v>24</v>
      </c>
      <c r="Q149" s="199" t="s">
        <v>379</v>
      </c>
      <c r="R149" s="58"/>
      <c r="S149" s="200" t="s">
        <v>380</v>
      </c>
      <c r="T149" s="201"/>
      <c r="U149" s="58"/>
      <c r="V149" s="46"/>
      <c r="W149" s="46"/>
      <c r="X149" s="99" t="s">
        <v>76</v>
      </c>
      <c r="Y149" s="63"/>
      <c r="Z149" s="64">
        <f t="shared" si="20"/>
        <v>1</v>
      </c>
      <c r="AA149" s="64">
        <v>2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</row>
    <row r="150" spans="1:48" ht="18" customHeight="1">
      <c r="A150" s="116">
        <v>20250194</v>
      </c>
      <c r="B150" s="117" t="s">
        <v>352</v>
      </c>
      <c r="C150" s="118">
        <v>45868</v>
      </c>
      <c r="D150" s="118">
        <v>45899</v>
      </c>
      <c r="E150" s="46">
        <v>7</v>
      </c>
      <c r="F150" s="119">
        <v>30.18</v>
      </c>
      <c r="G150" s="120">
        <v>21</v>
      </c>
      <c r="H150" s="121" t="s">
        <v>381</v>
      </c>
      <c r="I150" s="121" t="s">
        <v>24</v>
      </c>
      <c r="J150" s="117" t="s">
        <v>24</v>
      </c>
      <c r="K150" s="53">
        <f t="shared" si="17"/>
        <v>45907</v>
      </c>
      <c r="L150" s="53">
        <f t="shared" si="18"/>
        <v>45967</v>
      </c>
      <c r="M150" s="71"/>
      <c r="N150" s="72">
        <f>E150</f>
        <v>7</v>
      </c>
      <c r="O150" s="50">
        <f t="shared" si="19"/>
        <v>30.18</v>
      </c>
      <c r="P150" s="56">
        <f t="shared" si="21"/>
        <v>21</v>
      </c>
      <c r="Q150" s="73" t="s">
        <v>37</v>
      </c>
      <c r="R150" s="58"/>
      <c r="S150" s="200" t="s">
        <v>382</v>
      </c>
      <c r="T150" s="201">
        <v>40</v>
      </c>
      <c r="U150" s="58"/>
      <c r="V150" s="46"/>
      <c r="W150" s="46"/>
      <c r="X150" s="62" t="s">
        <v>25</v>
      </c>
      <c r="Y150" s="63">
        <f t="shared" ref="Y150:Y213" si="22">F150/E150</f>
        <v>4.3114285714285714</v>
      </c>
      <c r="Z150" s="64">
        <f t="shared" si="20"/>
        <v>0</v>
      </c>
      <c r="AA150" s="64">
        <v>106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</row>
    <row r="151" spans="1:48" ht="18" customHeight="1">
      <c r="A151" s="76">
        <v>20250233</v>
      </c>
      <c r="B151" s="77" t="s">
        <v>383</v>
      </c>
      <c r="C151" s="78">
        <v>45900</v>
      </c>
      <c r="D151" s="78">
        <v>45904</v>
      </c>
      <c r="E151" s="76">
        <v>44</v>
      </c>
      <c r="F151" s="76">
        <v>563.62365714285704</v>
      </c>
      <c r="G151" s="76">
        <v>1056</v>
      </c>
      <c r="H151" s="80" t="s">
        <v>384</v>
      </c>
      <c r="I151" s="80" t="s">
        <v>42</v>
      </c>
      <c r="J151" s="77" t="s">
        <v>28</v>
      </c>
      <c r="K151" s="78">
        <f t="shared" si="17"/>
        <v>45912</v>
      </c>
      <c r="L151" s="78">
        <f t="shared" si="18"/>
        <v>45972</v>
      </c>
      <c r="M151" s="82"/>
      <c r="N151" s="83">
        <f>E151-15-16-2-11</f>
        <v>0</v>
      </c>
      <c r="O151" s="84">
        <f t="shared" si="19"/>
        <v>0</v>
      </c>
      <c r="P151" s="83">
        <f t="shared" si="21"/>
        <v>0</v>
      </c>
      <c r="Q151" s="80"/>
      <c r="R151" s="80"/>
      <c r="S151" s="80" t="s">
        <v>385</v>
      </c>
      <c r="T151" s="86">
        <v>14</v>
      </c>
      <c r="U151" s="80"/>
      <c r="V151" s="76"/>
      <c r="W151" s="76"/>
      <c r="X151" s="76" t="s">
        <v>55</v>
      </c>
      <c r="Y151" s="63">
        <f t="shared" si="22"/>
        <v>12.809628571428568</v>
      </c>
      <c r="Z151" s="30"/>
      <c r="AA151" s="64">
        <v>38</v>
      </c>
      <c r="AB151" s="202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</row>
    <row r="152" spans="1:48" ht="18" customHeight="1">
      <c r="A152" s="76">
        <v>20250233</v>
      </c>
      <c r="B152" s="77" t="s">
        <v>383</v>
      </c>
      <c r="C152" s="78">
        <v>45900</v>
      </c>
      <c r="D152" s="78">
        <v>45904</v>
      </c>
      <c r="E152" s="76">
        <v>7</v>
      </c>
      <c r="F152" s="76">
        <v>89.667400000000001</v>
      </c>
      <c r="G152" s="76">
        <v>420</v>
      </c>
      <c r="H152" s="80" t="s">
        <v>384</v>
      </c>
      <c r="I152" s="80" t="s">
        <v>138</v>
      </c>
      <c r="J152" s="77" t="s">
        <v>26</v>
      </c>
      <c r="K152" s="78">
        <f t="shared" si="17"/>
        <v>45912</v>
      </c>
      <c r="L152" s="78">
        <f t="shared" si="18"/>
        <v>45972</v>
      </c>
      <c r="M152" s="82"/>
      <c r="N152" s="83">
        <f>E152-7</f>
        <v>0</v>
      </c>
      <c r="O152" s="84">
        <f t="shared" si="19"/>
        <v>0</v>
      </c>
      <c r="P152" s="83">
        <f t="shared" si="21"/>
        <v>0</v>
      </c>
      <c r="Q152" s="80"/>
      <c r="R152" s="80"/>
      <c r="S152" s="80" t="s">
        <v>385</v>
      </c>
      <c r="T152" s="86">
        <v>14</v>
      </c>
      <c r="U152" s="80"/>
      <c r="V152" s="76"/>
      <c r="W152" s="76"/>
      <c r="X152" s="76" t="s">
        <v>55</v>
      </c>
      <c r="Y152" s="63">
        <f t="shared" si="22"/>
        <v>12.809628571428572</v>
      </c>
      <c r="Z152" s="30"/>
      <c r="AA152" s="64">
        <v>131</v>
      </c>
      <c r="AB152" s="20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</row>
    <row r="153" spans="1:48" ht="18" customHeight="1">
      <c r="A153" s="76">
        <v>20250233</v>
      </c>
      <c r="B153" s="77" t="s">
        <v>383</v>
      </c>
      <c r="C153" s="78">
        <v>45900</v>
      </c>
      <c r="D153" s="78">
        <v>45904</v>
      </c>
      <c r="E153" s="76">
        <v>7</v>
      </c>
      <c r="F153" s="76">
        <v>89.667400000000001</v>
      </c>
      <c r="G153" s="76">
        <v>168</v>
      </c>
      <c r="H153" s="80" t="s">
        <v>384</v>
      </c>
      <c r="I153" s="80" t="s">
        <v>386</v>
      </c>
      <c r="J153" s="77" t="s">
        <v>28</v>
      </c>
      <c r="K153" s="78">
        <f t="shared" si="17"/>
        <v>45912</v>
      </c>
      <c r="L153" s="78">
        <f t="shared" si="18"/>
        <v>45972</v>
      </c>
      <c r="M153" s="82"/>
      <c r="N153" s="83">
        <f>E153-7</f>
        <v>0</v>
      </c>
      <c r="O153" s="84">
        <f t="shared" si="19"/>
        <v>0</v>
      </c>
      <c r="P153" s="83">
        <f t="shared" si="21"/>
        <v>0</v>
      </c>
      <c r="Q153" s="80"/>
      <c r="R153" s="80"/>
      <c r="S153" s="80" t="s">
        <v>385</v>
      </c>
      <c r="T153" s="86">
        <v>14</v>
      </c>
      <c r="U153" s="80"/>
      <c r="V153" s="76"/>
      <c r="W153" s="76"/>
      <c r="X153" s="76" t="s">
        <v>55</v>
      </c>
      <c r="Y153" s="63">
        <f t="shared" si="22"/>
        <v>12.809628571428572</v>
      </c>
      <c r="Z153" s="30"/>
      <c r="AA153" s="64">
        <v>116</v>
      </c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</row>
    <row r="154" spans="1:48" ht="18" customHeight="1">
      <c r="A154" s="76">
        <v>20250233</v>
      </c>
      <c r="B154" s="77" t="s">
        <v>383</v>
      </c>
      <c r="C154" s="78">
        <v>45900</v>
      </c>
      <c r="D154" s="78">
        <v>45904</v>
      </c>
      <c r="E154" s="76">
        <v>5</v>
      </c>
      <c r="F154" s="76">
        <v>64.048142857142807</v>
      </c>
      <c r="G154" s="76">
        <v>120</v>
      </c>
      <c r="H154" s="80" t="s">
        <v>384</v>
      </c>
      <c r="I154" s="80" t="s">
        <v>386</v>
      </c>
      <c r="J154" s="77" t="s">
        <v>28</v>
      </c>
      <c r="K154" s="78">
        <f t="shared" si="17"/>
        <v>45912</v>
      </c>
      <c r="L154" s="78">
        <f t="shared" si="18"/>
        <v>45972</v>
      </c>
      <c r="M154" s="82"/>
      <c r="N154" s="83">
        <f>E154-5</f>
        <v>0</v>
      </c>
      <c r="O154" s="84">
        <f t="shared" si="19"/>
        <v>0</v>
      </c>
      <c r="P154" s="83">
        <f t="shared" si="21"/>
        <v>0</v>
      </c>
      <c r="Q154" s="80"/>
      <c r="R154" s="80"/>
      <c r="S154" s="80" t="s">
        <v>385</v>
      </c>
      <c r="T154" s="86">
        <v>14</v>
      </c>
      <c r="U154" s="80"/>
      <c r="V154" s="76"/>
      <c r="W154" s="76"/>
      <c r="X154" s="76" t="s">
        <v>55</v>
      </c>
      <c r="Y154" s="63">
        <f t="shared" si="22"/>
        <v>12.809628571428561</v>
      </c>
      <c r="Z154" s="30"/>
      <c r="AA154" s="30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</row>
    <row r="155" spans="1:48" ht="18" customHeight="1">
      <c r="A155" s="76">
        <v>20250233</v>
      </c>
      <c r="B155" s="77" t="s">
        <v>383</v>
      </c>
      <c r="C155" s="78">
        <v>45900</v>
      </c>
      <c r="D155" s="78">
        <v>45904</v>
      </c>
      <c r="E155" s="76">
        <v>3</v>
      </c>
      <c r="F155" s="76">
        <v>38.428885714285698</v>
      </c>
      <c r="G155" s="76">
        <v>72</v>
      </c>
      <c r="H155" s="80" t="s">
        <v>384</v>
      </c>
      <c r="I155" s="80" t="s">
        <v>63</v>
      </c>
      <c r="J155" s="77" t="s">
        <v>28</v>
      </c>
      <c r="K155" s="78">
        <f t="shared" si="17"/>
        <v>45912</v>
      </c>
      <c r="L155" s="78">
        <f t="shared" si="18"/>
        <v>45972</v>
      </c>
      <c r="M155" s="82"/>
      <c r="N155" s="83">
        <f>E155-3</f>
        <v>0</v>
      </c>
      <c r="O155" s="84">
        <f t="shared" si="19"/>
        <v>0</v>
      </c>
      <c r="P155" s="83">
        <f t="shared" si="21"/>
        <v>0</v>
      </c>
      <c r="Q155" s="80"/>
      <c r="R155" s="80"/>
      <c r="S155" s="80" t="s">
        <v>385</v>
      </c>
      <c r="T155" s="86">
        <v>14</v>
      </c>
      <c r="U155" s="80"/>
      <c r="V155" s="76"/>
      <c r="W155" s="76"/>
      <c r="X155" s="76" t="s">
        <v>55</v>
      </c>
      <c r="Y155" s="63">
        <f t="shared" si="22"/>
        <v>12.809628571428567</v>
      </c>
      <c r="Z155" s="30"/>
      <c r="AA155" s="64">
        <v>199</v>
      </c>
      <c r="AB155" s="202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</row>
    <row r="156" spans="1:48" ht="18" customHeight="1">
      <c r="A156" s="76">
        <v>20250233</v>
      </c>
      <c r="B156" s="77" t="s">
        <v>383</v>
      </c>
      <c r="C156" s="78">
        <v>45900</v>
      </c>
      <c r="D156" s="78">
        <v>45904</v>
      </c>
      <c r="E156" s="76">
        <v>3</v>
      </c>
      <c r="F156" s="76">
        <v>38.428885714285698</v>
      </c>
      <c r="G156" s="76">
        <v>72</v>
      </c>
      <c r="H156" s="80" t="s">
        <v>384</v>
      </c>
      <c r="I156" s="80" t="s">
        <v>58</v>
      </c>
      <c r="J156" s="77" t="s">
        <v>28</v>
      </c>
      <c r="K156" s="78">
        <f t="shared" si="17"/>
        <v>45912</v>
      </c>
      <c r="L156" s="78">
        <f t="shared" si="18"/>
        <v>45972</v>
      </c>
      <c r="M156" s="82"/>
      <c r="N156" s="83">
        <f>E156-3</f>
        <v>0</v>
      </c>
      <c r="O156" s="84">
        <f t="shared" si="19"/>
        <v>0</v>
      </c>
      <c r="P156" s="83">
        <f t="shared" si="21"/>
        <v>0</v>
      </c>
      <c r="Q156" s="80"/>
      <c r="R156" s="80"/>
      <c r="S156" s="80" t="s">
        <v>385</v>
      </c>
      <c r="T156" s="86">
        <v>14</v>
      </c>
      <c r="U156" s="80"/>
      <c r="V156" s="76"/>
      <c r="W156" s="76"/>
      <c r="X156" s="76" t="s">
        <v>55</v>
      </c>
      <c r="Y156" s="63">
        <f t="shared" si="22"/>
        <v>12.809628571428567</v>
      </c>
      <c r="Z156" s="30"/>
      <c r="AA156" s="64">
        <v>294</v>
      </c>
      <c r="AB156" s="202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</row>
    <row r="157" spans="1:48" ht="18" customHeight="1">
      <c r="A157" s="63">
        <v>20250233</v>
      </c>
      <c r="B157" s="65" t="s">
        <v>383</v>
      </c>
      <c r="C157" s="66">
        <v>45900</v>
      </c>
      <c r="D157" s="66">
        <v>45904</v>
      </c>
      <c r="E157" s="67">
        <v>1</v>
      </c>
      <c r="F157" s="68">
        <v>12.8096285714286</v>
      </c>
      <c r="G157" s="69">
        <v>24</v>
      </c>
      <c r="H157" s="70" t="s">
        <v>384</v>
      </c>
      <c r="I157" s="70" t="s">
        <v>276</v>
      </c>
      <c r="J157" s="65" t="s">
        <v>26</v>
      </c>
      <c r="K157" s="53">
        <f t="shared" si="17"/>
        <v>45912</v>
      </c>
      <c r="L157" s="53">
        <f t="shared" si="18"/>
        <v>45972</v>
      </c>
      <c r="M157" s="71"/>
      <c r="N157" s="72">
        <f>E157</f>
        <v>1</v>
      </c>
      <c r="O157" s="50">
        <f t="shared" si="19"/>
        <v>12.8096285714286</v>
      </c>
      <c r="P157" s="56">
        <f t="shared" si="21"/>
        <v>24</v>
      </c>
      <c r="Q157" s="73"/>
      <c r="R157" s="58"/>
      <c r="S157" s="200" t="s">
        <v>385</v>
      </c>
      <c r="T157" s="201">
        <v>14</v>
      </c>
      <c r="U157" s="58"/>
      <c r="V157" s="46"/>
      <c r="W157" s="46"/>
      <c r="X157" s="62" t="s">
        <v>25</v>
      </c>
      <c r="Y157" s="63">
        <f t="shared" si="22"/>
        <v>12.8096285714286</v>
      </c>
      <c r="Z157" s="64">
        <f t="shared" ref="Z157:Z158" si="23">E157-N157</f>
        <v>0</v>
      </c>
      <c r="AA157" s="64">
        <v>17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</row>
    <row r="158" spans="1:48" ht="18" customHeight="1">
      <c r="A158" s="63">
        <v>20250233</v>
      </c>
      <c r="B158" s="65" t="s">
        <v>383</v>
      </c>
      <c r="C158" s="66">
        <v>45900</v>
      </c>
      <c r="D158" s="66">
        <v>45904</v>
      </c>
      <c r="E158" s="67">
        <v>24</v>
      </c>
      <c r="F158" s="68">
        <v>0</v>
      </c>
      <c r="G158" s="69">
        <v>50</v>
      </c>
      <c r="H158" s="70" t="s">
        <v>384</v>
      </c>
      <c r="I158" s="70" t="s">
        <v>24</v>
      </c>
      <c r="J158" s="65" t="s">
        <v>24</v>
      </c>
      <c r="K158" s="53">
        <f t="shared" si="17"/>
        <v>45912</v>
      </c>
      <c r="L158" s="53">
        <f t="shared" si="18"/>
        <v>45972</v>
      </c>
      <c r="M158" s="71"/>
      <c r="N158" s="72">
        <f>E158</f>
        <v>24</v>
      </c>
      <c r="O158" s="50">
        <f t="shared" si="19"/>
        <v>0</v>
      </c>
      <c r="P158" s="56">
        <f t="shared" si="21"/>
        <v>50</v>
      </c>
      <c r="Q158" s="73"/>
      <c r="R158" s="58"/>
      <c r="S158" s="200" t="s">
        <v>385</v>
      </c>
      <c r="T158" s="201">
        <v>14</v>
      </c>
      <c r="U158" s="58"/>
      <c r="V158" s="46"/>
      <c r="W158" s="46"/>
      <c r="X158" s="62" t="s">
        <v>25</v>
      </c>
      <c r="Y158" s="63">
        <f t="shared" si="22"/>
        <v>0</v>
      </c>
      <c r="Z158" s="64">
        <f t="shared" si="23"/>
        <v>0</v>
      </c>
      <c r="AA158" s="30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</row>
    <row r="159" spans="1:48" ht="18" customHeight="1">
      <c r="A159" s="76">
        <v>20250233</v>
      </c>
      <c r="B159" s="77" t="s">
        <v>383</v>
      </c>
      <c r="C159" s="78">
        <v>45900</v>
      </c>
      <c r="D159" s="78">
        <v>45904</v>
      </c>
      <c r="E159" s="76">
        <v>5</v>
      </c>
      <c r="F159" s="79">
        <v>4.2519999999999998</v>
      </c>
      <c r="G159" s="76">
        <v>20</v>
      </c>
      <c r="H159" s="80" t="s">
        <v>384</v>
      </c>
      <c r="I159" s="80" t="s">
        <v>24</v>
      </c>
      <c r="J159" s="77" t="s">
        <v>24</v>
      </c>
      <c r="K159" s="78">
        <f t="shared" si="17"/>
        <v>45912</v>
      </c>
      <c r="L159" s="78">
        <f t="shared" si="18"/>
        <v>45972</v>
      </c>
      <c r="M159" s="82"/>
      <c r="N159" s="83">
        <f>E159-5</f>
        <v>0</v>
      </c>
      <c r="O159" s="84">
        <f t="shared" si="19"/>
        <v>0</v>
      </c>
      <c r="P159" s="83">
        <f t="shared" si="21"/>
        <v>0</v>
      </c>
      <c r="Q159" s="80"/>
      <c r="R159" s="80"/>
      <c r="S159" s="80" t="s">
        <v>387</v>
      </c>
      <c r="T159" s="86">
        <v>1</v>
      </c>
      <c r="U159" s="80"/>
      <c r="V159" s="76"/>
      <c r="W159" s="76"/>
      <c r="X159" s="76" t="s">
        <v>55</v>
      </c>
      <c r="Y159" s="63">
        <f t="shared" si="22"/>
        <v>0.85039999999999993</v>
      </c>
      <c r="Z159" s="30"/>
      <c r="AA159" s="64">
        <v>10</v>
      </c>
      <c r="AB159" s="202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</row>
    <row r="160" spans="1:48" ht="18" customHeight="1">
      <c r="A160" s="76">
        <v>20250233</v>
      </c>
      <c r="B160" s="77" t="s">
        <v>383</v>
      </c>
      <c r="C160" s="78">
        <v>45900</v>
      </c>
      <c r="D160" s="78">
        <v>45904</v>
      </c>
      <c r="E160" s="76">
        <v>15</v>
      </c>
      <c r="F160" s="79">
        <v>22.5</v>
      </c>
      <c r="G160" s="76">
        <v>80</v>
      </c>
      <c r="H160" s="80" t="s">
        <v>384</v>
      </c>
      <c r="I160" s="80" t="s">
        <v>24</v>
      </c>
      <c r="J160" s="77" t="s">
        <v>24</v>
      </c>
      <c r="K160" s="174">
        <f t="shared" si="17"/>
        <v>45912</v>
      </c>
      <c r="L160" s="174">
        <f t="shared" si="18"/>
        <v>45972</v>
      </c>
      <c r="M160" s="82"/>
      <c r="N160" s="83">
        <f>E160-15</f>
        <v>0</v>
      </c>
      <c r="O160" s="84">
        <f t="shared" si="19"/>
        <v>0</v>
      </c>
      <c r="P160" s="85">
        <f t="shared" si="21"/>
        <v>0</v>
      </c>
      <c r="Q160" s="80"/>
      <c r="R160" s="80"/>
      <c r="S160" s="80" t="s">
        <v>388</v>
      </c>
      <c r="T160" s="86">
        <v>3</v>
      </c>
      <c r="U160" s="80"/>
      <c r="V160" s="76"/>
      <c r="W160" s="76"/>
      <c r="X160" s="76" t="s">
        <v>55</v>
      </c>
      <c r="Y160" s="63">
        <f t="shared" si="22"/>
        <v>1.5</v>
      </c>
      <c r="Z160" s="30"/>
      <c r="AA160" s="64">
        <v>113</v>
      </c>
      <c r="AB160" s="202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</row>
    <row r="161" spans="1:48" ht="18" customHeight="1">
      <c r="A161" s="188">
        <v>20250233</v>
      </c>
      <c r="B161" s="189" t="s">
        <v>383</v>
      </c>
      <c r="C161" s="190">
        <v>45900</v>
      </c>
      <c r="D161" s="190">
        <v>45904</v>
      </c>
      <c r="E161" s="191">
        <v>2</v>
      </c>
      <c r="F161" s="192">
        <v>72</v>
      </c>
      <c r="G161" s="193">
        <v>48</v>
      </c>
      <c r="H161" s="194" t="s">
        <v>389</v>
      </c>
      <c r="I161" s="194" t="s">
        <v>194</v>
      </c>
      <c r="J161" s="189" t="s">
        <v>26</v>
      </c>
      <c r="K161" s="53">
        <f t="shared" si="17"/>
        <v>45912</v>
      </c>
      <c r="L161" s="53">
        <f t="shared" si="18"/>
        <v>45972</v>
      </c>
      <c r="M161" s="195"/>
      <c r="N161" s="196">
        <f>E161-1</f>
        <v>1</v>
      </c>
      <c r="O161" s="197">
        <f t="shared" si="19"/>
        <v>36</v>
      </c>
      <c r="P161" s="198">
        <f t="shared" si="21"/>
        <v>24</v>
      </c>
      <c r="Q161" s="199"/>
      <c r="R161" s="204"/>
      <c r="S161" s="200" t="s">
        <v>390</v>
      </c>
      <c r="T161" s="201">
        <v>68</v>
      </c>
      <c r="U161" s="204"/>
      <c r="V161" s="46"/>
      <c r="W161" s="46"/>
      <c r="X161" s="99" t="s">
        <v>76</v>
      </c>
      <c r="Y161" s="63">
        <f t="shared" si="22"/>
        <v>36</v>
      </c>
      <c r="Z161" s="64">
        <f t="shared" ref="Z161" si="24">E161-N161</f>
        <v>1</v>
      </c>
      <c r="AA161" s="64">
        <v>8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</row>
    <row r="162" spans="1:48" ht="18" customHeight="1">
      <c r="A162" s="76">
        <v>20250233</v>
      </c>
      <c r="B162" s="77" t="s">
        <v>383</v>
      </c>
      <c r="C162" s="78">
        <v>45900</v>
      </c>
      <c r="D162" s="78">
        <v>45904</v>
      </c>
      <c r="E162" s="76">
        <v>4</v>
      </c>
      <c r="F162" s="79">
        <v>0</v>
      </c>
      <c r="G162" s="102">
        <v>12</v>
      </c>
      <c r="H162" s="80" t="s">
        <v>389</v>
      </c>
      <c r="I162" s="80" t="s">
        <v>24</v>
      </c>
      <c r="J162" s="77" t="s">
        <v>24</v>
      </c>
      <c r="K162" s="174">
        <f t="shared" si="17"/>
        <v>45912</v>
      </c>
      <c r="L162" s="174">
        <f t="shared" si="18"/>
        <v>45972</v>
      </c>
      <c r="M162" s="82"/>
      <c r="N162" s="83">
        <f>E162-4</f>
        <v>0</v>
      </c>
      <c r="O162" s="84">
        <f t="shared" si="19"/>
        <v>0</v>
      </c>
      <c r="P162" s="85">
        <f t="shared" si="21"/>
        <v>0</v>
      </c>
      <c r="Q162" s="80"/>
      <c r="R162" s="80"/>
      <c r="S162" s="80" t="s">
        <v>390</v>
      </c>
      <c r="T162" s="86">
        <v>68</v>
      </c>
      <c r="U162" s="80"/>
      <c r="V162" s="76"/>
      <c r="W162" s="76"/>
      <c r="X162" s="76" t="s">
        <v>55</v>
      </c>
      <c r="Y162" s="63">
        <f t="shared" si="22"/>
        <v>0</v>
      </c>
      <c r="Z162" s="30"/>
      <c r="AA162" s="64">
        <v>100</v>
      </c>
      <c r="AB162" s="20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</row>
    <row r="163" spans="1:48" ht="18" customHeight="1">
      <c r="A163" s="63">
        <v>20250204</v>
      </c>
      <c r="B163" s="65" t="s">
        <v>391</v>
      </c>
      <c r="C163" s="66">
        <v>45873</v>
      </c>
      <c r="D163" s="66">
        <v>45907</v>
      </c>
      <c r="E163" s="67">
        <v>1</v>
      </c>
      <c r="F163" s="68">
        <v>0.40600000000000003</v>
      </c>
      <c r="G163" s="69">
        <v>3</v>
      </c>
      <c r="H163" s="70" t="s">
        <v>392</v>
      </c>
      <c r="I163" s="70" t="s">
        <v>24</v>
      </c>
      <c r="J163" s="65" t="s">
        <v>24</v>
      </c>
      <c r="K163" s="53">
        <f t="shared" si="17"/>
        <v>45915</v>
      </c>
      <c r="L163" s="53">
        <f t="shared" si="18"/>
        <v>45975</v>
      </c>
      <c r="M163" s="71"/>
      <c r="N163" s="72">
        <f>E163</f>
        <v>1</v>
      </c>
      <c r="O163" s="50">
        <f t="shared" si="19"/>
        <v>0.40600000000000003</v>
      </c>
      <c r="P163" s="56">
        <f t="shared" si="21"/>
        <v>3</v>
      </c>
      <c r="Q163" s="73"/>
      <c r="R163" s="58"/>
      <c r="S163" s="200" t="s">
        <v>393</v>
      </c>
      <c r="T163" s="201">
        <v>129</v>
      </c>
      <c r="U163" s="58"/>
      <c r="V163" s="46"/>
      <c r="W163" s="46"/>
      <c r="X163" s="62" t="s">
        <v>25</v>
      </c>
      <c r="Y163" s="63">
        <f t="shared" si="22"/>
        <v>0.40600000000000003</v>
      </c>
      <c r="Z163" s="64">
        <f t="shared" ref="Z163:Z175" si="25">E163-N163</f>
        <v>0</v>
      </c>
      <c r="AA163" s="64">
        <v>32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</row>
    <row r="164" spans="1:48" ht="18" customHeight="1">
      <c r="A164" s="63">
        <v>20250204</v>
      </c>
      <c r="B164" s="65" t="s">
        <v>391</v>
      </c>
      <c r="C164" s="66">
        <v>45873</v>
      </c>
      <c r="D164" s="66">
        <v>45907</v>
      </c>
      <c r="E164" s="67">
        <v>2</v>
      </c>
      <c r="F164" s="68">
        <v>0.35599999999999998</v>
      </c>
      <c r="G164" s="69">
        <v>6</v>
      </c>
      <c r="H164" s="70" t="s">
        <v>394</v>
      </c>
      <c r="I164" s="70" t="s">
        <v>24</v>
      </c>
      <c r="J164" s="65" t="s">
        <v>24</v>
      </c>
      <c r="K164" s="53">
        <f t="shared" si="17"/>
        <v>45915</v>
      </c>
      <c r="L164" s="53">
        <f t="shared" si="18"/>
        <v>45975</v>
      </c>
      <c r="M164" s="71"/>
      <c r="N164" s="72">
        <f>E164</f>
        <v>2</v>
      </c>
      <c r="O164" s="50">
        <f t="shared" si="19"/>
        <v>0.35599999999999998</v>
      </c>
      <c r="P164" s="56">
        <f t="shared" si="21"/>
        <v>6</v>
      </c>
      <c r="Q164" s="73"/>
      <c r="R164" s="58"/>
      <c r="S164" s="200" t="s">
        <v>395</v>
      </c>
      <c r="T164" s="201">
        <v>130</v>
      </c>
      <c r="U164" s="58"/>
      <c r="V164" s="46"/>
      <c r="W164" s="46"/>
      <c r="X164" s="62" t="s">
        <v>25</v>
      </c>
      <c r="Y164" s="63">
        <f t="shared" si="22"/>
        <v>0.17799999999999999</v>
      </c>
      <c r="Z164" s="64">
        <f t="shared" si="25"/>
        <v>0</v>
      </c>
      <c r="AA164" s="30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</row>
    <row r="165" spans="1:48" ht="18" customHeight="1">
      <c r="A165" s="188">
        <v>20250204</v>
      </c>
      <c r="B165" s="189" t="s">
        <v>391</v>
      </c>
      <c r="C165" s="190">
        <v>45873</v>
      </c>
      <c r="D165" s="190">
        <v>45907</v>
      </c>
      <c r="E165" s="191">
        <v>280</v>
      </c>
      <c r="F165" s="192">
        <v>1513.7750000000001</v>
      </c>
      <c r="G165" s="193">
        <v>224</v>
      </c>
      <c r="H165" s="194" t="s">
        <v>396</v>
      </c>
      <c r="I165" s="194" t="s">
        <v>52</v>
      </c>
      <c r="J165" s="189" t="s">
        <v>52</v>
      </c>
      <c r="K165" s="53">
        <f t="shared" si="17"/>
        <v>45915</v>
      </c>
      <c r="L165" s="53">
        <f t="shared" si="18"/>
        <v>45975</v>
      </c>
      <c r="M165" s="195"/>
      <c r="N165" s="196">
        <f>E165-54-40-54-17-9-7-17-39-18-9-9</f>
        <v>7</v>
      </c>
      <c r="O165" s="197">
        <f t="shared" si="19"/>
        <v>37.844374999999999</v>
      </c>
      <c r="P165" s="198">
        <f t="shared" si="21"/>
        <v>5.6000000000000005</v>
      </c>
      <c r="Q165" s="73"/>
      <c r="R165" s="204" t="s">
        <v>356</v>
      </c>
      <c r="S165" s="200" t="s">
        <v>397</v>
      </c>
      <c r="T165" s="201">
        <v>107</v>
      </c>
      <c r="U165" s="204"/>
      <c r="V165" s="46"/>
      <c r="W165" s="46"/>
      <c r="X165" s="99" t="s">
        <v>76</v>
      </c>
      <c r="Y165" s="63">
        <f t="shared" si="22"/>
        <v>5.406339285714286</v>
      </c>
      <c r="Z165" s="64">
        <f t="shared" si="25"/>
        <v>273</v>
      </c>
      <c r="AA165" s="64">
        <v>1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</row>
    <row r="166" spans="1:48" ht="18" customHeight="1">
      <c r="A166" s="63">
        <v>20250204</v>
      </c>
      <c r="B166" s="65" t="s">
        <v>391</v>
      </c>
      <c r="C166" s="66">
        <v>45873</v>
      </c>
      <c r="D166" s="66">
        <v>45907</v>
      </c>
      <c r="E166" s="67">
        <v>342</v>
      </c>
      <c r="F166" s="68">
        <v>1825.982</v>
      </c>
      <c r="G166" s="69">
        <v>273</v>
      </c>
      <c r="H166" s="70" t="s">
        <v>103</v>
      </c>
      <c r="I166" s="70" t="s">
        <v>52</v>
      </c>
      <c r="J166" s="65" t="s">
        <v>52</v>
      </c>
      <c r="K166" s="53">
        <f t="shared" si="17"/>
        <v>45915</v>
      </c>
      <c r="L166" s="53">
        <f t="shared" si="18"/>
        <v>45975</v>
      </c>
      <c r="M166" s="71"/>
      <c r="N166" s="72">
        <f>E166</f>
        <v>342</v>
      </c>
      <c r="O166" s="50">
        <f t="shared" si="19"/>
        <v>1825.982</v>
      </c>
      <c r="P166" s="56">
        <f t="shared" si="21"/>
        <v>273</v>
      </c>
      <c r="Q166" s="73"/>
      <c r="R166" s="204" t="s">
        <v>356</v>
      </c>
      <c r="S166" s="200" t="s">
        <v>398</v>
      </c>
      <c r="T166" s="201">
        <v>119</v>
      </c>
      <c r="U166" s="204"/>
      <c r="V166" s="46"/>
      <c r="W166" s="46"/>
      <c r="X166" s="62" t="s">
        <v>25</v>
      </c>
      <c r="Y166" s="63">
        <f t="shared" si="22"/>
        <v>5.3391286549707599</v>
      </c>
      <c r="Z166" s="64">
        <f t="shared" si="25"/>
        <v>0</v>
      </c>
      <c r="AA166" s="30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</row>
    <row r="167" spans="1:48" ht="18" customHeight="1">
      <c r="A167" s="63">
        <v>20250204</v>
      </c>
      <c r="B167" s="65" t="s">
        <v>391</v>
      </c>
      <c r="C167" s="66">
        <v>45873</v>
      </c>
      <c r="D167" s="66">
        <v>45907</v>
      </c>
      <c r="E167" s="67">
        <v>34</v>
      </c>
      <c r="F167" s="68">
        <v>146.28</v>
      </c>
      <c r="G167" s="69">
        <v>27</v>
      </c>
      <c r="H167" s="70" t="s">
        <v>103</v>
      </c>
      <c r="I167" s="70" t="s">
        <v>52</v>
      </c>
      <c r="J167" s="65" t="s">
        <v>52</v>
      </c>
      <c r="K167" s="53">
        <f t="shared" si="17"/>
        <v>45915</v>
      </c>
      <c r="L167" s="53">
        <f t="shared" si="18"/>
        <v>45975</v>
      </c>
      <c r="M167" s="71"/>
      <c r="N167" s="72">
        <f>E167</f>
        <v>34</v>
      </c>
      <c r="O167" s="50">
        <f t="shared" si="19"/>
        <v>146.28</v>
      </c>
      <c r="P167" s="56">
        <f t="shared" si="21"/>
        <v>27</v>
      </c>
      <c r="Q167" s="73"/>
      <c r="R167" s="204" t="s">
        <v>356</v>
      </c>
      <c r="S167" s="200" t="s">
        <v>399</v>
      </c>
      <c r="T167" s="201">
        <v>139</v>
      </c>
      <c r="U167" s="204"/>
      <c r="V167" s="46"/>
      <c r="W167" s="46"/>
      <c r="X167" s="62" t="s">
        <v>25</v>
      </c>
      <c r="Y167" s="63">
        <f t="shared" si="22"/>
        <v>4.3023529411764709</v>
      </c>
      <c r="Z167" s="64">
        <f t="shared" si="25"/>
        <v>0</v>
      </c>
      <c r="AA167" s="64">
        <v>785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</row>
    <row r="168" spans="1:48" ht="18" customHeight="1">
      <c r="A168" s="87">
        <v>20250232</v>
      </c>
      <c r="B168" s="88" t="s">
        <v>400</v>
      </c>
      <c r="C168" s="89">
        <v>45899</v>
      </c>
      <c r="D168" s="190">
        <v>45922</v>
      </c>
      <c r="E168" s="191">
        <v>330</v>
      </c>
      <c r="F168" s="192">
        <v>598.077</v>
      </c>
      <c r="G168" s="193">
        <v>161</v>
      </c>
      <c r="H168" s="194" t="s">
        <v>401</v>
      </c>
      <c r="I168" s="194" t="s">
        <v>402</v>
      </c>
      <c r="J168" s="189" t="s">
        <v>123</v>
      </c>
      <c r="K168" s="53">
        <f t="shared" si="17"/>
        <v>45930</v>
      </c>
      <c r="L168" s="53">
        <f t="shared" si="18"/>
        <v>45990</v>
      </c>
      <c r="M168" s="195"/>
      <c r="N168" s="196">
        <f>E168-14-116-104-84-6</f>
        <v>6</v>
      </c>
      <c r="O168" s="197">
        <f t="shared" si="19"/>
        <v>10.874127272727273</v>
      </c>
      <c r="P168" s="198">
        <f t="shared" si="21"/>
        <v>2.9272727272727272</v>
      </c>
      <c r="Q168" s="73"/>
      <c r="R168" s="58"/>
      <c r="S168" s="200" t="s">
        <v>403</v>
      </c>
      <c r="T168" s="201">
        <v>8</v>
      </c>
      <c r="U168" s="58"/>
      <c r="V168" s="46"/>
      <c r="W168" s="46"/>
      <c r="X168" s="99" t="s">
        <v>76</v>
      </c>
      <c r="Y168" s="63">
        <f t="shared" si="22"/>
        <v>1.8123545454545456</v>
      </c>
      <c r="Z168" s="64">
        <f t="shared" si="25"/>
        <v>324</v>
      </c>
      <c r="AA168" s="64">
        <v>743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</row>
    <row r="169" spans="1:48" ht="18" customHeight="1">
      <c r="A169" s="188">
        <v>20250232</v>
      </c>
      <c r="B169" s="189" t="s">
        <v>400</v>
      </c>
      <c r="C169" s="190">
        <v>45899</v>
      </c>
      <c r="D169" s="190">
        <v>45922</v>
      </c>
      <c r="E169" s="191">
        <v>320</v>
      </c>
      <c r="F169" s="192">
        <v>655.16399999999999</v>
      </c>
      <c r="G169" s="193">
        <v>156</v>
      </c>
      <c r="H169" s="194" t="s">
        <v>404</v>
      </c>
      <c r="I169" s="194" t="s">
        <v>402</v>
      </c>
      <c r="J169" s="189" t="s">
        <v>123</v>
      </c>
      <c r="K169" s="53">
        <f t="shared" si="17"/>
        <v>45930</v>
      </c>
      <c r="L169" s="53">
        <f t="shared" si="18"/>
        <v>45990</v>
      </c>
      <c r="M169" s="195"/>
      <c r="N169" s="196">
        <f>E169-94-40-54-40-40-20-10</f>
        <v>22</v>
      </c>
      <c r="O169" s="197">
        <f t="shared" si="19"/>
        <v>45.042525000000005</v>
      </c>
      <c r="P169" s="198">
        <f t="shared" si="21"/>
        <v>10.725</v>
      </c>
      <c r="Q169" s="73"/>
      <c r="R169" s="58"/>
      <c r="S169" s="200" t="s">
        <v>405</v>
      </c>
      <c r="T169" s="201">
        <v>103</v>
      </c>
      <c r="U169" s="58"/>
      <c r="V169" s="46"/>
      <c r="W169" s="46"/>
      <c r="X169" s="99" t="s">
        <v>76</v>
      </c>
      <c r="Y169" s="63">
        <f t="shared" si="22"/>
        <v>2.0473875000000001</v>
      </c>
      <c r="Z169" s="64">
        <f t="shared" si="25"/>
        <v>298</v>
      </c>
      <c r="AA169" s="30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</row>
    <row r="170" spans="1:48" ht="18" customHeight="1">
      <c r="A170" s="63">
        <v>20250232</v>
      </c>
      <c r="B170" s="65" t="s">
        <v>400</v>
      </c>
      <c r="C170" s="66">
        <v>45899</v>
      </c>
      <c r="D170" s="66">
        <v>45922</v>
      </c>
      <c r="E170" s="67">
        <v>700</v>
      </c>
      <c r="F170" s="68">
        <v>748.279</v>
      </c>
      <c r="G170" s="69">
        <v>342</v>
      </c>
      <c r="H170" s="70" t="s">
        <v>406</v>
      </c>
      <c r="I170" s="70" t="s">
        <v>303</v>
      </c>
      <c r="J170" s="65" t="s">
        <v>123</v>
      </c>
      <c r="K170" s="53">
        <f t="shared" si="17"/>
        <v>45930</v>
      </c>
      <c r="L170" s="53">
        <f t="shared" si="18"/>
        <v>45990</v>
      </c>
      <c r="M170" s="71"/>
      <c r="N170" s="72">
        <f>E170</f>
        <v>700</v>
      </c>
      <c r="O170" s="50">
        <f t="shared" si="19"/>
        <v>748.279</v>
      </c>
      <c r="P170" s="56">
        <f t="shared" si="21"/>
        <v>342</v>
      </c>
      <c r="Q170" s="73"/>
      <c r="R170" s="58"/>
      <c r="S170" s="200" t="s">
        <v>407</v>
      </c>
      <c r="T170" s="201">
        <v>107</v>
      </c>
      <c r="U170" s="58"/>
      <c r="V170" s="46"/>
      <c r="W170" s="46"/>
      <c r="X170" s="62" t="s">
        <v>25</v>
      </c>
      <c r="Y170" s="63">
        <f t="shared" si="22"/>
        <v>1.06897</v>
      </c>
      <c r="Z170" s="64">
        <f t="shared" si="25"/>
        <v>0</v>
      </c>
      <c r="AA170" s="3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</row>
    <row r="171" spans="1:48" ht="18" customHeight="1">
      <c r="A171" s="188">
        <v>20250232</v>
      </c>
      <c r="B171" s="189" t="s">
        <v>400</v>
      </c>
      <c r="C171" s="190">
        <v>45899</v>
      </c>
      <c r="D171" s="190">
        <v>45922</v>
      </c>
      <c r="E171" s="191">
        <v>724</v>
      </c>
      <c r="F171" s="192">
        <v>2985.9830000000002</v>
      </c>
      <c r="G171" s="193">
        <v>442</v>
      </c>
      <c r="H171" s="194" t="s">
        <v>408</v>
      </c>
      <c r="I171" s="194" t="s">
        <v>354</v>
      </c>
      <c r="J171" s="189" t="s">
        <v>354</v>
      </c>
      <c r="K171" s="53">
        <f t="shared" si="17"/>
        <v>45930</v>
      </c>
      <c r="L171" s="53">
        <f t="shared" si="18"/>
        <v>45990</v>
      </c>
      <c r="M171" s="195"/>
      <c r="N171" s="196">
        <f>E171-300-105-40-82-120-40-10-17-5</f>
        <v>5</v>
      </c>
      <c r="O171" s="197">
        <f t="shared" si="19"/>
        <v>20.621429558011052</v>
      </c>
      <c r="P171" s="198">
        <f t="shared" si="21"/>
        <v>3.0524861878453042</v>
      </c>
      <c r="Q171" s="73"/>
      <c r="R171" s="58"/>
      <c r="S171" s="200" t="s">
        <v>409</v>
      </c>
      <c r="T171" s="201">
        <v>120</v>
      </c>
      <c r="U171" s="58"/>
      <c r="V171" s="46"/>
      <c r="W171" s="46"/>
      <c r="X171" s="99" t="s">
        <v>76</v>
      </c>
      <c r="Y171" s="63">
        <f t="shared" si="22"/>
        <v>4.1242859116022101</v>
      </c>
      <c r="Z171" s="64">
        <f t="shared" si="25"/>
        <v>719</v>
      </c>
      <c r="AA171" s="30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</row>
    <row r="172" spans="1:48" ht="18" customHeight="1">
      <c r="A172" s="63">
        <v>20250232</v>
      </c>
      <c r="B172" s="65" t="s">
        <v>400</v>
      </c>
      <c r="C172" s="66">
        <v>45899</v>
      </c>
      <c r="D172" s="66">
        <v>45922</v>
      </c>
      <c r="E172" s="67">
        <v>19</v>
      </c>
      <c r="F172" s="68">
        <v>517.14</v>
      </c>
      <c r="G172" s="69">
        <v>15</v>
      </c>
      <c r="H172" s="70" t="s">
        <v>410</v>
      </c>
      <c r="I172" s="70" t="s">
        <v>72</v>
      </c>
      <c r="J172" s="65" t="s">
        <v>72</v>
      </c>
      <c r="K172" s="53">
        <f t="shared" si="17"/>
        <v>45930</v>
      </c>
      <c r="L172" s="53">
        <f t="shared" si="18"/>
        <v>45990</v>
      </c>
      <c r="M172" s="71"/>
      <c r="N172" s="72">
        <f>E172</f>
        <v>19</v>
      </c>
      <c r="O172" s="50">
        <f t="shared" si="19"/>
        <v>517.14</v>
      </c>
      <c r="P172" s="56">
        <f t="shared" si="21"/>
        <v>15</v>
      </c>
      <c r="Q172" s="73"/>
      <c r="R172" s="58"/>
      <c r="S172" s="200" t="s">
        <v>411</v>
      </c>
      <c r="T172" s="201">
        <v>140</v>
      </c>
      <c r="U172" s="58"/>
      <c r="V172" s="46"/>
      <c r="W172" s="46"/>
      <c r="X172" s="62" t="s">
        <v>25</v>
      </c>
      <c r="Y172" s="63">
        <f t="shared" si="22"/>
        <v>27.217894736842105</v>
      </c>
      <c r="Z172" s="64">
        <f t="shared" si="25"/>
        <v>0</v>
      </c>
      <c r="AA172" s="64">
        <v>609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</row>
    <row r="173" spans="1:48" ht="18" customHeight="1">
      <c r="A173" s="63">
        <v>20250232</v>
      </c>
      <c r="B173" s="65" t="s">
        <v>400</v>
      </c>
      <c r="C173" s="66">
        <v>45899</v>
      </c>
      <c r="D173" s="66">
        <v>45922</v>
      </c>
      <c r="E173" s="67">
        <v>1</v>
      </c>
      <c r="F173" s="68">
        <v>6</v>
      </c>
      <c r="G173" s="69">
        <v>24</v>
      </c>
      <c r="H173" s="70" t="s">
        <v>412</v>
      </c>
      <c r="I173" s="70" t="s">
        <v>276</v>
      </c>
      <c r="J173" s="65" t="s">
        <v>26</v>
      </c>
      <c r="K173" s="53">
        <f t="shared" si="17"/>
        <v>45930</v>
      </c>
      <c r="L173" s="53">
        <f t="shared" si="18"/>
        <v>45990</v>
      </c>
      <c r="M173" s="71"/>
      <c r="N173" s="72">
        <f>E173</f>
        <v>1</v>
      </c>
      <c r="O173" s="50">
        <f t="shared" si="19"/>
        <v>6</v>
      </c>
      <c r="P173" s="56">
        <f t="shared" si="21"/>
        <v>24</v>
      </c>
      <c r="Q173" s="73"/>
      <c r="R173" s="58"/>
      <c r="S173" s="200" t="s">
        <v>413</v>
      </c>
      <c r="T173" s="201">
        <v>38</v>
      </c>
      <c r="U173" s="58"/>
      <c r="V173" s="46"/>
      <c r="W173" s="46"/>
      <c r="X173" s="62" t="s">
        <v>25</v>
      </c>
      <c r="Y173" s="63">
        <f t="shared" si="22"/>
        <v>6</v>
      </c>
      <c r="Z173" s="64">
        <f t="shared" si="25"/>
        <v>0</v>
      </c>
      <c r="AA173" s="64">
        <v>169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</row>
    <row r="174" spans="1:48" ht="18" customHeight="1">
      <c r="A174" s="63">
        <v>20250232</v>
      </c>
      <c r="B174" s="65" t="s">
        <v>400</v>
      </c>
      <c r="C174" s="66">
        <v>45899</v>
      </c>
      <c r="D174" s="66">
        <v>45922</v>
      </c>
      <c r="E174" s="67">
        <v>1</v>
      </c>
      <c r="F174" s="68">
        <v>17.11</v>
      </c>
      <c r="G174" s="69">
        <v>24</v>
      </c>
      <c r="H174" s="70" t="s">
        <v>414</v>
      </c>
      <c r="I174" s="70" t="s">
        <v>63</v>
      </c>
      <c r="J174" s="65" t="s">
        <v>28</v>
      </c>
      <c r="K174" s="53">
        <f t="shared" si="17"/>
        <v>45930</v>
      </c>
      <c r="L174" s="53">
        <f t="shared" si="18"/>
        <v>45990</v>
      </c>
      <c r="M174" s="71"/>
      <c r="N174" s="72">
        <f>E174</f>
        <v>1</v>
      </c>
      <c r="O174" s="50">
        <f t="shared" si="19"/>
        <v>17.11</v>
      </c>
      <c r="P174" s="56">
        <f t="shared" si="21"/>
        <v>24</v>
      </c>
      <c r="Q174" s="73"/>
      <c r="R174" s="58"/>
      <c r="S174" s="200" t="s">
        <v>415</v>
      </c>
      <c r="T174" s="201">
        <v>62</v>
      </c>
      <c r="U174" s="58"/>
      <c r="V174" s="46"/>
      <c r="W174" s="46"/>
      <c r="X174" s="62" t="s">
        <v>25</v>
      </c>
      <c r="Y174" s="63">
        <f t="shared" si="22"/>
        <v>17.11</v>
      </c>
      <c r="Z174" s="64">
        <f t="shared" si="25"/>
        <v>0</v>
      </c>
      <c r="AA174" s="64">
        <v>2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</row>
    <row r="175" spans="1:48" ht="18" customHeight="1">
      <c r="A175" s="63">
        <v>20250232</v>
      </c>
      <c r="B175" s="65" t="s">
        <v>400</v>
      </c>
      <c r="C175" s="66">
        <v>45899</v>
      </c>
      <c r="D175" s="66">
        <v>45922</v>
      </c>
      <c r="E175" s="67">
        <v>1</v>
      </c>
      <c r="F175" s="68">
        <v>10.51</v>
      </c>
      <c r="G175" s="69">
        <v>24</v>
      </c>
      <c r="H175" s="70" t="s">
        <v>414</v>
      </c>
      <c r="I175" s="70" t="s">
        <v>63</v>
      </c>
      <c r="J175" s="65" t="s">
        <v>28</v>
      </c>
      <c r="K175" s="53">
        <f t="shared" si="17"/>
        <v>45930</v>
      </c>
      <c r="L175" s="53">
        <f t="shared" si="18"/>
        <v>45990</v>
      </c>
      <c r="M175" s="71"/>
      <c r="N175" s="72">
        <f>E175</f>
        <v>1</v>
      </c>
      <c r="O175" s="50">
        <f t="shared" si="19"/>
        <v>10.51</v>
      </c>
      <c r="P175" s="56">
        <f t="shared" si="21"/>
        <v>24</v>
      </c>
      <c r="Q175" s="73"/>
      <c r="R175" s="58"/>
      <c r="S175" s="200" t="s">
        <v>416</v>
      </c>
      <c r="T175" s="201">
        <v>63</v>
      </c>
      <c r="U175" s="58"/>
      <c r="V175" s="46"/>
      <c r="W175" s="46"/>
      <c r="X175" s="62" t="s">
        <v>25</v>
      </c>
      <c r="Y175" s="63">
        <f t="shared" si="22"/>
        <v>10.51</v>
      </c>
      <c r="Z175" s="64">
        <f t="shared" si="25"/>
        <v>0</v>
      </c>
      <c r="AA175" s="30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</row>
    <row r="176" spans="1:48" ht="18" customHeight="1">
      <c r="A176" s="76">
        <v>20250232</v>
      </c>
      <c r="B176" s="77" t="s">
        <v>400</v>
      </c>
      <c r="C176" s="78">
        <v>45899</v>
      </c>
      <c r="D176" s="78">
        <v>45922</v>
      </c>
      <c r="E176" s="76">
        <v>2</v>
      </c>
      <c r="F176" s="79">
        <v>68.2</v>
      </c>
      <c r="G176" s="76">
        <v>48</v>
      </c>
      <c r="H176" s="80" t="s">
        <v>417</v>
      </c>
      <c r="I176" s="80" t="s">
        <v>194</v>
      </c>
      <c r="J176" s="77" t="s">
        <v>26</v>
      </c>
      <c r="K176" s="78">
        <f t="shared" si="17"/>
        <v>45930</v>
      </c>
      <c r="L176" s="78">
        <f t="shared" si="18"/>
        <v>45990</v>
      </c>
      <c r="M176" s="82"/>
      <c r="N176" s="83">
        <f>E176-2</f>
        <v>0</v>
      </c>
      <c r="O176" s="84">
        <f t="shared" si="19"/>
        <v>0</v>
      </c>
      <c r="P176" s="85">
        <f t="shared" si="21"/>
        <v>0</v>
      </c>
      <c r="Q176" s="80"/>
      <c r="R176" s="80"/>
      <c r="S176" s="80" t="s">
        <v>418</v>
      </c>
      <c r="T176" s="86">
        <v>78</v>
      </c>
      <c r="U176" s="80"/>
      <c r="V176" s="76"/>
      <c r="W176" s="76"/>
      <c r="X176" s="76" t="s">
        <v>55</v>
      </c>
      <c r="Y176" s="63">
        <f t="shared" si="22"/>
        <v>34.1</v>
      </c>
      <c r="Z176" s="30"/>
      <c r="AA176" s="30"/>
      <c r="AB176" s="202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</row>
    <row r="177" spans="1:48" ht="18" customHeight="1">
      <c r="A177" s="188">
        <v>20250232</v>
      </c>
      <c r="B177" s="189" t="s">
        <v>400</v>
      </c>
      <c r="C177" s="190">
        <v>45899</v>
      </c>
      <c r="D177" s="190">
        <v>45922</v>
      </c>
      <c r="E177" s="191">
        <v>2</v>
      </c>
      <c r="F177" s="192">
        <v>0</v>
      </c>
      <c r="G177" s="193">
        <v>6</v>
      </c>
      <c r="H177" s="194" t="s">
        <v>417</v>
      </c>
      <c r="I177" s="194" t="s">
        <v>24</v>
      </c>
      <c r="J177" s="189" t="s">
        <v>24</v>
      </c>
      <c r="K177" s="203">
        <f t="shared" si="17"/>
        <v>45930</v>
      </c>
      <c r="L177" s="203">
        <f t="shared" si="18"/>
        <v>45990</v>
      </c>
      <c r="M177" s="195"/>
      <c r="N177" s="196">
        <f>E177-1</f>
        <v>1</v>
      </c>
      <c r="O177" s="197">
        <f t="shared" si="19"/>
        <v>0</v>
      </c>
      <c r="P177" s="198">
        <f t="shared" si="21"/>
        <v>3</v>
      </c>
      <c r="Q177" s="73"/>
      <c r="R177" s="58"/>
      <c r="S177" s="200" t="s">
        <v>418</v>
      </c>
      <c r="T177" s="201">
        <v>78</v>
      </c>
      <c r="U177" s="58"/>
      <c r="V177" s="46"/>
      <c r="W177" s="46"/>
      <c r="X177" s="99" t="s">
        <v>76</v>
      </c>
      <c r="Y177" s="63">
        <f t="shared" si="22"/>
        <v>0</v>
      </c>
      <c r="Z177" s="64">
        <f t="shared" ref="Z177:Z178" si="26">E177-N177</f>
        <v>1</v>
      </c>
      <c r="AA177" s="30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</row>
    <row r="178" spans="1:48" ht="18" customHeight="1">
      <c r="A178" s="87">
        <v>20250225</v>
      </c>
      <c r="B178" s="88" t="s">
        <v>419</v>
      </c>
      <c r="C178" s="89">
        <v>45899</v>
      </c>
      <c r="D178" s="66">
        <v>45925</v>
      </c>
      <c r="E178" s="67">
        <v>10</v>
      </c>
      <c r="F178" s="68">
        <v>145</v>
      </c>
      <c r="G178" s="69">
        <v>240</v>
      </c>
      <c r="H178" s="70" t="s">
        <v>420</v>
      </c>
      <c r="I178" s="70" t="s">
        <v>42</v>
      </c>
      <c r="J178" s="65" t="s">
        <v>28</v>
      </c>
      <c r="K178" s="53">
        <f t="shared" si="17"/>
        <v>45933</v>
      </c>
      <c r="L178" s="53">
        <f t="shared" si="18"/>
        <v>45993</v>
      </c>
      <c r="M178" s="71"/>
      <c r="N178" s="72">
        <f>E178</f>
        <v>10</v>
      </c>
      <c r="O178" s="50">
        <f t="shared" si="19"/>
        <v>145</v>
      </c>
      <c r="P178" s="56">
        <f t="shared" si="21"/>
        <v>240</v>
      </c>
      <c r="Q178" s="73"/>
      <c r="R178" s="58"/>
      <c r="S178" s="200" t="s">
        <v>421</v>
      </c>
      <c r="T178" s="201">
        <v>10</v>
      </c>
      <c r="U178" s="58"/>
      <c r="V178" s="46"/>
      <c r="W178" s="46"/>
      <c r="X178" s="62" t="s">
        <v>25</v>
      </c>
      <c r="Y178" s="63">
        <f t="shared" si="22"/>
        <v>14.5</v>
      </c>
      <c r="Z178" s="64">
        <f t="shared" si="26"/>
        <v>0</v>
      </c>
      <c r="AA178" s="30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</row>
    <row r="179" spans="1:48" ht="18" customHeight="1">
      <c r="A179" s="76">
        <v>20250225</v>
      </c>
      <c r="B179" s="77" t="s">
        <v>419</v>
      </c>
      <c r="C179" s="78">
        <v>45899</v>
      </c>
      <c r="D179" s="78">
        <v>45925</v>
      </c>
      <c r="E179" s="76">
        <v>1</v>
      </c>
      <c r="F179" s="76">
        <v>12.67</v>
      </c>
      <c r="G179" s="76">
        <v>24</v>
      </c>
      <c r="H179" s="80" t="s">
        <v>422</v>
      </c>
      <c r="I179" s="80" t="s">
        <v>42</v>
      </c>
      <c r="J179" s="77" t="s">
        <v>28</v>
      </c>
      <c r="K179" s="78">
        <f t="shared" si="17"/>
        <v>45933</v>
      </c>
      <c r="L179" s="78">
        <f t="shared" si="18"/>
        <v>45993</v>
      </c>
      <c r="M179" s="82"/>
      <c r="N179" s="83">
        <f>E179-1</f>
        <v>0</v>
      </c>
      <c r="O179" s="84">
        <f t="shared" si="19"/>
        <v>0</v>
      </c>
      <c r="P179" s="83">
        <f t="shared" si="21"/>
        <v>0</v>
      </c>
      <c r="Q179" s="80"/>
      <c r="R179" s="80"/>
      <c r="S179" s="80" t="s">
        <v>423</v>
      </c>
      <c r="T179" s="86">
        <v>50</v>
      </c>
      <c r="U179" s="80"/>
      <c r="V179" s="76"/>
      <c r="W179" s="76"/>
      <c r="X179" s="76" t="s">
        <v>55</v>
      </c>
      <c r="Y179" s="63">
        <f t="shared" si="22"/>
        <v>12.67</v>
      </c>
      <c r="Z179" s="64">
        <f>E179-N179</f>
        <v>1</v>
      </c>
      <c r="AA179" s="64">
        <v>43</v>
      </c>
      <c r="AB179" s="202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</row>
    <row r="180" spans="1:48" ht="18" customHeight="1">
      <c r="A180" s="135">
        <v>20250225</v>
      </c>
      <c r="B180" s="136" t="s">
        <v>419</v>
      </c>
      <c r="C180" s="137">
        <v>45899</v>
      </c>
      <c r="D180" s="137">
        <v>45925</v>
      </c>
      <c r="E180" s="138">
        <v>162</v>
      </c>
      <c r="F180" s="139">
        <v>361.1</v>
      </c>
      <c r="G180" s="140">
        <v>97.2</v>
      </c>
      <c r="H180" s="141" t="s">
        <v>424</v>
      </c>
      <c r="I180" s="141" t="s">
        <v>123</v>
      </c>
      <c r="J180" s="136" t="s">
        <v>123</v>
      </c>
      <c r="K180" s="142">
        <f t="shared" si="17"/>
        <v>45933</v>
      </c>
      <c r="L180" s="142">
        <f t="shared" si="18"/>
        <v>45993</v>
      </c>
      <c r="M180" s="143"/>
      <c r="N180" s="144">
        <f>E180-90-46-10</f>
        <v>16</v>
      </c>
      <c r="O180" s="145">
        <f t="shared" si="19"/>
        <v>35.6641975308642</v>
      </c>
      <c r="P180" s="146"/>
      <c r="Q180" s="73"/>
      <c r="R180" s="58"/>
      <c r="S180" s="200" t="s">
        <v>425</v>
      </c>
      <c r="T180" s="201">
        <v>72</v>
      </c>
      <c r="U180" s="58"/>
      <c r="V180" s="46"/>
      <c r="W180" s="46"/>
      <c r="X180" s="99" t="s">
        <v>76</v>
      </c>
      <c r="Y180" s="63">
        <f t="shared" si="22"/>
        <v>2.2290123456790125</v>
      </c>
      <c r="Z180" s="64">
        <f t="shared" ref="Z180:Z191" si="27">E180-N180</f>
        <v>146</v>
      </c>
      <c r="AA180" s="64">
        <v>1704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</row>
    <row r="181" spans="1:48" ht="18" customHeight="1">
      <c r="A181" s="188">
        <v>20250225</v>
      </c>
      <c r="B181" s="189" t="s">
        <v>419</v>
      </c>
      <c r="C181" s="190">
        <v>45899</v>
      </c>
      <c r="D181" s="190">
        <v>45925</v>
      </c>
      <c r="E181" s="191">
        <v>277</v>
      </c>
      <c r="F181" s="192">
        <v>2756.415</v>
      </c>
      <c r="G181" s="193">
        <v>222</v>
      </c>
      <c r="H181" s="194" t="s">
        <v>51</v>
      </c>
      <c r="I181" s="194" t="s">
        <v>72</v>
      </c>
      <c r="J181" s="189" t="s">
        <v>72</v>
      </c>
      <c r="K181" s="53">
        <f t="shared" si="17"/>
        <v>45933</v>
      </c>
      <c r="L181" s="53">
        <f t="shared" si="18"/>
        <v>45993</v>
      </c>
      <c r="M181" s="195"/>
      <c r="N181" s="196">
        <f>E181-40-30-30-10-35-5-25-10-36-15-26-10</f>
        <v>5</v>
      </c>
      <c r="O181" s="197">
        <f t="shared" si="19"/>
        <v>49.75478339350181</v>
      </c>
      <c r="P181" s="198"/>
      <c r="Q181" s="73"/>
      <c r="R181" s="58"/>
      <c r="S181" s="200" t="s">
        <v>426</v>
      </c>
      <c r="T181" s="201">
        <v>87</v>
      </c>
      <c r="U181" s="58"/>
      <c r="V181" s="46"/>
      <c r="W181" s="46"/>
      <c r="X181" s="99" t="s">
        <v>76</v>
      </c>
      <c r="Y181" s="63">
        <f t="shared" si="22"/>
        <v>9.9509566787003614</v>
      </c>
      <c r="Z181" s="64">
        <f t="shared" si="27"/>
        <v>272</v>
      </c>
      <c r="AA181" s="64">
        <v>1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 ht="18" customHeight="1">
      <c r="A182" s="87">
        <v>20250240</v>
      </c>
      <c r="B182" s="88" t="s">
        <v>427</v>
      </c>
      <c r="C182" s="89">
        <v>45911</v>
      </c>
      <c r="D182" s="190">
        <v>45927</v>
      </c>
      <c r="E182" s="191">
        <v>88</v>
      </c>
      <c r="F182" s="192">
        <v>74.75</v>
      </c>
      <c r="G182" s="193">
        <v>70.5833333333333</v>
      </c>
      <c r="H182" s="194" t="s">
        <v>428</v>
      </c>
      <c r="I182" s="194" t="s">
        <v>72</v>
      </c>
      <c r="J182" s="194" t="s">
        <v>72</v>
      </c>
      <c r="K182" s="53">
        <f t="shared" si="17"/>
        <v>45935</v>
      </c>
      <c r="L182" s="53">
        <f t="shared" si="18"/>
        <v>45995</v>
      </c>
      <c r="M182" s="195"/>
      <c r="N182" s="196">
        <f>E182-69</f>
        <v>19</v>
      </c>
      <c r="O182" s="197">
        <f t="shared" si="19"/>
        <v>16.139204545454547</v>
      </c>
      <c r="P182" s="198">
        <f t="shared" ref="P182:P245" si="28">G182/E182*N182</f>
        <v>15.239583333333325</v>
      </c>
      <c r="Q182" s="73"/>
      <c r="R182" s="58"/>
      <c r="S182" s="200" t="s">
        <v>429</v>
      </c>
      <c r="T182" s="201">
        <v>135</v>
      </c>
      <c r="U182" s="58"/>
      <c r="V182" s="46"/>
      <c r="W182" s="46"/>
      <c r="X182" s="99" t="s">
        <v>76</v>
      </c>
      <c r="Y182" s="63">
        <f t="shared" si="22"/>
        <v>0.84943181818181823</v>
      </c>
      <c r="Z182" s="64">
        <f t="shared" si="27"/>
        <v>69</v>
      </c>
      <c r="AA182" s="64">
        <v>1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</row>
    <row r="183" spans="1:48" ht="18" customHeight="1">
      <c r="A183" s="188">
        <v>20250240</v>
      </c>
      <c r="B183" s="189" t="s">
        <v>427</v>
      </c>
      <c r="C183" s="190">
        <v>45911</v>
      </c>
      <c r="D183" s="190">
        <v>45927</v>
      </c>
      <c r="E183" s="191">
        <v>100</v>
      </c>
      <c r="F183" s="192">
        <v>534.48099999999999</v>
      </c>
      <c r="G183" s="193">
        <v>80.2083333333333</v>
      </c>
      <c r="H183" s="194" t="s">
        <v>430</v>
      </c>
      <c r="I183" s="194" t="s">
        <v>52</v>
      </c>
      <c r="J183" s="194" t="s">
        <v>52</v>
      </c>
      <c r="K183" s="53">
        <f t="shared" si="17"/>
        <v>45935</v>
      </c>
      <c r="L183" s="53">
        <f t="shared" si="18"/>
        <v>45995</v>
      </c>
      <c r="M183" s="195"/>
      <c r="N183" s="196">
        <f>E183-21-26-29-19</f>
        <v>5</v>
      </c>
      <c r="O183" s="197">
        <f t="shared" si="19"/>
        <v>26.724049999999998</v>
      </c>
      <c r="P183" s="198">
        <f t="shared" si="28"/>
        <v>4.0104166666666652</v>
      </c>
      <c r="Q183" s="73"/>
      <c r="R183" s="58"/>
      <c r="S183" s="200" t="s">
        <v>431</v>
      </c>
      <c r="T183" s="201">
        <v>116</v>
      </c>
      <c r="U183" s="58"/>
      <c r="V183" s="46"/>
      <c r="W183" s="46"/>
      <c r="X183" s="99" t="s">
        <v>76</v>
      </c>
      <c r="Y183" s="63">
        <f t="shared" si="22"/>
        <v>5.3448099999999998</v>
      </c>
      <c r="Z183" s="64">
        <f t="shared" si="27"/>
        <v>95</v>
      </c>
      <c r="AA183" s="64">
        <v>1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</row>
    <row r="184" spans="1:48" ht="18" customHeight="1">
      <c r="A184" s="188">
        <v>20250240</v>
      </c>
      <c r="B184" s="189" t="s">
        <v>427</v>
      </c>
      <c r="C184" s="190">
        <v>45911</v>
      </c>
      <c r="D184" s="190">
        <v>45927</v>
      </c>
      <c r="E184" s="191">
        <v>87</v>
      </c>
      <c r="F184" s="192">
        <v>462.02</v>
      </c>
      <c r="G184" s="193">
        <v>69.78125</v>
      </c>
      <c r="H184" s="194" t="s">
        <v>432</v>
      </c>
      <c r="I184" s="194" t="s">
        <v>52</v>
      </c>
      <c r="J184" s="194" t="s">
        <v>52</v>
      </c>
      <c r="K184" s="53">
        <f t="shared" si="17"/>
        <v>45935</v>
      </c>
      <c r="L184" s="53">
        <f t="shared" si="18"/>
        <v>45995</v>
      </c>
      <c r="M184" s="195"/>
      <c r="N184" s="196">
        <f>E184-27-20-10-27</f>
        <v>3</v>
      </c>
      <c r="O184" s="197">
        <f t="shared" si="19"/>
        <v>15.931724137931035</v>
      </c>
      <c r="P184" s="198">
        <f t="shared" si="28"/>
        <v>2.40625</v>
      </c>
      <c r="Q184" s="73"/>
      <c r="R184" s="58"/>
      <c r="S184" s="200" t="s">
        <v>433</v>
      </c>
      <c r="T184" s="201">
        <v>117</v>
      </c>
      <c r="U184" s="58"/>
      <c r="V184" s="46"/>
      <c r="W184" s="46"/>
      <c r="X184" s="99" t="s">
        <v>76</v>
      </c>
      <c r="Y184" s="63">
        <f t="shared" si="22"/>
        <v>5.3105747126436782</v>
      </c>
      <c r="Z184" s="64">
        <f t="shared" si="27"/>
        <v>84</v>
      </c>
      <c r="AA184" s="64">
        <v>1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</row>
    <row r="185" spans="1:48" ht="18" customHeight="1">
      <c r="A185" s="188">
        <v>20250240</v>
      </c>
      <c r="B185" s="189" t="s">
        <v>427</v>
      </c>
      <c r="C185" s="190">
        <v>45911</v>
      </c>
      <c r="D185" s="190">
        <v>45927</v>
      </c>
      <c r="E185" s="191">
        <v>72</v>
      </c>
      <c r="F185" s="192">
        <v>307.08199999999999</v>
      </c>
      <c r="G185" s="193">
        <v>57.75</v>
      </c>
      <c r="H185" s="194" t="s">
        <v>434</v>
      </c>
      <c r="I185" s="194" t="s">
        <v>72</v>
      </c>
      <c r="J185" s="194" t="s">
        <v>72</v>
      </c>
      <c r="K185" s="53">
        <f t="shared" si="17"/>
        <v>45935</v>
      </c>
      <c r="L185" s="53">
        <f t="shared" si="18"/>
        <v>45995</v>
      </c>
      <c r="M185" s="195"/>
      <c r="N185" s="196">
        <f>E185-24-36</f>
        <v>12</v>
      </c>
      <c r="O185" s="197">
        <f t="shared" si="19"/>
        <v>51.180333333333337</v>
      </c>
      <c r="P185" s="56">
        <f t="shared" si="28"/>
        <v>9.625</v>
      </c>
      <c r="Q185" s="73"/>
      <c r="R185" s="58"/>
      <c r="S185" s="200" t="s">
        <v>435</v>
      </c>
      <c r="T185" s="201">
        <v>47</v>
      </c>
      <c r="U185" s="58"/>
      <c r="V185" s="46"/>
      <c r="W185" s="46"/>
      <c r="X185" s="99" t="s">
        <v>76</v>
      </c>
      <c r="Y185" s="63">
        <f t="shared" si="22"/>
        <v>4.2650277777777781</v>
      </c>
      <c r="Z185" s="64">
        <f t="shared" si="27"/>
        <v>60</v>
      </c>
      <c r="AA185" s="30"/>
    </row>
    <row r="186" spans="1:48" ht="18" customHeight="1">
      <c r="A186" s="188">
        <v>20250240</v>
      </c>
      <c r="B186" s="189" t="s">
        <v>427</v>
      </c>
      <c r="C186" s="190">
        <v>45911</v>
      </c>
      <c r="D186" s="190">
        <v>45927</v>
      </c>
      <c r="E186" s="191">
        <v>546</v>
      </c>
      <c r="F186" s="192">
        <v>2294.7489999999998</v>
      </c>
      <c r="G186" s="193">
        <v>437.9375</v>
      </c>
      <c r="H186" s="194" t="s">
        <v>434</v>
      </c>
      <c r="I186" s="194" t="s">
        <v>72</v>
      </c>
      <c r="J186" s="194" t="s">
        <v>72</v>
      </c>
      <c r="K186" s="53">
        <f t="shared" si="17"/>
        <v>45935</v>
      </c>
      <c r="L186" s="53">
        <f t="shared" si="18"/>
        <v>45995</v>
      </c>
      <c r="M186" s="195"/>
      <c r="N186" s="196">
        <f>E186-20-58-10-66-20-22-12-10-88-96-12-62-24-24-12</f>
        <v>10</v>
      </c>
      <c r="O186" s="197">
        <f t="shared" si="19"/>
        <v>42.028369963369954</v>
      </c>
      <c r="P186" s="56">
        <f t="shared" si="28"/>
        <v>8.0208333333333339</v>
      </c>
      <c r="Q186" s="73"/>
      <c r="R186" s="58"/>
      <c r="S186" s="200" t="s">
        <v>436</v>
      </c>
      <c r="T186" s="201">
        <v>127</v>
      </c>
      <c r="U186" s="58"/>
      <c r="V186" s="46"/>
      <c r="W186" s="46"/>
      <c r="X186" s="99" t="s">
        <v>76</v>
      </c>
      <c r="Y186" s="63">
        <f t="shared" si="22"/>
        <v>4.2028369963369956</v>
      </c>
      <c r="Z186" s="64">
        <f t="shared" si="27"/>
        <v>536</v>
      </c>
      <c r="AA186" s="64">
        <v>3</v>
      </c>
    </row>
    <row r="187" spans="1:48" ht="18" customHeight="1">
      <c r="A187" s="63">
        <v>20250240</v>
      </c>
      <c r="B187" s="65" t="s">
        <v>427</v>
      </c>
      <c r="C187" s="66">
        <v>45911</v>
      </c>
      <c r="D187" s="66">
        <v>45927</v>
      </c>
      <c r="E187" s="67">
        <v>1</v>
      </c>
      <c r="F187" s="68">
        <v>0.83457000000000003</v>
      </c>
      <c r="G187" s="69">
        <v>3</v>
      </c>
      <c r="H187" s="70" t="s">
        <v>437</v>
      </c>
      <c r="I187" s="70" t="s">
        <v>24</v>
      </c>
      <c r="J187" s="65" t="s">
        <v>24</v>
      </c>
      <c r="K187" s="53">
        <f t="shared" si="17"/>
        <v>45935</v>
      </c>
      <c r="L187" s="53">
        <f t="shared" si="18"/>
        <v>45995</v>
      </c>
      <c r="M187" s="71"/>
      <c r="N187" s="72">
        <f>E187</f>
        <v>1</v>
      </c>
      <c r="O187" s="50">
        <f t="shared" si="19"/>
        <v>0.83457000000000003</v>
      </c>
      <c r="P187" s="56">
        <f t="shared" si="28"/>
        <v>3</v>
      </c>
      <c r="Q187" s="73"/>
      <c r="R187" s="58"/>
      <c r="S187" s="200" t="s">
        <v>438</v>
      </c>
      <c r="T187" s="201">
        <v>21</v>
      </c>
      <c r="U187" s="58"/>
      <c r="V187" s="46"/>
      <c r="W187" s="46"/>
      <c r="X187" s="62" t="s">
        <v>25</v>
      </c>
      <c r="Y187" s="63">
        <f t="shared" si="22"/>
        <v>0.83457000000000003</v>
      </c>
      <c r="Z187" s="64">
        <f t="shared" si="27"/>
        <v>0</v>
      </c>
      <c r="AA187" s="30"/>
    </row>
    <row r="188" spans="1:48" ht="18" customHeight="1">
      <c r="A188" s="63">
        <v>20250240</v>
      </c>
      <c r="B188" s="65" t="s">
        <v>427</v>
      </c>
      <c r="C188" s="66">
        <v>45911</v>
      </c>
      <c r="D188" s="66">
        <v>45927</v>
      </c>
      <c r="E188" s="67">
        <v>1</v>
      </c>
      <c r="F188" s="68">
        <v>33.68</v>
      </c>
      <c r="G188" s="69">
        <v>24</v>
      </c>
      <c r="H188" s="70" t="s">
        <v>439</v>
      </c>
      <c r="I188" s="65" t="s">
        <v>194</v>
      </c>
      <c r="J188" s="70" t="s">
        <v>26</v>
      </c>
      <c r="K188" s="53">
        <f t="shared" si="17"/>
        <v>45935</v>
      </c>
      <c r="L188" s="53">
        <f t="shared" si="18"/>
        <v>45995</v>
      </c>
      <c r="M188" s="71"/>
      <c r="N188" s="72">
        <f>E188</f>
        <v>1</v>
      </c>
      <c r="O188" s="50">
        <f t="shared" si="19"/>
        <v>33.68</v>
      </c>
      <c r="P188" s="56">
        <f t="shared" si="28"/>
        <v>24</v>
      </c>
      <c r="Q188" s="205"/>
      <c r="R188" s="58"/>
      <c r="S188" s="200" t="s">
        <v>440</v>
      </c>
      <c r="T188" s="201">
        <v>59</v>
      </c>
      <c r="U188" s="58"/>
      <c r="V188" s="46"/>
      <c r="W188" s="46"/>
      <c r="X188" s="62" t="s">
        <v>25</v>
      </c>
      <c r="Y188" s="63">
        <f t="shared" si="22"/>
        <v>33.68</v>
      </c>
      <c r="Z188" s="64">
        <f t="shared" si="27"/>
        <v>0</v>
      </c>
      <c r="AA188" s="64">
        <v>1</v>
      </c>
    </row>
    <row r="189" spans="1:48" ht="18" customHeight="1">
      <c r="A189" s="63">
        <v>20250240</v>
      </c>
      <c r="B189" s="65" t="s">
        <v>427</v>
      </c>
      <c r="C189" s="66">
        <v>45911</v>
      </c>
      <c r="D189" s="66">
        <v>45927</v>
      </c>
      <c r="E189" s="67">
        <v>1</v>
      </c>
      <c r="F189" s="68">
        <v>0</v>
      </c>
      <c r="G189" s="69">
        <v>3</v>
      </c>
      <c r="H189" s="70" t="s">
        <v>439</v>
      </c>
      <c r="I189" s="65" t="s">
        <v>24</v>
      </c>
      <c r="J189" s="70" t="s">
        <v>24</v>
      </c>
      <c r="K189" s="53">
        <f t="shared" si="17"/>
        <v>45935</v>
      </c>
      <c r="L189" s="53">
        <f t="shared" si="18"/>
        <v>45995</v>
      </c>
      <c r="M189" s="71"/>
      <c r="N189" s="72">
        <f>E189</f>
        <v>1</v>
      </c>
      <c r="O189" s="50">
        <f t="shared" si="19"/>
        <v>0</v>
      </c>
      <c r="P189" s="56">
        <f t="shared" si="28"/>
        <v>3</v>
      </c>
      <c r="Q189" s="205"/>
      <c r="R189" s="58"/>
      <c r="S189" s="200" t="s">
        <v>440</v>
      </c>
      <c r="T189" s="201">
        <v>59</v>
      </c>
      <c r="U189" s="58"/>
      <c r="V189" s="46"/>
      <c r="W189" s="46"/>
      <c r="X189" s="62" t="s">
        <v>25</v>
      </c>
      <c r="Y189" s="63">
        <f t="shared" si="22"/>
        <v>0</v>
      </c>
      <c r="Z189" s="64">
        <f t="shared" si="27"/>
        <v>0</v>
      </c>
      <c r="AA189" s="30"/>
    </row>
    <row r="190" spans="1:48" ht="18" customHeight="1">
      <c r="A190" s="206">
        <v>20250240</v>
      </c>
      <c r="B190" s="207" t="s">
        <v>427</v>
      </c>
      <c r="C190" s="208">
        <v>45911</v>
      </c>
      <c r="D190" s="208">
        <v>45927</v>
      </c>
      <c r="E190" s="209">
        <v>2</v>
      </c>
      <c r="F190" s="210">
        <v>39.4</v>
      </c>
      <c r="G190" s="211">
        <v>48</v>
      </c>
      <c r="H190" s="212" t="s">
        <v>441</v>
      </c>
      <c r="I190" s="207" t="s">
        <v>208</v>
      </c>
      <c r="J190" s="212" t="s">
        <v>26</v>
      </c>
      <c r="K190" s="213">
        <f t="shared" si="17"/>
        <v>45935</v>
      </c>
      <c r="L190" s="213">
        <f t="shared" si="18"/>
        <v>45995</v>
      </c>
      <c r="M190" s="214"/>
      <c r="N190" s="215">
        <f>E190-1</f>
        <v>1</v>
      </c>
      <c r="O190" s="216">
        <f t="shared" si="19"/>
        <v>19.7</v>
      </c>
      <c r="P190" s="56">
        <f t="shared" si="28"/>
        <v>24</v>
      </c>
      <c r="Q190" s="205"/>
      <c r="R190" s="58"/>
      <c r="S190" s="200" t="s">
        <v>442</v>
      </c>
      <c r="T190" s="201">
        <v>67</v>
      </c>
      <c r="U190" s="58"/>
      <c r="V190" s="46"/>
      <c r="W190" s="46"/>
      <c r="X190" s="99" t="s">
        <v>76</v>
      </c>
      <c r="Y190" s="63">
        <f t="shared" si="22"/>
        <v>19.7</v>
      </c>
      <c r="Z190" s="64">
        <f t="shared" si="27"/>
        <v>1</v>
      </c>
      <c r="AA190" s="30"/>
    </row>
    <row r="191" spans="1:48" ht="18" customHeight="1">
      <c r="A191" s="188">
        <v>20250240</v>
      </c>
      <c r="B191" s="189" t="s">
        <v>427</v>
      </c>
      <c r="C191" s="190">
        <v>45911</v>
      </c>
      <c r="D191" s="190">
        <v>45927</v>
      </c>
      <c r="E191" s="191">
        <v>4</v>
      </c>
      <c r="F191" s="192">
        <v>34.1</v>
      </c>
      <c r="G191" s="193">
        <v>96</v>
      </c>
      <c r="H191" s="194" t="s">
        <v>443</v>
      </c>
      <c r="I191" s="189" t="s">
        <v>194</v>
      </c>
      <c r="J191" s="194" t="s">
        <v>26</v>
      </c>
      <c r="K191" s="53">
        <f t="shared" si="17"/>
        <v>45935</v>
      </c>
      <c r="L191" s="53">
        <f t="shared" si="18"/>
        <v>45995</v>
      </c>
      <c r="M191" s="195"/>
      <c r="N191" s="196">
        <f>E191-3</f>
        <v>1</v>
      </c>
      <c r="O191" s="197">
        <f t="shared" si="19"/>
        <v>8.5250000000000004</v>
      </c>
      <c r="P191" s="56">
        <f t="shared" si="28"/>
        <v>24</v>
      </c>
      <c r="Q191" s="205"/>
      <c r="R191" s="58"/>
      <c r="S191" s="200" t="s">
        <v>444</v>
      </c>
      <c r="T191" s="201">
        <v>74</v>
      </c>
      <c r="U191" s="58"/>
      <c r="V191" s="46"/>
      <c r="W191" s="46"/>
      <c r="X191" s="99" t="s">
        <v>76</v>
      </c>
      <c r="Y191" s="63">
        <f t="shared" si="22"/>
        <v>8.5250000000000004</v>
      </c>
      <c r="Z191" s="64">
        <f t="shared" si="27"/>
        <v>3</v>
      </c>
      <c r="AA191" s="64">
        <v>5</v>
      </c>
    </row>
    <row r="192" spans="1:48" ht="18" customHeight="1">
      <c r="A192" s="106">
        <v>20250240</v>
      </c>
      <c r="B192" s="107" t="s">
        <v>427</v>
      </c>
      <c r="C192" s="108">
        <v>45911</v>
      </c>
      <c r="D192" s="108">
        <v>45927</v>
      </c>
      <c r="E192" s="106">
        <v>2</v>
      </c>
      <c r="F192" s="106">
        <v>9.6199999999999992</v>
      </c>
      <c r="G192" s="106">
        <v>48</v>
      </c>
      <c r="H192" s="109" t="s">
        <v>445</v>
      </c>
      <c r="I192" s="107" t="s">
        <v>446</v>
      </c>
      <c r="J192" s="109" t="s">
        <v>26</v>
      </c>
      <c r="K192" s="108">
        <f t="shared" si="17"/>
        <v>45935</v>
      </c>
      <c r="L192" s="108">
        <f t="shared" si="18"/>
        <v>45995</v>
      </c>
      <c r="M192" s="111"/>
      <c r="N192" s="112">
        <f>E192-2</f>
        <v>0</v>
      </c>
      <c r="O192" s="113">
        <f t="shared" si="19"/>
        <v>0</v>
      </c>
      <c r="P192" s="112">
        <f t="shared" si="28"/>
        <v>0</v>
      </c>
      <c r="Q192" s="107"/>
      <c r="R192" s="109"/>
      <c r="S192" s="109" t="s">
        <v>447</v>
      </c>
      <c r="T192" s="114">
        <v>75</v>
      </c>
      <c r="U192" s="109"/>
      <c r="V192" s="106"/>
      <c r="W192" s="106"/>
      <c r="X192" s="106" t="s">
        <v>55</v>
      </c>
      <c r="Y192" s="63">
        <f t="shared" si="22"/>
        <v>4.8099999999999996</v>
      </c>
      <c r="Z192" s="30"/>
      <c r="AA192" s="64">
        <v>242</v>
      </c>
    </row>
    <row r="193" spans="1:48" ht="18" customHeight="1">
      <c r="A193" s="76">
        <v>20250240</v>
      </c>
      <c r="B193" s="77" t="s">
        <v>427</v>
      </c>
      <c r="C193" s="78">
        <v>45911</v>
      </c>
      <c r="D193" s="78">
        <v>45927</v>
      </c>
      <c r="E193" s="76">
        <v>4</v>
      </c>
      <c r="F193" s="79">
        <v>102.24</v>
      </c>
      <c r="G193" s="102"/>
      <c r="H193" s="80" t="s">
        <v>448</v>
      </c>
      <c r="I193" s="77" t="s">
        <v>449</v>
      </c>
      <c r="J193" s="80" t="s">
        <v>26</v>
      </c>
      <c r="K193" s="174">
        <f t="shared" si="17"/>
        <v>45935</v>
      </c>
      <c r="L193" s="174">
        <f t="shared" si="18"/>
        <v>45995</v>
      </c>
      <c r="M193" s="82"/>
      <c r="N193" s="83">
        <f>E193-1-1-1-1</f>
        <v>0</v>
      </c>
      <c r="O193" s="84">
        <f t="shared" si="19"/>
        <v>0</v>
      </c>
      <c r="P193" s="85">
        <f t="shared" si="28"/>
        <v>0</v>
      </c>
      <c r="Q193" s="77"/>
      <c r="R193" s="80"/>
      <c r="S193" s="80" t="s">
        <v>450</v>
      </c>
      <c r="T193" s="86">
        <v>93</v>
      </c>
      <c r="U193" s="80"/>
      <c r="V193" s="76"/>
      <c r="W193" s="76"/>
      <c r="X193" s="76" t="s">
        <v>55</v>
      </c>
      <c r="Y193" s="63">
        <f t="shared" si="22"/>
        <v>25.56</v>
      </c>
      <c r="Z193" s="30"/>
      <c r="AA193" s="30"/>
    </row>
    <row r="194" spans="1:48" ht="18" customHeight="1">
      <c r="A194" s="188">
        <v>20250240</v>
      </c>
      <c r="B194" s="189" t="s">
        <v>427</v>
      </c>
      <c r="C194" s="190">
        <v>45911</v>
      </c>
      <c r="D194" s="190">
        <v>45927</v>
      </c>
      <c r="E194" s="191">
        <v>10</v>
      </c>
      <c r="F194" s="192">
        <v>171.04</v>
      </c>
      <c r="G194" s="193">
        <v>240</v>
      </c>
      <c r="H194" s="194" t="s">
        <v>448</v>
      </c>
      <c r="I194" s="189" t="s">
        <v>449</v>
      </c>
      <c r="J194" s="194" t="s">
        <v>26</v>
      </c>
      <c r="K194" s="53">
        <f t="shared" si="17"/>
        <v>45935</v>
      </c>
      <c r="L194" s="53">
        <f t="shared" si="18"/>
        <v>45995</v>
      </c>
      <c r="M194" s="195"/>
      <c r="N194" s="196">
        <f>E194-1-1-1-1-1-1-1-1</f>
        <v>2</v>
      </c>
      <c r="O194" s="197">
        <f t="shared" si="19"/>
        <v>34.207999999999998</v>
      </c>
      <c r="P194" s="198">
        <f t="shared" si="28"/>
        <v>48</v>
      </c>
      <c r="Q194" s="217"/>
      <c r="R194" s="58"/>
      <c r="S194" s="200" t="s">
        <v>451</v>
      </c>
      <c r="T194" s="201">
        <v>94</v>
      </c>
      <c r="U194" s="58"/>
      <c r="V194" s="46"/>
      <c r="W194" s="46"/>
      <c r="X194" s="99" t="s">
        <v>76</v>
      </c>
      <c r="Y194" s="63">
        <f t="shared" si="22"/>
        <v>17.103999999999999</v>
      </c>
      <c r="Z194" s="64">
        <f t="shared" ref="Z194:Z195" si="29">E194-N194</f>
        <v>8</v>
      </c>
      <c r="AA194" s="30"/>
    </row>
    <row r="195" spans="1:48" ht="18" customHeight="1">
      <c r="A195" s="87">
        <v>20250249</v>
      </c>
      <c r="B195" s="88" t="s">
        <v>452</v>
      </c>
      <c r="C195" s="89">
        <v>45920</v>
      </c>
      <c r="D195" s="89">
        <v>45944</v>
      </c>
      <c r="E195" s="191">
        <v>7438</v>
      </c>
      <c r="F195" s="192">
        <v>6011.0780000000004</v>
      </c>
      <c r="G195" s="193">
        <v>5207.1249117854604</v>
      </c>
      <c r="H195" s="194" t="s">
        <v>453</v>
      </c>
      <c r="I195" s="194" t="s">
        <v>86</v>
      </c>
      <c r="J195" s="189" t="s">
        <v>86</v>
      </c>
      <c r="K195" s="53">
        <f t="shared" si="17"/>
        <v>45952</v>
      </c>
      <c r="L195" s="53">
        <f t="shared" si="18"/>
        <v>46012</v>
      </c>
      <c r="M195" s="195"/>
      <c r="N195" s="196">
        <f>E195-133-513-38-323-418-264-190-285-285-494-190-190-323-494-323-399-380-570-475-380-228-190-351</f>
        <v>2</v>
      </c>
      <c r="O195" s="197">
        <f t="shared" si="19"/>
        <v>1.6163156762570585</v>
      </c>
      <c r="P195" s="198">
        <f t="shared" si="28"/>
        <v>1.4001411432604087</v>
      </c>
      <c r="Q195" s="73"/>
      <c r="R195" s="58"/>
      <c r="S195" s="200" t="s">
        <v>454</v>
      </c>
      <c r="T195" s="201">
        <v>86</v>
      </c>
      <c r="U195" s="58"/>
      <c r="V195" s="46"/>
      <c r="W195" s="46"/>
      <c r="X195" s="99" t="s">
        <v>76</v>
      </c>
      <c r="Y195" s="63">
        <f t="shared" si="22"/>
        <v>0.80815783812852926</v>
      </c>
      <c r="Z195" s="64">
        <f t="shared" si="29"/>
        <v>7436</v>
      </c>
      <c r="AA195" s="64">
        <v>135</v>
      </c>
    </row>
    <row r="196" spans="1:48" ht="18" customHeight="1">
      <c r="A196" s="76">
        <v>20250249</v>
      </c>
      <c r="B196" s="77" t="s">
        <v>452</v>
      </c>
      <c r="C196" s="78">
        <v>45920</v>
      </c>
      <c r="D196" s="78">
        <v>45944</v>
      </c>
      <c r="E196" s="76">
        <v>1255</v>
      </c>
      <c r="F196" s="79">
        <v>3300.931</v>
      </c>
      <c r="G196" s="76"/>
      <c r="H196" s="80" t="s">
        <v>455</v>
      </c>
      <c r="I196" s="80" t="s">
        <v>402</v>
      </c>
      <c r="J196" s="77" t="s">
        <v>123</v>
      </c>
      <c r="K196" s="78">
        <f t="shared" si="17"/>
        <v>45952</v>
      </c>
      <c r="L196" s="78">
        <f t="shared" si="18"/>
        <v>46012</v>
      </c>
      <c r="M196" s="82"/>
      <c r="N196" s="83">
        <f>E196-72-81-81-72-99-18-9-36-45-18-72-90-72-72-72-81-81-63-4-117</f>
        <v>0</v>
      </c>
      <c r="O196" s="84">
        <f t="shared" si="19"/>
        <v>0</v>
      </c>
      <c r="P196" s="85">
        <f t="shared" si="28"/>
        <v>0</v>
      </c>
      <c r="Q196" s="80" t="s">
        <v>456</v>
      </c>
      <c r="R196" s="80"/>
      <c r="S196" s="80" t="s">
        <v>457</v>
      </c>
      <c r="T196" s="86">
        <v>1</v>
      </c>
      <c r="U196" s="80" t="s">
        <v>458</v>
      </c>
      <c r="V196" s="76"/>
      <c r="W196" s="76"/>
      <c r="X196" s="76" t="s">
        <v>55</v>
      </c>
      <c r="Y196" s="63">
        <f t="shared" si="22"/>
        <v>2.6302239043824702</v>
      </c>
      <c r="Z196" s="30"/>
      <c r="AA196" s="64">
        <v>1</v>
      </c>
    </row>
    <row r="197" spans="1:48" ht="18" customHeight="1">
      <c r="A197" s="76">
        <v>20250249</v>
      </c>
      <c r="B197" s="77" t="s">
        <v>452</v>
      </c>
      <c r="C197" s="78">
        <v>45920</v>
      </c>
      <c r="D197" s="78">
        <v>45944</v>
      </c>
      <c r="E197" s="76">
        <v>418</v>
      </c>
      <c r="F197" s="79">
        <v>1099.4349999999999</v>
      </c>
      <c r="G197" s="76"/>
      <c r="H197" s="80" t="s">
        <v>455</v>
      </c>
      <c r="I197" s="80" t="s">
        <v>402</v>
      </c>
      <c r="J197" s="77" t="s">
        <v>123</v>
      </c>
      <c r="K197" s="78">
        <f t="shared" si="17"/>
        <v>45952</v>
      </c>
      <c r="L197" s="78">
        <f t="shared" si="18"/>
        <v>46012</v>
      </c>
      <c r="M197" s="82"/>
      <c r="N197" s="83">
        <f>E197-77-72-72-108-89</f>
        <v>0</v>
      </c>
      <c r="O197" s="84">
        <f t="shared" si="19"/>
        <v>0</v>
      </c>
      <c r="P197" s="85">
        <f t="shared" si="28"/>
        <v>0</v>
      </c>
      <c r="Q197" s="80" t="s">
        <v>456</v>
      </c>
      <c r="R197" s="80"/>
      <c r="S197" s="80" t="s">
        <v>459</v>
      </c>
      <c r="T197" s="86">
        <v>2</v>
      </c>
      <c r="U197" s="80" t="s">
        <v>460</v>
      </c>
      <c r="V197" s="76"/>
      <c r="W197" s="76"/>
      <c r="X197" s="76" t="s">
        <v>55</v>
      </c>
      <c r="Y197" s="63">
        <f t="shared" si="22"/>
        <v>2.6302272727272724</v>
      </c>
      <c r="Z197" s="30"/>
      <c r="AA197" s="64">
        <v>116</v>
      </c>
    </row>
    <row r="198" spans="1:48" ht="18" customHeight="1">
      <c r="A198" s="135">
        <v>20250249</v>
      </c>
      <c r="B198" s="136" t="s">
        <v>452</v>
      </c>
      <c r="C198" s="137">
        <v>45920</v>
      </c>
      <c r="D198" s="137">
        <v>45944</v>
      </c>
      <c r="E198" s="138">
        <v>418</v>
      </c>
      <c r="F198" s="139">
        <v>1099.4349999999999</v>
      </c>
      <c r="G198" s="140">
        <v>250.8</v>
      </c>
      <c r="H198" s="141" t="s">
        <v>455</v>
      </c>
      <c r="I198" s="141" t="s">
        <v>402</v>
      </c>
      <c r="J198" s="136" t="s">
        <v>123</v>
      </c>
      <c r="K198" s="53">
        <f t="shared" si="17"/>
        <v>45952</v>
      </c>
      <c r="L198" s="53">
        <f t="shared" si="18"/>
        <v>46012</v>
      </c>
      <c r="M198" s="143"/>
      <c r="N198" s="144">
        <f>E198-72-54-3-76-63-81-18</f>
        <v>51</v>
      </c>
      <c r="O198" s="145">
        <f t="shared" si="19"/>
        <v>134.14159090909089</v>
      </c>
      <c r="P198" s="146">
        <f t="shared" si="28"/>
        <v>30.599999999999998</v>
      </c>
      <c r="Q198" s="73" t="s">
        <v>456</v>
      </c>
      <c r="R198" s="58"/>
      <c r="S198" s="200" t="s">
        <v>461</v>
      </c>
      <c r="T198" s="201">
        <v>3</v>
      </c>
      <c r="U198" s="58" t="s">
        <v>460</v>
      </c>
      <c r="V198" s="46"/>
      <c r="W198" s="46"/>
      <c r="X198" s="99" t="s">
        <v>76</v>
      </c>
      <c r="Y198" s="63">
        <f t="shared" si="22"/>
        <v>2.6302272727272724</v>
      </c>
      <c r="Z198" s="64">
        <f t="shared" ref="Z198" si="30">E198-N198</f>
        <v>367</v>
      </c>
      <c r="AA198" s="64">
        <v>1004</v>
      </c>
    </row>
    <row r="199" spans="1:48" ht="18" customHeight="1">
      <c r="A199" s="76">
        <v>20250249</v>
      </c>
      <c r="B199" s="77" t="s">
        <v>452</v>
      </c>
      <c r="C199" s="78">
        <v>45920</v>
      </c>
      <c r="D199" s="78">
        <v>45944</v>
      </c>
      <c r="E199" s="76">
        <v>418</v>
      </c>
      <c r="F199" s="76">
        <v>1099.4349999999999</v>
      </c>
      <c r="G199" s="76">
        <v>250.8</v>
      </c>
      <c r="H199" s="80" t="s">
        <v>455</v>
      </c>
      <c r="I199" s="80" t="s">
        <v>402</v>
      </c>
      <c r="J199" s="77" t="s">
        <v>123</v>
      </c>
      <c r="K199" s="78">
        <f t="shared" si="17"/>
        <v>45952</v>
      </c>
      <c r="L199" s="78">
        <f t="shared" si="18"/>
        <v>46012</v>
      </c>
      <c r="M199" s="82"/>
      <c r="N199" s="83">
        <f>E199-81-80-63-34-99-54-7</f>
        <v>0</v>
      </c>
      <c r="O199" s="84">
        <f t="shared" si="19"/>
        <v>0</v>
      </c>
      <c r="P199" s="83">
        <f t="shared" si="28"/>
        <v>0</v>
      </c>
      <c r="Q199" s="80" t="s">
        <v>456</v>
      </c>
      <c r="R199" s="80"/>
      <c r="S199" s="80" t="s">
        <v>462</v>
      </c>
      <c r="T199" s="86">
        <v>4</v>
      </c>
      <c r="U199" s="80" t="s">
        <v>460</v>
      </c>
      <c r="V199" s="76"/>
      <c r="W199" s="76"/>
      <c r="X199" s="76" t="s">
        <v>55</v>
      </c>
      <c r="Y199" s="63">
        <f t="shared" si="22"/>
        <v>2.6302272727272724</v>
      </c>
      <c r="Z199" s="30"/>
      <c r="AA199" s="64">
        <v>412</v>
      </c>
    </row>
    <row r="200" spans="1:48" ht="18" customHeight="1">
      <c r="A200" s="63">
        <v>20250249</v>
      </c>
      <c r="B200" s="65" t="s">
        <v>452</v>
      </c>
      <c r="C200" s="66">
        <v>45920</v>
      </c>
      <c r="D200" s="66">
        <v>45944</v>
      </c>
      <c r="E200" s="67">
        <v>418</v>
      </c>
      <c r="F200" s="68">
        <v>1099.4349999999999</v>
      </c>
      <c r="G200" s="69">
        <v>250.8</v>
      </c>
      <c r="H200" s="70" t="s">
        <v>455</v>
      </c>
      <c r="I200" s="70" t="s">
        <v>402</v>
      </c>
      <c r="J200" s="65" t="s">
        <v>123</v>
      </c>
      <c r="K200" s="53">
        <f t="shared" si="17"/>
        <v>45952</v>
      </c>
      <c r="L200" s="53">
        <f t="shared" si="18"/>
        <v>46012</v>
      </c>
      <c r="M200" s="71"/>
      <c r="N200" s="72">
        <f>E200</f>
        <v>418</v>
      </c>
      <c r="O200" s="50">
        <f t="shared" si="19"/>
        <v>1099.4349999999999</v>
      </c>
      <c r="P200" s="56">
        <f t="shared" si="28"/>
        <v>250.79999999999998</v>
      </c>
      <c r="Q200" s="73" t="s">
        <v>456</v>
      </c>
      <c r="R200" s="58"/>
      <c r="S200" s="200" t="s">
        <v>463</v>
      </c>
      <c r="T200" s="201">
        <v>5</v>
      </c>
      <c r="U200" s="58" t="s">
        <v>460</v>
      </c>
      <c r="V200" s="46"/>
      <c r="W200" s="46"/>
      <c r="X200" s="62" t="s">
        <v>25</v>
      </c>
      <c r="Y200" s="63">
        <f t="shared" si="22"/>
        <v>2.6302272727272724</v>
      </c>
      <c r="Z200" s="64">
        <f t="shared" ref="Z200:Z201" si="31">E200-N200</f>
        <v>0</v>
      </c>
      <c r="AA200" s="64">
        <v>342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</row>
    <row r="201" spans="1:48" ht="18" customHeight="1">
      <c r="A201" s="63">
        <v>20250249</v>
      </c>
      <c r="B201" s="65" t="s">
        <v>452</v>
      </c>
      <c r="C201" s="66">
        <v>45920</v>
      </c>
      <c r="D201" s="66">
        <v>45944</v>
      </c>
      <c r="E201" s="67">
        <v>418</v>
      </c>
      <c r="F201" s="68">
        <v>1099.4349999999999</v>
      </c>
      <c r="G201" s="69">
        <v>250.8</v>
      </c>
      <c r="H201" s="70" t="s">
        <v>455</v>
      </c>
      <c r="I201" s="70" t="s">
        <v>402</v>
      </c>
      <c r="J201" s="65" t="s">
        <v>123</v>
      </c>
      <c r="K201" s="53">
        <f t="shared" ref="K201:K264" si="32">D201+8</f>
        <v>45952</v>
      </c>
      <c r="L201" s="53">
        <f t="shared" ref="L201:L264" si="33">K201+60</f>
        <v>46012</v>
      </c>
      <c r="M201" s="71"/>
      <c r="N201" s="72">
        <f>E201</f>
        <v>418</v>
      </c>
      <c r="O201" s="50">
        <f t="shared" ref="O201:O264" si="34">F201/E201*N201</f>
        <v>1099.4349999999999</v>
      </c>
      <c r="P201" s="56">
        <f t="shared" si="28"/>
        <v>250.79999999999998</v>
      </c>
      <c r="Q201" s="73" t="s">
        <v>456</v>
      </c>
      <c r="R201" s="58"/>
      <c r="S201" s="200" t="s">
        <v>464</v>
      </c>
      <c r="T201" s="201">
        <v>6</v>
      </c>
      <c r="U201" s="58" t="s">
        <v>460</v>
      </c>
      <c r="V201" s="46"/>
      <c r="W201" s="46"/>
      <c r="X201" s="62" t="s">
        <v>25</v>
      </c>
      <c r="Y201" s="63">
        <f t="shared" si="22"/>
        <v>2.6302272727272724</v>
      </c>
      <c r="Z201" s="64">
        <f t="shared" si="31"/>
        <v>0</v>
      </c>
      <c r="AA201" s="64">
        <v>736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 ht="18" customHeight="1">
      <c r="A202" s="106">
        <v>20250249</v>
      </c>
      <c r="B202" s="107" t="s">
        <v>452</v>
      </c>
      <c r="C202" s="108">
        <v>45920</v>
      </c>
      <c r="D202" s="108">
        <v>45944</v>
      </c>
      <c r="E202" s="106">
        <v>419</v>
      </c>
      <c r="F202" s="106">
        <v>1102.059</v>
      </c>
      <c r="G202" s="106">
        <v>251.4</v>
      </c>
      <c r="H202" s="109" t="s">
        <v>455</v>
      </c>
      <c r="I202" s="109" t="s">
        <v>402</v>
      </c>
      <c r="J202" s="107" t="s">
        <v>123</v>
      </c>
      <c r="K202" s="108">
        <f t="shared" si="32"/>
        <v>45952</v>
      </c>
      <c r="L202" s="108">
        <f t="shared" si="33"/>
        <v>46012</v>
      </c>
      <c r="M202" s="111"/>
      <c r="N202" s="112">
        <f>E202-53-27-87-103-90-45-14</f>
        <v>0</v>
      </c>
      <c r="O202" s="113">
        <f t="shared" si="34"/>
        <v>0</v>
      </c>
      <c r="P202" s="112">
        <f t="shared" si="28"/>
        <v>0</v>
      </c>
      <c r="Q202" s="109" t="s">
        <v>456</v>
      </c>
      <c r="R202" s="109"/>
      <c r="S202" s="109" t="s">
        <v>465</v>
      </c>
      <c r="T202" s="114">
        <v>7</v>
      </c>
      <c r="U202" s="109" t="s">
        <v>460</v>
      </c>
      <c r="V202" s="106"/>
      <c r="W202" s="106"/>
      <c r="X202" s="106" t="s">
        <v>55</v>
      </c>
      <c r="Y202" s="63">
        <f t="shared" si="22"/>
        <v>2.6302124105011933</v>
      </c>
      <c r="Z202" s="30"/>
      <c r="AA202" s="64">
        <v>9263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</row>
    <row r="203" spans="1:48" ht="18" customHeight="1">
      <c r="A203" s="206">
        <v>20250249</v>
      </c>
      <c r="B203" s="207" t="s">
        <v>452</v>
      </c>
      <c r="C203" s="208">
        <v>45920</v>
      </c>
      <c r="D203" s="208">
        <v>45944</v>
      </c>
      <c r="E203" s="209">
        <v>500</v>
      </c>
      <c r="F203" s="210">
        <v>599.04999999999995</v>
      </c>
      <c r="G203" s="211">
        <v>300</v>
      </c>
      <c r="H203" s="212" t="s">
        <v>455</v>
      </c>
      <c r="I203" s="212" t="s">
        <v>303</v>
      </c>
      <c r="J203" s="207" t="s">
        <v>123</v>
      </c>
      <c r="K203" s="53">
        <f t="shared" si="32"/>
        <v>45952</v>
      </c>
      <c r="L203" s="53">
        <f t="shared" si="33"/>
        <v>46012</v>
      </c>
      <c r="M203" s="214"/>
      <c r="N203" s="215">
        <f>E203-13-147</f>
        <v>340</v>
      </c>
      <c r="O203" s="216">
        <f t="shared" si="34"/>
        <v>407.35399999999998</v>
      </c>
      <c r="P203" s="218">
        <f t="shared" si="28"/>
        <v>204</v>
      </c>
      <c r="Q203" s="73" t="s">
        <v>456</v>
      </c>
      <c r="R203" s="58"/>
      <c r="S203" s="200" t="s">
        <v>466</v>
      </c>
      <c r="T203" s="201">
        <v>8</v>
      </c>
      <c r="U203" s="58" t="s">
        <v>467</v>
      </c>
      <c r="V203" s="46"/>
      <c r="W203" s="46"/>
      <c r="X203" s="99" t="s">
        <v>76</v>
      </c>
      <c r="Y203" s="63">
        <f t="shared" si="22"/>
        <v>1.1980999999999999</v>
      </c>
      <c r="Z203" s="64">
        <f t="shared" ref="Z203:Z226" si="35">E203-N203</f>
        <v>160</v>
      </c>
      <c r="AA203" s="64">
        <v>1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</row>
    <row r="204" spans="1:48" ht="18" customHeight="1">
      <c r="A204" s="188">
        <v>20250249</v>
      </c>
      <c r="B204" s="189" t="s">
        <v>452</v>
      </c>
      <c r="C204" s="190">
        <v>45920</v>
      </c>
      <c r="D204" s="190">
        <v>45944</v>
      </c>
      <c r="E204" s="191">
        <v>600</v>
      </c>
      <c r="F204" s="192">
        <v>641.38099999999997</v>
      </c>
      <c r="G204" s="193">
        <v>360</v>
      </c>
      <c r="H204" s="194" t="s">
        <v>468</v>
      </c>
      <c r="I204" s="194" t="s">
        <v>123</v>
      </c>
      <c r="J204" s="189" t="s">
        <v>123</v>
      </c>
      <c r="K204" s="53">
        <f t="shared" si="32"/>
        <v>45952</v>
      </c>
      <c r="L204" s="53">
        <f t="shared" si="33"/>
        <v>46012</v>
      </c>
      <c r="M204" s="195"/>
      <c r="N204" s="196">
        <f>E204-130-95-100-135-70-14-30</f>
        <v>26</v>
      </c>
      <c r="O204" s="197">
        <f t="shared" si="34"/>
        <v>27.793176666666668</v>
      </c>
      <c r="P204" s="56">
        <f t="shared" si="28"/>
        <v>15.6</v>
      </c>
      <c r="Q204" s="73" t="s">
        <v>456</v>
      </c>
      <c r="R204" s="58"/>
      <c r="S204" s="200" t="s">
        <v>469</v>
      </c>
      <c r="T204" s="201">
        <v>82</v>
      </c>
      <c r="U204" s="58"/>
      <c r="V204" s="46"/>
      <c r="W204" s="46"/>
      <c r="X204" s="99" t="s">
        <v>76</v>
      </c>
      <c r="Y204" s="63">
        <f t="shared" si="22"/>
        <v>1.0689683333333333</v>
      </c>
      <c r="Z204" s="64">
        <f t="shared" si="35"/>
        <v>574</v>
      </c>
      <c r="AA204" s="64">
        <v>27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</row>
    <row r="205" spans="1:48" ht="18" customHeight="1">
      <c r="A205" s="206">
        <v>20250268</v>
      </c>
      <c r="B205" s="164" t="s">
        <v>470</v>
      </c>
      <c r="C205" s="165">
        <v>45939</v>
      </c>
      <c r="D205" s="165">
        <v>45944</v>
      </c>
      <c r="E205" s="166">
        <v>98</v>
      </c>
      <c r="F205" s="167">
        <v>1000</v>
      </c>
      <c r="G205" s="168">
        <v>2000</v>
      </c>
      <c r="H205" s="169" t="s">
        <v>263</v>
      </c>
      <c r="I205" s="169" t="s">
        <v>24</v>
      </c>
      <c r="J205" s="164" t="s">
        <v>24</v>
      </c>
      <c r="K205" s="53">
        <f t="shared" si="32"/>
        <v>45952</v>
      </c>
      <c r="L205" s="53">
        <f t="shared" si="33"/>
        <v>46012</v>
      </c>
      <c r="M205" s="170"/>
      <c r="N205" s="171">
        <f>E205-21-6-20-12-1-4-1</f>
        <v>33</v>
      </c>
      <c r="O205" s="219">
        <f t="shared" si="34"/>
        <v>336.73469387755102</v>
      </c>
      <c r="P205" s="56">
        <f t="shared" si="28"/>
        <v>673.46938775510205</v>
      </c>
      <c r="Q205" s="73" t="s">
        <v>471</v>
      </c>
      <c r="R205" s="58"/>
      <c r="S205" s="200" t="s">
        <v>472</v>
      </c>
      <c r="T205" s="201">
        <v>1</v>
      </c>
      <c r="U205" s="58"/>
      <c r="V205" s="46"/>
      <c r="W205" s="46"/>
      <c r="X205" s="99" t="s">
        <v>76</v>
      </c>
      <c r="Y205" s="63">
        <f t="shared" si="22"/>
        <v>10.204081632653061</v>
      </c>
      <c r="Z205" s="64">
        <f t="shared" si="35"/>
        <v>65</v>
      </c>
      <c r="AA205" s="30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</row>
    <row r="206" spans="1:48" ht="18" customHeight="1">
      <c r="A206" s="135">
        <v>20250251</v>
      </c>
      <c r="B206" s="136" t="s">
        <v>473</v>
      </c>
      <c r="C206" s="137">
        <v>45924</v>
      </c>
      <c r="D206" s="137">
        <v>45945</v>
      </c>
      <c r="E206" s="138">
        <v>242</v>
      </c>
      <c r="F206" s="139">
        <v>1911.77</v>
      </c>
      <c r="G206" s="140">
        <v>194.104166666667</v>
      </c>
      <c r="H206" s="141" t="s">
        <v>474</v>
      </c>
      <c r="I206" s="141" t="s">
        <v>72</v>
      </c>
      <c r="J206" s="136" t="s">
        <v>72</v>
      </c>
      <c r="K206" s="142">
        <f t="shared" si="32"/>
        <v>45953</v>
      </c>
      <c r="L206" s="142">
        <f t="shared" si="33"/>
        <v>46013</v>
      </c>
      <c r="M206" s="143"/>
      <c r="N206" s="144">
        <f>E206-62-77-71-20-8</f>
        <v>4</v>
      </c>
      <c r="O206" s="220">
        <f t="shared" si="34"/>
        <v>31.599504132231406</v>
      </c>
      <c r="P206" s="56">
        <f t="shared" si="28"/>
        <v>3.2083333333333388</v>
      </c>
      <c r="Q206" s="73" t="s">
        <v>475</v>
      </c>
      <c r="R206" s="58" t="s">
        <v>476</v>
      </c>
      <c r="S206" s="200" t="s">
        <v>477</v>
      </c>
      <c r="T206" s="201">
        <v>4</v>
      </c>
      <c r="U206" s="58"/>
      <c r="V206" s="46"/>
      <c r="W206" s="46"/>
      <c r="X206" s="99" t="s">
        <v>76</v>
      </c>
      <c r="Y206" s="63">
        <f t="shared" si="22"/>
        <v>7.8998760330578515</v>
      </c>
      <c r="Z206" s="64">
        <f t="shared" si="35"/>
        <v>238</v>
      </c>
      <c r="AA206" s="30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</row>
    <row r="207" spans="1:48" ht="18" customHeight="1">
      <c r="A207" s="206">
        <v>20250251</v>
      </c>
      <c r="B207" s="207" t="s">
        <v>473</v>
      </c>
      <c r="C207" s="208">
        <v>45924</v>
      </c>
      <c r="D207" s="208">
        <v>45945</v>
      </c>
      <c r="E207" s="209">
        <v>354</v>
      </c>
      <c r="F207" s="210">
        <v>2515.8290000000002</v>
      </c>
      <c r="G207" s="211">
        <v>283.9375</v>
      </c>
      <c r="H207" s="212" t="s">
        <v>474</v>
      </c>
      <c r="I207" s="212" t="s">
        <v>72</v>
      </c>
      <c r="J207" s="207" t="s">
        <v>72</v>
      </c>
      <c r="K207" s="213">
        <f t="shared" si="32"/>
        <v>45953</v>
      </c>
      <c r="L207" s="213">
        <f t="shared" si="33"/>
        <v>46013</v>
      </c>
      <c r="M207" s="214"/>
      <c r="N207" s="215">
        <f>E207-24</f>
        <v>330</v>
      </c>
      <c r="O207" s="221">
        <f t="shared" si="34"/>
        <v>2345.2643220338987</v>
      </c>
      <c r="P207" s="56">
        <f t="shared" si="28"/>
        <v>264.6875</v>
      </c>
      <c r="Q207" s="73" t="s">
        <v>475</v>
      </c>
      <c r="R207" s="58"/>
      <c r="S207" s="200" t="s">
        <v>478</v>
      </c>
      <c r="T207" s="201"/>
      <c r="U207" s="58"/>
      <c r="V207" s="46"/>
      <c r="W207" s="46"/>
      <c r="X207" s="182" t="s">
        <v>76</v>
      </c>
      <c r="Y207" s="63">
        <f t="shared" si="22"/>
        <v>7.1068615819209047</v>
      </c>
      <c r="Z207" s="64">
        <f t="shared" si="35"/>
        <v>24</v>
      </c>
      <c r="AA207" s="30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</row>
    <row r="208" spans="1:48" ht="18" customHeight="1">
      <c r="A208" s="63">
        <v>20250251</v>
      </c>
      <c r="B208" s="65" t="s">
        <v>473</v>
      </c>
      <c r="C208" s="66">
        <v>45924</v>
      </c>
      <c r="D208" s="66">
        <v>45945</v>
      </c>
      <c r="E208" s="67">
        <v>398</v>
      </c>
      <c r="F208" s="68">
        <v>3204.2719999999999</v>
      </c>
      <c r="G208" s="69">
        <v>319.22916666666703</v>
      </c>
      <c r="H208" s="70" t="s">
        <v>474</v>
      </c>
      <c r="I208" s="70" t="s">
        <v>72</v>
      </c>
      <c r="J208" s="65" t="s">
        <v>72</v>
      </c>
      <c r="K208" s="53">
        <f t="shared" si="32"/>
        <v>45953</v>
      </c>
      <c r="L208" s="53">
        <f t="shared" si="33"/>
        <v>46013</v>
      </c>
      <c r="M208" s="71"/>
      <c r="N208" s="72">
        <f>E208</f>
        <v>398</v>
      </c>
      <c r="O208" s="222">
        <f t="shared" si="34"/>
        <v>3204.2719999999999</v>
      </c>
      <c r="P208" s="56">
        <f t="shared" si="28"/>
        <v>319.22916666666703</v>
      </c>
      <c r="Q208" s="73" t="s">
        <v>475</v>
      </c>
      <c r="R208" s="58"/>
      <c r="S208" s="200" t="s">
        <v>479</v>
      </c>
      <c r="T208" s="201"/>
      <c r="U208" s="58"/>
      <c r="V208" s="46"/>
      <c r="W208" s="46"/>
      <c r="X208" s="62" t="s">
        <v>25</v>
      </c>
      <c r="Y208" s="63">
        <f t="shared" si="22"/>
        <v>8.0509346733668341</v>
      </c>
      <c r="Z208" s="64">
        <f t="shared" si="35"/>
        <v>0</v>
      </c>
      <c r="AA208" s="64">
        <v>1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</row>
    <row r="209" spans="1:48" ht="18" customHeight="1">
      <c r="A209" s="188">
        <v>20250251</v>
      </c>
      <c r="B209" s="189" t="s">
        <v>473</v>
      </c>
      <c r="C209" s="190">
        <v>45924</v>
      </c>
      <c r="D209" s="190">
        <v>45945</v>
      </c>
      <c r="E209" s="191">
        <v>92</v>
      </c>
      <c r="F209" s="192">
        <v>626.20799999999997</v>
      </c>
      <c r="G209" s="193">
        <v>73.7916666666667</v>
      </c>
      <c r="H209" s="194" t="s">
        <v>480</v>
      </c>
      <c r="I209" s="194" t="s">
        <v>72</v>
      </c>
      <c r="J209" s="189" t="s">
        <v>72</v>
      </c>
      <c r="K209" s="53">
        <f t="shared" si="32"/>
        <v>45953</v>
      </c>
      <c r="L209" s="53">
        <f t="shared" si="33"/>
        <v>46013</v>
      </c>
      <c r="M209" s="195"/>
      <c r="N209" s="196">
        <f>E209-14-18-27</f>
        <v>33</v>
      </c>
      <c r="O209" s="223">
        <f t="shared" si="34"/>
        <v>224.61808695652175</v>
      </c>
      <c r="P209" s="56">
        <f t="shared" si="28"/>
        <v>26.468750000000011</v>
      </c>
      <c r="Q209" s="73" t="s">
        <v>475</v>
      </c>
      <c r="R209" s="58"/>
      <c r="S209" s="200" t="s">
        <v>481</v>
      </c>
      <c r="T209" s="201">
        <v>60</v>
      </c>
      <c r="U209" s="58"/>
      <c r="V209" s="46"/>
      <c r="W209" s="46"/>
      <c r="X209" s="99" t="s">
        <v>76</v>
      </c>
      <c r="Y209" s="63">
        <f t="shared" si="22"/>
        <v>6.8066086956521739</v>
      </c>
      <c r="Z209" s="64">
        <f t="shared" si="35"/>
        <v>59</v>
      </c>
      <c r="AA209" s="30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</row>
    <row r="210" spans="1:48" ht="18" customHeight="1">
      <c r="A210" s="63">
        <v>20250251</v>
      </c>
      <c r="B210" s="65" t="s">
        <v>473</v>
      </c>
      <c r="C210" s="66">
        <v>45924</v>
      </c>
      <c r="D210" s="66">
        <v>45945</v>
      </c>
      <c r="E210" s="67">
        <v>2</v>
      </c>
      <c r="F210" s="68">
        <v>34.32</v>
      </c>
      <c r="G210" s="69">
        <v>48</v>
      </c>
      <c r="H210" s="70" t="s">
        <v>482</v>
      </c>
      <c r="I210" s="65" t="s">
        <v>449</v>
      </c>
      <c r="J210" s="70" t="s">
        <v>28</v>
      </c>
      <c r="K210" s="53">
        <f t="shared" si="32"/>
        <v>45953</v>
      </c>
      <c r="L210" s="53">
        <f t="shared" si="33"/>
        <v>46013</v>
      </c>
      <c r="M210" s="71"/>
      <c r="N210" s="72">
        <f>E210</f>
        <v>2</v>
      </c>
      <c r="O210" s="222">
        <f t="shared" si="34"/>
        <v>34.32</v>
      </c>
      <c r="P210" s="56">
        <f t="shared" si="28"/>
        <v>48</v>
      </c>
      <c r="R210" s="58"/>
      <c r="S210" s="200" t="s">
        <v>483</v>
      </c>
      <c r="T210" s="201"/>
      <c r="U210" s="70" t="s">
        <v>484</v>
      </c>
      <c r="V210" s="46"/>
      <c r="W210" s="46"/>
      <c r="X210" s="62" t="s">
        <v>25</v>
      </c>
      <c r="Y210" s="63">
        <f t="shared" si="22"/>
        <v>17.16</v>
      </c>
      <c r="Z210" s="64">
        <f t="shared" si="35"/>
        <v>0</v>
      </c>
      <c r="AA210" s="3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</row>
    <row r="211" spans="1:48" ht="18" customHeight="1">
      <c r="A211" s="63">
        <v>20250251</v>
      </c>
      <c r="B211" s="65" t="s">
        <v>473</v>
      </c>
      <c r="C211" s="66">
        <v>45924</v>
      </c>
      <c r="D211" s="66">
        <v>45945</v>
      </c>
      <c r="E211" s="67">
        <v>1</v>
      </c>
      <c r="F211" s="68">
        <v>17.16</v>
      </c>
      <c r="G211" s="69">
        <v>24</v>
      </c>
      <c r="H211" s="70" t="s">
        <v>482</v>
      </c>
      <c r="I211" s="65" t="s">
        <v>449</v>
      </c>
      <c r="J211" s="70" t="s">
        <v>28</v>
      </c>
      <c r="K211" s="53">
        <f t="shared" si="32"/>
        <v>45953</v>
      </c>
      <c r="L211" s="53">
        <f t="shared" si="33"/>
        <v>46013</v>
      </c>
      <c r="M211" s="71"/>
      <c r="N211" s="72">
        <f>E211</f>
        <v>1</v>
      </c>
      <c r="O211" s="222">
        <f t="shared" si="34"/>
        <v>17.16</v>
      </c>
      <c r="P211" s="56">
        <f t="shared" si="28"/>
        <v>24</v>
      </c>
      <c r="R211" s="58"/>
      <c r="S211" s="200" t="s">
        <v>485</v>
      </c>
      <c r="T211" s="201"/>
      <c r="U211" s="70" t="s">
        <v>486</v>
      </c>
      <c r="V211" s="46"/>
      <c r="W211" s="46"/>
      <c r="X211" s="62" t="s">
        <v>25</v>
      </c>
      <c r="Y211" s="63">
        <f t="shared" si="22"/>
        <v>17.16</v>
      </c>
      <c r="Z211" s="64">
        <f t="shared" si="35"/>
        <v>0</v>
      </c>
      <c r="AA211" s="30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</row>
    <row r="212" spans="1:48" ht="18" customHeight="1">
      <c r="A212" s="119">
        <v>20250251</v>
      </c>
      <c r="B212" s="225" t="s">
        <v>473</v>
      </c>
      <c r="C212" s="226">
        <v>45924</v>
      </c>
      <c r="D212" s="226">
        <v>45945</v>
      </c>
      <c r="E212" s="119">
        <v>2</v>
      </c>
      <c r="F212" s="119">
        <v>20.399999999999999</v>
      </c>
      <c r="G212" s="119"/>
      <c r="H212" s="227" t="s">
        <v>482</v>
      </c>
      <c r="I212" s="225" t="s">
        <v>42</v>
      </c>
      <c r="J212" s="227" t="s">
        <v>28</v>
      </c>
      <c r="K212" s="174">
        <f t="shared" si="32"/>
        <v>45953</v>
      </c>
      <c r="L212" s="174">
        <f t="shared" si="33"/>
        <v>46013</v>
      </c>
      <c r="M212" s="228"/>
      <c r="N212" s="229">
        <f>E212</f>
        <v>2</v>
      </c>
      <c r="O212" s="230">
        <f t="shared" si="34"/>
        <v>20.399999999999999</v>
      </c>
      <c r="P212" s="56">
        <f t="shared" si="28"/>
        <v>0</v>
      </c>
      <c r="Q212" s="73"/>
      <c r="R212" s="73"/>
      <c r="S212" s="199" t="s">
        <v>487</v>
      </c>
      <c r="T212" s="231">
        <v>42</v>
      </c>
      <c r="U212" s="70" t="s">
        <v>488</v>
      </c>
      <c r="V212" s="46"/>
      <c r="W212" s="46"/>
      <c r="X212" s="62" t="s">
        <v>25</v>
      </c>
      <c r="Y212" s="63">
        <f t="shared" si="22"/>
        <v>10.199999999999999</v>
      </c>
      <c r="Z212" s="64">
        <f t="shared" si="35"/>
        <v>0</v>
      </c>
      <c r="AA212" s="64">
        <v>1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</row>
    <row r="213" spans="1:48" ht="18" customHeight="1">
      <c r="A213" s="188">
        <v>20250251</v>
      </c>
      <c r="B213" s="189" t="s">
        <v>473</v>
      </c>
      <c r="C213" s="190">
        <v>45924</v>
      </c>
      <c r="D213" s="190">
        <v>45945</v>
      </c>
      <c r="E213" s="191">
        <v>4</v>
      </c>
      <c r="F213" s="192">
        <v>47.4</v>
      </c>
      <c r="G213" s="193">
        <v>96</v>
      </c>
      <c r="H213" s="194" t="s">
        <v>489</v>
      </c>
      <c r="I213" s="189" t="s">
        <v>42</v>
      </c>
      <c r="J213" s="194" t="s">
        <v>28</v>
      </c>
      <c r="K213" s="53">
        <f t="shared" si="32"/>
        <v>45953</v>
      </c>
      <c r="L213" s="53">
        <f t="shared" si="33"/>
        <v>46013</v>
      </c>
      <c r="M213" s="195"/>
      <c r="N213" s="196">
        <f>E213-3</f>
        <v>1</v>
      </c>
      <c r="O213" s="223">
        <f t="shared" si="34"/>
        <v>11.85</v>
      </c>
      <c r="P213" s="56">
        <f t="shared" si="28"/>
        <v>24</v>
      </c>
      <c r="Q213" s="199"/>
      <c r="R213" s="58"/>
      <c r="S213" s="200" t="s">
        <v>490</v>
      </c>
      <c r="T213" s="201">
        <v>48</v>
      </c>
      <c r="U213" s="194" t="s">
        <v>491</v>
      </c>
      <c r="V213" s="46"/>
      <c r="W213" s="46"/>
      <c r="X213" s="99" t="s">
        <v>76</v>
      </c>
      <c r="Y213" s="63">
        <f t="shared" si="22"/>
        <v>11.85</v>
      </c>
      <c r="Z213" s="64">
        <f t="shared" si="35"/>
        <v>3</v>
      </c>
      <c r="AA213" s="30"/>
    </row>
    <row r="214" spans="1:48" ht="18" customHeight="1">
      <c r="A214" s="188">
        <v>20250251</v>
      </c>
      <c r="B214" s="189" t="s">
        <v>473</v>
      </c>
      <c r="C214" s="190">
        <v>45924</v>
      </c>
      <c r="D214" s="190">
        <v>45945</v>
      </c>
      <c r="E214" s="191">
        <v>3</v>
      </c>
      <c r="F214" s="192">
        <v>24.9</v>
      </c>
      <c r="G214" s="193">
        <v>72</v>
      </c>
      <c r="H214" s="194" t="s">
        <v>492</v>
      </c>
      <c r="I214" s="189" t="s">
        <v>449</v>
      </c>
      <c r="J214" s="194" t="s">
        <v>28</v>
      </c>
      <c r="K214" s="53">
        <f t="shared" si="32"/>
        <v>45953</v>
      </c>
      <c r="L214" s="53">
        <f t="shared" si="33"/>
        <v>46013</v>
      </c>
      <c r="M214" s="195"/>
      <c r="N214" s="196">
        <f>E214-2</f>
        <v>1</v>
      </c>
      <c r="O214" s="223">
        <f t="shared" si="34"/>
        <v>8.2999999999999989</v>
      </c>
      <c r="P214" s="56">
        <f t="shared" si="28"/>
        <v>24</v>
      </c>
      <c r="Q214" s="199"/>
      <c r="R214" s="58"/>
      <c r="S214" s="200" t="s">
        <v>493</v>
      </c>
      <c r="T214" s="201">
        <v>65</v>
      </c>
      <c r="U214" s="194" t="s">
        <v>494</v>
      </c>
      <c r="V214" s="46"/>
      <c r="W214" s="46"/>
      <c r="X214" s="99" t="s">
        <v>76</v>
      </c>
      <c r="Y214" s="63">
        <f t="shared" ref="Y214:Y277" si="36">F214/E214</f>
        <v>8.2999999999999989</v>
      </c>
      <c r="Z214" s="64">
        <f t="shared" si="35"/>
        <v>2</v>
      </c>
      <c r="AA214" s="64">
        <v>1137</v>
      </c>
    </row>
    <row r="215" spans="1:48" ht="18" customHeight="1">
      <c r="A215" s="188">
        <v>20250251</v>
      </c>
      <c r="B215" s="189" t="s">
        <v>473</v>
      </c>
      <c r="C215" s="190">
        <v>45924</v>
      </c>
      <c r="D215" s="190">
        <v>45945</v>
      </c>
      <c r="E215" s="191">
        <v>8</v>
      </c>
      <c r="F215" s="192">
        <v>110</v>
      </c>
      <c r="G215" s="193">
        <v>192</v>
      </c>
      <c r="H215" s="194" t="s">
        <v>495</v>
      </c>
      <c r="I215" s="189" t="s">
        <v>42</v>
      </c>
      <c r="J215" s="194" t="s">
        <v>28</v>
      </c>
      <c r="K215" s="53">
        <f t="shared" si="32"/>
        <v>45953</v>
      </c>
      <c r="L215" s="53">
        <f t="shared" si="33"/>
        <v>46013</v>
      </c>
      <c r="M215" s="195"/>
      <c r="N215" s="196">
        <f>E215-2-1-2-2</f>
        <v>1</v>
      </c>
      <c r="O215" s="223">
        <f t="shared" si="34"/>
        <v>13.75</v>
      </c>
      <c r="P215" s="56">
        <f t="shared" si="28"/>
        <v>24</v>
      </c>
      <c r="Q215" s="199"/>
      <c r="R215" s="58"/>
      <c r="S215" s="200" t="s">
        <v>496</v>
      </c>
      <c r="T215" s="201">
        <v>87</v>
      </c>
      <c r="U215" s="194" t="s">
        <v>497</v>
      </c>
      <c r="V215" s="46"/>
      <c r="W215" s="46"/>
      <c r="X215" s="99" t="s">
        <v>76</v>
      </c>
      <c r="Y215" s="63">
        <f t="shared" si="36"/>
        <v>13.75</v>
      </c>
      <c r="Z215" s="64">
        <f t="shared" si="35"/>
        <v>7</v>
      </c>
      <c r="AA215" s="64">
        <v>339</v>
      </c>
    </row>
    <row r="216" spans="1:48" ht="18" customHeight="1">
      <c r="A216" s="63">
        <v>20250252</v>
      </c>
      <c r="B216" s="65" t="s">
        <v>498</v>
      </c>
      <c r="C216" s="66">
        <v>45925</v>
      </c>
      <c r="D216" s="66">
        <v>45948</v>
      </c>
      <c r="E216" s="67">
        <v>300</v>
      </c>
      <c r="F216" s="68">
        <v>300</v>
      </c>
      <c r="G216" s="69">
        <v>180</v>
      </c>
      <c r="H216" s="70" t="s">
        <v>499</v>
      </c>
      <c r="I216" s="70" t="s">
        <v>123</v>
      </c>
      <c r="J216" s="65" t="s">
        <v>123</v>
      </c>
      <c r="K216" s="53">
        <f t="shared" si="32"/>
        <v>45956</v>
      </c>
      <c r="L216" s="53">
        <f t="shared" si="33"/>
        <v>46016</v>
      </c>
      <c r="M216" s="71"/>
      <c r="N216" s="72">
        <f>E216</f>
        <v>300</v>
      </c>
      <c r="O216" s="222">
        <f t="shared" si="34"/>
        <v>300</v>
      </c>
      <c r="P216" s="56">
        <f t="shared" si="28"/>
        <v>180</v>
      </c>
      <c r="Q216" s="73" t="s">
        <v>500</v>
      </c>
      <c r="R216" s="58"/>
      <c r="S216" s="200" t="s">
        <v>501</v>
      </c>
      <c r="T216" s="201">
        <v>80</v>
      </c>
      <c r="U216" s="58"/>
      <c r="V216" s="46"/>
      <c r="W216" s="46"/>
      <c r="X216" s="62" t="s">
        <v>25</v>
      </c>
      <c r="Y216" s="63">
        <f t="shared" si="36"/>
        <v>1</v>
      </c>
      <c r="Z216" s="64">
        <f t="shared" si="35"/>
        <v>0</v>
      </c>
      <c r="AA216" s="64">
        <v>645</v>
      </c>
    </row>
    <row r="217" spans="1:48" ht="18" customHeight="1">
      <c r="A217" s="188">
        <v>20250252</v>
      </c>
      <c r="B217" s="189" t="s">
        <v>498</v>
      </c>
      <c r="C217" s="190">
        <v>45925</v>
      </c>
      <c r="D217" s="190">
        <v>45948</v>
      </c>
      <c r="E217" s="191">
        <v>4046</v>
      </c>
      <c r="F217" s="192">
        <v>4454.6459999999997</v>
      </c>
      <c r="G217" s="193">
        <v>3520.2108490566002</v>
      </c>
      <c r="H217" s="194" t="s">
        <v>270</v>
      </c>
      <c r="I217" s="194" t="s">
        <v>271</v>
      </c>
      <c r="J217" s="189" t="s">
        <v>92</v>
      </c>
      <c r="K217" s="53">
        <f t="shared" si="32"/>
        <v>45956</v>
      </c>
      <c r="L217" s="53">
        <f t="shared" si="33"/>
        <v>46016</v>
      </c>
      <c r="M217" s="195"/>
      <c r="N217" s="196">
        <f>E217-261-87-87-87-87-87-58-196-174-203-87-174-203-29-58-261-174-203-174-174-232-116-319-58-203-116-87</f>
        <v>51</v>
      </c>
      <c r="O217" s="223">
        <f t="shared" si="34"/>
        <v>56.150999999999996</v>
      </c>
      <c r="P217" s="56">
        <f t="shared" si="28"/>
        <v>44.372405660377318</v>
      </c>
      <c r="Q217" s="73" t="s">
        <v>502</v>
      </c>
      <c r="R217" s="58"/>
      <c r="S217" s="200" t="s">
        <v>503</v>
      </c>
      <c r="T217" s="201">
        <v>58</v>
      </c>
      <c r="U217" s="58"/>
      <c r="V217" s="46"/>
      <c r="W217" s="46"/>
      <c r="X217" s="99" t="s">
        <v>76</v>
      </c>
      <c r="Y217" s="63">
        <f t="shared" si="36"/>
        <v>1.101</v>
      </c>
      <c r="Z217" s="64">
        <f t="shared" si="35"/>
        <v>3995</v>
      </c>
      <c r="AA217" s="64">
        <v>2060</v>
      </c>
    </row>
    <row r="218" spans="1:48" ht="18" customHeight="1">
      <c r="A218" s="188">
        <v>20250252</v>
      </c>
      <c r="B218" s="189" t="s">
        <v>498</v>
      </c>
      <c r="C218" s="190">
        <v>45925</v>
      </c>
      <c r="D218" s="190">
        <v>45948</v>
      </c>
      <c r="E218" s="191">
        <v>668</v>
      </c>
      <c r="F218" s="192">
        <v>553.79200000000003</v>
      </c>
      <c r="G218" s="193">
        <v>467.64714184897701</v>
      </c>
      <c r="H218" s="194" t="s">
        <v>504</v>
      </c>
      <c r="I218" s="194" t="s">
        <v>86</v>
      </c>
      <c r="J218" s="189" t="s">
        <v>86</v>
      </c>
      <c r="K218" s="53">
        <f t="shared" si="32"/>
        <v>45956</v>
      </c>
      <c r="L218" s="53">
        <f t="shared" si="33"/>
        <v>46016</v>
      </c>
      <c r="M218" s="195"/>
      <c r="N218" s="196">
        <f>E218-351-16-112-176-6-3</f>
        <v>4</v>
      </c>
      <c r="O218" s="223">
        <f t="shared" si="34"/>
        <v>3.316119760479042</v>
      </c>
      <c r="P218" s="56">
        <f t="shared" si="28"/>
        <v>2.8002822865208206</v>
      </c>
      <c r="Q218" s="199" t="s">
        <v>505</v>
      </c>
      <c r="R218" s="58"/>
      <c r="S218" s="200" t="s">
        <v>506</v>
      </c>
      <c r="T218" s="201">
        <v>90</v>
      </c>
      <c r="U218" s="58"/>
      <c r="V218" s="46"/>
      <c r="W218" s="46"/>
      <c r="X218" s="99" t="s">
        <v>76</v>
      </c>
      <c r="Y218" s="63">
        <f t="shared" si="36"/>
        <v>0.8290299401197605</v>
      </c>
      <c r="Z218" s="64">
        <f t="shared" si="35"/>
        <v>664</v>
      </c>
      <c r="AA218" s="30"/>
    </row>
    <row r="219" spans="1:48" ht="18" customHeight="1">
      <c r="A219" s="188">
        <v>20250252</v>
      </c>
      <c r="B219" s="189" t="s">
        <v>498</v>
      </c>
      <c r="C219" s="190">
        <v>45925</v>
      </c>
      <c r="D219" s="190">
        <v>45948</v>
      </c>
      <c r="E219" s="191">
        <v>51</v>
      </c>
      <c r="F219" s="192">
        <v>216.995</v>
      </c>
      <c r="G219" s="193">
        <v>41</v>
      </c>
      <c r="H219" s="194" t="s">
        <v>507</v>
      </c>
      <c r="I219" s="194" t="s">
        <v>72</v>
      </c>
      <c r="J219" s="189" t="s">
        <v>72</v>
      </c>
      <c r="K219" s="53">
        <f t="shared" si="32"/>
        <v>45956</v>
      </c>
      <c r="L219" s="53">
        <f t="shared" si="33"/>
        <v>46016</v>
      </c>
      <c r="M219" s="195"/>
      <c r="N219" s="196">
        <f>E219-7</f>
        <v>44</v>
      </c>
      <c r="O219" s="223">
        <f t="shared" si="34"/>
        <v>187.21137254901961</v>
      </c>
      <c r="P219" s="56">
        <f t="shared" si="28"/>
        <v>35.372549019607845</v>
      </c>
      <c r="Q219" s="73"/>
      <c r="R219" s="58"/>
      <c r="S219" s="200" t="s">
        <v>508</v>
      </c>
      <c r="T219" s="201">
        <v>69</v>
      </c>
      <c r="U219" s="58"/>
      <c r="V219" s="46"/>
      <c r="W219" s="46"/>
      <c r="X219" s="99" t="s">
        <v>76</v>
      </c>
      <c r="Y219" s="63">
        <f t="shared" si="36"/>
        <v>4.2548039215686275</v>
      </c>
      <c r="Z219" s="64">
        <f t="shared" si="35"/>
        <v>7</v>
      </c>
      <c r="AA219" s="64">
        <v>113</v>
      </c>
    </row>
    <row r="220" spans="1:48" ht="18" customHeight="1">
      <c r="A220" s="63">
        <v>20250252</v>
      </c>
      <c r="B220" s="65" t="s">
        <v>498</v>
      </c>
      <c r="C220" s="66">
        <v>45925</v>
      </c>
      <c r="D220" s="66">
        <v>45948</v>
      </c>
      <c r="E220" s="67">
        <v>2</v>
      </c>
      <c r="F220" s="68">
        <v>111.19866</v>
      </c>
      <c r="G220" s="69">
        <v>48</v>
      </c>
      <c r="H220" s="70" t="s">
        <v>384</v>
      </c>
      <c r="I220" s="65" t="s">
        <v>194</v>
      </c>
      <c r="J220" s="70" t="s">
        <v>26</v>
      </c>
      <c r="K220" s="53">
        <f t="shared" si="32"/>
        <v>45956</v>
      </c>
      <c r="L220" s="53">
        <f t="shared" si="33"/>
        <v>46016</v>
      </c>
      <c r="M220" s="71"/>
      <c r="N220" s="72">
        <f t="shared" ref="N220:N226" si="37">E220</f>
        <v>2</v>
      </c>
      <c r="O220" s="232">
        <f t="shared" si="34"/>
        <v>111.19866</v>
      </c>
      <c r="P220" s="56">
        <f t="shared" si="28"/>
        <v>48</v>
      </c>
      <c r="R220" s="58"/>
      <c r="S220" s="200" t="s">
        <v>509</v>
      </c>
      <c r="T220" s="201"/>
      <c r="U220" s="58" t="s">
        <v>510</v>
      </c>
      <c r="V220" s="46"/>
      <c r="W220" s="46"/>
      <c r="X220" s="62" t="s">
        <v>25</v>
      </c>
      <c r="Y220" s="63">
        <f t="shared" si="36"/>
        <v>55.599330000000002</v>
      </c>
      <c r="Z220" s="64">
        <f t="shared" si="35"/>
        <v>0</v>
      </c>
      <c r="AA220" s="64">
        <v>240</v>
      </c>
    </row>
    <row r="221" spans="1:48" ht="18" customHeight="1">
      <c r="A221" s="63">
        <v>20250252</v>
      </c>
      <c r="B221" s="65" t="s">
        <v>498</v>
      </c>
      <c r="C221" s="66">
        <v>45925</v>
      </c>
      <c r="D221" s="66">
        <v>45948</v>
      </c>
      <c r="E221" s="67">
        <v>7</v>
      </c>
      <c r="F221" s="68">
        <v>389.19533000000001</v>
      </c>
      <c r="G221" s="69">
        <v>168</v>
      </c>
      <c r="H221" s="70" t="s">
        <v>384</v>
      </c>
      <c r="I221" s="65" t="s">
        <v>208</v>
      </c>
      <c r="J221" s="70" t="s">
        <v>26</v>
      </c>
      <c r="K221" s="53">
        <f t="shared" si="32"/>
        <v>45956</v>
      </c>
      <c r="L221" s="53">
        <f t="shared" si="33"/>
        <v>46016</v>
      </c>
      <c r="M221" s="71"/>
      <c r="N221" s="72">
        <f t="shared" si="37"/>
        <v>7</v>
      </c>
      <c r="O221" s="232">
        <f t="shared" si="34"/>
        <v>389.19533000000001</v>
      </c>
      <c r="P221" s="56">
        <f t="shared" si="28"/>
        <v>168</v>
      </c>
      <c r="R221" s="58"/>
      <c r="S221" s="200" t="s">
        <v>509</v>
      </c>
      <c r="T221" s="201"/>
      <c r="U221" s="58" t="s">
        <v>510</v>
      </c>
      <c r="V221" s="46"/>
      <c r="W221" s="46"/>
      <c r="X221" s="62" t="s">
        <v>25</v>
      </c>
      <c r="Y221" s="63">
        <f t="shared" si="36"/>
        <v>55.599332857142862</v>
      </c>
      <c r="Z221" s="64">
        <f t="shared" si="35"/>
        <v>0</v>
      </c>
      <c r="AA221" s="30"/>
    </row>
    <row r="222" spans="1:48" ht="18" customHeight="1">
      <c r="A222" s="63">
        <v>20250252</v>
      </c>
      <c r="B222" s="65" t="s">
        <v>498</v>
      </c>
      <c r="C222" s="66">
        <v>45925</v>
      </c>
      <c r="D222" s="66">
        <v>45948</v>
      </c>
      <c r="E222" s="67">
        <v>126</v>
      </c>
      <c r="F222" s="68">
        <v>161</v>
      </c>
      <c r="G222" s="69">
        <v>80</v>
      </c>
      <c r="H222" s="70" t="s">
        <v>384</v>
      </c>
      <c r="I222" s="65" t="s">
        <v>24</v>
      </c>
      <c r="J222" s="70" t="s">
        <v>24</v>
      </c>
      <c r="K222" s="53">
        <f t="shared" si="32"/>
        <v>45956</v>
      </c>
      <c r="L222" s="53">
        <f t="shared" si="33"/>
        <v>46016</v>
      </c>
      <c r="M222" s="71"/>
      <c r="N222" s="72">
        <f t="shared" si="37"/>
        <v>126</v>
      </c>
      <c r="O222" s="232">
        <f t="shared" si="34"/>
        <v>161</v>
      </c>
      <c r="P222" s="56">
        <f t="shared" si="28"/>
        <v>80</v>
      </c>
      <c r="R222" s="58"/>
      <c r="S222" s="200" t="s">
        <v>509</v>
      </c>
      <c r="T222" s="201"/>
      <c r="U222" s="58" t="s">
        <v>510</v>
      </c>
      <c r="V222" s="46"/>
      <c r="W222" s="46"/>
      <c r="X222" s="62" t="s">
        <v>25</v>
      </c>
      <c r="Y222" s="63">
        <f t="shared" si="36"/>
        <v>1.2777777777777777</v>
      </c>
      <c r="Z222" s="64">
        <f t="shared" si="35"/>
        <v>0</v>
      </c>
      <c r="AA222" s="64">
        <v>87</v>
      </c>
    </row>
    <row r="223" spans="1:48" ht="18" customHeight="1">
      <c r="A223" s="63">
        <v>20250252</v>
      </c>
      <c r="B223" s="65" t="s">
        <v>498</v>
      </c>
      <c r="C223" s="66">
        <v>45925</v>
      </c>
      <c r="D223" s="66">
        <v>45948</v>
      </c>
      <c r="E223" s="67">
        <v>4</v>
      </c>
      <c r="F223" s="68">
        <v>31.414000000000001</v>
      </c>
      <c r="G223" s="69">
        <v>96</v>
      </c>
      <c r="H223" s="70" t="s">
        <v>511</v>
      </c>
      <c r="I223" s="65" t="s">
        <v>194</v>
      </c>
      <c r="J223" s="70" t="s">
        <v>26</v>
      </c>
      <c r="K223" s="53">
        <f t="shared" si="32"/>
        <v>45956</v>
      </c>
      <c r="L223" s="53">
        <f t="shared" si="33"/>
        <v>46016</v>
      </c>
      <c r="M223" s="71"/>
      <c r="N223" s="72">
        <f t="shared" si="37"/>
        <v>4</v>
      </c>
      <c r="O223" s="232">
        <f t="shared" si="34"/>
        <v>31.414000000000001</v>
      </c>
      <c r="P223" s="56">
        <f t="shared" si="28"/>
        <v>96</v>
      </c>
      <c r="R223" s="58"/>
      <c r="S223" s="200" t="s">
        <v>512</v>
      </c>
      <c r="T223" s="201"/>
      <c r="U223" s="58" t="s">
        <v>513</v>
      </c>
      <c r="V223" s="46"/>
      <c r="W223" s="46"/>
      <c r="X223" s="62" t="s">
        <v>25</v>
      </c>
      <c r="Y223" s="63">
        <f t="shared" si="36"/>
        <v>7.8535000000000004</v>
      </c>
      <c r="Z223" s="64">
        <f t="shared" si="35"/>
        <v>0</v>
      </c>
      <c r="AA223" s="30"/>
    </row>
    <row r="224" spans="1:48" ht="18" customHeight="1">
      <c r="A224" s="63">
        <v>20250252</v>
      </c>
      <c r="B224" s="65" t="s">
        <v>498</v>
      </c>
      <c r="C224" s="66">
        <v>45925</v>
      </c>
      <c r="D224" s="66">
        <v>45948</v>
      </c>
      <c r="E224" s="67">
        <v>2</v>
      </c>
      <c r="F224" s="68">
        <v>15.701000000000001</v>
      </c>
      <c r="G224" s="69">
        <v>48</v>
      </c>
      <c r="H224" s="70" t="s">
        <v>511</v>
      </c>
      <c r="I224" s="65" t="s">
        <v>276</v>
      </c>
      <c r="J224" s="70" t="s">
        <v>26</v>
      </c>
      <c r="K224" s="53">
        <f t="shared" si="32"/>
        <v>45956</v>
      </c>
      <c r="L224" s="53">
        <f t="shared" si="33"/>
        <v>46016</v>
      </c>
      <c r="M224" s="71"/>
      <c r="N224" s="72">
        <f t="shared" si="37"/>
        <v>2</v>
      </c>
      <c r="O224" s="232">
        <f t="shared" si="34"/>
        <v>15.701000000000001</v>
      </c>
      <c r="P224" s="56">
        <f t="shared" si="28"/>
        <v>48</v>
      </c>
      <c r="R224" s="58"/>
      <c r="S224" s="200" t="s">
        <v>512</v>
      </c>
      <c r="T224" s="201"/>
      <c r="U224" s="58" t="s">
        <v>513</v>
      </c>
      <c r="V224" s="46"/>
      <c r="W224" s="46"/>
      <c r="X224" s="62" t="s">
        <v>25</v>
      </c>
      <c r="Y224" s="63">
        <f t="shared" si="36"/>
        <v>7.8505000000000003</v>
      </c>
      <c r="Z224" s="64">
        <f t="shared" si="35"/>
        <v>0</v>
      </c>
      <c r="AA224" s="64">
        <v>294</v>
      </c>
    </row>
    <row r="225" spans="1:48" ht="18" customHeight="1">
      <c r="A225" s="63">
        <v>20250252</v>
      </c>
      <c r="B225" s="65" t="s">
        <v>498</v>
      </c>
      <c r="C225" s="66">
        <v>45925</v>
      </c>
      <c r="D225" s="66">
        <v>45948</v>
      </c>
      <c r="E225" s="67">
        <v>1</v>
      </c>
      <c r="F225" s="68">
        <v>0</v>
      </c>
      <c r="G225" s="69">
        <v>3</v>
      </c>
      <c r="H225" s="70" t="s">
        <v>511</v>
      </c>
      <c r="I225" s="65" t="s">
        <v>24</v>
      </c>
      <c r="J225" s="70" t="s">
        <v>24</v>
      </c>
      <c r="K225" s="53">
        <f t="shared" si="32"/>
        <v>45956</v>
      </c>
      <c r="L225" s="53">
        <f t="shared" si="33"/>
        <v>46016</v>
      </c>
      <c r="M225" s="71"/>
      <c r="N225" s="72">
        <f t="shared" si="37"/>
        <v>1</v>
      </c>
      <c r="O225" s="232">
        <f t="shared" si="34"/>
        <v>0</v>
      </c>
      <c r="P225" s="56">
        <f t="shared" si="28"/>
        <v>3</v>
      </c>
      <c r="R225" s="58"/>
      <c r="S225" s="200" t="s">
        <v>512</v>
      </c>
      <c r="T225" s="201"/>
      <c r="U225" s="58" t="s">
        <v>513</v>
      </c>
      <c r="V225" s="46"/>
      <c r="W225" s="46"/>
      <c r="X225" s="62" t="s">
        <v>25</v>
      </c>
      <c r="Y225" s="63">
        <f t="shared" si="36"/>
        <v>0</v>
      </c>
      <c r="Z225" s="64">
        <f t="shared" si="35"/>
        <v>0</v>
      </c>
      <c r="AA225" s="64">
        <v>353</v>
      </c>
    </row>
    <row r="226" spans="1:48" ht="18" customHeight="1">
      <c r="A226" s="63">
        <v>20250252</v>
      </c>
      <c r="B226" s="65" t="s">
        <v>498</v>
      </c>
      <c r="C226" s="66">
        <v>45925</v>
      </c>
      <c r="D226" s="66">
        <v>45948</v>
      </c>
      <c r="E226" s="67">
        <v>2</v>
      </c>
      <c r="F226" s="68">
        <v>73.531999999999996</v>
      </c>
      <c r="G226" s="69">
        <v>48</v>
      </c>
      <c r="H226" s="70" t="s">
        <v>514</v>
      </c>
      <c r="I226" s="65" t="s">
        <v>194</v>
      </c>
      <c r="J226" s="70" t="s">
        <v>26</v>
      </c>
      <c r="K226" s="53">
        <f t="shared" si="32"/>
        <v>45956</v>
      </c>
      <c r="L226" s="53">
        <f t="shared" si="33"/>
        <v>46016</v>
      </c>
      <c r="M226" s="71"/>
      <c r="N226" s="72">
        <f t="shared" si="37"/>
        <v>2</v>
      </c>
      <c r="O226" s="232">
        <f t="shared" si="34"/>
        <v>73.531999999999996</v>
      </c>
      <c r="P226" s="56">
        <f t="shared" si="28"/>
        <v>48</v>
      </c>
      <c r="R226" s="58"/>
      <c r="S226" s="200" t="s">
        <v>515</v>
      </c>
      <c r="T226" s="201"/>
      <c r="U226" s="58" t="s">
        <v>516</v>
      </c>
      <c r="V226" s="46"/>
      <c r="W226" s="46"/>
      <c r="X226" s="62" t="s">
        <v>25</v>
      </c>
      <c r="Y226" s="63">
        <f t="shared" si="36"/>
        <v>36.765999999999998</v>
      </c>
      <c r="Z226" s="64">
        <f t="shared" si="35"/>
        <v>0</v>
      </c>
      <c r="AA226" s="30"/>
    </row>
    <row r="227" spans="1:48" ht="18" customHeight="1">
      <c r="A227" s="76">
        <v>20250252</v>
      </c>
      <c r="B227" s="77" t="s">
        <v>498</v>
      </c>
      <c r="C227" s="78">
        <v>45925</v>
      </c>
      <c r="D227" s="78">
        <v>45948</v>
      </c>
      <c r="E227" s="76">
        <v>8</v>
      </c>
      <c r="F227" s="79">
        <v>0</v>
      </c>
      <c r="G227" s="102">
        <v>24</v>
      </c>
      <c r="H227" s="80" t="s">
        <v>514</v>
      </c>
      <c r="I227" s="77" t="s">
        <v>24</v>
      </c>
      <c r="J227" s="80" t="s">
        <v>24</v>
      </c>
      <c r="K227" s="233">
        <f t="shared" si="32"/>
        <v>45956</v>
      </c>
      <c r="L227" s="233">
        <f t="shared" si="33"/>
        <v>46016</v>
      </c>
      <c r="M227" s="82"/>
      <c r="N227" s="83">
        <f>E227-8</f>
        <v>0</v>
      </c>
      <c r="O227" s="234">
        <f t="shared" si="34"/>
        <v>0</v>
      </c>
      <c r="P227" s="85">
        <f t="shared" si="28"/>
        <v>0</v>
      </c>
      <c r="Q227" s="80"/>
      <c r="R227" s="80"/>
      <c r="S227" s="80" t="s">
        <v>515</v>
      </c>
      <c r="T227" s="86"/>
      <c r="U227" s="80" t="s">
        <v>516</v>
      </c>
      <c r="V227" s="76"/>
      <c r="W227" s="76"/>
      <c r="X227" s="76" t="s">
        <v>55</v>
      </c>
      <c r="Y227" s="63">
        <f t="shared" si="36"/>
        <v>0</v>
      </c>
      <c r="Z227" s="30"/>
      <c r="AA227" s="30"/>
    </row>
    <row r="228" spans="1:48" ht="18" customHeight="1">
      <c r="A228" s="87">
        <v>20250283</v>
      </c>
      <c r="B228" s="88" t="s">
        <v>517</v>
      </c>
      <c r="C228" s="89">
        <v>45955</v>
      </c>
      <c r="D228" s="66">
        <v>45955</v>
      </c>
      <c r="E228" s="67">
        <v>1</v>
      </c>
      <c r="F228" s="68">
        <v>36.5</v>
      </c>
      <c r="G228" s="69">
        <v>24</v>
      </c>
      <c r="H228" s="70" t="s">
        <v>518</v>
      </c>
      <c r="I228" s="65" t="s">
        <v>519</v>
      </c>
      <c r="J228" s="70" t="s">
        <v>26</v>
      </c>
      <c r="K228" s="53">
        <f t="shared" si="32"/>
        <v>45963</v>
      </c>
      <c r="L228" s="53">
        <f t="shared" si="33"/>
        <v>46023</v>
      </c>
      <c r="M228" s="71"/>
      <c r="N228" s="72">
        <f>E228</f>
        <v>1</v>
      </c>
      <c r="O228" s="50">
        <f t="shared" si="34"/>
        <v>36.5</v>
      </c>
      <c r="P228" s="56">
        <f t="shared" si="28"/>
        <v>24</v>
      </c>
      <c r="Q228" s="224" t="s">
        <v>520</v>
      </c>
      <c r="R228" s="58"/>
      <c r="S228" s="200" t="s">
        <v>521</v>
      </c>
      <c r="T228" s="201">
        <v>26</v>
      </c>
      <c r="U228" s="58" t="s">
        <v>522</v>
      </c>
      <c r="V228" s="46"/>
      <c r="W228" s="46"/>
      <c r="X228" s="62" t="s">
        <v>25</v>
      </c>
      <c r="Y228" s="63">
        <f t="shared" si="36"/>
        <v>36.5</v>
      </c>
      <c r="Z228" s="64">
        <f t="shared" ref="Z228:Z231" si="38">E228-N228</f>
        <v>0</v>
      </c>
      <c r="AA228" s="30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</row>
    <row r="229" spans="1:48" ht="18" customHeight="1">
      <c r="A229" s="63">
        <v>20250283</v>
      </c>
      <c r="B229" s="65" t="s">
        <v>517</v>
      </c>
      <c r="C229" s="66">
        <v>45955</v>
      </c>
      <c r="D229" s="66">
        <v>45955</v>
      </c>
      <c r="E229" s="67">
        <v>2</v>
      </c>
      <c r="F229" s="68">
        <v>0</v>
      </c>
      <c r="G229" s="69">
        <v>6</v>
      </c>
      <c r="H229" s="70" t="s">
        <v>518</v>
      </c>
      <c r="I229" s="65" t="s">
        <v>24</v>
      </c>
      <c r="J229" s="70" t="s">
        <v>24</v>
      </c>
      <c r="K229" s="53">
        <f t="shared" si="32"/>
        <v>45963</v>
      </c>
      <c r="L229" s="53">
        <f t="shared" si="33"/>
        <v>46023</v>
      </c>
      <c r="M229" s="71"/>
      <c r="N229" s="72">
        <f>E229</f>
        <v>2</v>
      </c>
      <c r="O229" s="50">
        <f t="shared" si="34"/>
        <v>0</v>
      </c>
      <c r="P229" s="56">
        <f t="shared" si="28"/>
        <v>6</v>
      </c>
      <c r="Q229" s="224" t="s">
        <v>48</v>
      </c>
      <c r="R229" s="58"/>
      <c r="S229" s="200" t="s">
        <v>521</v>
      </c>
      <c r="T229" s="201">
        <v>26</v>
      </c>
      <c r="U229" s="58"/>
      <c r="V229" s="46"/>
      <c r="W229" s="46"/>
      <c r="X229" s="62" t="s">
        <v>25</v>
      </c>
      <c r="Y229" s="63">
        <f t="shared" si="36"/>
        <v>0</v>
      </c>
      <c r="Z229" s="64">
        <f t="shared" si="38"/>
        <v>0</v>
      </c>
      <c r="AA229" s="30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</row>
    <row r="230" spans="1:48" ht="18" customHeight="1">
      <c r="A230" s="63">
        <v>20250283</v>
      </c>
      <c r="B230" s="65" t="s">
        <v>517</v>
      </c>
      <c r="C230" s="66">
        <v>45955</v>
      </c>
      <c r="D230" s="66">
        <v>45955</v>
      </c>
      <c r="E230" s="67">
        <v>4</v>
      </c>
      <c r="F230" s="68">
        <v>49.2</v>
      </c>
      <c r="G230" s="69">
        <v>96</v>
      </c>
      <c r="H230" s="70" t="s">
        <v>523</v>
      </c>
      <c r="I230" s="65" t="s">
        <v>106</v>
      </c>
      <c r="J230" s="70" t="s">
        <v>29</v>
      </c>
      <c r="K230" s="53">
        <f t="shared" si="32"/>
        <v>45963</v>
      </c>
      <c r="L230" s="53">
        <f t="shared" si="33"/>
        <v>46023</v>
      </c>
      <c r="M230" s="71"/>
      <c r="N230" s="72">
        <f>E230</f>
        <v>4</v>
      </c>
      <c r="O230" s="50">
        <f t="shared" si="34"/>
        <v>49.2</v>
      </c>
      <c r="P230" s="56">
        <f t="shared" si="28"/>
        <v>96</v>
      </c>
      <c r="Q230" s="224" t="s">
        <v>520</v>
      </c>
      <c r="R230" s="58"/>
      <c r="S230" s="200" t="s">
        <v>524</v>
      </c>
      <c r="T230" s="201">
        <v>51</v>
      </c>
      <c r="U230" s="58" t="s">
        <v>525</v>
      </c>
      <c r="V230" s="46"/>
      <c r="W230" s="46"/>
      <c r="X230" s="62" t="s">
        <v>25</v>
      </c>
      <c r="Y230" s="63">
        <f t="shared" si="36"/>
        <v>12.3</v>
      </c>
      <c r="Z230" s="64">
        <f t="shared" si="38"/>
        <v>0</v>
      </c>
      <c r="AA230" s="64">
        <v>63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</row>
    <row r="231" spans="1:48" ht="18" customHeight="1">
      <c r="A231" s="63">
        <v>20250283</v>
      </c>
      <c r="B231" s="65" t="s">
        <v>517</v>
      </c>
      <c r="C231" s="66">
        <v>45955</v>
      </c>
      <c r="D231" s="66">
        <v>45955</v>
      </c>
      <c r="E231" s="67">
        <v>42</v>
      </c>
      <c r="F231" s="68">
        <v>0.34370000000000001</v>
      </c>
      <c r="G231" s="69">
        <v>0</v>
      </c>
      <c r="H231" s="70" t="s">
        <v>523</v>
      </c>
      <c r="I231" s="65" t="s">
        <v>24</v>
      </c>
      <c r="J231" s="70" t="s">
        <v>24</v>
      </c>
      <c r="K231" s="53">
        <f t="shared" si="32"/>
        <v>45963</v>
      </c>
      <c r="L231" s="53">
        <f t="shared" si="33"/>
        <v>46023</v>
      </c>
      <c r="M231" s="71"/>
      <c r="N231" s="72">
        <f>E231</f>
        <v>42</v>
      </c>
      <c r="O231" s="50">
        <f t="shared" si="34"/>
        <v>0.34370000000000001</v>
      </c>
      <c r="P231" s="56">
        <f t="shared" si="28"/>
        <v>0</v>
      </c>
      <c r="Q231" s="224" t="s">
        <v>48</v>
      </c>
      <c r="R231" s="58"/>
      <c r="S231" s="200" t="s">
        <v>526</v>
      </c>
      <c r="T231" s="201">
        <v>1</v>
      </c>
      <c r="U231" s="58" t="s">
        <v>527</v>
      </c>
      <c r="V231" s="46"/>
      <c r="W231" s="46"/>
      <c r="X231" s="62" t="s">
        <v>25</v>
      </c>
      <c r="Y231" s="63">
        <f t="shared" si="36"/>
        <v>8.1833333333333341E-3</v>
      </c>
      <c r="Z231" s="64">
        <f t="shared" si="38"/>
        <v>0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</row>
    <row r="232" spans="1:48" ht="18" customHeight="1">
      <c r="A232" s="76">
        <v>20250287</v>
      </c>
      <c r="B232" s="77" t="s">
        <v>528</v>
      </c>
      <c r="C232" s="78">
        <v>45957</v>
      </c>
      <c r="D232" s="78">
        <v>45966</v>
      </c>
      <c r="E232" s="76">
        <v>81</v>
      </c>
      <c r="F232" s="76">
        <v>200.60599999999999</v>
      </c>
      <c r="G232" s="76">
        <v>56.705716302046604</v>
      </c>
      <c r="H232" s="80" t="s">
        <v>85</v>
      </c>
      <c r="I232" s="80" t="s">
        <v>86</v>
      </c>
      <c r="J232" s="77" t="s">
        <v>86</v>
      </c>
      <c r="K232" s="78">
        <f t="shared" si="32"/>
        <v>45974</v>
      </c>
      <c r="L232" s="78">
        <f t="shared" si="33"/>
        <v>46034</v>
      </c>
      <c r="M232" s="82"/>
      <c r="N232" s="83">
        <f>E232-10-6-6-16-43</f>
        <v>0</v>
      </c>
      <c r="O232" s="84">
        <f t="shared" si="34"/>
        <v>0</v>
      </c>
      <c r="P232" s="83">
        <f t="shared" si="28"/>
        <v>0</v>
      </c>
      <c r="Q232" s="80" t="s">
        <v>529</v>
      </c>
      <c r="R232" s="80"/>
      <c r="S232" s="80" t="s">
        <v>530</v>
      </c>
      <c r="T232" s="86">
        <v>45</v>
      </c>
      <c r="U232" s="80" t="s">
        <v>531</v>
      </c>
      <c r="V232" s="76"/>
      <c r="W232" s="76"/>
      <c r="X232" s="76" t="s">
        <v>55</v>
      </c>
      <c r="Y232" s="63">
        <f t="shared" si="36"/>
        <v>2.4766172839506173</v>
      </c>
      <c r="Z232" s="30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</row>
    <row r="233" spans="1:48" ht="18" customHeight="1">
      <c r="A233" s="76">
        <v>20250287</v>
      </c>
      <c r="B233" s="77" t="s">
        <v>528</v>
      </c>
      <c r="C233" s="78">
        <v>45957</v>
      </c>
      <c r="D233" s="78">
        <v>45966</v>
      </c>
      <c r="E233" s="76">
        <v>251</v>
      </c>
      <c r="F233" s="76">
        <v>491.45</v>
      </c>
      <c r="G233" s="76">
        <v>175.71771347918099</v>
      </c>
      <c r="H233" s="80" t="s">
        <v>532</v>
      </c>
      <c r="I233" s="80" t="s">
        <v>86</v>
      </c>
      <c r="J233" s="77" t="s">
        <v>86</v>
      </c>
      <c r="K233" s="78">
        <f t="shared" si="32"/>
        <v>45974</v>
      </c>
      <c r="L233" s="78">
        <f t="shared" si="33"/>
        <v>46034</v>
      </c>
      <c r="M233" s="82"/>
      <c r="N233" s="83">
        <f>E233-20-101-57-8-17-48</f>
        <v>0</v>
      </c>
      <c r="O233" s="84">
        <f t="shared" si="34"/>
        <v>0</v>
      </c>
      <c r="P233" s="83">
        <f t="shared" si="28"/>
        <v>0</v>
      </c>
      <c r="Q233" s="80" t="s">
        <v>529</v>
      </c>
      <c r="R233" s="80"/>
      <c r="S233" s="80" t="s">
        <v>533</v>
      </c>
      <c r="T233" s="86">
        <v>40</v>
      </c>
      <c r="U233" s="80" t="s">
        <v>534</v>
      </c>
      <c r="V233" s="76"/>
      <c r="W233" s="76"/>
      <c r="X233" s="76" t="s">
        <v>55</v>
      </c>
      <c r="Y233" s="63">
        <f t="shared" si="36"/>
        <v>1.9579681274900398</v>
      </c>
      <c r="Z233" s="30"/>
      <c r="AB233" s="202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</row>
    <row r="234" spans="1:48" ht="18" customHeight="1">
      <c r="A234" s="188">
        <v>20250287</v>
      </c>
      <c r="B234" s="189" t="s">
        <v>528</v>
      </c>
      <c r="C234" s="190">
        <v>45957</v>
      </c>
      <c r="D234" s="190">
        <v>45966</v>
      </c>
      <c r="E234" s="191">
        <v>1060</v>
      </c>
      <c r="F234" s="192">
        <v>1161.97</v>
      </c>
      <c r="G234" s="193">
        <v>636</v>
      </c>
      <c r="H234" s="194" t="s">
        <v>285</v>
      </c>
      <c r="I234" s="194" t="s">
        <v>123</v>
      </c>
      <c r="J234" s="189" t="s">
        <v>123</v>
      </c>
      <c r="K234" s="53">
        <f t="shared" si="32"/>
        <v>45974</v>
      </c>
      <c r="L234" s="53">
        <f t="shared" si="33"/>
        <v>46034</v>
      </c>
      <c r="M234" s="195"/>
      <c r="N234" s="196">
        <f>E234-80-100-20-280-200-60-67-3-20</f>
        <v>230</v>
      </c>
      <c r="O234" s="197">
        <f t="shared" si="34"/>
        <v>252.12556603773584</v>
      </c>
      <c r="P234" s="198">
        <f t="shared" si="28"/>
        <v>138</v>
      </c>
      <c r="Q234" s="199" t="s">
        <v>535</v>
      </c>
      <c r="R234" s="58"/>
      <c r="S234" s="200" t="s">
        <v>536</v>
      </c>
      <c r="T234" s="201">
        <v>18</v>
      </c>
      <c r="U234" s="58" t="s">
        <v>402</v>
      </c>
      <c r="V234" s="46"/>
      <c r="W234" s="46"/>
      <c r="X234" s="99" t="s">
        <v>76</v>
      </c>
      <c r="Y234" s="63">
        <f t="shared" si="36"/>
        <v>1.0961981132075471</v>
      </c>
      <c r="Z234" s="64">
        <f t="shared" ref="Z234:Z235" si="39">E234-N234</f>
        <v>830</v>
      </c>
      <c r="AA234" s="64">
        <v>1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</row>
    <row r="235" spans="1:48" ht="18" customHeight="1">
      <c r="A235" s="87">
        <v>20250296</v>
      </c>
      <c r="B235" s="88" t="s">
        <v>537</v>
      </c>
      <c r="C235" s="89">
        <v>45968</v>
      </c>
      <c r="D235" s="89">
        <v>45970</v>
      </c>
      <c r="E235" s="67">
        <v>500</v>
      </c>
      <c r="F235" s="68">
        <v>14927.74</v>
      </c>
      <c r="G235" s="69">
        <v>1125</v>
      </c>
      <c r="H235" s="70" t="s">
        <v>410</v>
      </c>
      <c r="I235" s="70" t="s">
        <v>72</v>
      </c>
      <c r="J235" s="70" t="s">
        <v>72</v>
      </c>
      <c r="K235" s="53">
        <f t="shared" si="32"/>
        <v>45978</v>
      </c>
      <c r="L235" s="53">
        <f t="shared" si="33"/>
        <v>46038</v>
      </c>
      <c r="M235" s="71"/>
      <c r="N235" s="72">
        <f>E235</f>
        <v>500</v>
      </c>
      <c r="O235" s="50">
        <f t="shared" si="34"/>
        <v>14927.74</v>
      </c>
      <c r="P235" s="56">
        <f t="shared" si="28"/>
        <v>1125</v>
      </c>
      <c r="Q235" s="73"/>
      <c r="R235" s="58"/>
      <c r="S235" s="200">
        <v>2</v>
      </c>
      <c r="T235" s="201"/>
      <c r="U235" s="58" t="s">
        <v>538</v>
      </c>
      <c r="V235" s="46"/>
      <c r="W235" s="46"/>
      <c r="X235" s="62" t="s">
        <v>25</v>
      </c>
      <c r="Y235" s="63">
        <f t="shared" si="36"/>
        <v>29.85548</v>
      </c>
      <c r="Z235" s="64">
        <f t="shared" si="39"/>
        <v>0</v>
      </c>
      <c r="AA235" s="64">
        <v>1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</row>
    <row r="236" spans="1:48" ht="18" customHeight="1">
      <c r="A236" s="76">
        <v>20250308</v>
      </c>
      <c r="B236" s="77" t="s">
        <v>539</v>
      </c>
      <c r="C236" s="78">
        <v>45977</v>
      </c>
      <c r="D236" s="78">
        <v>45995</v>
      </c>
      <c r="E236" s="76">
        <v>429</v>
      </c>
      <c r="F236" s="76">
        <v>611.73900000000003</v>
      </c>
      <c r="G236" s="76">
        <v>257.39999999999998</v>
      </c>
      <c r="H236" s="80" t="s">
        <v>540</v>
      </c>
      <c r="I236" s="80" t="s">
        <v>123</v>
      </c>
      <c r="J236" s="77" t="s">
        <v>123</v>
      </c>
      <c r="K236" s="78">
        <f t="shared" si="32"/>
        <v>46003</v>
      </c>
      <c r="L236" s="78">
        <f t="shared" si="33"/>
        <v>46063</v>
      </c>
      <c r="M236" s="82"/>
      <c r="N236" s="83">
        <f>E236-169-88-75-72-25</f>
        <v>0</v>
      </c>
      <c r="O236" s="84">
        <f t="shared" si="34"/>
        <v>0</v>
      </c>
      <c r="P236" s="83">
        <f t="shared" si="28"/>
        <v>0</v>
      </c>
      <c r="Q236" s="80"/>
      <c r="R236" s="80"/>
      <c r="S236" s="80" t="s">
        <v>541</v>
      </c>
      <c r="T236" s="86">
        <v>95</v>
      </c>
      <c r="U236" s="80" t="s">
        <v>542</v>
      </c>
      <c r="V236" s="76"/>
      <c r="W236" s="76"/>
      <c r="X236" s="76" t="s">
        <v>55</v>
      </c>
      <c r="Y236" s="63">
        <f t="shared" si="36"/>
        <v>1.425965034965035</v>
      </c>
      <c r="Z236" s="30"/>
      <c r="AA236" s="64">
        <v>84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</row>
    <row r="237" spans="1:48" ht="18" customHeight="1">
      <c r="A237" s="135">
        <v>20250308</v>
      </c>
      <c r="B237" s="136" t="s">
        <v>539</v>
      </c>
      <c r="C237" s="137">
        <v>45977</v>
      </c>
      <c r="D237" s="137">
        <v>45995</v>
      </c>
      <c r="E237" s="138">
        <v>276</v>
      </c>
      <c r="F237" s="139">
        <v>297.62599999999998</v>
      </c>
      <c r="G237" s="140">
        <v>165.6</v>
      </c>
      <c r="H237" s="141" t="s">
        <v>543</v>
      </c>
      <c r="I237" s="141" t="s">
        <v>123</v>
      </c>
      <c r="J237" s="136" t="s">
        <v>123</v>
      </c>
      <c r="K237" s="142">
        <f t="shared" si="32"/>
        <v>46003</v>
      </c>
      <c r="L237" s="142">
        <f t="shared" si="33"/>
        <v>46063</v>
      </c>
      <c r="M237" s="143"/>
      <c r="N237" s="144">
        <f>E237-125-75-25-26</f>
        <v>25</v>
      </c>
      <c r="O237" s="145">
        <f t="shared" si="34"/>
        <v>26.958876811594202</v>
      </c>
      <c r="P237" s="146">
        <f t="shared" si="28"/>
        <v>15</v>
      </c>
      <c r="Q237" s="73"/>
      <c r="R237" s="58"/>
      <c r="S237" s="200" t="s">
        <v>544</v>
      </c>
      <c r="T237" s="201">
        <v>96</v>
      </c>
      <c r="U237" s="58" t="s">
        <v>545</v>
      </c>
      <c r="V237" s="46"/>
      <c r="W237" s="46"/>
      <c r="X237" s="99" t="s">
        <v>76</v>
      </c>
      <c r="Y237" s="63">
        <f t="shared" si="36"/>
        <v>1.078355072463768</v>
      </c>
      <c r="Z237" s="64">
        <f t="shared" ref="Z237:Z240" si="40">E237-N237</f>
        <v>251</v>
      </c>
      <c r="AA237" s="64">
        <v>81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</row>
    <row r="238" spans="1:48" ht="18" customHeight="1">
      <c r="A238" s="63">
        <v>20250308</v>
      </c>
      <c r="B238" s="65" t="s">
        <v>539</v>
      </c>
      <c r="C238" s="66">
        <v>45977</v>
      </c>
      <c r="D238" s="66">
        <v>45995</v>
      </c>
      <c r="E238" s="67">
        <v>500</v>
      </c>
      <c r="F238" s="68">
        <v>2511.0500000000002</v>
      </c>
      <c r="G238" s="69">
        <v>399.01020723786002</v>
      </c>
      <c r="H238" s="70" t="s">
        <v>546</v>
      </c>
      <c r="I238" s="70" t="s">
        <v>52</v>
      </c>
      <c r="J238" s="65" t="s">
        <v>52</v>
      </c>
      <c r="K238" s="53">
        <f t="shared" si="32"/>
        <v>46003</v>
      </c>
      <c r="L238" s="53">
        <f t="shared" si="33"/>
        <v>46063</v>
      </c>
      <c r="M238" s="71"/>
      <c r="N238" s="72">
        <f>E238</f>
        <v>500</v>
      </c>
      <c r="O238" s="50">
        <f t="shared" si="34"/>
        <v>2511.0500000000002</v>
      </c>
      <c r="P238" s="56">
        <f t="shared" si="28"/>
        <v>399.01020723786002</v>
      </c>
      <c r="Q238" s="73" t="s">
        <v>547</v>
      </c>
      <c r="R238" s="58"/>
      <c r="S238" s="200" t="s">
        <v>548</v>
      </c>
      <c r="T238" s="201">
        <v>18</v>
      </c>
      <c r="U238" s="58" t="s">
        <v>549</v>
      </c>
      <c r="V238" s="46"/>
      <c r="W238" s="46"/>
      <c r="X238" s="62" t="s">
        <v>25</v>
      </c>
      <c r="Y238" s="63">
        <f t="shared" si="36"/>
        <v>5.0221</v>
      </c>
      <c r="Z238" s="64">
        <f t="shared" si="40"/>
        <v>0</v>
      </c>
      <c r="AA238" s="30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</row>
    <row r="239" spans="1:48" ht="18" customHeight="1">
      <c r="A239" s="63">
        <v>20250308</v>
      </c>
      <c r="B239" s="65" t="s">
        <v>539</v>
      </c>
      <c r="C239" s="66">
        <v>45977</v>
      </c>
      <c r="D239" s="66">
        <v>45995</v>
      </c>
      <c r="E239" s="67">
        <v>52</v>
      </c>
      <c r="F239" s="68">
        <v>528.005</v>
      </c>
      <c r="G239" s="69">
        <v>41.7083333333333</v>
      </c>
      <c r="H239" s="70" t="s">
        <v>550</v>
      </c>
      <c r="I239" s="70" t="s">
        <v>72</v>
      </c>
      <c r="J239" s="65" t="s">
        <v>72</v>
      </c>
      <c r="K239" s="53">
        <f t="shared" si="32"/>
        <v>46003</v>
      </c>
      <c r="L239" s="53">
        <f t="shared" si="33"/>
        <v>46063</v>
      </c>
      <c r="M239" s="71"/>
      <c r="N239" s="72">
        <f>E239</f>
        <v>52</v>
      </c>
      <c r="O239" s="50">
        <f t="shared" si="34"/>
        <v>528.005</v>
      </c>
      <c r="P239" s="56">
        <f t="shared" si="28"/>
        <v>41.7083333333333</v>
      </c>
      <c r="Q239" s="73"/>
      <c r="R239" s="58"/>
      <c r="S239" s="200" t="s">
        <v>551</v>
      </c>
      <c r="T239" s="201">
        <v>3</v>
      </c>
      <c r="U239" s="58" t="s">
        <v>538</v>
      </c>
      <c r="V239" s="46"/>
      <c r="W239" s="46"/>
      <c r="X239" s="62" t="s">
        <v>25</v>
      </c>
      <c r="Y239" s="63">
        <f t="shared" si="36"/>
        <v>10.153942307692308</v>
      </c>
      <c r="Z239" s="64">
        <f t="shared" si="40"/>
        <v>0</v>
      </c>
      <c r="AA239" s="30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</row>
    <row r="240" spans="1:48" ht="18" customHeight="1">
      <c r="A240" s="63">
        <v>20250308</v>
      </c>
      <c r="B240" s="65" t="s">
        <v>539</v>
      </c>
      <c r="C240" s="66">
        <v>45977</v>
      </c>
      <c r="D240" s="66">
        <v>45995</v>
      </c>
      <c r="E240" s="67">
        <v>59</v>
      </c>
      <c r="F240" s="68">
        <v>351.04899999999998</v>
      </c>
      <c r="G240" s="69">
        <v>47.3229166666667</v>
      </c>
      <c r="H240" s="70" t="s">
        <v>552</v>
      </c>
      <c r="I240" s="70" t="s">
        <v>72</v>
      </c>
      <c r="J240" s="65" t="s">
        <v>72</v>
      </c>
      <c r="K240" s="53">
        <f t="shared" si="32"/>
        <v>46003</v>
      </c>
      <c r="L240" s="53">
        <f t="shared" si="33"/>
        <v>46063</v>
      </c>
      <c r="M240" s="71"/>
      <c r="N240" s="72">
        <f>E240</f>
        <v>59</v>
      </c>
      <c r="O240" s="50">
        <f t="shared" si="34"/>
        <v>351.04899999999998</v>
      </c>
      <c r="P240" s="56">
        <f t="shared" si="28"/>
        <v>47.3229166666667</v>
      </c>
      <c r="Q240" s="73"/>
      <c r="R240" s="58"/>
      <c r="S240" s="200" t="s">
        <v>553</v>
      </c>
      <c r="T240" s="201">
        <v>27</v>
      </c>
      <c r="U240" s="58" t="s">
        <v>554</v>
      </c>
      <c r="V240" s="46"/>
      <c r="W240" s="46"/>
      <c r="X240" s="62" t="s">
        <v>25</v>
      </c>
      <c r="Y240" s="63">
        <f t="shared" si="36"/>
        <v>5.9499830508474574</v>
      </c>
      <c r="Z240" s="64">
        <f t="shared" si="40"/>
        <v>0</v>
      </c>
      <c r="AA240" s="64">
        <v>700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</row>
    <row r="241" spans="1:48" ht="18" customHeight="1">
      <c r="A241" s="76">
        <v>20250308</v>
      </c>
      <c r="B241" s="77" t="s">
        <v>539</v>
      </c>
      <c r="C241" s="78">
        <v>45977</v>
      </c>
      <c r="D241" s="78">
        <v>45995</v>
      </c>
      <c r="E241" s="76">
        <v>34</v>
      </c>
      <c r="F241" s="76">
        <v>193.09</v>
      </c>
      <c r="G241" s="76">
        <v>27.2708333333333</v>
      </c>
      <c r="H241" s="80" t="s">
        <v>552</v>
      </c>
      <c r="I241" s="80" t="s">
        <v>72</v>
      </c>
      <c r="J241" s="77" t="s">
        <v>72</v>
      </c>
      <c r="K241" s="78">
        <f t="shared" si="32"/>
        <v>46003</v>
      </c>
      <c r="L241" s="78">
        <f t="shared" si="33"/>
        <v>46063</v>
      </c>
      <c r="M241" s="82"/>
      <c r="N241" s="83">
        <f>E241-34</f>
        <v>0</v>
      </c>
      <c r="O241" s="84">
        <f t="shared" si="34"/>
        <v>0</v>
      </c>
      <c r="P241" s="83">
        <f t="shared" si="28"/>
        <v>0</v>
      </c>
      <c r="Q241" s="80"/>
      <c r="R241" s="80"/>
      <c r="S241" s="80" t="s">
        <v>555</v>
      </c>
      <c r="T241" s="86">
        <v>34</v>
      </c>
      <c r="U241" s="80" t="s">
        <v>556</v>
      </c>
      <c r="V241" s="76"/>
      <c r="W241" s="76"/>
      <c r="X241" s="76" t="s">
        <v>55</v>
      </c>
      <c r="Y241" s="63">
        <f t="shared" si="36"/>
        <v>5.679117647058824</v>
      </c>
      <c r="Z241" s="30"/>
      <c r="AA241" s="30"/>
      <c r="AB241" s="202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 ht="18" customHeight="1">
      <c r="A242" s="76">
        <v>20250308</v>
      </c>
      <c r="B242" s="77" t="s">
        <v>539</v>
      </c>
      <c r="C242" s="78">
        <v>45977</v>
      </c>
      <c r="D242" s="78">
        <v>45995</v>
      </c>
      <c r="E242" s="76">
        <v>296</v>
      </c>
      <c r="F242" s="79">
        <v>1966.4929999999999</v>
      </c>
      <c r="G242" s="76">
        <v>237.416666666667</v>
      </c>
      <c r="H242" s="80" t="s">
        <v>557</v>
      </c>
      <c r="I242" s="80" t="s">
        <v>72</v>
      </c>
      <c r="J242" s="77" t="s">
        <v>72</v>
      </c>
      <c r="K242" s="174">
        <f t="shared" si="32"/>
        <v>46003</v>
      </c>
      <c r="L242" s="174">
        <f t="shared" si="33"/>
        <v>46063</v>
      </c>
      <c r="M242" s="82"/>
      <c r="N242" s="83">
        <f>E242-62-66-37-113-18</f>
        <v>0</v>
      </c>
      <c r="O242" s="84">
        <f t="shared" si="34"/>
        <v>0</v>
      </c>
      <c r="P242" s="85">
        <f t="shared" si="28"/>
        <v>0</v>
      </c>
      <c r="Q242" s="80"/>
      <c r="R242" s="80"/>
      <c r="S242" s="80" t="s">
        <v>558</v>
      </c>
      <c r="T242" s="86">
        <v>129</v>
      </c>
      <c r="U242" s="80" t="s">
        <v>554</v>
      </c>
      <c r="V242" s="76"/>
      <c r="W242" s="76"/>
      <c r="X242" s="76" t="s">
        <v>55</v>
      </c>
      <c r="Y242" s="63">
        <f t="shared" si="36"/>
        <v>6.6435574324324325</v>
      </c>
      <c r="Z242" s="30"/>
      <c r="AA242" s="30"/>
      <c r="AB242" s="20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</row>
    <row r="243" spans="1:48" ht="18" customHeight="1">
      <c r="A243" s="188">
        <v>20250308</v>
      </c>
      <c r="B243" s="189" t="s">
        <v>539</v>
      </c>
      <c r="C243" s="190">
        <v>45977</v>
      </c>
      <c r="D243" s="190">
        <v>45995</v>
      </c>
      <c r="E243" s="191">
        <v>304</v>
      </c>
      <c r="F243" s="192">
        <v>1975.5719999999999</v>
      </c>
      <c r="G243" s="193">
        <v>243.833333333333</v>
      </c>
      <c r="H243" s="194" t="s">
        <v>557</v>
      </c>
      <c r="I243" s="194" t="s">
        <v>72</v>
      </c>
      <c r="J243" s="189" t="s">
        <v>72</v>
      </c>
      <c r="K243" s="53">
        <f t="shared" si="32"/>
        <v>46003</v>
      </c>
      <c r="L243" s="53">
        <f t="shared" si="33"/>
        <v>46063</v>
      </c>
      <c r="M243" s="195"/>
      <c r="N243" s="196">
        <f>E243-34-105-22-17</f>
        <v>126</v>
      </c>
      <c r="O243" s="197">
        <f t="shared" si="34"/>
        <v>818.82260526315781</v>
      </c>
      <c r="P243" s="198">
        <f t="shared" si="28"/>
        <v>101.06249999999986</v>
      </c>
      <c r="Q243" s="73"/>
      <c r="R243" s="58"/>
      <c r="S243" s="200" t="s">
        <v>559</v>
      </c>
      <c r="T243" s="201">
        <v>130</v>
      </c>
      <c r="U243" s="58" t="s">
        <v>554</v>
      </c>
      <c r="V243" s="46"/>
      <c r="W243" s="46"/>
      <c r="X243" s="99" t="s">
        <v>76</v>
      </c>
      <c r="Y243" s="63">
        <f t="shared" si="36"/>
        <v>6.4985921052631577</v>
      </c>
      <c r="Z243" s="64">
        <f t="shared" ref="Z243:Z250" si="41">E243-N243</f>
        <v>178</v>
      </c>
      <c r="AA243" s="30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</row>
    <row r="244" spans="1:48" ht="18" customHeight="1">
      <c r="A244" s="63">
        <v>20250308</v>
      </c>
      <c r="B244" s="65" t="s">
        <v>539</v>
      </c>
      <c r="C244" s="66">
        <v>45977</v>
      </c>
      <c r="D244" s="66">
        <v>45995</v>
      </c>
      <c r="E244" s="67">
        <v>32</v>
      </c>
      <c r="F244" s="68">
        <v>139.108</v>
      </c>
      <c r="G244" s="69">
        <v>25.6666666666667</v>
      </c>
      <c r="H244" s="70" t="s">
        <v>560</v>
      </c>
      <c r="I244" s="70" t="s">
        <v>72</v>
      </c>
      <c r="J244" s="65" t="s">
        <v>72</v>
      </c>
      <c r="K244" s="53">
        <f t="shared" si="32"/>
        <v>46003</v>
      </c>
      <c r="L244" s="53">
        <f t="shared" si="33"/>
        <v>46063</v>
      </c>
      <c r="M244" s="71"/>
      <c r="N244" s="72">
        <f>E244</f>
        <v>32</v>
      </c>
      <c r="O244" s="50">
        <f t="shared" si="34"/>
        <v>139.108</v>
      </c>
      <c r="P244" s="56">
        <f t="shared" si="28"/>
        <v>25.6666666666667</v>
      </c>
      <c r="Q244" s="73"/>
      <c r="R244" s="58"/>
      <c r="S244" s="200" t="s">
        <v>561</v>
      </c>
      <c r="T244" s="201">
        <v>39</v>
      </c>
      <c r="U244" s="58" t="s">
        <v>562</v>
      </c>
      <c r="V244" s="46"/>
      <c r="W244" s="46"/>
      <c r="X244" s="62" t="s">
        <v>25</v>
      </c>
      <c r="Y244" s="63">
        <f t="shared" si="36"/>
        <v>4.3471250000000001</v>
      </c>
      <c r="Z244" s="64">
        <f t="shared" si="41"/>
        <v>0</v>
      </c>
      <c r="AA244" s="64">
        <v>182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</row>
    <row r="245" spans="1:48" ht="18" customHeight="1">
      <c r="A245" s="188">
        <v>20250308</v>
      </c>
      <c r="B245" s="189" t="s">
        <v>539</v>
      </c>
      <c r="C245" s="190">
        <v>45977</v>
      </c>
      <c r="D245" s="190">
        <v>45995</v>
      </c>
      <c r="E245" s="191">
        <v>6</v>
      </c>
      <c r="F245" s="192">
        <v>96</v>
      </c>
      <c r="G245" s="193">
        <v>144</v>
      </c>
      <c r="H245" s="194" t="s">
        <v>563</v>
      </c>
      <c r="I245" s="194" t="s">
        <v>42</v>
      </c>
      <c r="J245" s="189" t="s">
        <v>28</v>
      </c>
      <c r="K245" s="53">
        <f t="shared" si="32"/>
        <v>46003</v>
      </c>
      <c r="L245" s="53">
        <f t="shared" si="33"/>
        <v>46063</v>
      </c>
      <c r="M245" s="195"/>
      <c r="N245" s="196">
        <f>E245-4</f>
        <v>2</v>
      </c>
      <c r="O245" s="197">
        <f t="shared" si="34"/>
        <v>32</v>
      </c>
      <c r="P245" s="198">
        <f t="shared" si="28"/>
        <v>48</v>
      </c>
      <c r="Q245" s="73"/>
      <c r="R245" s="58"/>
      <c r="S245" s="200" t="s">
        <v>564</v>
      </c>
      <c r="T245" s="201">
        <v>8</v>
      </c>
      <c r="U245" s="58" t="s">
        <v>565</v>
      </c>
      <c r="V245" s="46"/>
      <c r="W245" s="46"/>
      <c r="X245" s="99" t="s">
        <v>76</v>
      </c>
      <c r="Y245" s="63">
        <f t="shared" si="36"/>
        <v>16</v>
      </c>
      <c r="Z245" s="64">
        <f t="shared" si="41"/>
        <v>4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</row>
    <row r="246" spans="1:48" ht="18" customHeight="1">
      <c r="A246" s="63">
        <v>20250308</v>
      </c>
      <c r="B246" s="65" t="s">
        <v>539</v>
      </c>
      <c r="C246" s="66">
        <v>45977</v>
      </c>
      <c r="D246" s="66">
        <v>45995</v>
      </c>
      <c r="E246" s="67">
        <v>6</v>
      </c>
      <c r="F246" s="68">
        <v>77.819999999999993</v>
      </c>
      <c r="G246" s="69">
        <v>144</v>
      </c>
      <c r="H246" s="70" t="s">
        <v>566</v>
      </c>
      <c r="I246" s="70" t="s">
        <v>113</v>
      </c>
      <c r="J246" s="65" t="s">
        <v>28</v>
      </c>
      <c r="K246" s="53">
        <f t="shared" si="32"/>
        <v>46003</v>
      </c>
      <c r="L246" s="53">
        <f t="shared" si="33"/>
        <v>46063</v>
      </c>
      <c r="M246" s="71"/>
      <c r="N246" s="72">
        <f>E246</f>
        <v>6</v>
      </c>
      <c r="O246" s="50">
        <f t="shared" si="34"/>
        <v>77.819999999999993</v>
      </c>
      <c r="P246" s="56">
        <f t="shared" ref="P246:P309" si="42">G246/E246*N246</f>
        <v>144</v>
      </c>
      <c r="Q246" s="73"/>
      <c r="R246" s="58"/>
      <c r="S246" s="200" t="s">
        <v>567</v>
      </c>
      <c r="T246" s="201">
        <v>55</v>
      </c>
      <c r="U246" s="58" t="s">
        <v>568</v>
      </c>
      <c r="V246" s="46"/>
      <c r="W246" s="46"/>
      <c r="X246" s="62" t="s">
        <v>25</v>
      </c>
      <c r="Y246" s="63">
        <f t="shared" si="36"/>
        <v>12.969999999999999</v>
      </c>
      <c r="Z246" s="64">
        <f t="shared" si="41"/>
        <v>0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</row>
    <row r="247" spans="1:48" ht="18" customHeight="1">
      <c r="A247" s="63">
        <v>20250308</v>
      </c>
      <c r="B247" s="65" t="s">
        <v>539</v>
      </c>
      <c r="C247" s="66">
        <v>45977</v>
      </c>
      <c r="D247" s="66">
        <v>45995</v>
      </c>
      <c r="E247" s="67">
        <v>2</v>
      </c>
      <c r="F247" s="68">
        <v>25.94</v>
      </c>
      <c r="G247" s="69">
        <v>48</v>
      </c>
      <c r="H247" s="70" t="s">
        <v>566</v>
      </c>
      <c r="I247" s="70" t="s">
        <v>63</v>
      </c>
      <c r="J247" s="65" t="s">
        <v>28</v>
      </c>
      <c r="K247" s="53">
        <f t="shared" si="32"/>
        <v>46003</v>
      </c>
      <c r="L247" s="53">
        <f t="shared" si="33"/>
        <v>46063</v>
      </c>
      <c r="M247" s="71"/>
      <c r="N247" s="72">
        <f>E247</f>
        <v>2</v>
      </c>
      <c r="O247" s="50">
        <f t="shared" si="34"/>
        <v>25.94</v>
      </c>
      <c r="P247" s="56">
        <f t="shared" si="42"/>
        <v>48</v>
      </c>
      <c r="Q247" s="73"/>
      <c r="R247" s="58"/>
      <c r="S247" s="200" t="s">
        <v>567</v>
      </c>
      <c r="T247" s="201">
        <v>55</v>
      </c>
      <c r="U247" s="58"/>
      <c r="V247" s="46"/>
      <c r="W247" s="46"/>
      <c r="X247" s="62" t="s">
        <v>25</v>
      </c>
      <c r="Y247" s="63">
        <f t="shared" si="36"/>
        <v>12.97</v>
      </c>
      <c r="Z247" s="64">
        <f t="shared" si="41"/>
        <v>0</v>
      </c>
      <c r="AA247" s="202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</row>
    <row r="248" spans="1:48" ht="18" customHeight="1">
      <c r="A248" s="63">
        <v>20250308</v>
      </c>
      <c r="B248" s="65" t="s">
        <v>539</v>
      </c>
      <c r="C248" s="66">
        <v>45977</v>
      </c>
      <c r="D248" s="66">
        <v>45995</v>
      </c>
      <c r="E248" s="67">
        <v>2</v>
      </c>
      <c r="F248" s="68">
        <v>65.959999999999994</v>
      </c>
      <c r="G248" s="69">
        <v>48</v>
      </c>
      <c r="H248" s="70" t="s">
        <v>569</v>
      </c>
      <c r="I248" s="70" t="s">
        <v>194</v>
      </c>
      <c r="J248" s="65" t="s">
        <v>26</v>
      </c>
      <c r="K248" s="53">
        <f t="shared" si="32"/>
        <v>46003</v>
      </c>
      <c r="L248" s="53">
        <f t="shared" si="33"/>
        <v>46063</v>
      </c>
      <c r="M248" s="71"/>
      <c r="N248" s="72">
        <f>E248</f>
        <v>2</v>
      </c>
      <c r="O248" s="50">
        <f t="shared" si="34"/>
        <v>65.959999999999994</v>
      </c>
      <c r="P248" s="56">
        <f t="shared" si="42"/>
        <v>48</v>
      </c>
      <c r="Q248" s="73"/>
      <c r="R248" s="58"/>
      <c r="S248" s="200" t="s">
        <v>570</v>
      </c>
      <c r="T248" s="201">
        <v>70</v>
      </c>
      <c r="U248" s="58" t="s">
        <v>571</v>
      </c>
      <c r="V248" s="46"/>
      <c r="W248" s="46"/>
      <c r="X248" s="62" t="s">
        <v>25</v>
      </c>
      <c r="Y248" s="63">
        <f t="shared" si="36"/>
        <v>32.979999999999997</v>
      </c>
      <c r="Z248" s="64">
        <f t="shared" si="41"/>
        <v>0</v>
      </c>
      <c r="AA248" s="202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</row>
    <row r="249" spans="1:48" ht="18" customHeight="1">
      <c r="A249" s="63">
        <v>20250308</v>
      </c>
      <c r="B249" s="65" t="s">
        <v>539</v>
      </c>
      <c r="C249" s="66">
        <v>45977</v>
      </c>
      <c r="D249" s="66">
        <v>45995</v>
      </c>
      <c r="E249" s="67">
        <v>4</v>
      </c>
      <c r="F249" s="68">
        <v>0</v>
      </c>
      <c r="G249" s="69">
        <v>12</v>
      </c>
      <c r="H249" s="70" t="s">
        <v>569</v>
      </c>
      <c r="I249" s="70" t="s">
        <v>24</v>
      </c>
      <c r="J249" s="65" t="s">
        <v>24</v>
      </c>
      <c r="K249" s="53">
        <f t="shared" si="32"/>
        <v>46003</v>
      </c>
      <c r="L249" s="53">
        <f t="shared" si="33"/>
        <v>46063</v>
      </c>
      <c r="M249" s="71"/>
      <c r="N249" s="72">
        <f>E249</f>
        <v>4</v>
      </c>
      <c r="O249" s="50">
        <f t="shared" si="34"/>
        <v>0</v>
      </c>
      <c r="P249" s="56">
        <f t="shared" si="42"/>
        <v>12</v>
      </c>
      <c r="Q249" s="73"/>
      <c r="R249" s="58"/>
      <c r="S249" s="200" t="s">
        <v>570</v>
      </c>
      <c r="T249" s="201">
        <v>70</v>
      </c>
      <c r="U249" s="58"/>
      <c r="V249" s="46"/>
      <c r="W249" s="46"/>
      <c r="X249" s="62" t="s">
        <v>25</v>
      </c>
      <c r="Y249" s="63">
        <f t="shared" si="36"/>
        <v>0</v>
      </c>
      <c r="Z249" s="64">
        <f t="shared" si="41"/>
        <v>0</v>
      </c>
      <c r="AA249" s="64">
        <v>222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</row>
    <row r="250" spans="1:48" ht="18" customHeight="1">
      <c r="A250" s="63">
        <v>20250308</v>
      </c>
      <c r="B250" s="65" t="s">
        <v>539</v>
      </c>
      <c r="C250" s="66">
        <v>45977</v>
      </c>
      <c r="D250" s="66">
        <v>45995</v>
      </c>
      <c r="E250" s="67">
        <v>3</v>
      </c>
      <c r="F250" s="68">
        <v>41.4</v>
      </c>
      <c r="G250" s="69">
        <v>72</v>
      </c>
      <c r="H250" s="70" t="s">
        <v>572</v>
      </c>
      <c r="I250" s="70" t="s">
        <v>42</v>
      </c>
      <c r="J250" s="65" t="s">
        <v>28</v>
      </c>
      <c r="K250" s="53">
        <f t="shared" si="32"/>
        <v>46003</v>
      </c>
      <c r="L250" s="53">
        <f t="shared" si="33"/>
        <v>46063</v>
      </c>
      <c r="M250" s="71"/>
      <c r="N250" s="72">
        <f>E250</f>
        <v>3</v>
      </c>
      <c r="O250" s="50">
        <f t="shared" si="34"/>
        <v>41.4</v>
      </c>
      <c r="P250" s="56">
        <f t="shared" si="42"/>
        <v>72</v>
      </c>
      <c r="Q250" s="73"/>
      <c r="R250" s="58"/>
      <c r="S250" s="200" t="s">
        <v>573</v>
      </c>
      <c r="T250" s="201">
        <v>90</v>
      </c>
      <c r="U250" s="58" t="s">
        <v>574</v>
      </c>
      <c r="V250" s="46"/>
      <c r="W250" s="46"/>
      <c r="X250" s="62" t="s">
        <v>25</v>
      </c>
      <c r="Y250" s="63">
        <f t="shared" si="36"/>
        <v>13.799999999999999</v>
      </c>
      <c r="Z250" s="64">
        <f t="shared" si="41"/>
        <v>0</v>
      </c>
      <c r="AA250" s="202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</row>
    <row r="251" spans="1:48" ht="18" customHeight="1">
      <c r="A251" s="76">
        <v>20250308</v>
      </c>
      <c r="B251" s="77" t="s">
        <v>539</v>
      </c>
      <c r="C251" s="78">
        <v>45977</v>
      </c>
      <c r="D251" s="78">
        <v>45995</v>
      </c>
      <c r="E251" s="76">
        <v>1</v>
      </c>
      <c r="F251" s="79">
        <v>34.1</v>
      </c>
      <c r="G251" s="76">
        <v>24</v>
      </c>
      <c r="H251" s="80" t="s">
        <v>575</v>
      </c>
      <c r="I251" s="80" t="s">
        <v>194</v>
      </c>
      <c r="J251" s="77" t="s">
        <v>26</v>
      </c>
      <c r="K251" s="174">
        <f t="shared" si="32"/>
        <v>46003</v>
      </c>
      <c r="L251" s="174">
        <f t="shared" si="33"/>
        <v>46063</v>
      </c>
      <c r="M251" s="82"/>
      <c r="N251" s="83">
        <f>E251-1</f>
        <v>0</v>
      </c>
      <c r="O251" s="84">
        <f t="shared" si="34"/>
        <v>0</v>
      </c>
      <c r="P251" s="83">
        <f t="shared" si="42"/>
        <v>0</v>
      </c>
      <c r="Q251" s="80"/>
      <c r="R251" s="80"/>
      <c r="S251" s="80" t="s">
        <v>576</v>
      </c>
      <c r="T251" s="86">
        <v>112</v>
      </c>
      <c r="U251" s="80" t="s">
        <v>577</v>
      </c>
      <c r="V251" s="76"/>
      <c r="W251" s="76"/>
      <c r="X251" s="76" t="s">
        <v>55</v>
      </c>
      <c r="Y251" s="63">
        <f t="shared" si="36"/>
        <v>34.1</v>
      </c>
      <c r="Z251" s="30"/>
      <c r="AA251" s="64">
        <v>22</v>
      </c>
      <c r="AB251" s="202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</row>
    <row r="252" spans="1:48" ht="18" customHeight="1">
      <c r="A252" s="188">
        <v>20250308</v>
      </c>
      <c r="B252" s="189" t="s">
        <v>539</v>
      </c>
      <c r="C252" s="190">
        <v>45977</v>
      </c>
      <c r="D252" s="190">
        <v>45995</v>
      </c>
      <c r="E252" s="191">
        <v>3</v>
      </c>
      <c r="F252" s="192">
        <v>0</v>
      </c>
      <c r="G252" s="193">
        <v>9</v>
      </c>
      <c r="H252" s="194" t="s">
        <v>575</v>
      </c>
      <c r="I252" s="194" t="s">
        <v>24</v>
      </c>
      <c r="J252" s="189" t="s">
        <v>24</v>
      </c>
      <c r="K252" s="53">
        <f t="shared" si="32"/>
        <v>46003</v>
      </c>
      <c r="L252" s="53">
        <f t="shared" si="33"/>
        <v>46063</v>
      </c>
      <c r="M252" s="195"/>
      <c r="N252" s="196">
        <f>E252</f>
        <v>3</v>
      </c>
      <c r="O252" s="197">
        <f t="shared" si="34"/>
        <v>0</v>
      </c>
      <c r="P252" s="198">
        <f t="shared" si="42"/>
        <v>9</v>
      </c>
      <c r="Q252" s="73"/>
      <c r="R252" s="58"/>
      <c r="S252" s="200" t="s">
        <v>576</v>
      </c>
      <c r="T252" s="201">
        <v>112</v>
      </c>
      <c r="U252" s="58"/>
      <c r="V252" s="46"/>
      <c r="W252" s="46"/>
      <c r="X252" s="62" t="s">
        <v>25</v>
      </c>
      <c r="Y252" s="63">
        <f t="shared" si="36"/>
        <v>0</v>
      </c>
      <c r="Z252" s="64">
        <f t="shared" ref="Z252:Z259" si="43">E252-N252</f>
        <v>0</v>
      </c>
      <c r="AA252" s="20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</row>
    <row r="253" spans="1:48" ht="18" customHeight="1">
      <c r="A253" s="63">
        <v>20250308</v>
      </c>
      <c r="B253" s="65" t="s">
        <v>539</v>
      </c>
      <c r="C253" s="66">
        <v>45977</v>
      </c>
      <c r="D253" s="66">
        <v>45995</v>
      </c>
      <c r="E253" s="67">
        <v>2</v>
      </c>
      <c r="F253" s="68">
        <v>27.56</v>
      </c>
      <c r="G253" s="69">
        <v>48</v>
      </c>
      <c r="H253" s="70" t="s">
        <v>578</v>
      </c>
      <c r="I253" s="70" t="s">
        <v>42</v>
      </c>
      <c r="J253" s="65" t="s">
        <v>28</v>
      </c>
      <c r="K253" s="53">
        <f t="shared" si="32"/>
        <v>46003</v>
      </c>
      <c r="L253" s="53">
        <f t="shared" si="33"/>
        <v>46063</v>
      </c>
      <c r="M253" s="71"/>
      <c r="N253" s="72">
        <f>E253</f>
        <v>2</v>
      </c>
      <c r="O253" s="50">
        <f t="shared" si="34"/>
        <v>27.56</v>
      </c>
      <c r="P253" s="56">
        <f t="shared" si="42"/>
        <v>48</v>
      </c>
      <c r="Q253" s="73"/>
      <c r="R253" s="58"/>
      <c r="S253" s="200" t="s">
        <v>579</v>
      </c>
      <c r="T253" s="201">
        <v>132</v>
      </c>
      <c r="U253" s="58" t="s">
        <v>580</v>
      </c>
      <c r="V253" s="46"/>
      <c r="W253" s="46"/>
      <c r="X253" s="62" t="s">
        <v>25</v>
      </c>
      <c r="Y253" s="63">
        <f t="shared" si="36"/>
        <v>13.78</v>
      </c>
      <c r="Z253" s="64">
        <f t="shared" si="43"/>
        <v>0</v>
      </c>
      <c r="AA253" s="202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</row>
    <row r="254" spans="1:48" ht="18" customHeight="1">
      <c r="A254" s="135">
        <v>20250315</v>
      </c>
      <c r="B254" s="136" t="s">
        <v>581</v>
      </c>
      <c r="C254" s="137">
        <v>45984</v>
      </c>
      <c r="D254" s="137">
        <v>46001</v>
      </c>
      <c r="E254" s="138">
        <v>4</v>
      </c>
      <c r="F254" s="139">
        <v>65.319999999999993</v>
      </c>
      <c r="G254" s="140">
        <v>14</v>
      </c>
      <c r="H254" s="141" t="s">
        <v>582</v>
      </c>
      <c r="I254" s="141" t="s">
        <v>86</v>
      </c>
      <c r="J254" s="136" t="s">
        <v>86</v>
      </c>
      <c r="K254" s="142">
        <f t="shared" si="32"/>
        <v>46009</v>
      </c>
      <c r="L254" s="142">
        <f t="shared" si="33"/>
        <v>46069</v>
      </c>
      <c r="M254" s="143"/>
      <c r="N254" s="144">
        <f>E254-2</f>
        <v>2</v>
      </c>
      <c r="O254" s="145">
        <f t="shared" si="34"/>
        <v>32.659999999999997</v>
      </c>
      <c r="P254" s="146">
        <f t="shared" si="42"/>
        <v>7</v>
      </c>
      <c r="Q254" s="73"/>
      <c r="R254" s="58"/>
      <c r="S254" s="200" t="s">
        <v>583</v>
      </c>
      <c r="T254" s="201">
        <v>34</v>
      </c>
      <c r="U254" s="58" t="s">
        <v>584</v>
      </c>
      <c r="V254" s="46"/>
      <c r="W254" s="46"/>
      <c r="X254" s="99" t="s">
        <v>76</v>
      </c>
      <c r="Y254" s="63">
        <f t="shared" si="36"/>
        <v>16.329999999999998</v>
      </c>
      <c r="Z254" s="64">
        <f t="shared" si="43"/>
        <v>2</v>
      </c>
      <c r="AA254" s="202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</row>
    <row r="255" spans="1:48" ht="18" customHeight="1">
      <c r="A255" s="188">
        <v>20250315</v>
      </c>
      <c r="B255" s="189" t="s">
        <v>581</v>
      </c>
      <c r="C255" s="190">
        <v>45984</v>
      </c>
      <c r="D255" s="190">
        <v>46001</v>
      </c>
      <c r="E255" s="191">
        <v>196</v>
      </c>
      <c r="F255" s="192">
        <v>149.28800000000001</v>
      </c>
      <c r="G255" s="193">
        <v>146</v>
      </c>
      <c r="H255" s="194" t="s">
        <v>585</v>
      </c>
      <c r="I255" s="194" t="s">
        <v>86</v>
      </c>
      <c r="J255" s="189" t="s">
        <v>86</v>
      </c>
      <c r="K255" s="53">
        <f t="shared" si="32"/>
        <v>46009</v>
      </c>
      <c r="L255" s="53">
        <f t="shared" si="33"/>
        <v>46069</v>
      </c>
      <c r="M255" s="195"/>
      <c r="N255" s="196">
        <f>E255-106</f>
        <v>90</v>
      </c>
      <c r="O255" s="197">
        <f t="shared" si="34"/>
        <v>68.550612244897962</v>
      </c>
      <c r="P255" s="198">
        <f t="shared" si="42"/>
        <v>67.040816326530617</v>
      </c>
      <c r="Q255" s="73"/>
      <c r="R255" s="58"/>
      <c r="S255" s="200" t="s">
        <v>586</v>
      </c>
      <c r="T255" s="201">
        <v>108</v>
      </c>
      <c r="U255" s="58" t="s">
        <v>587</v>
      </c>
      <c r="V255" s="46"/>
      <c r="W255" s="46"/>
      <c r="X255" s="99" t="s">
        <v>76</v>
      </c>
      <c r="Y255" s="63">
        <f t="shared" si="36"/>
        <v>0.76167346938775515</v>
      </c>
      <c r="Z255" s="64">
        <f t="shared" si="43"/>
        <v>106</v>
      </c>
      <c r="AA255" s="64">
        <v>2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</row>
    <row r="256" spans="1:48" ht="18" customHeight="1">
      <c r="A256" s="63">
        <v>20250315</v>
      </c>
      <c r="B256" s="65" t="s">
        <v>581</v>
      </c>
      <c r="C256" s="66">
        <v>45984</v>
      </c>
      <c r="D256" s="66">
        <v>46001</v>
      </c>
      <c r="E256" s="67">
        <v>86</v>
      </c>
      <c r="F256" s="68">
        <v>154.48827</v>
      </c>
      <c r="G256" s="69">
        <v>86</v>
      </c>
      <c r="H256" s="70" t="s">
        <v>588</v>
      </c>
      <c r="I256" s="70" t="s">
        <v>86</v>
      </c>
      <c r="J256" s="65" t="s">
        <v>86</v>
      </c>
      <c r="K256" s="53">
        <f t="shared" si="32"/>
        <v>46009</v>
      </c>
      <c r="L256" s="53">
        <f t="shared" si="33"/>
        <v>46069</v>
      </c>
      <c r="M256" s="71"/>
      <c r="N256" s="72">
        <f>E256</f>
        <v>86</v>
      </c>
      <c r="O256" s="50">
        <f t="shared" si="34"/>
        <v>154.48827</v>
      </c>
      <c r="P256" s="56">
        <f t="shared" si="42"/>
        <v>86</v>
      </c>
      <c r="Q256" s="73"/>
      <c r="R256" s="58"/>
      <c r="S256" s="200" t="s">
        <v>589</v>
      </c>
      <c r="T256" s="201">
        <v>48</v>
      </c>
      <c r="U256" s="58" t="s">
        <v>590</v>
      </c>
      <c r="V256" s="46"/>
      <c r="W256" s="46"/>
      <c r="X256" s="62" t="s">
        <v>25</v>
      </c>
      <c r="Y256" s="63">
        <f t="shared" si="36"/>
        <v>1.7963752325581395</v>
      </c>
      <c r="Z256" s="64">
        <f t="shared" si="43"/>
        <v>0</v>
      </c>
      <c r="AA256" s="202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</row>
    <row r="257" spans="1:48" ht="18" customHeight="1">
      <c r="A257" s="188">
        <v>20250315</v>
      </c>
      <c r="B257" s="189" t="s">
        <v>581</v>
      </c>
      <c r="C257" s="190">
        <v>45984</v>
      </c>
      <c r="D257" s="190">
        <v>46001</v>
      </c>
      <c r="E257" s="191">
        <v>255</v>
      </c>
      <c r="F257" s="192">
        <v>243.3</v>
      </c>
      <c r="G257" s="193">
        <v>180</v>
      </c>
      <c r="H257" s="194" t="s">
        <v>591</v>
      </c>
      <c r="I257" s="194" t="s">
        <v>86</v>
      </c>
      <c r="J257" s="189" t="s">
        <v>86</v>
      </c>
      <c r="K257" s="53">
        <f t="shared" si="32"/>
        <v>46009</v>
      </c>
      <c r="L257" s="53">
        <f t="shared" si="33"/>
        <v>46069</v>
      </c>
      <c r="M257" s="195"/>
      <c r="N257" s="196">
        <f>E257-38</f>
        <v>217</v>
      </c>
      <c r="O257" s="197">
        <f t="shared" si="34"/>
        <v>207.04352941176472</v>
      </c>
      <c r="P257" s="198">
        <f t="shared" si="42"/>
        <v>153.1764705882353</v>
      </c>
      <c r="Q257" s="73"/>
      <c r="R257" s="58"/>
      <c r="S257" s="200" t="s">
        <v>592</v>
      </c>
      <c r="T257" s="201">
        <v>112</v>
      </c>
      <c r="U257" s="58" t="s">
        <v>593</v>
      </c>
      <c r="V257" s="46"/>
      <c r="W257" s="46"/>
      <c r="X257" s="99" t="s">
        <v>76</v>
      </c>
      <c r="Y257" s="63">
        <f t="shared" si="36"/>
        <v>0.95411764705882363</v>
      </c>
      <c r="Z257" s="64">
        <f t="shared" si="43"/>
        <v>38</v>
      </c>
      <c r="AA257" s="202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</row>
    <row r="258" spans="1:48" ht="18" customHeight="1">
      <c r="A258" s="188">
        <v>20250315</v>
      </c>
      <c r="B258" s="189" t="s">
        <v>581</v>
      </c>
      <c r="C258" s="190">
        <v>45984</v>
      </c>
      <c r="D258" s="190">
        <v>46001</v>
      </c>
      <c r="E258" s="191">
        <v>133</v>
      </c>
      <c r="F258" s="192">
        <v>205.19</v>
      </c>
      <c r="G258" s="193">
        <v>53</v>
      </c>
      <c r="H258" s="194" t="s">
        <v>594</v>
      </c>
      <c r="I258" s="194" t="s">
        <v>123</v>
      </c>
      <c r="J258" s="189" t="s">
        <v>123</v>
      </c>
      <c r="K258" s="53">
        <f t="shared" si="32"/>
        <v>46009</v>
      </c>
      <c r="L258" s="53">
        <f t="shared" si="33"/>
        <v>46069</v>
      </c>
      <c r="M258" s="195"/>
      <c r="N258" s="196">
        <f>E258-119-12</f>
        <v>2</v>
      </c>
      <c r="O258" s="197">
        <f t="shared" si="34"/>
        <v>3.0855639097744358</v>
      </c>
      <c r="P258" s="198">
        <f t="shared" si="42"/>
        <v>0.79699248120300747</v>
      </c>
      <c r="Q258" s="73"/>
      <c r="R258" s="58"/>
      <c r="S258" s="200" t="s">
        <v>595</v>
      </c>
      <c r="T258" s="201">
        <v>54</v>
      </c>
      <c r="U258" s="58" t="s">
        <v>596</v>
      </c>
      <c r="V258" s="46"/>
      <c r="W258" s="46"/>
      <c r="X258" s="99" t="s">
        <v>76</v>
      </c>
      <c r="Y258" s="63">
        <f t="shared" si="36"/>
        <v>1.5427819548872179</v>
      </c>
      <c r="Z258" s="64">
        <f t="shared" si="43"/>
        <v>131</v>
      </c>
      <c r="AA258" s="202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</row>
    <row r="259" spans="1:48" ht="18" customHeight="1">
      <c r="A259" s="188">
        <v>20250315</v>
      </c>
      <c r="B259" s="189" t="s">
        <v>581</v>
      </c>
      <c r="C259" s="190">
        <v>45984</v>
      </c>
      <c r="D259" s="190">
        <v>46001</v>
      </c>
      <c r="E259" s="191">
        <v>134</v>
      </c>
      <c r="F259" s="192">
        <v>551.13</v>
      </c>
      <c r="G259" s="193">
        <v>500</v>
      </c>
      <c r="H259" s="194" t="s">
        <v>597</v>
      </c>
      <c r="I259" s="194" t="s">
        <v>24</v>
      </c>
      <c r="J259" s="189" t="s">
        <v>24</v>
      </c>
      <c r="K259" s="53">
        <f t="shared" si="32"/>
        <v>46009</v>
      </c>
      <c r="L259" s="53">
        <f t="shared" si="33"/>
        <v>46069</v>
      </c>
      <c r="M259" s="195"/>
      <c r="N259" s="196">
        <f>E259-11-33-8-6-9-3-46</f>
        <v>18</v>
      </c>
      <c r="O259" s="197">
        <f t="shared" si="34"/>
        <v>74.032388059701489</v>
      </c>
      <c r="P259" s="198">
        <f t="shared" si="42"/>
        <v>67.164179104477611</v>
      </c>
      <c r="Q259" s="73"/>
      <c r="R259" s="58"/>
      <c r="S259" s="200" t="s">
        <v>598</v>
      </c>
      <c r="T259" s="201">
        <v>13</v>
      </c>
      <c r="U259" s="58" t="s">
        <v>599</v>
      </c>
      <c r="V259" s="46"/>
      <c r="W259" s="46"/>
      <c r="X259" s="99" t="s">
        <v>76</v>
      </c>
      <c r="Y259" s="63">
        <f t="shared" si="36"/>
        <v>4.1129104477611937</v>
      </c>
      <c r="Z259" s="64">
        <f t="shared" si="43"/>
        <v>116</v>
      </c>
      <c r="AA259" s="202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</row>
    <row r="260" spans="1:48" ht="20.25" customHeight="1">
      <c r="A260" s="76">
        <v>20250315</v>
      </c>
      <c r="B260" s="77" t="s">
        <v>581</v>
      </c>
      <c r="C260" s="78">
        <v>45984</v>
      </c>
      <c r="D260" s="78">
        <v>46001</v>
      </c>
      <c r="E260" s="76">
        <v>51</v>
      </c>
      <c r="F260" s="76">
        <v>567.65</v>
      </c>
      <c r="G260" s="76">
        <v>300</v>
      </c>
      <c r="H260" s="80" t="s">
        <v>600</v>
      </c>
      <c r="I260" s="80" t="s">
        <v>52</v>
      </c>
      <c r="J260" s="77" t="s">
        <v>52</v>
      </c>
      <c r="K260" s="78">
        <f t="shared" si="32"/>
        <v>46009</v>
      </c>
      <c r="L260" s="78">
        <f t="shared" si="33"/>
        <v>46069</v>
      </c>
      <c r="M260" s="82"/>
      <c r="N260" s="83">
        <f>E260-13-6-8-3-3-10-8</f>
        <v>0</v>
      </c>
      <c r="O260" s="84">
        <f t="shared" si="34"/>
        <v>0</v>
      </c>
      <c r="P260" s="83">
        <f t="shared" si="42"/>
        <v>0</v>
      </c>
      <c r="Q260" s="80"/>
      <c r="R260" s="80"/>
      <c r="S260" s="80" t="s">
        <v>601</v>
      </c>
      <c r="T260" s="86">
        <v>16</v>
      </c>
      <c r="U260" s="80" t="s">
        <v>602</v>
      </c>
      <c r="V260" s="76"/>
      <c r="W260" s="76"/>
      <c r="X260" s="76" t="s">
        <v>55</v>
      </c>
      <c r="Y260" s="63">
        <f t="shared" si="36"/>
        <v>11.130392156862746</v>
      </c>
      <c r="Z260" s="30"/>
      <c r="AA260" s="202"/>
      <c r="AB260" s="202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</row>
    <row r="261" spans="1:48" ht="20.25" customHeight="1">
      <c r="A261" s="188">
        <v>20250315</v>
      </c>
      <c r="B261" s="189" t="s">
        <v>581</v>
      </c>
      <c r="C261" s="190">
        <v>45984</v>
      </c>
      <c r="D261" s="190">
        <v>46001</v>
      </c>
      <c r="E261" s="188">
        <v>200</v>
      </c>
      <c r="F261" s="192">
        <v>253.75</v>
      </c>
      <c r="G261" s="188">
        <v>600</v>
      </c>
      <c r="H261" s="194" t="s">
        <v>600</v>
      </c>
      <c r="I261" s="189" t="s">
        <v>92</v>
      </c>
      <c r="J261" s="189" t="s">
        <v>92</v>
      </c>
      <c r="K261" s="233">
        <f t="shared" si="32"/>
        <v>46009</v>
      </c>
      <c r="L261" s="233">
        <f t="shared" si="33"/>
        <v>46069</v>
      </c>
      <c r="M261" s="236"/>
      <c r="N261" s="196">
        <f>E261-22-44-90-24-19</f>
        <v>1</v>
      </c>
      <c r="O261" s="237">
        <f t="shared" si="34"/>
        <v>1.26875</v>
      </c>
      <c r="P261" s="196">
        <f t="shared" si="42"/>
        <v>3</v>
      </c>
      <c r="Q261" s="121"/>
      <c r="R261" s="121"/>
      <c r="S261" s="194" t="s">
        <v>603</v>
      </c>
      <c r="T261" s="201">
        <v>23</v>
      </c>
      <c r="U261" s="58" t="s">
        <v>604</v>
      </c>
      <c r="V261" s="116"/>
      <c r="W261" s="238"/>
      <c r="X261" s="99" t="s">
        <v>76</v>
      </c>
      <c r="Y261" s="63">
        <f t="shared" si="36"/>
        <v>1.26875</v>
      </c>
      <c r="Z261" s="64">
        <f t="shared" ref="Z261:Z263" si="44">E261-N261</f>
        <v>199</v>
      </c>
      <c r="AA261" s="202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 ht="20.25" customHeight="1">
      <c r="A262" s="188">
        <v>20250315</v>
      </c>
      <c r="B262" s="189" t="s">
        <v>581</v>
      </c>
      <c r="C262" s="190">
        <v>45984</v>
      </c>
      <c r="D262" s="190">
        <v>46001</v>
      </c>
      <c r="E262" s="191">
        <v>320</v>
      </c>
      <c r="F262" s="192">
        <v>1430.8388399999999</v>
      </c>
      <c r="G262" s="193">
        <v>800</v>
      </c>
      <c r="H262" s="194" t="s">
        <v>600</v>
      </c>
      <c r="I262" s="194" t="s">
        <v>354</v>
      </c>
      <c r="J262" s="189" t="s">
        <v>354</v>
      </c>
      <c r="K262" s="53">
        <f t="shared" si="32"/>
        <v>46009</v>
      </c>
      <c r="L262" s="53">
        <f t="shared" si="33"/>
        <v>46069</v>
      </c>
      <c r="M262" s="195"/>
      <c r="N262" s="196">
        <f>E262-44-79-10-43-66-34-18</f>
        <v>26</v>
      </c>
      <c r="O262" s="197">
        <f t="shared" si="34"/>
        <v>116.25565574999999</v>
      </c>
      <c r="P262" s="198">
        <f t="shared" si="42"/>
        <v>65</v>
      </c>
      <c r="Q262" s="73"/>
      <c r="R262" s="58"/>
      <c r="S262" s="200" t="s">
        <v>605</v>
      </c>
      <c r="T262" s="201">
        <v>119</v>
      </c>
      <c r="U262" s="58" t="s">
        <v>606</v>
      </c>
      <c r="V262" s="46"/>
      <c r="W262" s="46"/>
      <c r="X262" s="99" t="s">
        <v>76</v>
      </c>
      <c r="Y262" s="63">
        <f t="shared" si="36"/>
        <v>4.4713713749999995</v>
      </c>
      <c r="Z262" s="64">
        <f t="shared" si="44"/>
        <v>294</v>
      </c>
      <c r="AA262" s="20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</row>
    <row r="263" spans="1:48" ht="18" customHeight="1">
      <c r="A263" s="188">
        <v>20250315</v>
      </c>
      <c r="B263" s="189" t="s">
        <v>581</v>
      </c>
      <c r="C263" s="190">
        <v>45984</v>
      </c>
      <c r="D263" s="190">
        <v>46001</v>
      </c>
      <c r="E263" s="191">
        <v>24</v>
      </c>
      <c r="F263" s="192">
        <v>92.87</v>
      </c>
      <c r="G263" s="193">
        <v>80</v>
      </c>
      <c r="H263" s="194" t="s">
        <v>607</v>
      </c>
      <c r="I263" s="194" t="s">
        <v>24</v>
      </c>
      <c r="J263" s="189" t="s">
        <v>24</v>
      </c>
      <c r="K263" s="53">
        <f t="shared" si="32"/>
        <v>46009</v>
      </c>
      <c r="L263" s="53">
        <f t="shared" si="33"/>
        <v>46069</v>
      </c>
      <c r="M263" s="195"/>
      <c r="N263" s="196">
        <f>E263-13-2-1-1</f>
        <v>7</v>
      </c>
      <c r="O263" s="197">
        <f t="shared" si="34"/>
        <v>27.087083333333332</v>
      </c>
      <c r="P263" s="198">
        <f t="shared" si="42"/>
        <v>23.333333333333336</v>
      </c>
      <c r="Q263" s="73"/>
      <c r="R263" s="58"/>
      <c r="S263" s="200" t="s">
        <v>608</v>
      </c>
      <c r="T263" s="201">
        <v>83</v>
      </c>
      <c r="U263" s="58" t="s">
        <v>609</v>
      </c>
      <c r="V263" s="46"/>
      <c r="W263" s="46"/>
      <c r="X263" s="99" t="s">
        <v>76</v>
      </c>
      <c r="Y263" s="63">
        <f t="shared" si="36"/>
        <v>3.8695833333333334</v>
      </c>
      <c r="Z263" s="64">
        <f t="shared" si="44"/>
        <v>17</v>
      </c>
      <c r="AA263" s="202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</row>
    <row r="264" spans="1:48" ht="18" customHeight="1">
      <c r="A264" s="76">
        <v>20250315</v>
      </c>
      <c r="B264" s="77" t="s">
        <v>581</v>
      </c>
      <c r="C264" s="78">
        <v>45984</v>
      </c>
      <c r="D264" s="78">
        <v>46001</v>
      </c>
      <c r="E264" s="76">
        <v>2</v>
      </c>
      <c r="F264" s="79">
        <v>13.958</v>
      </c>
      <c r="G264" s="76">
        <v>10</v>
      </c>
      <c r="H264" s="80" t="s">
        <v>607</v>
      </c>
      <c r="I264" s="80" t="s">
        <v>24</v>
      </c>
      <c r="J264" s="77" t="s">
        <v>24</v>
      </c>
      <c r="K264" s="174">
        <f t="shared" si="32"/>
        <v>46009</v>
      </c>
      <c r="L264" s="174">
        <f t="shared" si="33"/>
        <v>46069</v>
      </c>
      <c r="M264" s="82"/>
      <c r="N264" s="83">
        <f>E264-2</f>
        <v>0</v>
      </c>
      <c r="O264" s="84">
        <f t="shared" si="34"/>
        <v>0</v>
      </c>
      <c r="P264" s="83">
        <f t="shared" si="42"/>
        <v>0</v>
      </c>
      <c r="Q264" s="80"/>
      <c r="R264" s="80"/>
      <c r="S264" s="80" t="s">
        <v>610</v>
      </c>
      <c r="T264" s="86">
        <v>84</v>
      </c>
      <c r="U264" s="80" t="s">
        <v>611</v>
      </c>
      <c r="V264" s="76"/>
      <c r="W264" s="76"/>
      <c r="X264" s="76" t="s">
        <v>55</v>
      </c>
      <c r="Y264" s="63">
        <f t="shared" si="36"/>
        <v>6.9790000000000001</v>
      </c>
      <c r="Z264" s="30"/>
      <c r="AA264" s="202"/>
      <c r="AB264" s="202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</row>
    <row r="265" spans="1:48" ht="18" customHeight="1">
      <c r="A265" s="188">
        <v>20250315</v>
      </c>
      <c r="B265" s="194" t="s">
        <v>581</v>
      </c>
      <c r="C265" s="190">
        <v>45984</v>
      </c>
      <c r="D265" s="190">
        <v>46001</v>
      </c>
      <c r="E265" s="188">
        <v>18</v>
      </c>
      <c r="F265" s="192">
        <v>135.71</v>
      </c>
      <c r="G265" s="188">
        <v>60</v>
      </c>
      <c r="H265" s="188" t="s">
        <v>607</v>
      </c>
      <c r="I265" s="188" t="s">
        <v>24</v>
      </c>
      <c r="J265" s="188" t="s">
        <v>24</v>
      </c>
      <c r="K265" s="233">
        <f t="shared" ref="K265:K328" si="45">D265+8</f>
        <v>46009</v>
      </c>
      <c r="L265" s="233">
        <f t="shared" ref="L265:L328" si="46">K265+60</f>
        <v>46069</v>
      </c>
      <c r="M265" s="188"/>
      <c r="N265" s="188">
        <f>E265-5-3-2</f>
        <v>8</v>
      </c>
      <c r="O265" s="188">
        <f t="shared" ref="O265:O328" si="47">F265/E265*N265</f>
        <v>60.315555555555562</v>
      </c>
      <c r="P265" s="198">
        <f t="shared" si="42"/>
        <v>26.666666666666668</v>
      </c>
      <c r="Q265" s="73"/>
      <c r="R265" s="58"/>
      <c r="S265" s="200" t="s">
        <v>612</v>
      </c>
      <c r="T265" s="201">
        <v>85</v>
      </c>
      <c r="U265" s="58" t="s">
        <v>609</v>
      </c>
      <c r="V265" s="46"/>
      <c r="W265" s="46"/>
      <c r="X265" s="99" t="s">
        <v>76</v>
      </c>
      <c r="Y265" s="63">
        <f t="shared" si="36"/>
        <v>7.5394444444444453</v>
      </c>
      <c r="Z265" s="64">
        <f t="shared" ref="Z265:Z277" si="48">E265-N265</f>
        <v>10</v>
      </c>
      <c r="AA265" s="202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</row>
    <row r="266" spans="1:48" ht="18" customHeight="1">
      <c r="A266" s="188">
        <v>20250315</v>
      </c>
      <c r="B266" s="189" t="s">
        <v>581</v>
      </c>
      <c r="C266" s="190">
        <v>45984</v>
      </c>
      <c r="D266" s="190">
        <v>46001</v>
      </c>
      <c r="E266" s="191">
        <v>114</v>
      </c>
      <c r="F266" s="192">
        <v>854.14099999999996</v>
      </c>
      <c r="G266" s="193">
        <v>91.4375</v>
      </c>
      <c r="H266" s="194" t="s">
        <v>613</v>
      </c>
      <c r="I266" s="194" t="s">
        <v>72</v>
      </c>
      <c r="J266" s="189" t="s">
        <v>72</v>
      </c>
      <c r="K266" s="53">
        <f t="shared" si="45"/>
        <v>46009</v>
      </c>
      <c r="L266" s="53">
        <f t="shared" si="46"/>
        <v>46069</v>
      </c>
      <c r="M266" s="195"/>
      <c r="N266" s="196">
        <f>E266-7-106</f>
        <v>1</v>
      </c>
      <c r="O266" s="197">
        <f t="shared" si="47"/>
        <v>7.4924649122807017</v>
      </c>
      <c r="P266" s="198">
        <f t="shared" si="42"/>
        <v>0.80208333333333337</v>
      </c>
      <c r="Q266" s="73"/>
      <c r="R266" s="58"/>
      <c r="S266" s="200" t="s">
        <v>614</v>
      </c>
      <c r="T266" s="201">
        <v>92</v>
      </c>
      <c r="U266" s="58" t="s">
        <v>615</v>
      </c>
      <c r="V266" s="46"/>
      <c r="W266" s="46"/>
      <c r="X266" s="99" t="s">
        <v>76</v>
      </c>
      <c r="Y266" s="63">
        <f t="shared" si="36"/>
        <v>7.4924649122807017</v>
      </c>
      <c r="Z266" s="64">
        <f t="shared" si="48"/>
        <v>113</v>
      </c>
      <c r="AA266" s="202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</row>
    <row r="267" spans="1:48" ht="18" customHeight="1">
      <c r="A267" s="239">
        <v>20250315</v>
      </c>
      <c r="B267" s="240" t="s">
        <v>581</v>
      </c>
      <c r="C267" s="241">
        <v>45984</v>
      </c>
      <c r="D267" s="241">
        <v>46001</v>
      </c>
      <c r="E267" s="242">
        <v>8</v>
      </c>
      <c r="F267" s="79">
        <v>204.1</v>
      </c>
      <c r="G267" s="102">
        <v>6.4166666666666696</v>
      </c>
      <c r="H267" s="243" t="s">
        <v>616</v>
      </c>
      <c r="I267" s="244" t="s">
        <v>72</v>
      </c>
      <c r="J267" s="240" t="s">
        <v>72</v>
      </c>
      <c r="K267" s="104">
        <f t="shared" si="45"/>
        <v>46009</v>
      </c>
      <c r="L267" s="104">
        <f t="shared" si="46"/>
        <v>46069</v>
      </c>
      <c r="M267" s="103"/>
      <c r="N267" s="245">
        <f>E267-6-2</f>
        <v>0</v>
      </c>
      <c r="O267" s="246">
        <f t="shared" si="47"/>
        <v>0</v>
      </c>
      <c r="P267" s="85">
        <f t="shared" si="42"/>
        <v>0</v>
      </c>
      <c r="Q267" s="80"/>
      <c r="R267" s="247"/>
      <c r="S267" s="248" t="s">
        <v>617</v>
      </c>
      <c r="T267" s="249">
        <v>52</v>
      </c>
      <c r="U267" s="247" t="s">
        <v>618</v>
      </c>
      <c r="V267" s="242"/>
      <c r="W267" s="242"/>
      <c r="X267" s="250" t="s">
        <v>55</v>
      </c>
      <c r="Y267" s="63">
        <f t="shared" si="36"/>
        <v>25.512499999999999</v>
      </c>
      <c r="Z267" s="64">
        <f t="shared" si="48"/>
        <v>8</v>
      </c>
      <c r="AA267" s="202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</row>
    <row r="268" spans="1:48" ht="18" customHeight="1">
      <c r="A268" s="63">
        <v>20250315</v>
      </c>
      <c r="B268" s="65" t="s">
        <v>581</v>
      </c>
      <c r="C268" s="66">
        <v>45984</v>
      </c>
      <c r="D268" s="66">
        <v>46001</v>
      </c>
      <c r="E268" s="67">
        <v>20</v>
      </c>
      <c r="F268" s="68">
        <v>300</v>
      </c>
      <c r="G268" s="69">
        <v>480</v>
      </c>
      <c r="H268" s="70" t="s">
        <v>619</v>
      </c>
      <c r="I268" s="70" t="s">
        <v>620</v>
      </c>
      <c r="J268" s="65" t="s">
        <v>28</v>
      </c>
      <c r="K268" s="53">
        <f t="shared" si="45"/>
        <v>46009</v>
      </c>
      <c r="L268" s="53">
        <f t="shared" si="46"/>
        <v>46069</v>
      </c>
      <c r="M268" s="71"/>
      <c r="N268" s="72">
        <f>E268</f>
        <v>20</v>
      </c>
      <c r="O268" s="50">
        <f t="shared" si="47"/>
        <v>300</v>
      </c>
      <c r="P268" s="56">
        <f t="shared" si="42"/>
        <v>480</v>
      </c>
      <c r="Q268" s="73"/>
      <c r="R268" s="58"/>
      <c r="S268" s="200" t="s">
        <v>621</v>
      </c>
      <c r="T268" s="201">
        <v>86</v>
      </c>
      <c r="U268" s="58" t="s">
        <v>622</v>
      </c>
      <c r="V268" s="46"/>
      <c r="W268" s="46"/>
      <c r="X268" s="62" t="s">
        <v>25</v>
      </c>
      <c r="Y268" s="63">
        <f t="shared" si="36"/>
        <v>15</v>
      </c>
      <c r="Z268" s="64">
        <f t="shared" si="48"/>
        <v>0</v>
      </c>
      <c r="AA268" s="202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</row>
    <row r="269" spans="1:48" ht="18" customHeight="1">
      <c r="A269" s="63">
        <v>20250315</v>
      </c>
      <c r="B269" s="65" t="s">
        <v>581</v>
      </c>
      <c r="C269" s="66">
        <v>45984</v>
      </c>
      <c r="D269" s="66">
        <v>46001</v>
      </c>
      <c r="E269" s="67">
        <v>2</v>
      </c>
      <c r="F269" s="68">
        <v>59.4</v>
      </c>
      <c r="G269" s="69">
        <v>48</v>
      </c>
      <c r="H269" s="70" t="s">
        <v>623</v>
      </c>
      <c r="I269" s="70" t="s">
        <v>449</v>
      </c>
      <c r="J269" s="65" t="s">
        <v>28</v>
      </c>
      <c r="K269" s="53">
        <f t="shared" si="45"/>
        <v>46009</v>
      </c>
      <c r="L269" s="53">
        <f t="shared" si="46"/>
        <v>46069</v>
      </c>
      <c r="M269" s="71"/>
      <c r="N269" s="72">
        <f>E269</f>
        <v>2</v>
      </c>
      <c r="O269" s="50">
        <f t="shared" si="47"/>
        <v>59.4</v>
      </c>
      <c r="P269" s="56">
        <f t="shared" si="42"/>
        <v>48</v>
      </c>
      <c r="Q269" s="73"/>
      <c r="R269" s="58"/>
      <c r="S269" s="200" t="s">
        <v>624</v>
      </c>
      <c r="T269" s="201">
        <v>121</v>
      </c>
      <c r="U269" s="58" t="s">
        <v>625</v>
      </c>
      <c r="V269" s="46"/>
      <c r="W269" s="46"/>
      <c r="X269" s="62" t="s">
        <v>25</v>
      </c>
      <c r="Y269" s="63">
        <f t="shared" si="36"/>
        <v>29.7</v>
      </c>
      <c r="Z269" s="64">
        <f t="shared" si="48"/>
        <v>0</v>
      </c>
      <c r="AA269" s="202"/>
    </row>
    <row r="270" spans="1:48" ht="18" customHeight="1">
      <c r="A270" s="87">
        <v>20250326</v>
      </c>
      <c r="B270" s="88" t="s">
        <v>626</v>
      </c>
      <c r="C270" s="89">
        <v>46000</v>
      </c>
      <c r="D270" s="89">
        <v>46011</v>
      </c>
      <c r="E270" s="184">
        <v>180</v>
      </c>
      <c r="F270" s="251">
        <v>150</v>
      </c>
      <c r="G270" s="252">
        <v>147</v>
      </c>
      <c r="H270" s="253" t="s">
        <v>627</v>
      </c>
      <c r="I270" s="253" t="s">
        <v>86</v>
      </c>
      <c r="J270" s="88" t="s">
        <v>86</v>
      </c>
      <c r="K270" s="53">
        <f t="shared" si="45"/>
        <v>46019</v>
      </c>
      <c r="L270" s="53">
        <f t="shared" si="46"/>
        <v>46079</v>
      </c>
      <c r="M270" s="254"/>
      <c r="N270" s="255">
        <f>E270</f>
        <v>180</v>
      </c>
      <c r="O270" s="256">
        <f t="shared" si="47"/>
        <v>150</v>
      </c>
      <c r="P270" s="56">
        <f t="shared" si="42"/>
        <v>147</v>
      </c>
      <c r="Q270" s="257"/>
      <c r="R270" s="258"/>
      <c r="S270" s="200" t="s">
        <v>628</v>
      </c>
      <c r="T270" s="201">
        <v>2</v>
      </c>
      <c r="U270" s="58" t="s">
        <v>629</v>
      </c>
      <c r="V270" s="46"/>
      <c r="W270" s="46"/>
      <c r="X270" s="62" t="s">
        <v>25</v>
      </c>
      <c r="Y270" s="63">
        <f t="shared" si="36"/>
        <v>0.83333333333333337</v>
      </c>
      <c r="Z270" s="64">
        <f t="shared" si="48"/>
        <v>0</v>
      </c>
      <c r="AA270" s="202"/>
    </row>
    <row r="271" spans="1:48" ht="18" customHeight="1">
      <c r="A271" s="63">
        <v>20250326</v>
      </c>
      <c r="B271" s="65" t="s">
        <v>626</v>
      </c>
      <c r="C271" s="66">
        <v>46000</v>
      </c>
      <c r="D271" s="66">
        <v>46011</v>
      </c>
      <c r="E271" s="67">
        <v>9075</v>
      </c>
      <c r="F271" s="68">
        <v>9099.8829999999998</v>
      </c>
      <c r="G271" s="69">
        <v>7435</v>
      </c>
      <c r="H271" s="70" t="s">
        <v>532</v>
      </c>
      <c r="I271" s="70" t="s">
        <v>86</v>
      </c>
      <c r="J271" s="65" t="s">
        <v>86</v>
      </c>
      <c r="K271" s="53">
        <f t="shared" si="45"/>
        <v>46019</v>
      </c>
      <c r="L271" s="53">
        <f t="shared" si="46"/>
        <v>46079</v>
      </c>
      <c r="M271" s="71"/>
      <c r="N271" s="72">
        <f>E271</f>
        <v>9075</v>
      </c>
      <c r="O271" s="50">
        <f t="shared" si="47"/>
        <v>9099.8829999999998</v>
      </c>
      <c r="P271" s="56">
        <f t="shared" si="42"/>
        <v>7435</v>
      </c>
      <c r="Q271" s="73"/>
      <c r="R271" s="58"/>
      <c r="S271" s="200" t="s">
        <v>630</v>
      </c>
      <c r="T271" s="201">
        <v>13</v>
      </c>
      <c r="U271" s="58" t="s">
        <v>631</v>
      </c>
      <c r="V271" s="46"/>
      <c r="W271" s="46"/>
      <c r="X271" s="62" t="s">
        <v>25</v>
      </c>
      <c r="Y271" s="63">
        <f t="shared" si="36"/>
        <v>1.0027419283746557</v>
      </c>
      <c r="Z271" s="64">
        <f t="shared" si="48"/>
        <v>0</v>
      </c>
      <c r="AA271" s="202"/>
    </row>
    <row r="272" spans="1:48" ht="18" customHeight="1">
      <c r="A272" s="135">
        <v>20250326</v>
      </c>
      <c r="B272" s="136" t="s">
        <v>626</v>
      </c>
      <c r="C272" s="137">
        <v>46000</v>
      </c>
      <c r="D272" s="137">
        <v>46011</v>
      </c>
      <c r="E272" s="138">
        <v>205</v>
      </c>
      <c r="F272" s="139">
        <v>586.07600000000002</v>
      </c>
      <c r="G272" s="140">
        <v>168</v>
      </c>
      <c r="H272" s="141" t="s">
        <v>532</v>
      </c>
      <c r="I272" s="141" t="s">
        <v>86</v>
      </c>
      <c r="J272" s="136" t="s">
        <v>86</v>
      </c>
      <c r="K272" s="142">
        <f t="shared" si="45"/>
        <v>46019</v>
      </c>
      <c r="L272" s="142">
        <f t="shared" si="46"/>
        <v>46079</v>
      </c>
      <c r="M272" s="143"/>
      <c r="N272" s="144">
        <f>E272-5-60-35-5</f>
        <v>100</v>
      </c>
      <c r="O272" s="145">
        <f t="shared" si="47"/>
        <v>285.89073170731706</v>
      </c>
      <c r="P272" s="146">
        <f t="shared" si="42"/>
        <v>81.951219512195124</v>
      </c>
      <c r="Q272" s="73"/>
      <c r="R272" s="58"/>
      <c r="S272" s="200" t="s">
        <v>632</v>
      </c>
      <c r="T272" s="201">
        <v>64</v>
      </c>
      <c r="U272" s="58" t="s">
        <v>633</v>
      </c>
      <c r="V272" s="46"/>
      <c r="W272" s="46"/>
      <c r="X272" s="99" t="s">
        <v>76</v>
      </c>
      <c r="Y272" s="63">
        <f t="shared" si="36"/>
        <v>2.8589073170731707</v>
      </c>
      <c r="Z272" s="64">
        <f t="shared" si="48"/>
        <v>105</v>
      </c>
      <c r="AA272" s="202"/>
    </row>
    <row r="273" spans="1:48" ht="18" customHeight="1">
      <c r="A273" s="188">
        <v>20250326</v>
      </c>
      <c r="B273" s="189" t="s">
        <v>626</v>
      </c>
      <c r="C273" s="190">
        <v>46000</v>
      </c>
      <c r="D273" s="190">
        <v>46011</v>
      </c>
      <c r="E273" s="191">
        <v>50</v>
      </c>
      <c r="F273" s="192">
        <v>102</v>
      </c>
      <c r="G273" s="193">
        <v>20</v>
      </c>
      <c r="H273" s="194" t="s">
        <v>634</v>
      </c>
      <c r="I273" s="194" t="s">
        <v>123</v>
      </c>
      <c r="J273" s="189" t="s">
        <v>123</v>
      </c>
      <c r="K273" s="53">
        <f t="shared" si="45"/>
        <v>46019</v>
      </c>
      <c r="L273" s="53">
        <f t="shared" si="46"/>
        <v>46079</v>
      </c>
      <c r="M273" s="195"/>
      <c r="N273" s="196">
        <f>E273-32</f>
        <v>18</v>
      </c>
      <c r="O273" s="197">
        <f t="shared" si="47"/>
        <v>36.72</v>
      </c>
      <c r="P273" s="198">
        <f t="shared" si="42"/>
        <v>7.2</v>
      </c>
      <c r="Q273" s="73"/>
      <c r="R273" s="58"/>
      <c r="S273" s="200" t="s">
        <v>635</v>
      </c>
      <c r="T273" s="201">
        <v>65</v>
      </c>
      <c r="U273" s="58" t="s">
        <v>636</v>
      </c>
      <c r="V273" s="46"/>
      <c r="W273" s="46"/>
      <c r="X273" s="99" t="s">
        <v>76</v>
      </c>
      <c r="Y273" s="63">
        <f t="shared" si="36"/>
        <v>2.04</v>
      </c>
      <c r="Z273" s="64">
        <f t="shared" si="48"/>
        <v>32</v>
      </c>
      <c r="AA273" s="64">
        <v>1</v>
      </c>
    </row>
    <row r="274" spans="1:48" ht="18" customHeight="1">
      <c r="A274" s="63">
        <v>20250326</v>
      </c>
      <c r="B274" s="65" t="s">
        <v>626</v>
      </c>
      <c r="C274" s="66">
        <v>46000</v>
      </c>
      <c r="D274" s="66">
        <v>46011</v>
      </c>
      <c r="E274" s="67">
        <v>1</v>
      </c>
      <c r="F274" s="68">
        <v>8.3000000000000007</v>
      </c>
      <c r="G274" s="69">
        <v>24</v>
      </c>
      <c r="H274" s="70" t="s">
        <v>637</v>
      </c>
      <c r="I274" s="70" t="s">
        <v>63</v>
      </c>
      <c r="J274" s="65" t="s">
        <v>28</v>
      </c>
      <c r="K274" s="53">
        <f t="shared" si="45"/>
        <v>46019</v>
      </c>
      <c r="L274" s="53">
        <f t="shared" si="46"/>
        <v>46079</v>
      </c>
      <c r="M274" s="71"/>
      <c r="N274" s="72">
        <f>E274</f>
        <v>1</v>
      </c>
      <c r="O274" s="50">
        <f t="shared" si="47"/>
        <v>8.3000000000000007</v>
      </c>
      <c r="P274" s="56">
        <f t="shared" si="42"/>
        <v>24</v>
      </c>
      <c r="Q274" s="73"/>
      <c r="R274" s="58"/>
      <c r="S274" s="200" t="s">
        <v>638</v>
      </c>
      <c r="T274" s="201">
        <v>26</v>
      </c>
      <c r="U274" s="58" t="s">
        <v>639</v>
      </c>
      <c r="V274" s="46"/>
      <c r="W274" s="46"/>
      <c r="X274" s="62" t="s">
        <v>25</v>
      </c>
      <c r="Y274" s="63">
        <f t="shared" si="36"/>
        <v>8.3000000000000007</v>
      </c>
      <c r="Z274" s="64">
        <f t="shared" si="48"/>
        <v>0</v>
      </c>
      <c r="AA274" s="64">
        <v>2</v>
      </c>
    </row>
    <row r="275" spans="1:48" ht="18" customHeight="1">
      <c r="A275" s="63">
        <v>20250326</v>
      </c>
      <c r="B275" s="65" t="s">
        <v>626</v>
      </c>
      <c r="C275" s="66">
        <v>46000</v>
      </c>
      <c r="D275" s="66">
        <v>46011</v>
      </c>
      <c r="E275" s="67">
        <v>1</v>
      </c>
      <c r="F275" s="68">
        <v>34.15</v>
      </c>
      <c r="G275" s="69">
        <v>24</v>
      </c>
      <c r="H275" s="70" t="s">
        <v>640</v>
      </c>
      <c r="I275" s="70" t="s">
        <v>194</v>
      </c>
      <c r="J275" s="65" t="s">
        <v>26</v>
      </c>
      <c r="K275" s="53">
        <f t="shared" si="45"/>
        <v>46019</v>
      </c>
      <c r="L275" s="53">
        <f t="shared" si="46"/>
        <v>46079</v>
      </c>
      <c r="M275" s="71"/>
      <c r="N275" s="72">
        <f>E275</f>
        <v>1</v>
      </c>
      <c r="O275" s="50">
        <f t="shared" si="47"/>
        <v>34.15</v>
      </c>
      <c r="P275" s="56">
        <f t="shared" si="42"/>
        <v>24</v>
      </c>
      <c r="Q275" s="73"/>
      <c r="R275" s="58"/>
      <c r="S275" s="200" t="s">
        <v>641</v>
      </c>
      <c r="T275" s="201">
        <v>33</v>
      </c>
      <c r="U275" s="58" t="s">
        <v>642</v>
      </c>
      <c r="V275" s="46"/>
      <c r="W275" s="46"/>
      <c r="X275" s="62" t="s">
        <v>25</v>
      </c>
      <c r="Y275" s="63">
        <f t="shared" si="36"/>
        <v>34.15</v>
      </c>
      <c r="Z275" s="64">
        <f t="shared" si="48"/>
        <v>0</v>
      </c>
      <c r="AA275" s="202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</row>
    <row r="276" spans="1:48" ht="18" customHeight="1">
      <c r="A276" s="63">
        <v>20250326</v>
      </c>
      <c r="B276" s="65" t="s">
        <v>626</v>
      </c>
      <c r="C276" s="66">
        <v>46000</v>
      </c>
      <c r="D276" s="66">
        <v>46011</v>
      </c>
      <c r="E276" s="67">
        <v>1</v>
      </c>
      <c r="F276" s="68">
        <v>0</v>
      </c>
      <c r="G276" s="69">
        <v>3</v>
      </c>
      <c r="H276" s="70" t="s">
        <v>640</v>
      </c>
      <c r="I276" s="70" t="s">
        <v>24</v>
      </c>
      <c r="J276" s="65" t="s">
        <v>24</v>
      </c>
      <c r="K276" s="53">
        <f t="shared" si="45"/>
        <v>46019</v>
      </c>
      <c r="L276" s="53">
        <f t="shared" si="46"/>
        <v>46079</v>
      </c>
      <c r="M276" s="71"/>
      <c r="N276" s="72">
        <f>E276</f>
        <v>1</v>
      </c>
      <c r="O276" s="50">
        <f t="shared" si="47"/>
        <v>0</v>
      </c>
      <c r="P276" s="56">
        <f t="shared" si="42"/>
        <v>3</v>
      </c>
      <c r="Q276" s="73"/>
      <c r="R276" s="58"/>
      <c r="S276" s="200" t="s">
        <v>641</v>
      </c>
      <c r="T276" s="201">
        <v>33</v>
      </c>
      <c r="U276" s="58"/>
      <c r="V276" s="46"/>
      <c r="W276" s="46"/>
      <c r="X276" s="62" t="s">
        <v>25</v>
      </c>
      <c r="Y276" s="63">
        <f t="shared" si="36"/>
        <v>0</v>
      </c>
      <c r="Z276" s="64">
        <f t="shared" si="48"/>
        <v>0</v>
      </c>
      <c r="AA276" s="202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</row>
    <row r="277" spans="1:48" ht="18" customHeight="1">
      <c r="A277" s="63">
        <v>20250326</v>
      </c>
      <c r="B277" s="65" t="s">
        <v>626</v>
      </c>
      <c r="C277" s="66">
        <v>46000</v>
      </c>
      <c r="D277" s="66">
        <v>46011</v>
      </c>
      <c r="E277" s="67">
        <v>6</v>
      </c>
      <c r="F277" s="68">
        <v>86.3</v>
      </c>
      <c r="G277" s="69">
        <v>144</v>
      </c>
      <c r="H277" s="70" t="s">
        <v>643</v>
      </c>
      <c r="I277" s="70" t="s">
        <v>42</v>
      </c>
      <c r="J277" s="65" t="s">
        <v>28</v>
      </c>
      <c r="K277" s="53">
        <f t="shared" si="45"/>
        <v>46019</v>
      </c>
      <c r="L277" s="53">
        <f t="shared" si="46"/>
        <v>46079</v>
      </c>
      <c r="M277" s="71"/>
      <c r="N277" s="72">
        <f>E277</f>
        <v>6</v>
      </c>
      <c r="O277" s="50">
        <f t="shared" si="47"/>
        <v>86.3</v>
      </c>
      <c r="P277" s="56">
        <f t="shared" si="42"/>
        <v>144</v>
      </c>
      <c r="Q277" s="73"/>
      <c r="R277" s="58"/>
      <c r="S277" s="200" t="s">
        <v>644</v>
      </c>
      <c r="T277" s="201">
        <v>36</v>
      </c>
      <c r="U277" s="58" t="s">
        <v>645</v>
      </c>
      <c r="V277" s="46"/>
      <c r="W277" s="46"/>
      <c r="X277" s="62" t="s">
        <v>25</v>
      </c>
      <c r="Y277" s="63">
        <f t="shared" si="36"/>
        <v>14.383333333333333</v>
      </c>
      <c r="Z277" s="64">
        <f t="shared" si="48"/>
        <v>0</v>
      </c>
      <c r="AA277" s="64">
        <v>2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</row>
    <row r="278" spans="1:48" ht="18" customHeight="1">
      <c r="A278" s="76">
        <v>20250326</v>
      </c>
      <c r="B278" s="77" t="s">
        <v>626</v>
      </c>
      <c r="C278" s="78">
        <v>46000</v>
      </c>
      <c r="D278" s="78">
        <v>46011</v>
      </c>
      <c r="E278" s="76">
        <v>3</v>
      </c>
      <c r="F278" s="79">
        <v>6.12</v>
      </c>
      <c r="G278" s="76">
        <v>72</v>
      </c>
      <c r="H278" s="80" t="s">
        <v>646</v>
      </c>
      <c r="I278" s="80" t="s">
        <v>42</v>
      </c>
      <c r="J278" s="77" t="s">
        <v>28</v>
      </c>
      <c r="K278" s="174">
        <f t="shared" si="45"/>
        <v>46019</v>
      </c>
      <c r="L278" s="174">
        <f t="shared" si="46"/>
        <v>46079</v>
      </c>
      <c r="M278" s="82"/>
      <c r="N278" s="83">
        <f>E278-3</f>
        <v>0</v>
      </c>
      <c r="O278" s="84">
        <f t="shared" si="47"/>
        <v>0</v>
      </c>
      <c r="P278" s="83">
        <f t="shared" si="42"/>
        <v>0</v>
      </c>
      <c r="Q278" s="80"/>
      <c r="R278" s="80"/>
      <c r="S278" s="80" t="s">
        <v>647</v>
      </c>
      <c r="T278" s="86">
        <v>39</v>
      </c>
      <c r="U278" s="80" t="s">
        <v>648</v>
      </c>
      <c r="V278" s="76"/>
      <c r="W278" s="76"/>
      <c r="X278" s="76" t="s">
        <v>55</v>
      </c>
      <c r="Y278" s="63">
        <f t="shared" ref="Y278:Y341" si="49">F278/E278</f>
        <v>2.04</v>
      </c>
      <c r="Z278" s="30"/>
      <c r="AA278" s="64">
        <v>1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</row>
    <row r="279" spans="1:48" ht="18" customHeight="1">
      <c r="A279" s="63">
        <v>20250326</v>
      </c>
      <c r="B279" s="65" t="s">
        <v>626</v>
      </c>
      <c r="C279" s="66">
        <v>46000</v>
      </c>
      <c r="D279" s="66">
        <v>46011</v>
      </c>
      <c r="E279" s="67">
        <v>1</v>
      </c>
      <c r="F279" s="68">
        <v>0</v>
      </c>
      <c r="G279" s="69">
        <v>3</v>
      </c>
      <c r="H279" s="70" t="s">
        <v>646</v>
      </c>
      <c r="I279" s="70" t="s">
        <v>24</v>
      </c>
      <c r="J279" s="65" t="s">
        <v>24</v>
      </c>
      <c r="K279" s="53">
        <f t="shared" si="45"/>
        <v>46019</v>
      </c>
      <c r="L279" s="53">
        <f t="shared" si="46"/>
        <v>46079</v>
      </c>
      <c r="M279" s="71"/>
      <c r="N279" s="72">
        <f>E279</f>
        <v>1</v>
      </c>
      <c r="O279" s="50">
        <f t="shared" si="47"/>
        <v>0</v>
      </c>
      <c r="P279" s="56">
        <f t="shared" si="42"/>
        <v>3</v>
      </c>
      <c r="Q279" s="73"/>
      <c r="R279" s="58"/>
      <c r="S279" s="200" t="s">
        <v>647</v>
      </c>
      <c r="T279" s="201">
        <v>39</v>
      </c>
      <c r="U279" s="58"/>
      <c r="V279" s="46"/>
      <c r="W279" s="46"/>
      <c r="X279" s="62" t="s">
        <v>25</v>
      </c>
      <c r="Y279" s="63">
        <f t="shared" si="49"/>
        <v>0</v>
      </c>
      <c r="Z279" s="64">
        <f t="shared" ref="Z279:Z285" si="50">E279-N279</f>
        <v>0</v>
      </c>
      <c r="AA279" s="202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</row>
    <row r="280" spans="1:48" ht="18" customHeight="1">
      <c r="A280" s="188">
        <v>20250326</v>
      </c>
      <c r="B280" s="189" t="s">
        <v>626</v>
      </c>
      <c r="C280" s="190">
        <v>46000</v>
      </c>
      <c r="D280" s="190">
        <v>46011</v>
      </c>
      <c r="E280" s="191">
        <v>20</v>
      </c>
      <c r="F280" s="192">
        <v>190.7</v>
      </c>
      <c r="G280" s="193">
        <v>480</v>
      </c>
      <c r="H280" s="194" t="s">
        <v>649</v>
      </c>
      <c r="I280" s="194" t="s">
        <v>42</v>
      </c>
      <c r="J280" s="189" t="s">
        <v>28</v>
      </c>
      <c r="K280" s="53">
        <f t="shared" si="45"/>
        <v>46019</v>
      </c>
      <c r="L280" s="53">
        <f t="shared" si="46"/>
        <v>46079</v>
      </c>
      <c r="M280" s="195"/>
      <c r="N280" s="196">
        <f>E280-1</f>
        <v>19</v>
      </c>
      <c r="O280" s="197">
        <f t="shared" si="47"/>
        <v>181.16499999999999</v>
      </c>
      <c r="P280" s="218">
        <f t="shared" si="42"/>
        <v>456</v>
      </c>
      <c r="Q280" s="73"/>
      <c r="R280" s="58"/>
      <c r="S280" s="200" t="s">
        <v>650</v>
      </c>
      <c r="T280" s="201">
        <v>47</v>
      </c>
      <c r="U280" s="58" t="s">
        <v>651</v>
      </c>
      <c r="V280" s="46"/>
      <c r="W280" s="46"/>
      <c r="X280" s="99" t="s">
        <v>76</v>
      </c>
      <c r="Y280" s="63">
        <f t="shared" si="49"/>
        <v>9.5350000000000001</v>
      </c>
      <c r="Z280" s="64">
        <f t="shared" si="50"/>
        <v>1</v>
      </c>
      <c r="AA280" s="202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</row>
    <row r="281" spans="1:48" ht="18" customHeight="1">
      <c r="A281" s="63">
        <v>20250326</v>
      </c>
      <c r="B281" s="65" t="s">
        <v>626</v>
      </c>
      <c r="C281" s="66">
        <v>46000</v>
      </c>
      <c r="D281" s="66">
        <v>46011</v>
      </c>
      <c r="E281" s="67">
        <v>2</v>
      </c>
      <c r="F281" s="68">
        <v>25.5</v>
      </c>
      <c r="G281" s="69">
        <v>48</v>
      </c>
      <c r="H281" s="70" t="s">
        <v>652</v>
      </c>
      <c r="I281" s="70" t="s">
        <v>42</v>
      </c>
      <c r="J281" s="65" t="s">
        <v>28</v>
      </c>
      <c r="K281" s="53">
        <f t="shared" si="45"/>
        <v>46019</v>
      </c>
      <c r="L281" s="53">
        <f t="shared" si="46"/>
        <v>46079</v>
      </c>
      <c r="M281" s="71"/>
      <c r="N281" s="72">
        <f>E281</f>
        <v>2</v>
      </c>
      <c r="O281" s="50">
        <f t="shared" si="47"/>
        <v>25.5</v>
      </c>
      <c r="P281" s="56">
        <f t="shared" si="42"/>
        <v>48</v>
      </c>
      <c r="Q281" s="73"/>
      <c r="R281" s="58"/>
      <c r="S281" s="200" t="s">
        <v>653</v>
      </c>
      <c r="T281" s="201">
        <v>52</v>
      </c>
      <c r="U281" s="58" t="s">
        <v>654</v>
      </c>
      <c r="V281" s="46"/>
      <c r="W281" s="46"/>
      <c r="X281" s="62" t="s">
        <v>25</v>
      </c>
      <c r="Y281" s="63">
        <f t="shared" si="49"/>
        <v>12.75</v>
      </c>
      <c r="Z281" s="64">
        <f t="shared" si="50"/>
        <v>0</v>
      </c>
      <c r="AA281" s="202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 ht="18" customHeight="1">
      <c r="A282" s="63">
        <v>20250326</v>
      </c>
      <c r="B282" s="65" t="s">
        <v>626</v>
      </c>
      <c r="C282" s="66">
        <v>46000</v>
      </c>
      <c r="D282" s="66">
        <v>46011</v>
      </c>
      <c r="E282" s="67">
        <v>1</v>
      </c>
      <c r="F282" s="68">
        <v>13.5</v>
      </c>
      <c r="G282" s="69">
        <v>24</v>
      </c>
      <c r="H282" s="70" t="s">
        <v>655</v>
      </c>
      <c r="I282" s="70" t="s">
        <v>42</v>
      </c>
      <c r="J282" s="65" t="s">
        <v>28</v>
      </c>
      <c r="K282" s="53">
        <f t="shared" si="45"/>
        <v>46019</v>
      </c>
      <c r="L282" s="53">
        <f t="shared" si="46"/>
        <v>46079</v>
      </c>
      <c r="M282" s="71"/>
      <c r="N282" s="72">
        <f>E282</f>
        <v>1</v>
      </c>
      <c r="O282" s="50">
        <f t="shared" si="47"/>
        <v>13.5</v>
      </c>
      <c r="P282" s="56">
        <f t="shared" si="42"/>
        <v>24</v>
      </c>
      <c r="Q282" s="73"/>
      <c r="R282" s="58"/>
      <c r="S282" s="200" t="s">
        <v>656</v>
      </c>
      <c r="T282" s="201">
        <v>67</v>
      </c>
      <c r="U282" s="58" t="s">
        <v>657</v>
      </c>
      <c r="V282" s="46"/>
      <c r="W282" s="46"/>
      <c r="X282" s="62" t="s">
        <v>25</v>
      </c>
      <c r="Y282" s="63">
        <f t="shared" si="49"/>
        <v>13.5</v>
      </c>
      <c r="Z282" s="64">
        <f t="shared" si="50"/>
        <v>0</v>
      </c>
      <c r="AA282" s="20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</row>
    <row r="283" spans="1:48" ht="18" customHeight="1">
      <c r="A283" s="63">
        <v>20250326</v>
      </c>
      <c r="B283" s="65" t="s">
        <v>626</v>
      </c>
      <c r="C283" s="66">
        <v>46000</v>
      </c>
      <c r="D283" s="66">
        <v>46011</v>
      </c>
      <c r="E283" s="67">
        <v>1</v>
      </c>
      <c r="F283" s="68">
        <v>10.565</v>
      </c>
      <c r="G283" s="69">
        <v>60</v>
      </c>
      <c r="H283" s="70" t="s">
        <v>193</v>
      </c>
      <c r="I283" s="70" t="s">
        <v>138</v>
      </c>
      <c r="J283" s="65" t="s">
        <v>26</v>
      </c>
      <c r="K283" s="53">
        <f t="shared" si="45"/>
        <v>46019</v>
      </c>
      <c r="L283" s="53">
        <f t="shared" si="46"/>
        <v>46079</v>
      </c>
      <c r="M283" s="71"/>
      <c r="N283" s="72">
        <f>E283</f>
        <v>1</v>
      </c>
      <c r="O283" s="50">
        <f t="shared" si="47"/>
        <v>10.565</v>
      </c>
      <c r="P283" s="56">
        <f t="shared" si="42"/>
        <v>60</v>
      </c>
      <c r="Q283" s="73"/>
      <c r="R283" s="58"/>
      <c r="S283" s="200" t="s">
        <v>658</v>
      </c>
      <c r="T283" s="201">
        <v>74</v>
      </c>
      <c r="U283" s="58" t="s">
        <v>659</v>
      </c>
      <c r="V283" s="46"/>
      <c r="W283" s="46"/>
      <c r="X283" s="62" t="s">
        <v>25</v>
      </c>
      <c r="Y283" s="63">
        <f t="shared" si="49"/>
        <v>10.565</v>
      </c>
      <c r="Z283" s="64">
        <f t="shared" si="50"/>
        <v>0</v>
      </c>
      <c r="AA283" s="202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</row>
    <row r="284" spans="1:48" ht="18" customHeight="1">
      <c r="A284" s="63">
        <v>20250326</v>
      </c>
      <c r="B284" s="65" t="s">
        <v>626</v>
      </c>
      <c r="C284" s="66">
        <v>46000</v>
      </c>
      <c r="D284" s="66">
        <v>46011</v>
      </c>
      <c r="E284" s="67">
        <v>1</v>
      </c>
      <c r="F284" s="68">
        <v>0</v>
      </c>
      <c r="G284" s="69">
        <v>3</v>
      </c>
      <c r="H284" s="70" t="s">
        <v>193</v>
      </c>
      <c r="I284" s="70" t="s">
        <v>24</v>
      </c>
      <c r="J284" s="65" t="s">
        <v>24</v>
      </c>
      <c r="K284" s="53">
        <f t="shared" si="45"/>
        <v>46019</v>
      </c>
      <c r="L284" s="53">
        <f t="shared" si="46"/>
        <v>46079</v>
      </c>
      <c r="M284" s="71"/>
      <c r="N284" s="72">
        <f>E284</f>
        <v>1</v>
      </c>
      <c r="O284" s="50">
        <f t="shared" si="47"/>
        <v>0</v>
      </c>
      <c r="P284" s="56">
        <f t="shared" si="42"/>
        <v>3</v>
      </c>
      <c r="Q284" s="73"/>
      <c r="R284" s="58"/>
      <c r="S284" s="200" t="s">
        <v>658</v>
      </c>
      <c r="T284" s="201">
        <v>74</v>
      </c>
      <c r="U284" s="58"/>
      <c r="V284" s="46"/>
      <c r="W284" s="46"/>
      <c r="X284" s="62" t="s">
        <v>25</v>
      </c>
      <c r="Y284" s="63">
        <f t="shared" si="49"/>
        <v>0</v>
      </c>
      <c r="Z284" s="64">
        <f t="shared" si="50"/>
        <v>0</v>
      </c>
      <c r="AA284" s="64">
        <v>7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</row>
    <row r="285" spans="1:48" ht="18" customHeight="1">
      <c r="A285" s="87">
        <v>20250342</v>
      </c>
      <c r="B285" s="89" t="s">
        <v>660</v>
      </c>
      <c r="C285" s="89">
        <v>46013</v>
      </c>
      <c r="D285" s="66">
        <v>46015</v>
      </c>
      <c r="E285" s="67">
        <v>169</v>
      </c>
      <c r="F285" s="68">
        <v>363.88600000000002</v>
      </c>
      <c r="G285" s="69">
        <v>138.49756097561001</v>
      </c>
      <c r="H285" s="70" t="s">
        <v>661</v>
      </c>
      <c r="I285" s="70" t="s">
        <v>86</v>
      </c>
      <c r="J285" s="65" t="s">
        <v>86</v>
      </c>
      <c r="K285" s="48">
        <f t="shared" si="45"/>
        <v>46023</v>
      </c>
      <c r="L285" s="48">
        <f t="shared" si="46"/>
        <v>46083</v>
      </c>
      <c r="M285" s="71"/>
      <c r="N285" s="72">
        <f>E285</f>
        <v>169</v>
      </c>
      <c r="O285" s="50">
        <f t="shared" si="47"/>
        <v>363.88600000000002</v>
      </c>
      <c r="P285" s="56">
        <f t="shared" si="42"/>
        <v>138.49756097561001</v>
      </c>
      <c r="Q285" s="73"/>
      <c r="R285" s="58"/>
      <c r="S285" s="200">
        <v>152039</v>
      </c>
      <c r="T285" s="201">
        <v>1</v>
      </c>
      <c r="U285" s="58" t="s">
        <v>662</v>
      </c>
      <c r="V285" s="46"/>
      <c r="W285" s="46"/>
      <c r="X285" s="62" t="s">
        <v>25</v>
      </c>
      <c r="Y285" s="63">
        <f t="shared" si="49"/>
        <v>2.1531715976331363</v>
      </c>
      <c r="Z285" s="64">
        <f t="shared" si="50"/>
        <v>0</v>
      </c>
      <c r="AA285" s="64">
        <v>1</v>
      </c>
    </row>
    <row r="286" spans="1:48" ht="18" customHeight="1">
      <c r="A286" s="106">
        <v>20250342</v>
      </c>
      <c r="B286" s="109" t="s">
        <v>660</v>
      </c>
      <c r="C286" s="259">
        <v>46013</v>
      </c>
      <c r="D286" s="259">
        <v>46015</v>
      </c>
      <c r="E286" s="106">
        <v>375</v>
      </c>
      <c r="F286" s="109">
        <v>1802.2840000000001</v>
      </c>
      <c r="G286" s="109">
        <v>307.31707317073199</v>
      </c>
      <c r="H286" s="109" t="s">
        <v>85</v>
      </c>
      <c r="I286" s="109" t="s">
        <v>86</v>
      </c>
      <c r="J286" s="109" t="s">
        <v>86</v>
      </c>
      <c r="K286" s="259">
        <f t="shared" si="45"/>
        <v>46023</v>
      </c>
      <c r="L286" s="259">
        <f t="shared" si="46"/>
        <v>46083</v>
      </c>
      <c r="M286" s="109"/>
      <c r="N286" s="106">
        <f>E286-12-30-30-27-9-15-36-36-2-33-27-118</f>
        <v>0</v>
      </c>
      <c r="O286" s="109">
        <f t="shared" si="47"/>
        <v>0</v>
      </c>
      <c r="P286" s="112">
        <f t="shared" si="42"/>
        <v>0</v>
      </c>
      <c r="Q286" s="109"/>
      <c r="R286" s="109"/>
      <c r="S286" s="109">
        <v>168241</v>
      </c>
      <c r="T286" s="114">
        <v>2</v>
      </c>
      <c r="U286" s="109" t="s">
        <v>662</v>
      </c>
      <c r="V286" s="106"/>
      <c r="W286" s="106"/>
      <c r="X286" s="106" t="s">
        <v>55</v>
      </c>
      <c r="Y286" s="63">
        <f t="shared" si="49"/>
        <v>4.806090666666667</v>
      </c>
      <c r="Z286" s="30"/>
      <c r="AA286" s="64">
        <v>2</v>
      </c>
    </row>
    <row r="287" spans="1:48" ht="18" customHeight="1">
      <c r="A287" s="188">
        <v>20250330</v>
      </c>
      <c r="B287" s="189" t="s">
        <v>663</v>
      </c>
      <c r="C287" s="190">
        <v>46004</v>
      </c>
      <c r="D287" s="190">
        <v>46018</v>
      </c>
      <c r="E287" s="191">
        <v>811</v>
      </c>
      <c r="F287" s="192">
        <v>8180.36</v>
      </c>
      <c r="G287" s="193">
        <v>706</v>
      </c>
      <c r="H287" s="194" t="s">
        <v>664</v>
      </c>
      <c r="I287" s="194" t="s">
        <v>72</v>
      </c>
      <c r="J287" s="189" t="s">
        <v>72</v>
      </c>
      <c r="K287" s="203">
        <f t="shared" si="45"/>
        <v>46026</v>
      </c>
      <c r="L287" s="203">
        <f t="shared" si="46"/>
        <v>46086</v>
      </c>
      <c r="M287" s="195"/>
      <c r="N287" s="196">
        <f>E287-30-55-9-47-42-48-53-30-55-5-15-66-33-61-46-43-54-40-53</f>
        <v>26</v>
      </c>
      <c r="O287" s="197">
        <f t="shared" si="47"/>
        <v>262.25568434032061</v>
      </c>
      <c r="P287" s="198">
        <f t="shared" si="42"/>
        <v>22.633785450061652</v>
      </c>
      <c r="Q287" s="73"/>
      <c r="R287" s="58"/>
      <c r="S287" s="200" t="s">
        <v>665</v>
      </c>
      <c r="T287" s="201">
        <v>4</v>
      </c>
      <c r="U287" s="58" t="s">
        <v>666</v>
      </c>
      <c r="V287" s="46"/>
      <c r="W287" s="46"/>
      <c r="X287" s="99" t="s">
        <v>76</v>
      </c>
      <c r="Y287" s="63">
        <f t="shared" si="49"/>
        <v>10.08675709001233</v>
      </c>
      <c r="Z287" s="64">
        <f t="shared" ref="Z287:Z288" si="51">E287-N287</f>
        <v>785</v>
      </c>
      <c r="AA287" s="202"/>
    </row>
    <row r="288" spans="1:48" ht="18" customHeight="1">
      <c r="A288" s="188">
        <v>20250330</v>
      </c>
      <c r="B288" s="189" t="s">
        <v>663</v>
      </c>
      <c r="C288" s="190">
        <v>46004</v>
      </c>
      <c r="D288" s="190">
        <v>46018</v>
      </c>
      <c r="E288" s="191">
        <v>761</v>
      </c>
      <c r="F288" s="192">
        <v>973.30499999999995</v>
      </c>
      <c r="G288" s="193">
        <v>328</v>
      </c>
      <c r="H288" s="194" t="s">
        <v>468</v>
      </c>
      <c r="I288" s="194" t="s">
        <v>667</v>
      </c>
      <c r="J288" s="189" t="s">
        <v>123</v>
      </c>
      <c r="K288" s="203">
        <f t="shared" si="45"/>
        <v>46026</v>
      </c>
      <c r="L288" s="203">
        <f t="shared" si="46"/>
        <v>46086</v>
      </c>
      <c r="M288" s="195"/>
      <c r="N288" s="196">
        <f>E288-310-129-290-14</f>
        <v>18</v>
      </c>
      <c r="O288" s="197">
        <f t="shared" si="47"/>
        <v>23.021668856767413</v>
      </c>
      <c r="P288" s="198">
        <f t="shared" si="42"/>
        <v>7.7582128777923787</v>
      </c>
      <c r="Q288" s="73"/>
      <c r="R288" s="58"/>
      <c r="S288" s="200" t="s">
        <v>668</v>
      </c>
      <c r="T288" s="201">
        <v>62</v>
      </c>
      <c r="U288" s="58" t="s">
        <v>669</v>
      </c>
      <c r="V288" s="46"/>
      <c r="W288" s="46"/>
      <c r="X288" s="99" t="s">
        <v>76</v>
      </c>
      <c r="Y288" s="63">
        <f t="shared" si="49"/>
        <v>1.2789816031537451</v>
      </c>
      <c r="Z288" s="64">
        <f t="shared" si="51"/>
        <v>743</v>
      </c>
      <c r="AA288" s="202"/>
    </row>
    <row r="289" spans="1:48" ht="18" customHeight="1">
      <c r="A289" s="106">
        <v>20250330</v>
      </c>
      <c r="B289" s="107" t="s">
        <v>663</v>
      </c>
      <c r="C289" s="108">
        <v>46004</v>
      </c>
      <c r="D289" s="108">
        <v>46018</v>
      </c>
      <c r="E289" s="106">
        <v>2269</v>
      </c>
      <c r="F289" s="106">
        <v>2454.61</v>
      </c>
      <c r="G289" s="106">
        <v>978</v>
      </c>
      <c r="H289" s="109" t="s">
        <v>670</v>
      </c>
      <c r="I289" s="109" t="s">
        <v>303</v>
      </c>
      <c r="J289" s="107" t="s">
        <v>123</v>
      </c>
      <c r="K289" s="108">
        <f t="shared" si="45"/>
        <v>46026</v>
      </c>
      <c r="L289" s="108">
        <f t="shared" si="46"/>
        <v>46086</v>
      </c>
      <c r="M289" s="111"/>
      <c r="N289" s="112">
        <f>E289-210-180-180-210-120-210-60-180-120-180-180-180-30-120-60-49</f>
        <v>0</v>
      </c>
      <c r="O289" s="113">
        <f t="shared" si="47"/>
        <v>0</v>
      </c>
      <c r="P289" s="112">
        <f t="shared" si="42"/>
        <v>0</v>
      </c>
      <c r="Q289" s="109"/>
      <c r="R289" s="109"/>
      <c r="S289" s="109" t="s">
        <v>671</v>
      </c>
      <c r="T289" s="114">
        <v>63</v>
      </c>
      <c r="U289" s="109" t="s">
        <v>545</v>
      </c>
      <c r="V289" s="106"/>
      <c r="W289" s="106"/>
      <c r="X289" s="106" t="s">
        <v>55</v>
      </c>
      <c r="Y289" s="63">
        <f t="shared" si="49"/>
        <v>1.0818025561921552</v>
      </c>
      <c r="Z289" s="30"/>
    </row>
    <row r="290" spans="1:48" ht="18" customHeight="1">
      <c r="A290" s="106">
        <v>20250330</v>
      </c>
      <c r="B290" s="107" t="s">
        <v>663</v>
      </c>
      <c r="C290" s="108">
        <v>46004</v>
      </c>
      <c r="D290" s="108">
        <v>46018</v>
      </c>
      <c r="E290" s="106">
        <v>182</v>
      </c>
      <c r="F290" s="106">
        <v>197.23699999999999</v>
      </c>
      <c r="G290" s="106">
        <v>79</v>
      </c>
      <c r="H290" s="109" t="s">
        <v>672</v>
      </c>
      <c r="I290" s="109" t="s">
        <v>303</v>
      </c>
      <c r="J290" s="107" t="s">
        <v>123</v>
      </c>
      <c r="K290" s="108">
        <f t="shared" si="45"/>
        <v>46026</v>
      </c>
      <c r="L290" s="108">
        <f t="shared" si="46"/>
        <v>46086</v>
      </c>
      <c r="M290" s="111"/>
      <c r="N290" s="112">
        <f>E290-140-42</f>
        <v>0</v>
      </c>
      <c r="O290" s="113">
        <f t="shared" si="47"/>
        <v>0</v>
      </c>
      <c r="P290" s="112">
        <f t="shared" si="42"/>
        <v>0</v>
      </c>
      <c r="Q290" s="109"/>
      <c r="R290" s="109"/>
      <c r="S290" s="109" t="s">
        <v>673</v>
      </c>
      <c r="T290" s="114">
        <v>67</v>
      </c>
      <c r="U290" s="109" t="s">
        <v>545</v>
      </c>
      <c r="V290" s="106"/>
      <c r="W290" s="106"/>
      <c r="X290" s="106" t="s">
        <v>55</v>
      </c>
      <c r="Y290" s="63">
        <f t="shared" si="49"/>
        <v>1.0837197802197802</v>
      </c>
      <c r="Z290" s="30"/>
      <c r="AA290" s="64">
        <v>2</v>
      </c>
    </row>
    <row r="291" spans="1:48" ht="18" customHeight="1">
      <c r="A291" s="106">
        <v>20250330</v>
      </c>
      <c r="B291" s="107" t="s">
        <v>663</v>
      </c>
      <c r="C291" s="108">
        <v>46004</v>
      </c>
      <c r="D291" s="108">
        <v>46018</v>
      </c>
      <c r="E291" s="106">
        <v>225</v>
      </c>
      <c r="F291" s="106">
        <v>238.041</v>
      </c>
      <c r="G291" s="106">
        <v>97</v>
      </c>
      <c r="H291" s="109" t="s">
        <v>674</v>
      </c>
      <c r="I291" s="109" t="s">
        <v>303</v>
      </c>
      <c r="J291" s="107" t="s">
        <v>123</v>
      </c>
      <c r="K291" s="108">
        <f t="shared" si="45"/>
        <v>46026</v>
      </c>
      <c r="L291" s="108">
        <f t="shared" si="46"/>
        <v>46086</v>
      </c>
      <c r="M291" s="111"/>
      <c r="N291" s="112">
        <f>E291-70-70-35-35-15</f>
        <v>0</v>
      </c>
      <c r="O291" s="113">
        <f t="shared" si="47"/>
        <v>0</v>
      </c>
      <c r="P291" s="112">
        <f t="shared" si="42"/>
        <v>0</v>
      </c>
      <c r="Q291" s="109"/>
      <c r="R291" s="109"/>
      <c r="S291" s="109" t="s">
        <v>675</v>
      </c>
      <c r="T291" s="114">
        <v>68</v>
      </c>
      <c r="U291" s="109" t="s">
        <v>545</v>
      </c>
      <c r="V291" s="106"/>
      <c r="W291" s="106"/>
      <c r="X291" s="106" t="s">
        <v>55</v>
      </c>
      <c r="Y291" s="63">
        <f t="shared" si="49"/>
        <v>1.05796</v>
      </c>
      <c r="Z291" s="30"/>
      <c r="AA291" s="64">
        <v>2</v>
      </c>
    </row>
    <row r="292" spans="1:48" ht="18" customHeight="1">
      <c r="A292" s="188">
        <v>20250330</v>
      </c>
      <c r="B292" s="189" t="s">
        <v>663</v>
      </c>
      <c r="C292" s="190">
        <v>46004</v>
      </c>
      <c r="D292" s="190">
        <v>46018</v>
      </c>
      <c r="E292" s="191">
        <v>610</v>
      </c>
      <c r="F292" s="192">
        <v>1279.3720000000001</v>
      </c>
      <c r="G292" s="193">
        <v>248</v>
      </c>
      <c r="H292" s="194" t="s">
        <v>676</v>
      </c>
      <c r="I292" s="194" t="s">
        <v>303</v>
      </c>
      <c r="J292" s="189" t="s">
        <v>123</v>
      </c>
      <c r="K292" s="203">
        <f t="shared" si="45"/>
        <v>46026</v>
      </c>
      <c r="L292" s="203">
        <f t="shared" si="46"/>
        <v>46086</v>
      </c>
      <c r="M292" s="195"/>
      <c r="N292" s="196">
        <f>E292-58-132-60-108-120-66-60-5</f>
        <v>1</v>
      </c>
      <c r="O292" s="197">
        <f t="shared" si="47"/>
        <v>2.0973311475409839</v>
      </c>
      <c r="P292" s="198">
        <f t="shared" si="42"/>
        <v>0.40655737704918032</v>
      </c>
      <c r="Q292" s="73"/>
      <c r="R292" s="58"/>
      <c r="S292" s="200" t="s">
        <v>677</v>
      </c>
      <c r="T292" s="201">
        <v>71</v>
      </c>
      <c r="U292" s="58" t="s">
        <v>545</v>
      </c>
      <c r="V292" s="46"/>
      <c r="W292" s="46"/>
      <c r="X292" s="99" t="s">
        <v>76</v>
      </c>
      <c r="Y292" s="63">
        <f t="shared" si="49"/>
        <v>2.0973311475409839</v>
      </c>
      <c r="Z292" s="64">
        <f t="shared" ref="Z292:Z299" si="52">E292-N292</f>
        <v>609</v>
      </c>
      <c r="AA292" s="64">
        <v>1</v>
      </c>
    </row>
    <row r="293" spans="1:48" ht="18" customHeight="1">
      <c r="A293" s="188">
        <v>20250330</v>
      </c>
      <c r="B293" s="189" t="s">
        <v>663</v>
      </c>
      <c r="C293" s="190">
        <v>46004</v>
      </c>
      <c r="D293" s="190">
        <v>46018</v>
      </c>
      <c r="E293" s="191">
        <v>174</v>
      </c>
      <c r="F293" s="192">
        <v>291.12900000000002</v>
      </c>
      <c r="G293" s="193">
        <v>71</v>
      </c>
      <c r="H293" s="194" t="s">
        <v>678</v>
      </c>
      <c r="I293" s="189" t="s">
        <v>402</v>
      </c>
      <c r="J293" s="189" t="s">
        <v>123</v>
      </c>
      <c r="K293" s="203">
        <f t="shared" si="45"/>
        <v>46026</v>
      </c>
      <c r="L293" s="203">
        <f t="shared" si="46"/>
        <v>46086</v>
      </c>
      <c r="M293" s="195"/>
      <c r="N293" s="196">
        <f>E293-102-49-18</f>
        <v>5</v>
      </c>
      <c r="O293" s="197">
        <f t="shared" si="47"/>
        <v>8.3657758620689666</v>
      </c>
      <c r="P293" s="198">
        <f t="shared" si="42"/>
        <v>2.0402298850574714</v>
      </c>
      <c r="Q293" s="73"/>
      <c r="R293" s="58"/>
      <c r="S293" s="200" t="s">
        <v>679</v>
      </c>
      <c r="T293" s="201">
        <v>74</v>
      </c>
      <c r="U293" s="58" t="s">
        <v>402</v>
      </c>
      <c r="V293" s="46"/>
      <c r="W293" s="46"/>
      <c r="X293" s="99" t="s">
        <v>76</v>
      </c>
      <c r="Y293" s="63">
        <f t="shared" si="49"/>
        <v>1.6731551724137932</v>
      </c>
      <c r="Z293" s="64">
        <f t="shared" si="52"/>
        <v>169</v>
      </c>
      <c r="AA293" s="64">
        <v>7</v>
      </c>
    </row>
    <row r="294" spans="1:48" ht="18" customHeight="1">
      <c r="A294" s="63">
        <v>20250330</v>
      </c>
      <c r="B294" s="65" t="s">
        <v>663</v>
      </c>
      <c r="C294" s="66">
        <v>46004</v>
      </c>
      <c r="D294" s="66">
        <v>46018</v>
      </c>
      <c r="E294" s="67">
        <v>1</v>
      </c>
      <c r="F294" s="68">
        <v>34.270000000000003</v>
      </c>
      <c r="G294" s="69">
        <v>24</v>
      </c>
      <c r="H294" s="70" t="s">
        <v>680</v>
      </c>
      <c r="I294" s="70" t="s">
        <v>194</v>
      </c>
      <c r="J294" s="65" t="s">
        <v>26</v>
      </c>
      <c r="K294" s="48">
        <f t="shared" si="45"/>
        <v>46026</v>
      </c>
      <c r="L294" s="48">
        <f t="shared" si="46"/>
        <v>46086</v>
      </c>
      <c r="M294" s="71"/>
      <c r="N294" s="72">
        <f>E294</f>
        <v>1</v>
      </c>
      <c r="O294" s="50">
        <f t="shared" si="47"/>
        <v>34.270000000000003</v>
      </c>
      <c r="P294" s="56">
        <f t="shared" si="42"/>
        <v>24</v>
      </c>
      <c r="Q294" s="73"/>
      <c r="R294" s="58"/>
      <c r="S294" s="200" t="s">
        <v>681</v>
      </c>
      <c r="T294" s="201">
        <v>10</v>
      </c>
      <c r="U294" s="58" t="s">
        <v>682</v>
      </c>
      <c r="V294" s="46"/>
      <c r="W294" s="46"/>
      <c r="X294" s="62" t="s">
        <v>25</v>
      </c>
      <c r="Y294" s="63">
        <f t="shared" si="49"/>
        <v>34.270000000000003</v>
      </c>
      <c r="Z294" s="64">
        <f t="shared" si="52"/>
        <v>0</v>
      </c>
      <c r="AA294" s="64">
        <v>59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</row>
    <row r="295" spans="1:48" ht="18" customHeight="1">
      <c r="A295" s="63">
        <v>20250330</v>
      </c>
      <c r="B295" s="65" t="s">
        <v>663</v>
      </c>
      <c r="C295" s="66">
        <v>46004</v>
      </c>
      <c r="D295" s="66">
        <v>46018</v>
      </c>
      <c r="E295" s="67">
        <v>2</v>
      </c>
      <c r="F295" s="68">
        <v>0</v>
      </c>
      <c r="G295" s="69">
        <v>6</v>
      </c>
      <c r="H295" s="70" t="s">
        <v>680</v>
      </c>
      <c r="I295" s="70" t="s">
        <v>24</v>
      </c>
      <c r="J295" s="65" t="s">
        <v>24</v>
      </c>
      <c r="K295" s="48">
        <f t="shared" si="45"/>
        <v>46026</v>
      </c>
      <c r="L295" s="48">
        <f t="shared" si="46"/>
        <v>46086</v>
      </c>
      <c r="M295" s="71"/>
      <c r="N295" s="72">
        <f>E295</f>
        <v>2</v>
      </c>
      <c r="O295" s="50">
        <f t="shared" si="47"/>
        <v>0</v>
      </c>
      <c r="P295" s="56">
        <f t="shared" si="42"/>
        <v>6</v>
      </c>
      <c r="Q295" s="73"/>
      <c r="R295" s="58"/>
      <c r="S295" s="200" t="s">
        <v>681</v>
      </c>
      <c r="T295" s="201">
        <v>10</v>
      </c>
      <c r="U295" s="58"/>
      <c r="V295" s="46"/>
      <c r="W295" s="46"/>
      <c r="X295" s="62" t="s">
        <v>25</v>
      </c>
      <c r="Y295" s="63">
        <f t="shared" si="49"/>
        <v>0</v>
      </c>
      <c r="Z295" s="64">
        <f t="shared" si="52"/>
        <v>0</v>
      </c>
      <c r="AA295" s="64">
        <v>588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</row>
    <row r="296" spans="1:48" ht="18" customHeight="1">
      <c r="A296" s="63">
        <v>20250330</v>
      </c>
      <c r="B296" s="65" t="s">
        <v>663</v>
      </c>
      <c r="C296" s="66">
        <v>46004</v>
      </c>
      <c r="D296" s="66">
        <v>46018</v>
      </c>
      <c r="E296" s="67">
        <v>1</v>
      </c>
      <c r="F296" s="68">
        <v>5.25</v>
      </c>
      <c r="G296" s="69">
        <v>24</v>
      </c>
      <c r="H296" s="70" t="s">
        <v>683</v>
      </c>
      <c r="I296" s="70" t="s">
        <v>106</v>
      </c>
      <c r="J296" s="65" t="s">
        <v>29</v>
      </c>
      <c r="K296" s="48">
        <f t="shared" si="45"/>
        <v>46026</v>
      </c>
      <c r="L296" s="48">
        <f t="shared" si="46"/>
        <v>46086</v>
      </c>
      <c r="M296" s="71"/>
      <c r="N296" s="72">
        <f>E296</f>
        <v>1</v>
      </c>
      <c r="O296" s="50">
        <f t="shared" si="47"/>
        <v>5.25</v>
      </c>
      <c r="P296" s="56">
        <f t="shared" si="42"/>
        <v>24</v>
      </c>
      <c r="Q296" s="73"/>
      <c r="R296" s="58"/>
      <c r="S296" s="200" t="s">
        <v>684</v>
      </c>
      <c r="T296" s="201"/>
      <c r="U296" s="58" t="s">
        <v>685</v>
      </c>
      <c r="V296" s="46"/>
      <c r="W296" s="46"/>
      <c r="X296" s="62" t="s">
        <v>25</v>
      </c>
      <c r="Y296" s="63">
        <f t="shared" si="49"/>
        <v>5.25</v>
      </c>
      <c r="Z296" s="64">
        <f t="shared" si="52"/>
        <v>0</v>
      </c>
      <c r="AA296" s="64">
        <v>31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</row>
    <row r="297" spans="1:48" ht="18" customHeight="1">
      <c r="A297" s="63">
        <v>20250330</v>
      </c>
      <c r="B297" s="65" t="s">
        <v>663</v>
      </c>
      <c r="C297" s="66">
        <v>46004</v>
      </c>
      <c r="D297" s="66">
        <v>46018</v>
      </c>
      <c r="E297" s="67">
        <v>3</v>
      </c>
      <c r="F297" s="68">
        <v>45</v>
      </c>
      <c r="G297" s="69">
        <v>72</v>
      </c>
      <c r="H297" s="70" t="s">
        <v>686</v>
      </c>
      <c r="I297" s="70" t="s">
        <v>42</v>
      </c>
      <c r="J297" s="65" t="s">
        <v>28</v>
      </c>
      <c r="K297" s="48">
        <f t="shared" si="45"/>
        <v>46026</v>
      </c>
      <c r="L297" s="48">
        <f t="shared" si="46"/>
        <v>46086</v>
      </c>
      <c r="M297" s="71"/>
      <c r="N297" s="72">
        <f>E297</f>
        <v>3</v>
      </c>
      <c r="O297" s="50">
        <f t="shared" si="47"/>
        <v>45</v>
      </c>
      <c r="P297" s="56">
        <f t="shared" si="42"/>
        <v>72</v>
      </c>
      <c r="Q297" s="73"/>
      <c r="R297" s="58"/>
      <c r="S297" s="200" t="s">
        <v>687</v>
      </c>
      <c r="T297" s="201"/>
      <c r="U297" s="58" t="s">
        <v>688</v>
      </c>
      <c r="V297" s="46"/>
      <c r="W297" s="46"/>
      <c r="X297" s="62" t="s">
        <v>25</v>
      </c>
      <c r="Y297" s="63">
        <f t="shared" si="49"/>
        <v>15</v>
      </c>
      <c r="Z297" s="64">
        <f t="shared" si="52"/>
        <v>0</v>
      </c>
      <c r="AA297" s="64">
        <v>73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</row>
    <row r="298" spans="1:48" ht="18" customHeight="1">
      <c r="A298" s="206">
        <v>20250330</v>
      </c>
      <c r="B298" s="207" t="s">
        <v>663</v>
      </c>
      <c r="C298" s="208">
        <v>46004</v>
      </c>
      <c r="D298" s="208">
        <v>46018</v>
      </c>
      <c r="E298" s="209">
        <v>4</v>
      </c>
      <c r="F298" s="210">
        <v>60</v>
      </c>
      <c r="G298" s="211">
        <v>96</v>
      </c>
      <c r="H298" s="212" t="s">
        <v>689</v>
      </c>
      <c r="I298" s="212" t="s">
        <v>42</v>
      </c>
      <c r="J298" s="207" t="s">
        <v>28</v>
      </c>
      <c r="K298" s="213">
        <f t="shared" si="45"/>
        <v>46026</v>
      </c>
      <c r="L298" s="213">
        <f t="shared" si="46"/>
        <v>46086</v>
      </c>
      <c r="M298" s="214"/>
      <c r="N298" s="215">
        <f>E298-2</f>
        <v>2</v>
      </c>
      <c r="O298" s="216">
        <f t="shared" si="47"/>
        <v>30</v>
      </c>
      <c r="P298" s="218">
        <f t="shared" si="42"/>
        <v>48</v>
      </c>
      <c r="Q298" s="73"/>
      <c r="R298" s="58"/>
      <c r="S298" s="200" t="s">
        <v>690</v>
      </c>
      <c r="T298" s="201"/>
      <c r="U298" s="58" t="s">
        <v>691</v>
      </c>
      <c r="V298" s="46"/>
      <c r="W298" s="46"/>
      <c r="X298" s="99" t="s">
        <v>76</v>
      </c>
      <c r="Y298" s="63">
        <f t="shared" si="49"/>
        <v>15</v>
      </c>
      <c r="Z298" s="64">
        <f t="shared" si="52"/>
        <v>2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</row>
    <row r="299" spans="1:48" ht="18" customHeight="1">
      <c r="A299" s="63">
        <v>20250330</v>
      </c>
      <c r="B299" s="65" t="s">
        <v>663</v>
      </c>
      <c r="C299" s="66">
        <v>46004</v>
      </c>
      <c r="D299" s="66">
        <v>46018</v>
      </c>
      <c r="E299" s="67">
        <v>1</v>
      </c>
      <c r="F299" s="68">
        <v>13</v>
      </c>
      <c r="G299" s="69">
        <v>24</v>
      </c>
      <c r="H299" s="70" t="s">
        <v>692</v>
      </c>
      <c r="I299" s="70" t="s">
        <v>42</v>
      </c>
      <c r="J299" s="65" t="s">
        <v>28</v>
      </c>
      <c r="K299" s="48">
        <f t="shared" si="45"/>
        <v>46026</v>
      </c>
      <c r="L299" s="48">
        <f t="shared" si="46"/>
        <v>46086</v>
      </c>
      <c r="M299" s="71"/>
      <c r="N299" s="72">
        <f>E299</f>
        <v>1</v>
      </c>
      <c r="O299" s="50">
        <f t="shared" si="47"/>
        <v>13</v>
      </c>
      <c r="P299" s="56">
        <f t="shared" si="42"/>
        <v>24</v>
      </c>
      <c r="Q299" s="73"/>
      <c r="R299" s="58"/>
      <c r="S299" s="200" t="s">
        <v>693</v>
      </c>
      <c r="T299" s="201"/>
      <c r="U299" s="58" t="s">
        <v>694</v>
      </c>
      <c r="V299" s="46"/>
      <c r="W299" s="46"/>
      <c r="X299" s="62" t="s">
        <v>25</v>
      </c>
      <c r="Y299" s="63">
        <f t="shared" si="49"/>
        <v>13</v>
      </c>
      <c r="Z299" s="64">
        <f t="shared" si="52"/>
        <v>0</v>
      </c>
      <c r="AA299" s="64">
        <v>48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</row>
    <row r="300" spans="1:48" ht="18" customHeight="1">
      <c r="A300" s="106">
        <v>20250330</v>
      </c>
      <c r="B300" s="107" t="s">
        <v>663</v>
      </c>
      <c r="C300" s="108">
        <v>46004</v>
      </c>
      <c r="D300" s="108">
        <v>46018</v>
      </c>
      <c r="E300" s="106">
        <v>2</v>
      </c>
      <c r="F300" s="106">
        <v>16</v>
      </c>
      <c r="G300" s="106">
        <v>48</v>
      </c>
      <c r="H300" s="109" t="s">
        <v>692</v>
      </c>
      <c r="I300" s="109" t="s">
        <v>42</v>
      </c>
      <c r="J300" s="107" t="s">
        <v>28</v>
      </c>
      <c r="K300" s="108">
        <f t="shared" si="45"/>
        <v>46026</v>
      </c>
      <c r="L300" s="108">
        <f t="shared" si="46"/>
        <v>46086</v>
      </c>
      <c r="M300" s="111"/>
      <c r="N300" s="112">
        <f>E300-2</f>
        <v>0</v>
      </c>
      <c r="O300" s="113">
        <f t="shared" si="47"/>
        <v>0</v>
      </c>
      <c r="P300" s="112">
        <f t="shared" si="42"/>
        <v>0</v>
      </c>
      <c r="Q300" s="109"/>
      <c r="R300" s="109"/>
      <c r="S300" s="109" t="s">
        <v>695</v>
      </c>
      <c r="T300" s="114">
        <v>38</v>
      </c>
      <c r="U300" s="109" t="s">
        <v>696</v>
      </c>
      <c r="V300" s="106"/>
      <c r="W300" s="106"/>
      <c r="X300" s="106" t="s">
        <v>55</v>
      </c>
      <c r="Y300" s="63">
        <f t="shared" si="49"/>
        <v>8</v>
      </c>
      <c r="Z300" s="30"/>
      <c r="AB300" s="202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</row>
    <row r="301" spans="1:48" ht="18" customHeight="1">
      <c r="A301" s="106">
        <v>20250330</v>
      </c>
      <c r="B301" s="107" t="s">
        <v>663</v>
      </c>
      <c r="C301" s="108">
        <v>46004</v>
      </c>
      <c r="D301" s="108">
        <v>46018</v>
      </c>
      <c r="E301" s="106">
        <v>1</v>
      </c>
      <c r="F301" s="106">
        <v>14</v>
      </c>
      <c r="G301" s="106">
        <v>24</v>
      </c>
      <c r="H301" s="109" t="s">
        <v>692</v>
      </c>
      <c r="I301" s="109" t="s">
        <v>42</v>
      </c>
      <c r="J301" s="107" t="s">
        <v>28</v>
      </c>
      <c r="K301" s="108">
        <f t="shared" si="45"/>
        <v>46026</v>
      </c>
      <c r="L301" s="108">
        <f t="shared" si="46"/>
        <v>46086</v>
      </c>
      <c r="M301" s="111"/>
      <c r="N301" s="112">
        <f>E301-1</f>
        <v>0</v>
      </c>
      <c r="O301" s="113">
        <f t="shared" si="47"/>
        <v>0</v>
      </c>
      <c r="P301" s="112">
        <f t="shared" si="42"/>
        <v>0</v>
      </c>
      <c r="Q301" s="109"/>
      <c r="R301" s="109"/>
      <c r="S301" s="109" t="s">
        <v>697</v>
      </c>
      <c r="T301" s="114">
        <v>39</v>
      </c>
      <c r="U301" s="109" t="s">
        <v>698</v>
      </c>
      <c r="V301" s="106"/>
      <c r="W301" s="106"/>
      <c r="X301" s="106" t="s">
        <v>55</v>
      </c>
      <c r="Y301" s="63">
        <f t="shared" si="49"/>
        <v>14</v>
      </c>
      <c r="Z301" s="30"/>
      <c r="AA301" s="64">
        <v>111</v>
      </c>
      <c r="AB301" s="202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</row>
    <row r="302" spans="1:48" ht="18" customHeight="1">
      <c r="A302" s="106">
        <v>20250330</v>
      </c>
      <c r="B302" s="107" t="s">
        <v>663</v>
      </c>
      <c r="C302" s="108">
        <v>46004</v>
      </c>
      <c r="D302" s="108">
        <v>46018</v>
      </c>
      <c r="E302" s="106">
        <v>1</v>
      </c>
      <c r="F302" s="106">
        <v>17</v>
      </c>
      <c r="G302" s="106">
        <v>24</v>
      </c>
      <c r="H302" s="109" t="s">
        <v>692</v>
      </c>
      <c r="I302" s="109" t="s">
        <v>63</v>
      </c>
      <c r="J302" s="107" t="s">
        <v>28</v>
      </c>
      <c r="K302" s="108">
        <f t="shared" si="45"/>
        <v>46026</v>
      </c>
      <c r="L302" s="108">
        <f t="shared" si="46"/>
        <v>46086</v>
      </c>
      <c r="M302" s="111"/>
      <c r="N302" s="112">
        <f>E302-1</f>
        <v>0</v>
      </c>
      <c r="O302" s="113">
        <f t="shared" si="47"/>
        <v>0</v>
      </c>
      <c r="P302" s="112">
        <f t="shared" si="42"/>
        <v>0</v>
      </c>
      <c r="Q302" s="109"/>
      <c r="R302" s="109"/>
      <c r="S302" s="109" t="s">
        <v>699</v>
      </c>
      <c r="T302" s="114">
        <v>40</v>
      </c>
      <c r="U302" s="109" t="s">
        <v>700</v>
      </c>
      <c r="V302" s="106"/>
      <c r="W302" s="106"/>
      <c r="X302" s="106" t="s">
        <v>55</v>
      </c>
      <c r="Y302" s="63">
        <f t="shared" si="49"/>
        <v>17</v>
      </c>
      <c r="Z302" s="30"/>
      <c r="AB302" s="2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</row>
    <row r="303" spans="1:48" ht="18" customHeight="1">
      <c r="A303" s="106">
        <v>20250330</v>
      </c>
      <c r="B303" s="107" t="s">
        <v>663</v>
      </c>
      <c r="C303" s="108">
        <v>46004</v>
      </c>
      <c r="D303" s="108">
        <v>46018</v>
      </c>
      <c r="E303" s="106">
        <v>1</v>
      </c>
      <c r="F303" s="106">
        <v>20</v>
      </c>
      <c r="G303" s="106">
        <v>24</v>
      </c>
      <c r="H303" s="109" t="s">
        <v>692</v>
      </c>
      <c r="I303" s="109" t="s">
        <v>208</v>
      </c>
      <c r="J303" s="107" t="s">
        <v>26</v>
      </c>
      <c r="K303" s="108">
        <f t="shared" si="45"/>
        <v>46026</v>
      </c>
      <c r="L303" s="108">
        <f t="shared" si="46"/>
        <v>46086</v>
      </c>
      <c r="M303" s="111"/>
      <c r="N303" s="112">
        <f>E303-1</f>
        <v>0</v>
      </c>
      <c r="O303" s="113">
        <f t="shared" si="47"/>
        <v>0</v>
      </c>
      <c r="P303" s="112">
        <f t="shared" si="42"/>
        <v>0</v>
      </c>
      <c r="Q303" s="109"/>
      <c r="R303" s="109"/>
      <c r="S303" s="109" t="s">
        <v>701</v>
      </c>
      <c r="T303" s="114"/>
      <c r="U303" s="109" t="s">
        <v>702</v>
      </c>
      <c r="V303" s="106"/>
      <c r="W303" s="106"/>
      <c r="X303" s="106" t="s">
        <v>55</v>
      </c>
      <c r="Y303" s="63">
        <f t="shared" si="49"/>
        <v>20</v>
      </c>
      <c r="Z303" s="30"/>
      <c r="AB303" s="202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</row>
    <row r="304" spans="1:48" ht="18" customHeight="1">
      <c r="A304" s="63">
        <v>20250330</v>
      </c>
      <c r="B304" s="65" t="s">
        <v>663</v>
      </c>
      <c r="C304" s="66">
        <v>46004</v>
      </c>
      <c r="D304" s="66">
        <v>46018</v>
      </c>
      <c r="E304" s="67">
        <v>1</v>
      </c>
      <c r="F304" s="68">
        <v>13</v>
      </c>
      <c r="G304" s="69">
        <v>24</v>
      </c>
      <c r="H304" s="70" t="s">
        <v>703</v>
      </c>
      <c r="I304" s="70" t="s">
        <v>42</v>
      </c>
      <c r="J304" s="65" t="s">
        <v>28</v>
      </c>
      <c r="K304" s="48">
        <f t="shared" si="45"/>
        <v>46026</v>
      </c>
      <c r="L304" s="48">
        <f t="shared" si="46"/>
        <v>46086</v>
      </c>
      <c r="M304" s="71"/>
      <c r="N304" s="72">
        <f t="shared" ref="N304:N314" si="53">E304</f>
        <v>1</v>
      </c>
      <c r="O304" s="50">
        <f t="shared" si="47"/>
        <v>13</v>
      </c>
      <c r="P304" s="56">
        <f t="shared" si="42"/>
        <v>24</v>
      </c>
      <c r="Q304" s="73"/>
      <c r="R304" s="58"/>
      <c r="S304" s="200" t="s">
        <v>704</v>
      </c>
      <c r="T304" s="201"/>
      <c r="U304" s="58" t="s">
        <v>705</v>
      </c>
      <c r="V304" s="46"/>
      <c r="W304" s="46"/>
      <c r="X304" s="62" t="s">
        <v>25</v>
      </c>
      <c r="Y304" s="63">
        <f t="shared" si="49"/>
        <v>13</v>
      </c>
      <c r="Z304" s="64">
        <f t="shared" ref="Z304:Z332" si="54">E304-N304</f>
        <v>0</v>
      </c>
      <c r="AA304" s="64">
        <v>1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</row>
    <row r="305" spans="1:48" ht="18" customHeight="1">
      <c r="A305" s="63">
        <v>20250330</v>
      </c>
      <c r="B305" s="65" t="s">
        <v>663</v>
      </c>
      <c r="C305" s="66">
        <v>46004</v>
      </c>
      <c r="D305" s="66">
        <v>46018</v>
      </c>
      <c r="E305" s="67">
        <v>1</v>
      </c>
      <c r="F305" s="68">
        <v>17</v>
      </c>
      <c r="G305" s="69">
        <v>24</v>
      </c>
      <c r="H305" s="70" t="s">
        <v>706</v>
      </c>
      <c r="I305" s="70" t="s">
        <v>63</v>
      </c>
      <c r="J305" s="65" t="s">
        <v>28</v>
      </c>
      <c r="K305" s="48">
        <f t="shared" si="45"/>
        <v>46026</v>
      </c>
      <c r="L305" s="48">
        <f t="shared" si="46"/>
        <v>46086</v>
      </c>
      <c r="M305" s="71"/>
      <c r="N305" s="72">
        <f t="shared" si="53"/>
        <v>1</v>
      </c>
      <c r="O305" s="50">
        <f t="shared" si="47"/>
        <v>17</v>
      </c>
      <c r="P305" s="56">
        <f t="shared" si="42"/>
        <v>24</v>
      </c>
      <c r="Q305" s="73"/>
      <c r="R305" s="58"/>
      <c r="S305" s="200" t="s">
        <v>707</v>
      </c>
      <c r="T305" s="201"/>
      <c r="U305" s="58" t="s">
        <v>708</v>
      </c>
      <c r="V305" s="46"/>
      <c r="W305" s="46"/>
      <c r="X305" s="62" t="s">
        <v>25</v>
      </c>
      <c r="Y305" s="63">
        <f t="shared" si="49"/>
        <v>17</v>
      </c>
      <c r="Z305" s="64">
        <f t="shared" si="54"/>
        <v>0</v>
      </c>
      <c r="AA305" s="64">
        <v>1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</row>
    <row r="306" spans="1:48" ht="18" customHeight="1">
      <c r="A306" s="63">
        <v>20250330</v>
      </c>
      <c r="B306" s="65" t="s">
        <v>663</v>
      </c>
      <c r="C306" s="66">
        <v>46004</v>
      </c>
      <c r="D306" s="66">
        <v>46018</v>
      </c>
      <c r="E306" s="67">
        <v>12</v>
      </c>
      <c r="F306" s="68">
        <v>149.63999999999999</v>
      </c>
      <c r="G306" s="69">
        <v>288</v>
      </c>
      <c r="H306" s="70" t="s">
        <v>709</v>
      </c>
      <c r="I306" s="70" t="s">
        <v>42</v>
      </c>
      <c r="J306" s="65" t="s">
        <v>28</v>
      </c>
      <c r="K306" s="48">
        <f t="shared" si="45"/>
        <v>46026</v>
      </c>
      <c r="L306" s="48">
        <f t="shared" si="46"/>
        <v>46086</v>
      </c>
      <c r="M306" s="71"/>
      <c r="N306" s="72">
        <f t="shared" si="53"/>
        <v>12</v>
      </c>
      <c r="O306" s="50">
        <f t="shared" si="47"/>
        <v>149.63999999999999</v>
      </c>
      <c r="P306" s="56">
        <f t="shared" si="42"/>
        <v>288</v>
      </c>
      <c r="Q306" s="73"/>
      <c r="R306" s="58"/>
      <c r="S306" s="200" t="s">
        <v>710</v>
      </c>
      <c r="T306" s="201"/>
      <c r="U306" s="58" t="s">
        <v>711</v>
      </c>
      <c r="V306" s="46"/>
      <c r="W306" s="46"/>
      <c r="X306" s="62" t="s">
        <v>25</v>
      </c>
      <c r="Y306" s="63">
        <f t="shared" si="49"/>
        <v>12.469999999999999</v>
      </c>
      <c r="Z306" s="64">
        <f t="shared" si="54"/>
        <v>0</v>
      </c>
      <c r="AA306" s="64">
        <v>1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</row>
    <row r="307" spans="1:48" ht="18" customHeight="1">
      <c r="A307" s="63">
        <v>20250330</v>
      </c>
      <c r="B307" s="65" t="s">
        <v>663</v>
      </c>
      <c r="C307" s="66">
        <v>46004</v>
      </c>
      <c r="D307" s="66">
        <v>46018</v>
      </c>
      <c r="E307" s="67">
        <v>1</v>
      </c>
      <c r="F307" s="68">
        <v>37</v>
      </c>
      <c r="G307" s="69">
        <v>24</v>
      </c>
      <c r="H307" s="70" t="s">
        <v>712</v>
      </c>
      <c r="I307" s="70" t="s">
        <v>194</v>
      </c>
      <c r="J307" s="65" t="s">
        <v>26</v>
      </c>
      <c r="K307" s="48">
        <f t="shared" si="45"/>
        <v>46026</v>
      </c>
      <c r="L307" s="48">
        <f t="shared" si="46"/>
        <v>46086</v>
      </c>
      <c r="M307" s="71"/>
      <c r="N307" s="72">
        <f t="shared" si="53"/>
        <v>1</v>
      </c>
      <c r="O307" s="50">
        <f t="shared" si="47"/>
        <v>37</v>
      </c>
      <c r="P307" s="56">
        <f t="shared" si="42"/>
        <v>24</v>
      </c>
      <c r="Q307" s="73"/>
      <c r="R307" s="58"/>
      <c r="S307" s="200" t="s">
        <v>713</v>
      </c>
      <c r="T307" s="201">
        <v>60</v>
      </c>
      <c r="U307" s="58" t="s">
        <v>714</v>
      </c>
      <c r="V307" s="46"/>
      <c r="W307" s="46"/>
      <c r="X307" s="62" t="s">
        <v>25</v>
      </c>
      <c r="Y307" s="63">
        <f t="shared" si="49"/>
        <v>37</v>
      </c>
      <c r="Z307" s="64">
        <f t="shared" si="54"/>
        <v>0</v>
      </c>
      <c r="AA307" s="64">
        <v>2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</row>
    <row r="308" spans="1:48" ht="18" customHeight="1">
      <c r="A308" s="63">
        <v>20250330</v>
      </c>
      <c r="B308" s="65" t="s">
        <v>663</v>
      </c>
      <c r="C308" s="66">
        <v>46004</v>
      </c>
      <c r="D308" s="66">
        <v>46018</v>
      </c>
      <c r="E308" s="67">
        <v>2</v>
      </c>
      <c r="F308" s="68">
        <v>0</v>
      </c>
      <c r="G308" s="69">
        <v>6</v>
      </c>
      <c r="H308" s="70" t="s">
        <v>712</v>
      </c>
      <c r="I308" s="70" t="s">
        <v>24</v>
      </c>
      <c r="J308" s="65" t="s">
        <v>24</v>
      </c>
      <c r="K308" s="48">
        <f t="shared" si="45"/>
        <v>46026</v>
      </c>
      <c r="L308" s="48">
        <f t="shared" si="46"/>
        <v>46086</v>
      </c>
      <c r="M308" s="71"/>
      <c r="N308" s="72">
        <f t="shared" si="53"/>
        <v>2</v>
      </c>
      <c r="O308" s="50">
        <f t="shared" si="47"/>
        <v>0</v>
      </c>
      <c r="P308" s="56">
        <f t="shared" si="42"/>
        <v>6</v>
      </c>
      <c r="Q308" s="73"/>
      <c r="R308" s="58"/>
      <c r="S308" s="200" t="s">
        <v>713</v>
      </c>
      <c r="T308" s="201">
        <v>60</v>
      </c>
      <c r="U308" s="58"/>
      <c r="V308" s="46"/>
      <c r="W308" s="46"/>
      <c r="X308" s="62" t="s">
        <v>25</v>
      </c>
      <c r="Y308" s="63">
        <f t="shared" si="49"/>
        <v>0</v>
      </c>
      <c r="Z308" s="64">
        <f t="shared" si="54"/>
        <v>0</v>
      </c>
      <c r="AA308" s="64">
        <v>1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</row>
    <row r="309" spans="1:48" ht="18" customHeight="1">
      <c r="A309" s="63">
        <v>20250330</v>
      </c>
      <c r="B309" s="65" t="s">
        <v>663</v>
      </c>
      <c r="C309" s="66">
        <v>46004</v>
      </c>
      <c r="D309" s="66">
        <v>46018</v>
      </c>
      <c r="E309" s="67">
        <v>1</v>
      </c>
      <c r="F309" s="68">
        <v>34.15</v>
      </c>
      <c r="G309" s="69">
        <v>24</v>
      </c>
      <c r="H309" s="70" t="s">
        <v>715</v>
      </c>
      <c r="I309" s="70" t="s">
        <v>194</v>
      </c>
      <c r="J309" s="65" t="s">
        <v>26</v>
      </c>
      <c r="K309" s="48">
        <f t="shared" si="45"/>
        <v>46026</v>
      </c>
      <c r="L309" s="48">
        <f t="shared" si="46"/>
        <v>46086</v>
      </c>
      <c r="M309" s="71"/>
      <c r="N309" s="72">
        <f t="shared" si="53"/>
        <v>1</v>
      </c>
      <c r="O309" s="50">
        <f t="shared" si="47"/>
        <v>34.15</v>
      </c>
      <c r="P309" s="56">
        <f t="shared" si="42"/>
        <v>24</v>
      </c>
      <c r="Q309" s="73"/>
      <c r="R309" s="58"/>
      <c r="S309" s="200" t="s">
        <v>716</v>
      </c>
      <c r="T309" s="201">
        <v>94</v>
      </c>
      <c r="U309" s="58" t="s">
        <v>682</v>
      </c>
      <c r="V309" s="46"/>
      <c r="W309" s="46"/>
      <c r="X309" s="62" t="s">
        <v>25</v>
      </c>
      <c r="Y309" s="63">
        <f t="shared" si="49"/>
        <v>34.15</v>
      </c>
      <c r="Z309" s="64">
        <f t="shared" si="54"/>
        <v>0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</row>
    <row r="310" spans="1:48" ht="18" customHeight="1">
      <c r="A310" s="63">
        <v>20250330</v>
      </c>
      <c r="B310" s="65" t="s">
        <v>663</v>
      </c>
      <c r="C310" s="66">
        <v>46004</v>
      </c>
      <c r="D310" s="66">
        <v>46018</v>
      </c>
      <c r="E310" s="67">
        <v>2</v>
      </c>
      <c r="F310" s="68">
        <v>0</v>
      </c>
      <c r="G310" s="69">
        <v>6</v>
      </c>
      <c r="H310" s="70" t="s">
        <v>715</v>
      </c>
      <c r="I310" s="70" t="s">
        <v>24</v>
      </c>
      <c r="J310" s="65" t="s">
        <v>24</v>
      </c>
      <c r="K310" s="48">
        <f t="shared" si="45"/>
        <v>46026</v>
      </c>
      <c r="L310" s="48">
        <f t="shared" si="46"/>
        <v>46086</v>
      </c>
      <c r="M310" s="71"/>
      <c r="N310" s="72">
        <f t="shared" si="53"/>
        <v>2</v>
      </c>
      <c r="O310" s="50">
        <f t="shared" si="47"/>
        <v>0</v>
      </c>
      <c r="P310" s="56">
        <f t="shared" ref="P310:P373" si="55">G310/E310*N310</f>
        <v>6</v>
      </c>
      <c r="Q310" s="73"/>
      <c r="R310" s="58"/>
      <c r="S310" s="200" t="s">
        <v>716</v>
      </c>
      <c r="T310" s="201">
        <v>94</v>
      </c>
      <c r="U310" s="58"/>
      <c r="V310" s="46"/>
      <c r="W310" s="46"/>
      <c r="X310" s="62" t="s">
        <v>25</v>
      </c>
      <c r="Y310" s="63">
        <f t="shared" si="49"/>
        <v>0</v>
      </c>
      <c r="Z310" s="64">
        <f t="shared" si="54"/>
        <v>0</v>
      </c>
      <c r="AA310" s="64">
        <v>1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</row>
    <row r="311" spans="1:48" ht="18" customHeight="1">
      <c r="A311" s="63">
        <v>20250330</v>
      </c>
      <c r="B311" s="65" t="s">
        <v>663</v>
      </c>
      <c r="C311" s="66">
        <v>46004</v>
      </c>
      <c r="D311" s="66">
        <v>46018</v>
      </c>
      <c r="E311" s="67">
        <v>1</v>
      </c>
      <c r="F311" s="68">
        <v>20.5</v>
      </c>
      <c r="G311" s="69">
        <v>40</v>
      </c>
      <c r="H311" s="70" t="s">
        <v>717</v>
      </c>
      <c r="I311" s="70" t="s">
        <v>718</v>
      </c>
      <c r="J311" s="65" t="s">
        <v>26</v>
      </c>
      <c r="K311" s="48">
        <f t="shared" si="45"/>
        <v>46026</v>
      </c>
      <c r="L311" s="48">
        <f t="shared" si="46"/>
        <v>46086</v>
      </c>
      <c r="M311" s="71"/>
      <c r="N311" s="72">
        <f t="shared" si="53"/>
        <v>1</v>
      </c>
      <c r="O311" s="50">
        <f t="shared" si="47"/>
        <v>20.5</v>
      </c>
      <c r="P311" s="56">
        <f t="shared" si="55"/>
        <v>40</v>
      </c>
      <c r="Q311" s="73"/>
      <c r="R311" s="58"/>
      <c r="S311" s="200" t="s">
        <v>719</v>
      </c>
      <c r="T311" s="201"/>
      <c r="U311" s="58" t="s">
        <v>720</v>
      </c>
      <c r="V311" s="46"/>
      <c r="W311" s="46"/>
      <c r="X311" s="62" t="s">
        <v>25</v>
      </c>
      <c r="Y311" s="63">
        <f t="shared" si="49"/>
        <v>20.5</v>
      </c>
      <c r="Z311" s="64">
        <f t="shared" si="54"/>
        <v>0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</row>
    <row r="312" spans="1:48" ht="18" customHeight="1">
      <c r="A312" s="63">
        <v>20250330</v>
      </c>
      <c r="B312" s="65" t="s">
        <v>663</v>
      </c>
      <c r="C312" s="66">
        <v>46004</v>
      </c>
      <c r="D312" s="66">
        <v>46018</v>
      </c>
      <c r="E312" s="67">
        <v>2</v>
      </c>
      <c r="F312" s="68">
        <v>0</v>
      </c>
      <c r="G312" s="69">
        <v>6</v>
      </c>
      <c r="H312" s="70" t="s">
        <v>717</v>
      </c>
      <c r="I312" s="70" t="s">
        <v>24</v>
      </c>
      <c r="J312" s="65" t="s">
        <v>24</v>
      </c>
      <c r="K312" s="48">
        <f t="shared" si="45"/>
        <v>46026</v>
      </c>
      <c r="L312" s="48">
        <f t="shared" si="46"/>
        <v>46086</v>
      </c>
      <c r="M312" s="71"/>
      <c r="N312" s="72">
        <f t="shared" si="53"/>
        <v>2</v>
      </c>
      <c r="O312" s="50">
        <f t="shared" si="47"/>
        <v>0</v>
      </c>
      <c r="P312" s="56">
        <f t="shared" si="55"/>
        <v>6</v>
      </c>
      <c r="Q312" s="73"/>
      <c r="R312" s="58"/>
      <c r="S312" s="200" t="s">
        <v>719</v>
      </c>
      <c r="T312" s="201"/>
      <c r="U312" s="58"/>
      <c r="V312" s="46"/>
      <c r="W312" s="46"/>
      <c r="X312" s="62" t="s">
        <v>25</v>
      </c>
      <c r="Y312" s="63">
        <f t="shared" si="49"/>
        <v>0</v>
      </c>
      <c r="Z312" s="64">
        <f t="shared" si="54"/>
        <v>0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</row>
    <row r="313" spans="1:48" ht="18" customHeight="1">
      <c r="A313" s="63">
        <v>20250330</v>
      </c>
      <c r="B313" s="65" t="s">
        <v>663</v>
      </c>
      <c r="C313" s="66">
        <v>46004</v>
      </c>
      <c r="D313" s="66">
        <v>46018</v>
      </c>
      <c r="E313" s="67">
        <v>1</v>
      </c>
      <c r="F313" s="68">
        <v>11.67</v>
      </c>
      <c r="G313" s="69">
        <v>24</v>
      </c>
      <c r="H313" s="70" t="s">
        <v>721</v>
      </c>
      <c r="I313" s="70" t="s">
        <v>42</v>
      </c>
      <c r="J313" s="65" t="s">
        <v>28</v>
      </c>
      <c r="K313" s="48">
        <f t="shared" si="45"/>
        <v>46026</v>
      </c>
      <c r="L313" s="48">
        <f t="shared" si="46"/>
        <v>46086</v>
      </c>
      <c r="M313" s="71"/>
      <c r="N313" s="72">
        <f t="shared" si="53"/>
        <v>1</v>
      </c>
      <c r="O313" s="50">
        <f t="shared" si="47"/>
        <v>11.67</v>
      </c>
      <c r="P313" s="56">
        <f t="shared" si="55"/>
        <v>24</v>
      </c>
      <c r="Q313" s="73"/>
      <c r="R313" s="58"/>
      <c r="S313" s="200" t="s">
        <v>722</v>
      </c>
      <c r="T313" s="201"/>
      <c r="U313" s="58" t="s">
        <v>723</v>
      </c>
      <c r="V313" s="46"/>
      <c r="W313" s="46"/>
      <c r="X313" s="62" t="s">
        <v>25</v>
      </c>
      <c r="Y313" s="63">
        <f t="shared" si="49"/>
        <v>11.67</v>
      </c>
      <c r="Z313" s="64">
        <f t="shared" si="54"/>
        <v>0</v>
      </c>
      <c r="AA313" s="64">
        <v>1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</row>
    <row r="314" spans="1:48" ht="18" customHeight="1">
      <c r="A314" s="63">
        <v>20250330</v>
      </c>
      <c r="B314" s="65" t="s">
        <v>663</v>
      </c>
      <c r="C314" s="66">
        <v>46004</v>
      </c>
      <c r="D314" s="66">
        <v>46018</v>
      </c>
      <c r="E314" s="67">
        <v>2</v>
      </c>
      <c r="F314" s="68">
        <v>32</v>
      </c>
      <c r="G314" s="69">
        <v>48</v>
      </c>
      <c r="H314" s="70" t="s">
        <v>724</v>
      </c>
      <c r="I314" s="70" t="s">
        <v>42</v>
      </c>
      <c r="J314" s="65" t="s">
        <v>28</v>
      </c>
      <c r="K314" s="48">
        <f t="shared" si="45"/>
        <v>46026</v>
      </c>
      <c r="L314" s="48">
        <f t="shared" si="46"/>
        <v>46086</v>
      </c>
      <c r="M314" s="71"/>
      <c r="N314" s="72">
        <f t="shared" si="53"/>
        <v>2</v>
      </c>
      <c r="O314" s="50">
        <f t="shared" si="47"/>
        <v>32</v>
      </c>
      <c r="P314" s="56">
        <f t="shared" si="55"/>
        <v>48</v>
      </c>
      <c r="Q314" s="73"/>
      <c r="R314" s="58"/>
      <c r="S314" s="200" t="s">
        <v>725</v>
      </c>
      <c r="T314" s="201"/>
      <c r="U314" s="58" t="s">
        <v>726</v>
      </c>
      <c r="V314" s="46"/>
      <c r="W314" s="46"/>
      <c r="X314" s="62" t="s">
        <v>25</v>
      </c>
      <c r="Y314" s="63">
        <f t="shared" si="49"/>
        <v>16</v>
      </c>
      <c r="Z314" s="64">
        <f t="shared" si="54"/>
        <v>0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</row>
    <row r="315" spans="1:48" ht="18" customHeight="1">
      <c r="A315" s="87">
        <v>20250337</v>
      </c>
      <c r="B315" s="88" t="s">
        <v>727</v>
      </c>
      <c r="C315" s="190">
        <v>46010</v>
      </c>
      <c r="D315" s="190">
        <v>46019</v>
      </c>
      <c r="E315" s="191">
        <v>110</v>
      </c>
      <c r="F315" s="192">
        <v>613.81899999999996</v>
      </c>
      <c r="G315" s="193">
        <v>95.758323057953106</v>
      </c>
      <c r="H315" s="194" t="s">
        <v>728</v>
      </c>
      <c r="I315" s="194" t="s">
        <v>72</v>
      </c>
      <c r="J315" s="189" t="s">
        <v>72</v>
      </c>
      <c r="K315" s="203">
        <f t="shared" si="45"/>
        <v>46027</v>
      </c>
      <c r="L315" s="203">
        <f t="shared" si="46"/>
        <v>46087</v>
      </c>
      <c r="M315" s="195"/>
      <c r="N315" s="196">
        <f>E315-24-7-12</f>
        <v>67</v>
      </c>
      <c r="O315" s="197">
        <f t="shared" si="47"/>
        <v>373.87157272727268</v>
      </c>
      <c r="P315" s="218">
        <f t="shared" si="55"/>
        <v>58.325524044389617</v>
      </c>
      <c r="Q315" s="257"/>
      <c r="R315" s="258"/>
      <c r="S315" s="260" t="s">
        <v>729</v>
      </c>
      <c r="T315" s="261">
        <v>1</v>
      </c>
      <c r="U315" s="258" t="s">
        <v>730</v>
      </c>
      <c r="V315" s="184"/>
      <c r="W315" s="184"/>
      <c r="X315" s="99" t="s">
        <v>76</v>
      </c>
      <c r="Y315" s="87">
        <f t="shared" si="49"/>
        <v>5.5801727272727266</v>
      </c>
      <c r="Z315" s="64">
        <f t="shared" si="54"/>
        <v>43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</row>
    <row r="316" spans="1:48" ht="18" customHeight="1">
      <c r="A316" s="63">
        <v>20250337</v>
      </c>
      <c r="B316" s="65" t="s">
        <v>727</v>
      </c>
      <c r="C316" s="66">
        <v>46010</v>
      </c>
      <c r="D316" s="66">
        <v>46019</v>
      </c>
      <c r="E316" s="67">
        <v>2998</v>
      </c>
      <c r="F316" s="68">
        <v>7814.826</v>
      </c>
      <c r="G316" s="69">
        <v>3616.0418132475602</v>
      </c>
      <c r="H316" s="70" t="s">
        <v>731</v>
      </c>
      <c r="I316" s="70" t="s">
        <v>86</v>
      </c>
      <c r="J316" s="65" t="s">
        <v>86</v>
      </c>
      <c r="K316" s="48">
        <f t="shared" si="45"/>
        <v>46027</v>
      </c>
      <c r="L316" s="48">
        <f t="shared" si="46"/>
        <v>46087</v>
      </c>
      <c r="M316" s="71"/>
      <c r="N316" s="72">
        <f>E316</f>
        <v>2998</v>
      </c>
      <c r="O316" s="50">
        <f t="shared" si="47"/>
        <v>7814.8259999999991</v>
      </c>
      <c r="P316" s="56">
        <f t="shared" si="55"/>
        <v>3616.0418132475602</v>
      </c>
      <c r="Q316" s="73"/>
      <c r="R316" s="58"/>
      <c r="S316" s="200" t="s">
        <v>732</v>
      </c>
      <c r="T316" s="201">
        <v>5</v>
      </c>
      <c r="U316" s="58" t="s">
        <v>733</v>
      </c>
      <c r="V316" s="46"/>
      <c r="W316" s="46"/>
      <c r="X316" s="62" t="s">
        <v>25</v>
      </c>
      <c r="Y316" s="63">
        <f t="shared" si="49"/>
        <v>2.6066797865243494</v>
      </c>
      <c r="Z316" s="64">
        <f t="shared" si="54"/>
        <v>0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</row>
    <row r="317" spans="1:48" ht="18" customHeight="1">
      <c r="A317" s="87">
        <v>20250331</v>
      </c>
      <c r="B317" s="88" t="s">
        <v>734</v>
      </c>
      <c r="C317" s="89">
        <v>46006</v>
      </c>
      <c r="D317" s="118">
        <v>46021</v>
      </c>
      <c r="E317" s="46">
        <v>9949</v>
      </c>
      <c r="F317" s="119">
        <v>25826.953000000001</v>
      </c>
      <c r="G317" s="120">
        <v>12000</v>
      </c>
      <c r="H317" s="121" t="s">
        <v>735</v>
      </c>
      <c r="I317" s="121" t="s">
        <v>86</v>
      </c>
      <c r="J317" s="117" t="s">
        <v>86</v>
      </c>
      <c r="K317" s="48">
        <f t="shared" si="45"/>
        <v>46029</v>
      </c>
      <c r="L317" s="48">
        <f t="shared" si="46"/>
        <v>46089</v>
      </c>
      <c r="M317" s="71"/>
      <c r="N317" s="72">
        <f>E317</f>
        <v>9949</v>
      </c>
      <c r="O317" s="50">
        <f t="shared" si="47"/>
        <v>25826.952999999998</v>
      </c>
      <c r="P317" s="56">
        <f t="shared" si="55"/>
        <v>12000</v>
      </c>
      <c r="Q317" s="73"/>
      <c r="R317" s="58"/>
      <c r="S317" s="200" t="s">
        <v>736</v>
      </c>
      <c r="T317" s="201">
        <v>119</v>
      </c>
      <c r="U317" s="58" t="s">
        <v>737</v>
      </c>
      <c r="V317" s="46"/>
      <c r="W317" s="46"/>
      <c r="X317" s="62" t="s">
        <v>25</v>
      </c>
      <c r="Y317" s="63">
        <f t="shared" si="49"/>
        <v>2.5959345662880691</v>
      </c>
      <c r="Z317" s="64">
        <f t="shared" si="54"/>
        <v>0</v>
      </c>
      <c r="AA317" s="64">
        <v>2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</row>
    <row r="318" spans="1:48" ht="18" customHeight="1">
      <c r="A318" s="63">
        <v>20250331</v>
      </c>
      <c r="B318" s="65" t="s">
        <v>734</v>
      </c>
      <c r="C318" s="66">
        <v>46006</v>
      </c>
      <c r="D318" s="66">
        <v>46021</v>
      </c>
      <c r="E318" s="67">
        <v>1</v>
      </c>
      <c r="F318" s="68">
        <v>26.327000000000002</v>
      </c>
      <c r="G318" s="69">
        <v>24</v>
      </c>
      <c r="H318" s="70" t="s">
        <v>518</v>
      </c>
      <c r="I318" s="70" t="s">
        <v>81</v>
      </c>
      <c r="J318" s="65" t="s">
        <v>26</v>
      </c>
      <c r="K318" s="48">
        <f t="shared" si="45"/>
        <v>46029</v>
      </c>
      <c r="L318" s="48">
        <f t="shared" si="46"/>
        <v>46089</v>
      </c>
      <c r="M318" s="71"/>
      <c r="N318" s="72">
        <f t="shared" ref="N318:N328" si="56">E318</f>
        <v>1</v>
      </c>
      <c r="O318" s="50">
        <f t="shared" si="47"/>
        <v>26.327000000000002</v>
      </c>
      <c r="P318" s="56">
        <f t="shared" si="55"/>
        <v>24</v>
      </c>
      <c r="Q318" s="73"/>
      <c r="R318" s="58"/>
      <c r="S318" s="200" t="s">
        <v>738</v>
      </c>
      <c r="T318" s="201">
        <v>3</v>
      </c>
      <c r="U318" s="58" t="s">
        <v>739</v>
      </c>
      <c r="V318" s="46"/>
      <c r="W318" s="46"/>
      <c r="X318" s="62" t="s">
        <v>25</v>
      </c>
      <c r="Y318" s="63">
        <f t="shared" si="49"/>
        <v>26.327000000000002</v>
      </c>
      <c r="Z318" s="64">
        <f t="shared" si="54"/>
        <v>0</v>
      </c>
      <c r="AA318" s="64">
        <v>1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</row>
    <row r="319" spans="1:48" ht="18" customHeight="1">
      <c r="A319" s="63">
        <v>20250331</v>
      </c>
      <c r="B319" s="65" t="s">
        <v>734</v>
      </c>
      <c r="C319" s="66">
        <v>46006</v>
      </c>
      <c r="D319" s="66">
        <v>46021</v>
      </c>
      <c r="E319" s="67">
        <v>3</v>
      </c>
      <c r="F319" s="68">
        <v>0</v>
      </c>
      <c r="G319" s="69">
        <v>6</v>
      </c>
      <c r="H319" s="70" t="s">
        <v>518</v>
      </c>
      <c r="I319" s="70" t="s">
        <v>24</v>
      </c>
      <c r="J319" s="65" t="s">
        <v>24</v>
      </c>
      <c r="K319" s="48">
        <f t="shared" si="45"/>
        <v>46029</v>
      </c>
      <c r="L319" s="48">
        <f t="shared" si="46"/>
        <v>46089</v>
      </c>
      <c r="M319" s="71"/>
      <c r="N319" s="72">
        <f t="shared" si="56"/>
        <v>3</v>
      </c>
      <c r="O319" s="50">
        <f t="shared" si="47"/>
        <v>0</v>
      </c>
      <c r="P319" s="56">
        <f t="shared" si="55"/>
        <v>6</v>
      </c>
      <c r="Q319" s="73"/>
      <c r="R319" s="58"/>
      <c r="S319" s="200" t="s">
        <v>738</v>
      </c>
      <c r="T319" s="201">
        <v>3</v>
      </c>
      <c r="U319" s="58"/>
      <c r="V319" s="46"/>
      <c r="W319" s="46"/>
      <c r="X319" s="62" t="s">
        <v>25</v>
      </c>
      <c r="Y319" s="63">
        <f t="shared" si="49"/>
        <v>0</v>
      </c>
      <c r="Z319" s="64">
        <f t="shared" si="54"/>
        <v>0</v>
      </c>
      <c r="AA319" s="64">
        <v>1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</row>
    <row r="320" spans="1:48" ht="18" customHeight="1">
      <c r="A320" s="63">
        <v>20250331</v>
      </c>
      <c r="B320" s="65" t="s">
        <v>734</v>
      </c>
      <c r="C320" s="66">
        <v>46006</v>
      </c>
      <c r="D320" s="66">
        <v>46021</v>
      </c>
      <c r="E320" s="67">
        <v>1</v>
      </c>
      <c r="F320" s="68">
        <v>17.100000000000001</v>
      </c>
      <c r="G320" s="69">
        <v>9</v>
      </c>
      <c r="H320" s="70" t="s">
        <v>518</v>
      </c>
      <c r="I320" s="70" t="s">
        <v>276</v>
      </c>
      <c r="J320" s="65" t="s">
        <v>26</v>
      </c>
      <c r="K320" s="48">
        <f t="shared" si="45"/>
        <v>46029</v>
      </c>
      <c r="L320" s="48">
        <f t="shared" si="46"/>
        <v>46089</v>
      </c>
      <c r="M320" s="71"/>
      <c r="N320" s="72">
        <f t="shared" si="56"/>
        <v>1</v>
      </c>
      <c r="O320" s="50">
        <f t="shared" si="47"/>
        <v>17.100000000000001</v>
      </c>
      <c r="P320" s="56">
        <f t="shared" si="55"/>
        <v>9</v>
      </c>
      <c r="Q320" s="73"/>
      <c r="R320" s="58"/>
      <c r="S320" s="200" t="s">
        <v>740</v>
      </c>
      <c r="T320" s="201">
        <v>4</v>
      </c>
      <c r="U320" s="58" t="s">
        <v>741</v>
      </c>
      <c r="V320" s="46"/>
      <c r="W320" s="46"/>
      <c r="X320" s="62" t="s">
        <v>25</v>
      </c>
      <c r="Y320" s="63">
        <f t="shared" si="49"/>
        <v>17.100000000000001</v>
      </c>
      <c r="Z320" s="64">
        <f t="shared" si="54"/>
        <v>0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</row>
    <row r="321" spans="1:48" ht="18" customHeight="1">
      <c r="A321" s="63">
        <v>20250331</v>
      </c>
      <c r="B321" s="65" t="s">
        <v>734</v>
      </c>
      <c r="C321" s="66">
        <v>46006</v>
      </c>
      <c r="D321" s="66">
        <v>46021</v>
      </c>
      <c r="E321" s="67">
        <v>4</v>
      </c>
      <c r="F321" s="68">
        <v>67.08</v>
      </c>
      <c r="G321" s="69">
        <v>96</v>
      </c>
      <c r="H321" s="70" t="s">
        <v>742</v>
      </c>
      <c r="I321" s="70" t="s">
        <v>42</v>
      </c>
      <c r="J321" s="65" t="s">
        <v>28</v>
      </c>
      <c r="K321" s="48">
        <f t="shared" si="45"/>
        <v>46029</v>
      </c>
      <c r="L321" s="48">
        <f t="shared" si="46"/>
        <v>46089</v>
      </c>
      <c r="M321" s="71"/>
      <c r="N321" s="72">
        <f t="shared" si="56"/>
        <v>4</v>
      </c>
      <c r="O321" s="50">
        <f t="shared" si="47"/>
        <v>67.08</v>
      </c>
      <c r="P321" s="56">
        <f t="shared" si="55"/>
        <v>96</v>
      </c>
      <c r="Q321" s="73"/>
      <c r="R321" s="58"/>
      <c r="S321" s="200" t="s">
        <v>743</v>
      </c>
      <c r="T321" s="201">
        <v>11</v>
      </c>
      <c r="U321" s="58" t="s">
        <v>744</v>
      </c>
      <c r="V321" s="46"/>
      <c r="W321" s="46"/>
      <c r="X321" s="62" t="s">
        <v>25</v>
      </c>
      <c r="Y321" s="63">
        <f t="shared" si="49"/>
        <v>16.77</v>
      </c>
      <c r="Z321" s="64">
        <f t="shared" si="54"/>
        <v>0</v>
      </c>
      <c r="AA321" s="64">
        <v>1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</row>
    <row r="322" spans="1:48" ht="18" customHeight="1">
      <c r="A322" s="63">
        <v>20250331</v>
      </c>
      <c r="B322" s="65" t="s">
        <v>734</v>
      </c>
      <c r="C322" s="66">
        <v>46006</v>
      </c>
      <c r="D322" s="66">
        <v>46021</v>
      </c>
      <c r="E322" s="67">
        <v>4</v>
      </c>
      <c r="F322" s="68">
        <v>76.8</v>
      </c>
      <c r="G322" s="69">
        <v>96</v>
      </c>
      <c r="H322" s="70" t="s">
        <v>745</v>
      </c>
      <c r="I322" s="70" t="s">
        <v>42</v>
      </c>
      <c r="J322" s="65" t="s">
        <v>28</v>
      </c>
      <c r="K322" s="48">
        <f t="shared" si="45"/>
        <v>46029</v>
      </c>
      <c r="L322" s="48">
        <f t="shared" si="46"/>
        <v>46089</v>
      </c>
      <c r="M322" s="71"/>
      <c r="N322" s="72">
        <f t="shared" si="56"/>
        <v>4</v>
      </c>
      <c r="O322" s="50">
        <f t="shared" si="47"/>
        <v>76.8</v>
      </c>
      <c r="P322" s="56">
        <f t="shared" si="55"/>
        <v>96</v>
      </c>
      <c r="Q322" s="73"/>
      <c r="R322" s="58"/>
      <c r="S322" s="200" t="s">
        <v>746</v>
      </c>
      <c r="T322" s="201">
        <v>15</v>
      </c>
      <c r="U322" s="58" t="s">
        <v>747</v>
      </c>
      <c r="V322" s="46"/>
      <c r="W322" s="46"/>
      <c r="X322" s="62" t="s">
        <v>25</v>
      </c>
      <c r="Y322" s="63">
        <f t="shared" si="49"/>
        <v>19.2</v>
      </c>
      <c r="Z322" s="64">
        <f t="shared" si="54"/>
        <v>0</v>
      </c>
      <c r="AA322" s="64">
        <v>1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</row>
    <row r="323" spans="1:48" ht="18" customHeight="1">
      <c r="A323" s="63">
        <v>20250331</v>
      </c>
      <c r="B323" s="65" t="s">
        <v>734</v>
      </c>
      <c r="C323" s="66">
        <v>46006</v>
      </c>
      <c r="D323" s="66">
        <v>46021</v>
      </c>
      <c r="E323" s="67">
        <v>2</v>
      </c>
      <c r="F323" s="68">
        <v>25.6</v>
      </c>
      <c r="G323" s="69">
        <v>120</v>
      </c>
      <c r="H323" s="70" t="s">
        <v>745</v>
      </c>
      <c r="I323" s="70" t="s">
        <v>138</v>
      </c>
      <c r="J323" s="65" t="s">
        <v>26</v>
      </c>
      <c r="K323" s="48">
        <f t="shared" si="45"/>
        <v>46029</v>
      </c>
      <c r="L323" s="48">
        <f t="shared" si="46"/>
        <v>46089</v>
      </c>
      <c r="M323" s="71"/>
      <c r="N323" s="72">
        <f t="shared" si="56"/>
        <v>2</v>
      </c>
      <c r="O323" s="50">
        <f t="shared" si="47"/>
        <v>25.6</v>
      </c>
      <c r="P323" s="56">
        <f t="shared" si="55"/>
        <v>120</v>
      </c>
      <c r="Q323" s="73"/>
      <c r="R323" s="58"/>
      <c r="S323" s="200" t="s">
        <v>746</v>
      </c>
      <c r="T323" s="201">
        <v>15</v>
      </c>
      <c r="U323" s="58">
        <v>12.8</v>
      </c>
      <c r="V323" s="46"/>
      <c r="W323" s="46"/>
      <c r="X323" s="62" t="s">
        <v>25</v>
      </c>
      <c r="Y323" s="63">
        <f t="shared" si="49"/>
        <v>12.8</v>
      </c>
      <c r="Z323" s="64">
        <f t="shared" si="54"/>
        <v>0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</row>
    <row r="324" spans="1:48" ht="18" customHeight="1">
      <c r="A324" s="63">
        <v>20250331</v>
      </c>
      <c r="B324" s="65" t="s">
        <v>734</v>
      </c>
      <c r="C324" s="66">
        <v>46006</v>
      </c>
      <c r="D324" s="66">
        <v>46021</v>
      </c>
      <c r="E324" s="67">
        <v>1</v>
      </c>
      <c r="F324" s="68">
        <v>12.33</v>
      </c>
      <c r="G324" s="69">
        <v>24</v>
      </c>
      <c r="H324" s="70" t="s">
        <v>748</v>
      </c>
      <c r="I324" s="70" t="s">
        <v>42</v>
      </c>
      <c r="J324" s="65" t="s">
        <v>28</v>
      </c>
      <c r="K324" s="48">
        <f t="shared" si="45"/>
        <v>46029</v>
      </c>
      <c r="L324" s="48">
        <f t="shared" si="46"/>
        <v>46089</v>
      </c>
      <c r="M324" s="71"/>
      <c r="N324" s="72">
        <f t="shared" si="56"/>
        <v>1</v>
      </c>
      <c r="O324" s="50">
        <f t="shared" si="47"/>
        <v>12.33</v>
      </c>
      <c r="P324" s="56">
        <f t="shared" si="55"/>
        <v>24</v>
      </c>
      <c r="Q324" s="73"/>
      <c r="R324" s="58"/>
      <c r="S324" s="200" t="s">
        <v>749</v>
      </c>
      <c r="T324" s="201">
        <v>16</v>
      </c>
      <c r="U324" s="58" t="s">
        <v>750</v>
      </c>
      <c r="V324" s="46"/>
      <c r="W324" s="46"/>
      <c r="X324" s="62" t="s">
        <v>25</v>
      </c>
      <c r="Y324" s="63">
        <f t="shared" si="49"/>
        <v>12.33</v>
      </c>
      <c r="Z324" s="64">
        <f t="shared" si="54"/>
        <v>0</v>
      </c>
      <c r="AA324" s="64">
        <v>2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</row>
    <row r="325" spans="1:48" ht="18" customHeight="1">
      <c r="A325" s="63">
        <v>20250331</v>
      </c>
      <c r="B325" s="65" t="s">
        <v>734</v>
      </c>
      <c r="C325" s="66">
        <v>46006</v>
      </c>
      <c r="D325" s="66">
        <v>46021</v>
      </c>
      <c r="E325" s="67">
        <v>3</v>
      </c>
      <c r="F325" s="68">
        <v>31.0268571428571</v>
      </c>
      <c r="G325" s="69">
        <v>24</v>
      </c>
      <c r="H325" s="70" t="s">
        <v>751</v>
      </c>
      <c r="I325" s="70" t="s">
        <v>752</v>
      </c>
      <c r="J325" s="65" t="s">
        <v>26</v>
      </c>
      <c r="K325" s="48">
        <f t="shared" si="45"/>
        <v>46029</v>
      </c>
      <c r="L325" s="48">
        <f t="shared" si="46"/>
        <v>46089</v>
      </c>
      <c r="M325" s="71"/>
      <c r="N325" s="72">
        <f t="shared" si="56"/>
        <v>3</v>
      </c>
      <c r="O325" s="50">
        <f t="shared" si="47"/>
        <v>31.026857142857097</v>
      </c>
      <c r="P325" s="56">
        <f t="shared" si="55"/>
        <v>24</v>
      </c>
      <c r="Q325" s="73"/>
      <c r="R325" s="58"/>
      <c r="S325" s="200" t="s">
        <v>753</v>
      </c>
      <c r="T325" s="201">
        <v>20</v>
      </c>
      <c r="U325" s="58" t="s">
        <v>754</v>
      </c>
      <c r="V325" s="46"/>
      <c r="W325" s="46"/>
      <c r="X325" s="62" t="s">
        <v>25</v>
      </c>
      <c r="Y325" s="63">
        <f t="shared" si="49"/>
        <v>10.342285714285699</v>
      </c>
      <c r="Z325" s="64">
        <f t="shared" si="54"/>
        <v>0</v>
      </c>
      <c r="AA325" s="64">
        <v>2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</row>
    <row r="326" spans="1:48" ht="18" customHeight="1">
      <c r="A326" s="63">
        <v>20250331</v>
      </c>
      <c r="B326" s="65" t="s">
        <v>734</v>
      </c>
      <c r="C326" s="66">
        <v>46006</v>
      </c>
      <c r="D326" s="66">
        <v>46021</v>
      </c>
      <c r="E326" s="67">
        <v>11</v>
      </c>
      <c r="F326" s="68">
        <v>113.765142857143</v>
      </c>
      <c r="G326" s="69">
        <v>264</v>
      </c>
      <c r="H326" s="70" t="s">
        <v>751</v>
      </c>
      <c r="I326" s="70" t="s">
        <v>42</v>
      </c>
      <c r="J326" s="65" t="s">
        <v>28</v>
      </c>
      <c r="K326" s="48">
        <f t="shared" si="45"/>
        <v>46029</v>
      </c>
      <c r="L326" s="48">
        <f t="shared" si="46"/>
        <v>46089</v>
      </c>
      <c r="M326" s="71"/>
      <c r="N326" s="72">
        <f t="shared" si="56"/>
        <v>11</v>
      </c>
      <c r="O326" s="50">
        <f t="shared" si="47"/>
        <v>113.765142857143</v>
      </c>
      <c r="P326" s="56">
        <f t="shared" si="55"/>
        <v>264</v>
      </c>
      <c r="Q326" s="73"/>
      <c r="R326" s="58"/>
      <c r="S326" s="200" t="s">
        <v>753</v>
      </c>
      <c r="T326" s="201">
        <v>20</v>
      </c>
      <c r="U326" s="58"/>
      <c r="V326" s="46"/>
      <c r="W326" s="46"/>
      <c r="X326" s="62" t="s">
        <v>25</v>
      </c>
      <c r="Y326" s="63">
        <f t="shared" si="49"/>
        <v>10.342285714285728</v>
      </c>
      <c r="Z326" s="64">
        <f t="shared" si="54"/>
        <v>0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</row>
    <row r="327" spans="1:48" ht="18" customHeight="1">
      <c r="A327" s="63">
        <v>20250331</v>
      </c>
      <c r="B327" s="65" t="s">
        <v>734</v>
      </c>
      <c r="C327" s="66">
        <v>46006</v>
      </c>
      <c r="D327" s="66">
        <v>46021</v>
      </c>
      <c r="E327" s="67">
        <v>6</v>
      </c>
      <c r="F327" s="68">
        <v>0</v>
      </c>
      <c r="G327" s="69">
        <v>18</v>
      </c>
      <c r="H327" s="70" t="s">
        <v>751</v>
      </c>
      <c r="I327" s="70" t="s">
        <v>24</v>
      </c>
      <c r="J327" s="65" t="s">
        <v>24</v>
      </c>
      <c r="K327" s="48">
        <f t="shared" si="45"/>
        <v>46029</v>
      </c>
      <c r="L327" s="48">
        <f t="shared" si="46"/>
        <v>46089</v>
      </c>
      <c r="M327" s="71"/>
      <c r="N327" s="72">
        <f t="shared" si="56"/>
        <v>6</v>
      </c>
      <c r="O327" s="50">
        <f t="shared" si="47"/>
        <v>0</v>
      </c>
      <c r="P327" s="56">
        <f t="shared" si="55"/>
        <v>18</v>
      </c>
      <c r="Q327" s="73"/>
      <c r="R327" s="58"/>
      <c r="S327" s="200" t="s">
        <v>753</v>
      </c>
      <c r="T327" s="201">
        <v>20</v>
      </c>
      <c r="U327" s="58"/>
      <c r="V327" s="46"/>
      <c r="W327" s="46"/>
      <c r="X327" s="62" t="s">
        <v>25</v>
      </c>
      <c r="Y327" s="63">
        <f t="shared" si="49"/>
        <v>0</v>
      </c>
      <c r="Z327" s="64">
        <f t="shared" si="54"/>
        <v>0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</row>
    <row r="328" spans="1:48" ht="18" customHeight="1">
      <c r="A328" s="63">
        <v>20250331</v>
      </c>
      <c r="B328" s="65" t="s">
        <v>734</v>
      </c>
      <c r="C328" s="66">
        <v>46006</v>
      </c>
      <c r="D328" s="66">
        <v>46021</v>
      </c>
      <c r="E328" s="67">
        <v>4</v>
      </c>
      <c r="F328" s="68">
        <v>0.22</v>
      </c>
      <c r="G328" s="69">
        <v>20</v>
      </c>
      <c r="H328" s="70" t="s">
        <v>751</v>
      </c>
      <c r="I328" s="70" t="s">
        <v>24</v>
      </c>
      <c r="J328" s="65" t="s">
        <v>24</v>
      </c>
      <c r="K328" s="48">
        <f t="shared" si="45"/>
        <v>46029</v>
      </c>
      <c r="L328" s="48">
        <f t="shared" si="46"/>
        <v>46089</v>
      </c>
      <c r="M328" s="71"/>
      <c r="N328" s="72">
        <f t="shared" si="56"/>
        <v>4</v>
      </c>
      <c r="O328" s="50">
        <f t="shared" si="47"/>
        <v>0.22</v>
      </c>
      <c r="P328" s="56">
        <f t="shared" si="55"/>
        <v>20</v>
      </c>
      <c r="Q328" s="73"/>
      <c r="R328" s="58"/>
      <c r="S328" s="200" t="s">
        <v>755</v>
      </c>
      <c r="T328" s="201">
        <v>21</v>
      </c>
      <c r="U328" s="58" t="s">
        <v>756</v>
      </c>
      <c r="V328" s="46"/>
      <c r="W328" s="46"/>
      <c r="X328" s="62" t="s">
        <v>25</v>
      </c>
      <c r="Y328" s="63">
        <f t="shared" si="49"/>
        <v>5.5E-2</v>
      </c>
      <c r="Z328" s="64">
        <f t="shared" si="54"/>
        <v>0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</row>
    <row r="329" spans="1:48" ht="18" customHeight="1">
      <c r="A329" s="106">
        <v>20250331</v>
      </c>
      <c r="B329" s="107" t="s">
        <v>734</v>
      </c>
      <c r="C329" s="108">
        <v>46006</v>
      </c>
      <c r="D329" s="108">
        <v>46021</v>
      </c>
      <c r="E329" s="106">
        <v>1</v>
      </c>
      <c r="F329" s="106">
        <v>14.3628571428571</v>
      </c>
      <c r="G329" s="106">
        <v>24</v>
      </c>
      <c r="H329" s="109" t="s">
        <v>757</v>
      </c>
      <c r="I329" s="109" t="s">
        <v>276</v>
      </c>
      <c r="J329" s="107" t="s">
        <v>26</v>
      </c>
      <c r="K329" s="108">
        <f t="shared" ref="K329:K363" si="57">D329+8</f>
        <v>46029</v>
      </c>
      <c r="L329" s="108">
        <f t="shared" ref="L329:L363" si="58">K329+60</f>
        <v>46089</v>
      </c>
      <c r="M329" s="111"/>
      <c r="N329" s="112">
        <f>E329-1</f>
        <v>0</v>
      </c>
      <c r="O329" s="113">
        <f t="shared" ref="O329:O392" si="59">F329/E329*N329</f>
        <v>0</v>
      </c>
      <c r="P329" s="112">
        <f t="shared" si="55"/>
        <v>0</v>
      </c>
      <c r="Q329" s="109"/>
      <c r="R329" s="109"/>
      <c r="S329" s="109" t="s">
        <v>758</v>
      </c>
      <c r="T329" s="114">
        <v>23</v>
      </c>
      <c r="U329" s="109" t="s">
        <v>759</v>
      </c>
      <c r="V329" s="106"/>
      <c r="W329" s="106"/>
      <c r="X329" s="106" t="s">
        <v>55</v>
      </c>
      <c r="Y329" s="63">
        <f t="shared" si="49"/>
        <v>14.3628571428571</v>
      </c>
      <c r="Z329" s="64">
        <f t="shared" si="54"/>
        <v>1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</row>
    <row r="330" spans="1:48" ht="18" customHeight="1">
      <c r="A330" s="106">
        <v>20250331</v>
      </c>
      <c r="B330" s="107" t="s">
        <v>734</v>
      </c>
      <c r="C330" s="108">
        <v>46006</v>
      </c>
      <c r="D330" s="108">
        <v>46021</v>
      </c>
      <c r="E330" s="106">
        <v>1</v>
      </c>
      <c r="F330" s="106">
        <v>14.3628571428571</v>
      </c>
      <c r="G330" s="106">
        <v>24</v>
      </c>
      <c r="H330" s="109" t="s">
        <v>757</v>
      </c>
      <c r="I330" s="109" t="s">
        <v>446</v>
      </c>
      <c r="J330" s="107" t="s">
        <v>26</v>
      </c>
      <c r="K330" s="108">
        <f t="shared" si="57"/>
        <v>46029</v>
      </c>
      <c r="L330" s="108">
        <f t="shared" si="58"/>
        <v>46089</v>
      </c>
      <c r="M330" s="111"/>
      <c r="N330" s="112">
        <f>E330-1</f>
        <v>0</v>
      </c>
      <c r="O330" s="113">
        <f t="shared" si="59"/>
        <v>0</v>
      </c>
      <c r="P330" s="112">
        <f t="shared" si="55"/>
        <v>0</v>
      </c>
      <c r="Q330" s="109"/>
      <c r="R330" s="109"/>
      <c r="S330" s="109" t="s">
        <v>758</v>
      </c>
      <c r="T330" s="114">
        <v>23</v>
      </c>
      <c r="U330" s="109"/>
      <c r="V330" s="106"/>
      <c r="W330" s="106"/>
      <c r="X330" s="106" t="s">
        <v>55</v>
      </c>
      <c r="Y330" s="63">
        <f t="shared" si="49"/>
        <v>14.3628571428571</v>
      </c>
      <c r="Z330" s="64">
        <f t="shared" si="54"/>
        <v>1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</row>
    <row r="331" spans="1:48" ht="18" customHeight="1">
      <c r="A331" s="106">
        <v>20250331</v>
      </c>
      <c r="B331" s="107" t="s">
        <v>734</v>
      </c>
      <c r="C331" s="108">
        <v>46006</v>
      </c>
      <c r="D331" s="108">
        <v>46021</v>
      </c>
      <c r="E331" s="106">
        <v>1</v>
      </c>
      <c r="F331" s="106">
        <v>14.3628571428571</v>
      </c>
      <c r="G331" s="106">
        <v>24</v>
      </c>
      <c r="H331" s="109" t="s">
        <v>757</v>
      </c>
      <c r="I331" s="109" t="s">
        <v>208</v>
      </c>
      <c r="J331" s="107" t="s">
        <v>26</v>
      </c>
      <c r="K331" s="108">
        <f t="shared" si="57"/>
        <v>46029</v>
      </c>
      <c r="L331" s="108">
        <f t="shared" si="58"/>
        <v>46089</v>
      </c>
      <c r="M331" s="111"/>
      <c r="N331" s="112">
        <f>E331-1</f>
        <v>0</v>
      </c>
      <c r="O331" s="113">
        <f t="shared" si="59"/>
        <v>0</v>
      </c>
      <c r="P331" s="112">
        <f t="shared" si="55"/>
        <v>0</v>
      </c>
      <c r="Q331" s="109"/>
      <c r="R331" s="109"/>
      <c r="S331" s="109" t="s">
        <v>758</v>
      </c>
      <c r="T331" s="114">
        <v>23</v>
      </c>
      <c r="U331" s="109"/>
      <c r="V331" s="106"/>
      <c r="W331" s="106"/>
      <c r="X331" s="106" t="s">
        <v>55</v>
      </c>
      <c r="Y331" s="63">
        <f t="shared" si="49"/>
        <v>14.3628571428571</v>
      </c>
      <c r="Z331" s="64">
        <f t="shared" si="54"/>
        <v>1</v>
      </c>
      <c r="AA331" s="30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</row>
    <row r="332" spans="1:48" ht="18" customHeight="1">
      <c r="A332" s="106">
        <v>20250331</v>
      </c>
      <c r="B332" s="107" t="s">
        <v>734</v>
      </c>
      <c r="C332" s="108">
        <v>46006</v>
      </c>
      <c r="D332" s="108">
        <v>46021</v>
      </c>
      <c r="E332" s="106">
        <v>1</v>
      </c>
      <c r="F332" s="106">
        <v>14.3628571428571</v>
      </c>
      <c r="G332" s="106">
        <v>40</v>
      </c>
      <c r="H332" s="109" t="s">
        <v>757</v>
      </c>
      <c r="I332" s="109" t="s">
        <v>206</v>
      </c>
      <c r="J332" s="107" t="s">
        <v>26</v>
      </c>
      <c r="K332" s="108">
        <f t="shared" si="57"/>
        <v>46029</v>
      </c>
      <c r="L332" s="108">
        <f t="shared" si="58"/>
        <v>46089</v>
      </c>
      <c r="M332" s="111"/>
      <c r="N332" s="112">
        <f>E332-1</f>
        <v>0</v>
      </c>
      <c r="O332" s="113">
        <f t="shared" si="59"/>
        <v>0</v>
      </c>
      <c r="P332" s="112">
        <f t="shared" si="55"/>
        <v>0</v>
      </c>
      <c r="Q332" s="109"/>
      <c r="R332" s="109"/>
      <c r="S332" s="109" t="s">
        <v>758</v>
      </c>
      <c r="T332" s="114">
        <v>23</v>
      </c>
      <c r="U332" s="109"/>
      <c r="V332" s="106"/>
      <c r="W332" s="106"/>
      <c r="X332" s="106" t="s">
        <v>55</v>
      </c>
      <c r="Y332" s="63">
        <f t="shared" si="49"/>
        <v>14.3628571428571</v>
      </c>
      <c r="Z332" s="64">
        <f t="shared" si="54"/>
        <v>1</v>
      </c>
      <c r="AA332" s="30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</row>
    <row r="333" spans="1:48" ht="18" customHeight="1">
      <c r="A333" s="106">
        <v>20250331</v>
      </c>
      <c r="B333" s="107" t="s">
        <v>734</v>
      </c>
      <c r="C333" s="108">
        <v>46006</v>
      </c>
      <c r="D333" s="108">
        <v>46021</v>
      </c>
      <c r="E333" s="106">
        <v>3</v>
      </c>
      <c r="F333" s="106">
        <v>43.088571428571399</v>
      </c>
      <c r="G333" s="106">
        <v>72</v>
      </c>
      <c r="H333" s="109" t="s">
        <v>757</v>
      </c>
      <c r="I333" s="109" t="s">
        <v>42</v>
      </c>
      <c r="J333" s="107" t="s">
        <v>28</v>
      </c>
      <c r="K333" s="108">
        <f t="shared" si="57"/>
        <v>46029</v>
      </c>
      <c r="L333" s="108">
        <f t="shared" si="58"/>
        <v>46089</v>
      </c>
      <c r="M333" s="111"/>
      <c r="N333" s="112">
        <f>E333-3</f>
        <v>0</v>
      </c>
      <c r="O333" s="113">
        <f t="shared" si="59"/>
        <v>0</v>
      </c>
      <c r="P333" s="112">
        <f t="shared" si="55"/>
        <v>0</v>
      </c>
      <c r="Q333" s="109"/>
      <c r="R333" s="109"/>
      <c r="S333" s="109" t="s">
        <v>758</v>
      </c>
      <c r="T333" s="114">
        <v>23</v>
      </c>
      <c r="U333" s="109"/>
      <c r="V333" s="106"/>
      <c r="W333" s="106"/>
      <c r="X333" s="106" t="s">
        <v>55</v>
      </c>
      <c r="Y333" s="63">
        <f t="shared" si="49"/>
        <v>14.362857142857132</v>
      </c>
      <c r="Z333" s="30"/>
      <c r="AA333" s="30"/>
      <c r="AB333" s="202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</row>
    <row r="334" spans="1:48" ht="18" customHeight="1">
      <c r="A334" s="106">
        <v>20250331</v>
      </c>
      <c r="B334" s="107" t="s">
        <v>734</v>
      </c>
      <c r="C334" s="108">
        <v>46006</v>
      </c>
      <c r="D334" s="108">
        <v>46021</v>
      </c>
      <c r="E334" s="106">
        <v>3</v>
      </c>
      <c r="F334" s="106">
        <v>0</v>
      </c>
      <c r="G334" s="106">
        <v>9</v>
      </c>
      <c r="H334" s="109" t="s">
        <v>757</v>
      </c>
      <c r="I334" s="109" t="s">
        <v>24</v>
      </c>
      <c r="J334" s="107" t="s">
        <v>24</v>
      </c>
      <c r="K334" s="108">
        <f t="shared" si="57"/>
        <v>46029</v>
      </c>
      <c r="L334" s="108">
        <f t="shared" si="58"/>
        <v>46089</v>
      </c>
      <c r="M334" s="111"/>
      <c r="N334" s="112">
        <f>E334-3</f>
        <v>0</v>
      </c>
      <c r="O334" s="113">
        <f t="shared" si="59"/>
        <v>0</v>
      </c>
      <c r="P334" s="112">
        <f t="shared" si="55"/>
        <v>0</v>
      </c>
      <c r="Q334" s="109"/>
      <c r="R334" s="109"/>
      <c r="S334" s="109" t="s">
        <v>758</v>
      </c>
      <c r="T334" s="114">
        <v>23</v>
      </c>
      <c r="U334" s="109"/>
      <c r="V334" s="106"/>
      <c r="W334" s="106"/>
      <c r="X334" s="106" t="s">
        <v>55</v>
      </c>
      <c r="Y334" s="63">
        <f t="shared" si="49"/>
        <v>0</v>
      </c>
      <c r="Z334" s="64">
        <f t="shared" ref="Z334:Z343" si="60">E334-N334</f>
        <v>3</v>
      </c>
      <c r="AA334" s="30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</row>
    <row r="335" spans="1:48" ht="18" customHeight="1">
      <c r="A335" s="63">
        <v>20250331</v>
      </c>
      <c r="B335" s="65" t="s">
        <v>734</v>
      </c>
      <c r="C335" s="66">
        <v>46006</v>
      </c>
      <c r="D335" s="66">
        <v>46021</v>
      </c>
      <c r="E335" s="67">
        <v>1</v>
      </c>
      <c r="F335" s="68">
        <v>16</v>
      </c>
      <c r="G335" s="69">
        <v>24</v>
      </c>
      <c r="H335" s="70" t="s">
        <v>760</v>
      </c>
      <c r="I335" s="70" t="s">
        <v>208</v>
      </c>
      <c r="J335" s="65" t="s">
        <v>26</v>
      </c>
      <c r="K335" s="48">
        <f t="shared" si="57"/>
        <v>46029</v>
      </c>
      <c r="L335" s="48">
        <f t="shared" si="58"/>
        <v>46089</v>
      </c>
      <c r="M335" s="71"/>
      <c r="N335" s="72">
        <f t="shared" ref="N335:N343" si="61">E335</f>
        <v>1</v>
      </c>
      <c r="O335" s="50">
        <f t="shared" si="59"/>
        <v>16</v>
      </c>
      <c r="P335" s="56">
        <f t="shared" si="55"/>
        <v>24</v>
      </c>
      <c r="Q335" s="73"/>
      <c r="R335" s="58"/>
      <c r="S335" s="200" t="s">
        <v>761</v>
      </c>
      <c r="T335" s="201">
        <v>24</v>
      </c>
      <c r="U335" s="58" t="s">
        <v>762</v>
      </c>
      <c r="V335" s="46"/>
      <c r="W335" s="46"/>
      <c r="X335" s="62" t="s">
        <v>25</v>
      </c>
      <c r="Y335" s="63">
        <f t="shared" si="49"/>
        <v>16</v>
      </c>
      <c r="Z335" s="64">
        <f t="shared" si="60"/>
        <v>0</v>
      </c>
      <c r="AA335" s="30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</row>
    <row r="336" spans="1:48" ht="18" customHeight="1">
      <c r="A336" s="63">
        <v>20250331</v>
      </c>
      <c r="B336" s="65" t="s">
        <v>734</v>
      </c>
      <c r="C336" s="66">
        <v>46006</v>
      </c>
      <c r="D336" s="66">
        <v>46021</v>
      </c>
      <c r="E336" s="67">
        <v>2</v>
      </c>
      <c r="F336" s="68">
        <v>68.45</v>
      </c>
      <c r="G336" s="69">
        <v>48</v>
      </c>
      <c r="H336" s="70" t="s">
        <v>763</v>
      </c>
      <c r="I336" s="70" t="s">
        <v>194</v>
      </c>
      <c r="J336" s="65" t="s">
        <v>26</v>
      </c>
      <c r="K336" s="48">
        <f t="shared" si="57"/>
        <v>46029</v>
      </c>
      <c r="L336" s="48">
        <f t="shared" si="58"/>
        <v>46089</v>
      </c>
      <c r="M336" s="71"/>
      <c r="N336" s="72">
        <f t="shared" si="61"/>
        <v>2</v>
      </c>
      <c r="O336" s="50">
        <f t="shared" si="59"/>
        <v>68.45</v>
      </c>
      <c r="P336" s="56">
        <f t="shared" si="55"/>
        <v>48</v>
      </c>
      <c r="Q336" s="73"/>
      <c r="R336" s="58"/>
      <c r="S336" s="200" t="s">
        <v>764</v>
      </c>
      <c r="T336" s="201">
        <v>26</v>
      </c>
      <c r="U336" s="58" t="s">
        <v>765</v>
      </c>
      <c r="V336" s="46"/>
      <c r="W336" s="46"/>
      <c r="X336" s="62" t="s">
        <v>25</v>
      </c>
      <c r="Y336" s="63">
        <f t="shared" si="49"/>
        <v>34.225000000000001</v>
      </c>
      <c r="Z336" s="64">
        <f t="shared" si="60"/>
        <v>0</v>
      </c>
      <c r="AA336" s="30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</row>
    <row r="337" spans="1:48" ht="18" customHeight="1">
      <c r="A337" s="63">
        <v>20250331</v>
      </c>
      <c r="B337" s="65" t="s">
        <v>734</v>
      </c>
      <c r="C337" s="66">
        <v>46006</v>
      </c>
      <c r="D337" s="66">
        <v>46021</v>
      </c>
      <c r="E337" s="67">
        <v>4</v>
      </c>
      <c r="F337" s="68">
        <v>0</v>
      </c>
      <c r="G337" s="69">
        <v>12</v>
      </c>
      <c r="H337" s="70" t="s">
        <v>763</v>
      </c>
      <c r="I337" s="70" t="s">
        <v>24</v>
      </c>
      <c r="J337" s="65" t="s">
        <v>24</v>
      </c>
      <c r="K337" s="48">
        <f t="shared" si="57"/>
        <v>46029</v>
      </c>
      <c r="L337" s="48">
        <f t="shared" si="58"/>
        <v>46089</v>
      </c>
      <c r="M337" s="71"/>
      <c r="N337" s="72">
        <f t="shared" si="61"/>
        <v>4</v>
      </c>
      <c r="O337" s="50">
        <f t="shared" si="59"/>
        <v>0</v>
      </c>
      <c r="P337" s="56">
        <f t="shared" si="55"/>
        <v>12</v>
      </c>
      <c r="Q337" s="73"/>
      <c r="R337" s="58"/>
      <c r="S337" s="200" t="s">
        <v>764</v>
      </c>
      <c r="T337" s="201">
        <v>26</v>
      </c>
      <c r="U337" s="58"/>
      <c r="V337" s="46"/>
      <c r="W337" s="46"/>
      <c r="X337" s="62" t="s">
        <v>25</v>
      </c>
      <c r="Y337" s="63">
        <f t="shared" si="49"/>
        <v>0</v>
      </c>
      <c r="Z337" s="64">
        <f t="shared" si="60"/>
        <v>0</v>
      </c>
      <c r="AA337" s="30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</row>
    <row r="338" spans="1:48" ht="18" customHeight="1">
      <c r="A338" s="63">
        <v>20250331</v>
      </c>
      <c r="B338" s="65" t="s">
        <v>734</v>
      </c>
      <c r="C338" s="66">
        <v>46006</v>
      </c>
      <c r="D338" s="66">
        <v>46021</v>
      </c>
      <c r="E338" s="67">
        <v>1</v>
      </c>
      <c r="F338" s="68">
        <v>15</v>
      </c>
      <c r="G338" s="69">
        <v>24</v>
      </c>
      <c r="H338" s="70" t="s">
        <v>766</v>
      </c>
      <c r="I338" s="70" t="s">
        <v>42</v>
      </c>
      <c r="J338" s="65" t="s">
        <v>28</v>
      </c>
      <c r="K338" s="48">
        <f t="shared" si="57"/>
        <v>46029</v>
      </c>
      <c r="L338" s="48">
        <f t="shared" si="58"/>
        <v>46089</v>
      </c>
      <c r="M338" s="71"/>
      <c r="N338" s="72">
        <f t="shared" si="61"/>
        <v>1</v>
      </c>
      <c r="O338" s="50">
        <f t="shared" si="59"/>
        <v>15</v>
      </c>
      <c r="P338" s="56">
        <f t="shared" si="55"/>
        <v>24</v>
      </c>
      <c r="Q338" s="73"/>
      <c r="R338" s="58"/>
      <c r="S338" s="200" t="s">
        <v>767</v>
      </c>
      <c r="T338" s="201">
        <v>27</v>
      </c>
      <c r="U338" s="58" t="s">
        <v>768</v>
      </c>
      <c r="V338" s="46"/>
      <c r="W338" s="46"/>
      <c r="X338" s="62" t="s">
        <v>25</v>
      </c>
      <c r="Y338" s="63">
        <f t="shared" si="49"/>
        <v>15</v>
      </c>
      <c r="Z338" s="64">
        <f t="shared" si="60"/>
        <v>0</v>
      </c>
      <c r="AA338" s="30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</row>
    <row r="339" spans="1:48" ht="18" customHeight="1">
      <c r="A339" s="63">
        <v>20250331</v>
      </c>
      <c r="B339" s="65" t="s">
        <v>734</v>
      </c>
      <c r="C339" s="66">
        <v>46006</v>
      </c>
      <c r="D339" s="66">
        <v>46021</v>
      </c>
      <c r="E339" s="67">
        <v>1</v>
      </c>
      <c r="F339" s="68">
        <v>15</v>
      </c>
      <c r="G339" s="69">
        <v>24</v>
      </c>
      <c r="H339" s="70" t="s">
        <v>769</v>
      </c>
      <c r="I339" s="70" t="s">
        <v>42</v>
      </c>
      <c r="J339" s="65" t="s">
        <v>28</v>
      </c>
      <c r="K339" s="48">
        <f t="shared" si="57"/>
        <v>46029</v>
      </c>
      <c r="L339" s="48">
        <f t="shared" si="58"/>
        <v>46089</v>
      </c>
      <c r="M339" s="71"/>
      <c r="N339" s="72">
        <f t="shared" si="61"/>
        <v>1</v>
      </c>
      <c r="O339" s="50">
        <f t="shared" si="59"/>
        <v>15</v>
      </c>
      <c r="P339" s="56">
        <f t="shared" si="55"/>
        <v>24</v>
      </c>
      <c r="Q339" s="73"/>
      <c r="R339" s="58"/>
      <c r="S339" s="200" t="s">
        <v>770</v>
      </c>
      <c r="T339" s="201">
        <v>28</v>
      </c>
      <c r="U339" s="58" t="s">
        <v>771</v>
      </c>
      <c r="V339" s="46"/>
      <c r="W339" s="46"/>
      <c r="X339" s="62" t="s">
        <v>25</v>
      </c>
      <c r="Y339" s="63">
        <f t="shared" si="49"/>
        <v>15</v>
      </c>
      <c r="Z339" s="64">
        <f t="shared" si="60"/>
        <v>0</v>
      </c>
      <c r="AA339" s="30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</row>
    <row r="340" spans="1:48" ht="18" customHeight="1">
      <c r="A340" s="63">
        <v>20250331</v>
      </c>
      <c r="B340" s="65" t="s">
        <v>734</v>
      </c>
      <c r="C340" s="66">
        <v>46006</v>
      </c>
      <c r="D340" s="66">
        <v>46021</v>
      </c>
      <c r="E340" s="67">
        <v>2</v>
      </c>
      <c r="F340" s="68">
        <v>30</v>
      </c>
      <c r="G340" s="69">
        <v>48</v>
      </c>
      <c r="H340" s="70" t="s">
        <v>772</v>
      </c>
      <c r="I340" s="70" t="s">
        <v>42</v>
      </c>
      <c r="J340" s="65" t="s">
        <v>28</v>
      </c>
      <c r="K340" s="48">
        <f t="shared" si="57"/>
        <v>46029</v>
      </c>
      <c r="L340" s="48">
        <f t="shared" si="58"/>
        <v>46089</v>
      </c>
      <c r="M340" s="71"/>
      <c r="N340" s="72">
        <f t="shared" si="61"/>
        <v>2</v>
      </c>
      <c r="O340" s="50">
        <f t="shared" si="59"/>
        <v>30</v>
      </c>
      <c r="P340" s="56">
        <f t="shared" si="55"/>
        <v>48</v>
      </c>
      <c r="Q340" s="73"/>
      <c r="R340" s="58"/>
      <c r="S340" s="200" t="s">
        <v>773</v>
      </c>
      <c r="T340" s="201">
        <v>30</v>
      </c>
      <c r="U340" s="58" t="s">
        <v>774</v>
      </c>
      <c r="V340" s="46"/>
      <c r="W340" s="46"/>
      <c r="X340" s="62" t="s">
        <v>25</v>
      </c>
      <c r="Y340" s="63">
        <f t="shared" si="49"/>
        <v>15</v>
      </c>
      <c r="Z340" s="64">
        <f t="shared" si="60"/>
        <v>0</v>
      </c>
      <c r="AA340" s="3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</row>
    <row r="341" spans="1:48" ht="18" customHeight="1">
      <c r="A341" s="63">
        <v>20250331</v>
      </c>
      <c r="B341" s="65" t="s">
        <v>734</v>
      </c>
      <c r="C341" s="66">
        <v>46006</v>
      </c>
      <c r="D341" s="66">
        <v>46021</v>
      </c>
      <c r="E341" s="67">
        <v>1</v>
      </c>
      <c r="F341" s="68">
        <v>14</v>
      </c>
      <c r="G341" s="69">
        <v>24</v>
      </c>
      <c r="H341" s="70" t="s">
        <v>775</v>
      </c>
      <c r="I341" s="70" t="s">
        <v>208</v>
      </c>
      <c r="J341" s="65" t="s">
        <v>26</v>
      </c>
      <c r="K341" s="48">
        <f t="shared" si="57"/>
        <v>46029</v>
      </c>
      <c r="L341" s="48">
        <f t="shared" si="58"/>
        <v>46089</v>
      </c>
      <c r="M341" s="71"/>
      <c r="N341" s="72">
        <f t="shared" si="61"/>
        <v>1</v>
      </c>
      <c r="O341" s="50">
        <f t="shared" si="59"/>
        <v>14</v>
      </c>
      <c r="P341" s="56">
        <f t="shared" si="55"/>
        <v>24</v>
      </c>
      <c r="Q341" s="73"/>
      <c r="R341" s="58"/>
      <c r="S341" s="200" t="s">
        <v>776</v>
      </c>
      <c r="T341" s="201">
        <v>35</v>
      </c>
      <c r="U341" s="58" t="s">
        <v>777</v>
      </c>
      <c r="V341" s="46"/>
      <c r="W341" s="46"/>
      <c r="X341" s="62" t="s">
        <v>25</v>
      </c>
      <c r="Y341" s="63">
        <f t="shared" si="49"/>
        <v>14</v>
      </c>
      <c r="Z341" s="64">
        <f t="shared" si="60"/>
        <v>0</v>
      </c>
      <c r="AA341" s="30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</row>
    <row r="342" spans="1:48" ht="18" customHeight="1">
      <c r="A342" s="63">
        <v>20250331</v>
      </c>
      <c r="B342" s="65" t="s">
        <v>734</v>
      </c>
      <c r="C342" s="66">
        <v>46006</v>
      </c>
      <c r="D342" s="66">
        <v>46021</v>
      </c>
      <c r="E342" s="67">
        <v>1</v>
      </c>
      <c r="F342" s="68">
        <v>11.1666666666667</v>
      </c>
      <c r="G342" s="69">
        <v>18</v>
      </c>
      <c r="H342" s="70" t="s">
        <v>778</v>
      </c>
      <c r="I342" s="70" t="s">
        <v>113</v>
      </c>
      <c r="J342" s="65" t="s">
        <v>28</v>
      </c>
      <c r="K342" s="48">
        <f t="shared" si="57"/>
        <v>46029</v>
      </c>
      <c r="L342" s="48">
        <f t="shared" si="58"/>
        <v>46089</v>
      </c>
      <c r="M342" s="71"/>
      <c r="N342" s="72">
        <f t="shared" si="61"/>
        <v>1</v>
      </c>
      <c r="O342" s="50">
        <f t="shared" si="59"/>
        <v>11.1666666666667</v>
      </c>
      <c r="P342" s="56">
        <f t="shared" si="55"/>
        <v>18</v>
      </c>
      <c r="Q342" s="73"/>
      <c r="R342" s="58"/>
      <c r="S342" s="200" t="s">
        <v>779</v>
      </c>
      <c r="T342" s="201">
        <v>40</v>
      </c>
      <c r="U342" s="58" t="s">
        <v>780</v>
      </c>
      <c r="V342" s="46"/>
      <c r="W342" s="46"/>
      <c r="X342" s="62" t="s">
        <v>25</v>
      </c>
      <c r="Y342" s="63">
        <f t="shared" ref="Y342:Y405" si="62">F342/E342</f>
        <v>11.1666666666667</v>
      </c>
      <c r="Z342" s="64">
        <f t="shared" si="60"/>
        <v>0</v>
      </c>
      <c r="AA342" s="30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</row>
    <row r="343" spans="1:48" ht="18" customHeight="1">
      <c r="A343" s="63">
        <v>20250331</v>
      </c>
      <c r="B343" s="65" t="s">
        <v>734</v>
      </c>
      <c r="C343" s="66">
        <v>46006</v>
      </c>
      <c r="D343" s="66">
        <v>46021</v>
      </c>
      <c r="E343" s="67">
        <v>2</v>
      </c>
      <c r="F343" s="68">
        <v>22.3333333333333</v>
      </c>
      <c r="G343" s="69">
        <v>48</v>
      </c>
      <c r="H343" s="70" t="s">
        <v>778</v>
      </c>
      <c r="I343" s="70" t="s">
        <v>42</v>
      </c>
      <c r="J343" s="65" t="s">
        <v>28</v>
      </c>
      <c r="K343" s="48">
        <f t="shared" si="57"/>
        <v>46029</v>
      </c>
      <c r="L343" s="48">
        <f t="shared" si="58"/>
        <v>46089</v>
      </c>
      <c r="M343" s="71"/>
      <c r="N343" s="72">
        <f t="shared" si="61"/>
        <v>2</v>
      </c>
      <c r="O343" s="50">
        <f t="shared" si="59"/>
        <v>22.3333333333333</v>
      </c>
      <c r="P343" s="56">
        <f t="shared" si="55"/>
        <v>48</v>
      </c>
      <c r="Q343" s="73"/>
      <c r="R343" s="58"/>
      <c r="S343" s="200" t="s">
        <v>779</v>
      </c>
      <c r="T343" s="201">
        <v>40</v>
      </c>
      <c r="U343" s="58"/>
      <c r="V343" s="46"/>
      <c r="W343" s="46"/>
      <c r="X343" s="62" t="s">
        <v>25</v>
      </c>
      <c r="Y343" s="63">
        <f t="shared" si="62"/>
        <v>11.16666666666665</v>
      </c>
      <c r="Z343" s="64">
        <f t="shared" si="60"/>
        <v>0</v>
      </c>
      <c r="AA343" s="30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</row>
    <row r="344" spans="1:48" ht="18" customHeight="1">
      <c r="A344" s="106">
        <v>20250331</v>
      </c>
      <c r="B344" s="107" t="s">
        <v>734</v>
      </c>
      <c r="C344" s="108">
        <v>46006</v>
      </c>
      <c r="D344" s="108">
        <v>46021</v>
      </c>
      <c r="E344" s="106">
        <v>7</v>
      </c>
      <c r="F344" s="106">
        <v>292.18</v>
      </c>
      <c r="G344" s="106">
        <v>168</v>
      </c>
      <c r="H344" s="109" t="s">
        <v>781</v>
      </c>
      <c r="I344" s="109" t="s">
        <v>194</v>
      </c>
      <c r="J344" s="107" t="s">
        <v>26</v>
      </c>
      <c r="K344" s="108">
        <f t="shared" si="57"/>
        <v>46029</v>
      </c>
      <c r="L344" s="108">
        <f t="shared" si="58"/>
        <v>46089</v>
      </c>
      <c r="M344" s="111"/>
      <c r="N344" s="112">
        <f>E344-7</f>
        <v>0</v>
      </c>
      <c r="O344" s="113">
        <f t="shared" si="59"/>
        <v>0</v>
      </c>
      <c r="P344" s="112">
        <f t="shared" si="55"/>
        <v>0</v>
      </c>
      <c r="Q344" s="109"/>
      <c r="R344" s="109"/>
      <c r="S344" s="109" t="s">
        <v>782</v>
      </c>
      <c r="T344" s="114">
        <v>41</v>
      </c>
      <c r="U344" s="109" t="s">
        <v>783</v>
      </c>
      <c r="V344" s="106"/>
      <c r="W344" s="106"/>
      <c r="X344" s="106" t="s">
        <v>55</v>
      </c>
      <c r="Y344" s="63">
        <f t="shared" si="62"/>
        <v>41.74</v>
      </c>
      <c r="Z344" s="30"/>
      <c r="AA344" s="64">
        <v>2</v>
      </c>
      <c r="AB344" s="202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</row>
    <row r="345" spans="1:48" ht="18" customHeight="1">
      <c r="A345" s="63">
        <v>20250331</v>
      </c>
      <c r="B345" s="65" t="s">
        <v>734</v>
      </c>
      <c r="C345" s="66">
        <v>46006</v>
      </c>
      <c r="D345" s="66">
        <v>46021</v>
      </c>
      <c r="E345" s="67">
        <v>16</v>
      </c>
      <c r="F345" s="68">
        <v>44.326999999999998</v>
      </c>
      <c r="G345" s="69">
        <v>50</v>
      </c>
      <c r="H345" s="70" t="s">
        <v>781</v>
      </c>
      <c r="I345" s="70" t="s">
        <v>24</v>
      </c>
      <c r="J345" s="65" t="s">
        <v>24</v>
      </c>
      <c r="K345" s="48">
        <f t="shared" si="57"/>
        <v>46029</v>
      </c>
      <c r="L345" s="48">
        <f t="shared" si="58"/>
        <v>46089</v>
      </c>
      <c r="M345" s="71"/>
      <c r="N345" s="72">
        <f>E345</f>
        <v>16</v>
      </c>
      <c r="O345" s="50">
        <f t="shared" si="59"/>
        <v>44.326999999999998</v>
      </c>
      <c r="P345" s="56">
        <f t="shared" si="55"/>
        <v>50</v>
      </c>
      <c r="Q345" s="73"/>
      <c r="R345" s="58"/>
      <c r="S345" s="200" t="s">
        <v>784</v>
      </c>
      <c r="T345" s="201">
        <v>42</v>
      </c>
      <c r="U345" s="58" t="s">
        <v>785</v>
      </c>
      <c r="V345" s="46"/>
      <c r="W345" s="46"/>
      <c r="X345" s="62" t="s">
        <v>25</v>
      </c>
      <c r="Y345" s="63">
        <f t="shared" si="62"/>
        <v>2.7704374999999999</v>
      </c>
      <c r="Z345" s="64">
        <f t="shared" ref="Z345:Z353" si="63">E345-N345</f>
        <v>0</v>
      </c>
      <c r="AA345" s="64">
        <v>1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</row>
    <row r="346" spans="1:48" ht="18" customHeight="1">
      <c r="A346" s="188">
        <v>20250331</v>
      </c>
      <c r="B346" s="189" t="s">
        <v>734</v>
      </c>
      <c r="C346" s="190">
        <v>46006</v>
      </c>
      <c r="D346" s="190">
        <v>46021</v>
      </c>
      <c r="E346" s="191">
        <v>2</v>
      </c>
      <c r="F346" s="192">
        <v>33.619999999999997</v>
      </c>
      <c r="G346" s="193">
        <v>48</v>
      </c>
      <c r="H346" s="194" t="s">
        <v>786</v>
      </c>
      <c r="I346" s="194" t="s">
        <v>208</v>
      </c>
      <c r="J346" s="189" t="s">
        <v>26</v>
      </c>
      <c r="K346" s="203">
        <f t="shared" si="57"/>
        <v>46029</v>
      </c>
      <c r="L346" s="203">
        <f t="shared" si="58"/>
        <v>46089</v>
      </c>
      <c r="M346" s="195"/>
      <c r="N346" s="196">
        <f>E346-1</f>
        <v>1</v>
      </c>
      <c r="O346" s="197">
        <f t="shared" si="59"/>
        <v>16.809999999999999</v>
      </c>
      <c r="P346" s="218">
        <f t="shared" si="55"/>
        <v>24</v>
      </c>
      <c r="Q346" s="73"/>
      <c r="R346" s="58"/>
      <c r="S346" s="200" t="s">
        <v>787</v>
      </c>
      <c r="T346" s="201">
        <v>53</v>
      </c>
      <c r="U346" s="58" t="s">
        <v>788</v>
      </c>
      <c r="V346" s="46"/>
      <c r="W346" s="46"/>
      <c r="X346" s="99" t="s">
        <v>76</v>
      </c>
      <c r="Y346" s="63">
        <f t="shared" si="62"/>
        <v>16.809999999999999</v>
      </c>
      <c r="Z346" s="64">
        <f t="shared" si="63"/>
        <v>1</v>
      </c>
      <c r="AA346" s="64">
        <v>7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</row>
    <row r="347" spans="1:48" ht="18" customHeight="1">
      <c r="A347" s="63">
        <v>20250331</v>
      </c>
      <c r="B347" s="65" t="s">
        <v>734</v>
      </c>
      <c r="C347" s="66">
        <v>46006</v>
      </c>
      <c r="D347" s="66">
        <v>46021</v>
      </c>
      <c r="E347" s="67">
        <v>1</v>
      </c>
      <c r="F347" s="68">
        <v>23.3</v>
      </c>
      <c r="G347" s="69">
        <v>40</v>
      </c>
      <c r="H347" s="70" t="s">
        <v>789</v>
      </c>
      <c r="I347" s="70" t="s">
        <v>790</v>
      </c>
      <c r="J347" s="65" t="s">
        <v>26</v>
      </c>
      <c r="K347" s="48">
        <f t="shared" si="57"/>
        <v>46029</v>
      </c>
      <c r="L347" s="48">
        <f t="shared" si="58"/>
        <v>46089</v>
      </c>
      <c r="M347" s="71"/>
      <c r="N347" s="72">
        <f t="shared" ref="N347:N353" si="64">E347</f>
        <v>1</v>
      </c>
      <c r="O347" s="50">
        <f t="shared" si="59"/>
        <v>23.3</v>
      </c>
      <c r="P347" s="56">
        <f t="shared" si="55"/>
        <v>40</v>
      </c>
      <c r="Q347" s="73"/>
      <c r="R347" s="58"/>
      <c r="S347" s="200" t="s">
        <v>791</v>
      </c>
      <c r="T347" s="201">
        <v>61</v>
      </c>
      <c r="U347" s="58" t="s">
        <v>792</v>
      </c>
      <c r="V347" s="46"/>
      <c r="W347" s="46"/>
      <c r="X347" s="62" t="s">
        <v>25</v>
      </c>
      <c r="Y347" s="63">
        <f t="shared" si="62"/>
        <v>23.3</v>
      </c>
      <c r="Z347" s="64">
        <f t="shared" si="63"/>
        <v>0</v>
      </c>
      <c r="AA347" s="64">
        <v>1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</row>
    <row r="348" spans="1:48" ht="18" customHeight="1">
      <c r="A348" s="63">
        <v>20250331</v>
      </c>
      <c r="B348" s="65" t="s">
        <v>734</v>
      </c>
      <c r="C348" s="66">
        <v>46006</v>
      </c>
      <c r="D348" s="66">
        <v>46021</v>
      </c>
      <c r="E348" s="67">
        <v>1</v>
      </c>
      <c r="F348" s="68">
        <v>0</v>
      </c>
      <c r="G348" s="69">
        <v>3</v>
      </c>
      <c r="H348" s="70" t="s">
        <v>789</v>
      </c>
      <c r="I348" s="70" t="s">
        <v>24</v>
      </c>
      <c r="J348" s="65" t="s">
        <v>24</v>
      </c>
      <c r="K348" s="48">
        <f t="shared" si="57"/>
        <v>46029</v>
      </c>
      <c r="L348" s="48">
        <f t="shared" si="58"/>
        <v>46089</v>
      </c>
      <c r="M348" s="71"/>
      <c r="N348" s="72">
        <f t="shared" si="64"/>
        <v>1</v>
      </c>
      <c r="O348" s="50">
        <f t="shared" si="59"/>
        <v>0</v>
      </c>
      <c r="P348" s="56">
        <f t="shared" si="55"/>
        <v>3</v>
      </c>
      <c r="Q348" s="73"/>
      <c r="R348" s="58"/>
      <c r="S348" s="200" t="s">
        <v>791</v>
      </c>
      <c r="T348" s="201">
        <v>61</v>
      </c>
      <c r="U348" s="58"/>
      <c r="V348" s="46"/>
      <c r="W348" s="46"/>
      <c r="X348" s="62" t="s">
        <v>25</v>
      </c>
      <c r="Y348" s="63">
        <f t="shared" si="62"/>
        <v>0</v>
      </c>
      <c r="Z348" s="64">
        <f t="shared" si="63"/>
        <v>0</v>
      </c>
      <c r="AA348" s="64">
        <v>9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</row>
    <row r="349" spans="1:48" ht="18" customHeight="1">
      <c r="A349" s="63">
        <v>20250331</v>
      </c>
      <c r="B349" s="65" t="s">
        <v>734</v>
      </c>
      <c r="C349" s="66">
        <v>46006</v>
      </c>
      <c r="D349" s="66">
        <v>46021</v>
      </c>
      <c r="E349" s="67">
        <v>1</v>
      </c>
      <c r="F349" s="68">
        <v>12.67</v>
      </c>
      <c r="G349" s="69">
        <v>24</v>
      </c>
      <c r="H349" s="70" t="s">
        <v>793</v>
      </c>
      <c r="I349" s="70" t="s">
        <v>42</v>
      </c>
      <c r="J349" s="65" t="s">
        <v>28</v>
      </c>
      <c r="K349" s="48">
        <f t="shared" si="57"/>
        <v>46029</v>
      </c>
      <c r="L349" s="48">
        <f t="shared" si="58"/>
        <v>46089</v>
      </c>
      <c r="M349" s="71"/>
      <c r="N349" s="72">
        <f t="shared" si="64"/>
        <v>1</v>
      </c>
      <c r="O349" s="50">
        <f t="shared" si="59"/>
        <v>12.67</v>
      </c>
      <c r="P349" s="56">
        <f t="shared" si="55"/>
        <v>24</v>
      </c>
      <c r="Q349" s="73"/>
      <c r="R349" s="58"/>
      <c r="S349" s="200" t="s">
        <v>794</v>
      </c>
      <c r="T349" s="201">
        <v>67</v>
      </c>
      <c r="U349" s="58" t="s">
        <v>795</v>
      </c>
      <c r="V349" s="46"/>
      <c r="W349" s="46"/>
      <c r="X349" s="62" t="s">
        <v>25</v>
      </c>
      <c r="Y349" s="63">
        <f t="shared" si="62"/>
        <v>12.67</v>
      </c>
      <c r="Z349" s="64">
        <f t="shared" si="63"/>
        <v>0</v>
      </c>
      <c r="AA349" s="30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</row>
    <row r="350" spans="1:48" ht="18" customHeight="1">
      <c r="A350" s="63">
        <v>20250331</v>
      </c>
      <c r="B350" s="65" t="s">
        <v>734</v>
      </c>
      <c r="C350" s="66">
        <v>46006</v>
      </c>
      <c r="D350" s="66">
        <v>46021</v>
      </c>
      <c r="E350" s="67">
        <v>1</v>
      </c>
      <c r="F350" s="68">
        <v>12.33</v>
      </c>
      <c r="G350" s="69">
        <v>24</v>
      </c>
      <c r="H350" s="70" t="s">
        <v>796</v>
      </c>
      <c r="I350" s="70" t="s">
        <v>42</v>
      </c>
      <c r="J350" s="65" t="s">
        <v>28</v>
      </c>
      <c r="K350" s="48">
        <f t="shared" si="57"/>
        <v>46029</v>
      </c>
      <c r="L350" s="48">
        <f t="shared" si="58"/>
        <v>46089</v>
      </c>
      <c r="M350" s="71"/>
      <c r="N350" s="72">
        <f t="shared" si="64"/>
        <v>1</v>
      </c>
      <c r="O350" s="50">
        <f t="shared" si="59"/>
        <v>12.33</v>
      </c>
      <c r="P350" s="56">
        <f t="shared" si="55"/>
        <v>24</v>
      </c>
      <c r="Q350" s="73"/>
      <c r="R350" s="58"/>
      <c r="S350" s="200" t="s">
        <v>797</v>
      </c>
      <c r="T350" s="201">
        <v>77</v>
      </c>
      <c r="U350" s="58" t="s">
        <v>798</v>
      </c>
      <c r="V350" s="46"/>
      <c r="W350" s="46"/>
      <c r="X350" s="62" t="s">
        <v>25</v>
      </c>
      <c r="Y350" s="63">
        <f t="shared" si="62"/>
        <v>12.33</v>
      </c>
      <c r="Z350" s="64">
        <f t="shared" si="63"/>
        <v>0</v>
      </c>
      <c r="AA350" s="3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</row>
    <row r="351" spans="1:48" ht="18" customHeight="1">
      <c r="A351" s="63">
        <v>20250331</v>
      </c>
      <c r="B351" s="65" t="s">
        <v>734</v>
      </c>
      <c r="C351" s="66">
        <v>46006</v>
      </c>
      <c r="D351" s="66">
        <v>46021</v>
      </c>
      <c r="E351" s="67">
        <v>2</v>
      </c>
      <c r="F351" s="68">
        <v>7.64</v>
      </c>
      <c r="G351" s="69">
        <v>48</v>
      </c>
      <c r="H351" s="70" t="s">
        <v>799</v>
      </c>
      <c r="I351" s="70" t="s">
        <v>42</v>
      </c>
      <c r="J351" s="65" t="s">
        <v>28</v>
      </c>
      <c r="K351" s="48">
        <f t="shared" si="57"/>
        <v>46029</v>
      </c>
      <c r="L351" s="48">
        <f t="shared" si="58"/>
        <v>46089</v>
      </c>
      <c r="M351" s="71"/>
      <c r="N351" s="72">
        <f t="shared" si="64"/>
        <v>2</v>
      </c>
      <c r="O351" s="50">
        <f t="shared" si="59"/>
        <v>7.64</v>
      </c>
      <c r="P351" s="56">
        <f t="shared" si="55"/>
        <v>48</v>
      </c>
      <c r="Q351" s="73"/>
      <c r="R351" s="58"/>
      <c r="S351" s="200" t="s">
        <v>800</v>
      </c>
      <c r="T351" s="201">
        <v>83</v>
      </c>
      <c r="U351" s="58" t="s">
        <v>801</v>
      </c>
      <c r="V351" s="46"/>
      <c r="W351" s="46"/>
      <c r="X351" s="62" t="s">
        <v>25</v>
      </c>
      <c r="Y351" s="63">
        <f t="shared" si="62"/>
        <v>3.82</v>
      </c>
      <c r="Z351" s="64">
        <f t="shared" si="63"/>
        <v>0</v>
      </c>
      <c r="AA351" s="30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</row>
    <row r="352" spans="1:48" ht="18" customHeight="1">
      <c r="A352" s="188">
        <v>20250331</v>
      </c>
      <c r="B352" s="189" t="s">
        <v>734</v>
      </c>
      <c r="C352" s="190">
        <v>46006</v>
      </c>
      <c r="D352" s="190">
        <v>46021</v>
      </c>
      <c r="E352" s="191">
        <v>1</v>
      </c>
      <c r="F352" s="192">
        <v>17.399999999999999</v>
      </c>
      <c r="G352" s="193">
        <v>24</v>
      </c>
      <c r="H352" s="194" t="s">
        <v>802</v>
      </c>
      <c r="I352" s="194" t="s">
        <v>276</v>
      </c>
      <c r="J352" s="189" t="s">
        <v>26</v>
      </c>
      <c r="K352" s="203">
        <f t="shared" si="57"/>
        <v>46029</v>
      </c>
      <c r="L352" s="203">
        <f t="shared" si="58"/>
        <v>46089</v>
      </c>
      <c r="M352" s="195"/>
      <c r="N352" s="196">
        <f t="shared" si="64"/>
        <v>1</v>
      </c>
      <c r="O352" s="197">
        <f t="shared" si="59"/>
        <v>17.399999999999999</v>
      </c>
      <c r="P352" s="198">
        <f t="shared" si="55"/>
        <v>24</v>
      </c>
      <c r="Q352" s="73"/>
      <c r="R352" s="58"/>
      <c r="S352" s="200" t="s">
        <v>803</v>
      </c>
      <c r="T352" s="201">
        <v>85</v>
      </c>
      <c r="U352" s="58" t="s">
        <v>804</v>
      </c>
      <c r="V352" s="46"/>
      <c r="W352" s="46"/>
      <c r="X352" s="62" t="s">
        <v>25</v>
      </c>
      <c r="Y352" s="63">
        <f t="shared" si="62"/>
        <v>17.399999999999999</v>
      </c>
      <c r="Z352" s="64">
        <f t="shared" si="63"/>
        <v>0</v>
      </c>
      <c r="AA352" s="30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</row>
    <row r="353" spans="1:48" ht="18" customHeight="1">
      <c r="A353" s="188">
        <v>20250331</v>
      </c>
      <c r="B353" s="189" t="s">
        <v>734</v>
      </c>
      <c r="C353" s="190">
        <v>46006</v>
      </c>
      <c r="D353" s="190">
        <v>46021</v>
      </c>
      <c r="E353" s="191">
        <v>2</v>
      </c>
      <c r="F353" s="192">
        <v>0</v>
      </c>
      <c r="G353" s="193">
        <v>6</v>
      </c>
      <c r="H353" s="194" t="s">
        <v>802</v>
      </c>
      <c r="I353" s="194" t="s">
        <v>24</v>
      </c>
      <c r="J353" s="189" t="s">
        <v>24</v>
      </c>
      <c r="K353" s="203">
        <f t="shared" si="57"/>
        <v>46029</v>
      </c>
      <c r="L353" s="203">
        <f t="shared" si="58"/>
        <v>46089</v>
      </c>
      <c r="M353" s="195"/>
      <c r="N353" s="196">
        <f t="shared" si="64"/>
        <v>2</v>
      </c>
      <c r="O353" s="197">
        <f t="shared" si="59"/>
        <v>0</v>
      </c>
      <c r="P353" s="198">
        <f t="shared" si="55"/>
        <v>6</v>
      </c>
      <c r="Q353" s="73"/>
      <c r="R353" s="58"/>
      <c r="S353" s="200" t="s">
        <v>803</v>
      </c>
      <c r="T353" s="201">
        <v>85</v>
      </c>
      <c r="U353" s="58"/>
      <c r="V353" s="46"/>
      <c r="W353" s="46"/>
      <c r="X353" s="62" t="s">
        <v>25</v>
      </c>
      <c r="Y353" s="63">
        <f t="shared" si="62"/>
        <v>0</v>
      </c>
      <c r="Z353" s="64">
        <f t="shared" si="63"/>
        <v>0</v>
      </c>
      <c r="AA353" s="30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</row>
    <row r="354" spans="1:48" ht="18" customHeight="1">
      <c r="A354" s="106">
        <v>20250331</v>
      </c>
      <c r="B354" s="107" t="s">
        <v>734</v>
      </c>
      <c r="C354" s="108">
        <v>46006</v>
      </c>
      <c r="D354" s="108">
        <v>46021</v>
      </c>
      <c r="E354" s="106">
        <v>2</v>
      </c>
      <c r="F354" s="106">
        <v>24</v>
      </c>
      <c r="G354" s="106">
        <v>48</v>
      </c>
      <c r="H354" s="109" t="s">
        <v>802</v>
      </c>
      <c r="I354" s="109" t="s">
        <v>42</v>
      </c>
      <c r="J354" s="107" t="s">
        <v>28</v>
      </c>
      <c r="K354" s="108">
        <f t="shared" si="57"/>
        <v>46029</v>
      </c>
      <c r="L354" s="108">
        <f t="shared" si="58"/>
        <v>46089</v>
      </c>
      <c r="M354" s="111"/>
      <c r="N354" s="112">
        <f>E354-2</f>
        <v>0</v>
      </c>
      <c r="O354" s="113">
        <f t="shared" si="59"/>
        <v>0</v>
      </c>
      <c r="P354" s="112">
        <f t="shared" si="55"/>
        <v>0</v>
      </c>
      <c r="Q354" s="109"/>
      <c r="R354" s="109"/>
      <c r="S354" s="109" t="s">
        <v>805</v>
      </c>
      <c r="T354" s="114">
        <v>86</v>
      </c>
      <c r="U354" s="109" t="s">
        <v>806</v>
      </c>
      <c r="V354" s="106"/>
      <c r="W354" s="106"/>
      <c r="X354" s="106" t="s">
        <v>55</v>
      </c>
      <c r="Y354" s="63">
        <f t="shared" si="62"/>
        <v>12</v>
      </c>
      <c r="Z354" s="30"/>
      <c r="AA354" s="30"/>
      <c r="AB354" s="202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</row>
    <row r="355" spans="1:48" ht="18" customHeight="1">
      <c r="A355" s="63">
        <v>20250331</v>
      </c>
      <c r="B355" s="65" t="s">
        <v>734</v>
      </c>
      <c r="C355" s="66">
        <v>46006</v>
      </c>
      <c r="D355" s="66">
        <v>46021</v>
      </c>
      <c r="E355" s="67">
        <v>1</v>
      </c>
      <c r="F355" s="68">
        <v>12.67</v>
      </c>
      <c r="G355" s="69">
        <v>24</v>
      </c>
      <c r="H355" s="70" t="s">
        <v>807</v>
      </c>
      <c r="I355" s="70" t="s">
        <v>42</v>
      </c>
      <c r="J355" s="65" t="s">
        <v>28</v>
      </c>
      <c r="K355" s="48">
        <f t="shared" si="57"/>
        <v>46029</v>
      </c>
      <c r="L355" s="48">
        <f t="shared" si="58"/>
        <v>46089</v>
      </c>
      <c r="M355" s="71"/>
      <c r="N355" s="72">
        <f>E355</f>
        <v>1</v>
      </c>
      <c r="O355" s="50">
        <f t="shared" si="59"/>
        <v>12.67</v>
      </c>
      <c r="P355" s="56">
        <f t="shared" si="55"/>
        <v>24</v>
      </c>
      <c r="Q355" s="73"/>
      <c r="R355" s="58"/>
      <c r="S355" s="200" t="s">
        <v>808</v>
      </c>
      <c r="T355" s="201">
        <v>90</v>
      </c>
      <c r="U355" s="58" t="s">
        <v>809</v>
      </c>
      <c r="V355" s="46"/>
      <c r="W355" s="46"/>
      <c r="X355" s="62" t="s">
        <v>25</v>
      </c>
      <c r="Y355" s="63">
        <f t="shared" si="62"/>
        <v>12.67</v>
      </c>
      <c r="Z355" s="64">
        <f t="shared" ref="Z355:Z357" si="65">E355-N355</f>
        <v>0</v>
      </c>
      <c r="AA355" s="30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</row>
    <row r="356" spans="1:48" ht="18" customHeight="1">
      <c r="A356" s="63">
        <v>20250331</v>
      </c>
      <c r="B356" s="65" t="s">
        <v>734</v>
      </c>
      <c r="C356" s="66">
        <v>46006</v>
      </c>
      <c r="D356" s="66">
        <v>46021</v>
      </c>
      <c r="E356" s="67">
        <v>1</v>
      </c>
      <c r="F356" s="68">
        <v>11.23</v>
      </c>
      <c r="G356" s="69">
        <v>24</v>
      </c>
      <c r="H356" s="70" t="s">
        <v>763</v>
      </c>
      <c r="I356" s="70" t="s">
        <v>63</v>
      </c>
      <c r="J356" s="65" t="s">
        <v>28</v>
      </c>
      <c r="K356" s="48">
        <f t="shared" si="57"/>
        <v>46029</v>
      </c>
      <c r="L356" s="48">
        <f t="shared" si="58"/>
        <v>46089</v>
      </c>
      <c r="M356" s="71"/>
      <c r="N356" s="72">
        <f>E356</f>
        <v>1</v>
      </c>
      <c r="O356" s="50">
        <f t="shared" si="59"/>
        <v>11.23</v>
      </c>
      <c r="P356" s="56">
        <f t="shared" si="55"/>
        <v>24</v>
      </c>
      <c r="Q356" s="73"/>
      <c r="R356" s="58"/>
      <c r="S356" s="200" t="s">
        <v>810</v>
      </c>
      <c r="T356" s="201">
        <v>101</v>
      </c>
      <c r="U356" s="58" t="s">
        <v>811</v>
      </c>
      <c r="V356" s="46"/>
      <c r="W356" s="46"/>
      <c r="X356" s="62" t="s">
        <v>25</v>
      </c>
      <c r="Y356" s="63">
        <f t="shared" si="62"/>
        <v>11.23</v>
      </c>
      <c r="Z356" s="64">
        <f t="shared" si="65"/>
        <v>0</v>
      </c>
      <c r="AA356" s="64">
        <v>2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</row>
    <row r="357" spans="1:48" ht="18" customHeight="1">
      <c r="A357" s="63">
        <v>20250331</v>
      </c>
      <c r="B357" s="65" t="s">
        <v>734</v>
      </c>
      <c r="C357" s="66">
        <v>46006</v>
      </c>
      <c r="D357" s="66">
        <v>46021</v>
      </c>
      <c r="E357" s="67">
        <v>1</v>
      </c>
      <c r="F357" s="68">
        <v>13.3</v>
      </c>
      <c r="G357" s="69">
        <v>24</v>
      </c>
      <c r="H357" s="70" t="s">
        <v>812</v>
      </c>
      <c r="I357" s="70" t="s">
        <v>106</v>
      </c>
      <c r="J357" s="65" t="s">
        <v>29</v>
      </c>
      <c r="K357" s="48">
        <f t="shared" si="57"/>
        <v>46029</v>
      </c>
      <c r="L357" s="48">
        <f t="shared" si="58"/>
        <v>46089</v>
      </c>
      <c r="M357" s="71"/>
      <c r="N357" s="72">
        <f>E357</f>
        <v>1</v>
      </c>
      <c r="O357" s="50">
        <f t="shared" si="59"/>
        <v>13.3</v>
      </c>
      <c r="P357" s="56">
        <f t="shared" si="55"/>
        <v>24</v>
      </c>
      <c r="Q357" s="73"/>
      <c r="R357" s="58"/>
      <c r="S357" s="200" t="s">
        <v>813</v>
      </c>
      <c r="T357" s="201">
        <v>105</v>
      </c>
      <c r="U357" s="58" t="s">
        <v>814</v>
      </c>
      <c r="V357" s="46"/>
      <c r="W357" s="46"/>
      <c r="X357" s="62" t="s">
        <v>25</v>
      </c>
      <c r="Y357" s="63">
        <f t="shared" si="62"/>
        <v>13.3</v>
      </c>
      <c r="Z357" s="64">
        <f t="shared" si="65"/>
        <v>0</v>
      </c>
      <c r="AA357" s="30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</row>
    <row r="358" spans="1:48" ht="18" customHeight="1">
      <c r="A358" s="106">
        <v>20250331</v>
      </c>
      <c r="B358" s="107" t="s">
        <v>734</v>
      </c>
      <c r="C358" s="108">
        <v>46006</v>
      </c>
      <c r="D358" s="108">
        <v>46021</v>
      </c>
      <c r="E358" s="106">
        <v>33</v>
      </c>
      <c r="F358" s="106">
        <v>0.1605</v>
      </c>
      <c r="G358" s="106">
        <v>0</v>
      </c>
      <c r="H358" s="109" t="s">
        <v>812</v>
      </c>
      <c r="I358" s="109" t="s">
        <v>24</v>
      </c>
      <c r="J358" s="107" t="s">
        <v>24</v>
      </c>
      <c r="K358" s="108">
        <f t="shared" si="57"/>
        <v>46029</v>
      </c>
      <c r="L358" s="108">
        <f t="shared" si="58"/>
        <v>46089</v>
      </c>
      <c r="M358" s="111"/>
      <c r="N358" s="112">
        <f>E358-33</f>
        <v>0</v>
      </c>
      <c r="O358" s="113">
        <f t="shared" si="59"/>
        <v>0</v>
      </c>
      <c r="P358" s="112">
        <f t="shared" si="55"/>
        <v>0</v>
      </c>
      <c r="Q358" s="109"/>
      <c r="R358" s="109"/>
      <c r="S358" s="109" t="s">
        <v>815</v>
      </c>
      <c r="T358" s="114">
        <v>108</v>
      </c>
      <c r="U358" s="109" t="s">
        <v>527</v>
      </c>
      <c r="V358" s="106"/>
      <c r="W358" s="106"/>
      <c r="X358" s="106" t="s">
        <v>55</v>
      </c>
      <c r="Y358" s="63">
        <f t="shared" si="62"/>
        <v>4.8636363636363634E-3</v>
      </c>
      <c r="Z358" s="30"/>
      <c r="AA358" s="30"/>
      <c r="AB358" s="202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</row>
    <row r="359" spans="1:48" ht="18" customHeight="1">
      <c r="A359" s="63">
        <v>20250331</v>
      </c>
      <c r="B359" s="65" t="s">
        <v>734</v>
      </c>
      <c r="C359" s="66">
        <v>46006</v>
      </c>
      <c r="D359" s="66">
        <v>46021</v>
      </c>
      <c r="E359" s="67">
        <v>1</v>
      </c>
      <c r="F359" s="68">
        <v>40.005000000000003</v>
      </c>
      <c r="G359" s="69">
        <v>24</v>
      </c>
      <c r="H359" s="70" t="s">
        <v>816</v>
      </c>
      <c r="I359" s="70" t="s">
        <v>81</v>
      </c>
      <c r="J359" s="65" t="s">
        <v>26</v>
      </c>
      <c r="K359" s="48">
        <f t="shared" si="57"/>
        <v>46029</v>
      </c>
      <c r="L359" s="48">
        <f t="shared" si="58"/>
        <v>46089</v>
      </c>
      <c r="M359" s="71"/>
      <c r="N359" s="72">
        <f>E359</f>
        <v>1</v>
      </c>
      <c r="O359" s="50">
        <f t="shared" si="59"/>
        <v>40.005000000000003</v>
      </c>
      <c r="P359" s="56">
        <f t="shared" si="55"/>
        <v>24</v>
      </c>
      <c r="Q359" s="73"/>
      <c r="R359" s="58"/>
      <c r="S359" s="200" t="s">
        <v>817</v>
      </c>
      <c r="T359" s="201">
        <v>118</v>
      </c>
      <c r="U359" s="58" t="s">
        <v>818</v>
      </c>
      <c r="V359" s="46"/>
      <c r="W359" s="46"/>
      <c r="X359" s="62" t="s">
        <v>25</v>
      </c>
      <c r="Y359" s="63">
        <f t="shared" si="62"/>
        <v>40.005000000000003</v>
      </c>
      <c r="Z359" s="64">
        <f t="shared" ref="Z359:Z362" si="66">E359-N359</f>
        <v>0</v>
      </c>
      <c r="AA359" s="30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</row>
    <row r="360" spans="1:48" ht="18" customHeight="1">
      <c r="A360" s="63">
        <v>20250331</v>
      </c>
      <c r="B360" s="65" t="s">
        <v>734</v>
      </c>
      <c r="C360" s="66">
        <v>46006</v>
      </c>
      <c r="D360" s="66">
        <v>46021</v>
      </c>
      <c r="E360" s="67">
        <v>3</v>
      </c>
      <c r="F360" s="68">
        <v>0</v>
      </c>
      <c r="G360" s="69">
        <v>9</v>
      </c>
      <c r="H360" s="70" t="s">
        <v>816</v>
      </c>
      <c r="I360" s="70" t="s">
        <v>24</v>
      </c>
      <c r="J360" s="65" t="s">
        <v>24</v>
      </c>
      <c r="K360" s="48">
        <f t="shared" si="57"/>
        <v>46029</v>
      </c>
      <c r="L360" s="48">
        <f t="shared" si="58"/>
        <v>46089</v>
      </c>
      <c r="M360" s="71"/>
      <c r="N360" s="72">
        <f>E360</f>
        <v>3</v>
      </c>
      <c r="O360" s="50">
        <f t="shared" si="59"/>
        <v>0</v>
      </c>
      <c r="P360" s="56">
        <f t="shared" si="55"/>
        <v>9</v>
      </c>
      <c r="Q360" s="73"/>
      <c r="R360" s="58"/>
      <c r="S360" s="200" t="s">
        <v>817</v>
      </c>
      <c r="T360" s="201">
        <v>118</v>
      </c>
      <c r="U360" s="58"/>
      <c r="V360" s="46"/>
      <c r="W360" s="46"/>
      <c r="X360" s="62" t="s">
        <v>25</v>
      </c>
      <c r="Y360" s="63">
        <f t="shared" si="62"/>
        <v>0</v>
      </c>
      <c r="Z360" s="64">
        <f t="shared" si="66"/>
        <v>0</v>
      </c>
      <c r="AA360" s="3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</row>
    <row r="361" spans="1:48" ht="18" customHeight="1">
      <c r="A361" s="87">
        <v>20250335</v>
      </c>
      <c r="B361" s="88" t="s">
        <v>819</v>
      </c>
      <c r="C361" s="89">
        <v>46009</v>
      </c>
      <c r="D361" s="89">
        <v>46021</v>
      </c>
      <c r="E361" s="209">
        <v>10</v>
      </c>
      <c r="F361" s="210">
        <v>85.034999999999997</v>
      </c>
      <c r="G361" s="211">
        <v>8.0208333333333304</v>
      </c>
      <c r="H361" s="212" t="s">
        <v>820</v>
      </c>
      <c r="I361" s="212" t="s">
        <v>72</v>
      </c>
      <c r="J361" s="207" t="s">
        <v>72</v>
      </c>
      <c r="K361" s="213">
        <f t="shared" si="57"/>
        <v>46029</v>
      </c>
      <c r="L361" s="213">
        <f t="shared" si="58"/>
        <v>46089</v>
      </c>
      <c r="M361" s="214"/>
      <c r="N361" s="215">
        <f>E361-5</f>
        <v>5</v>
      </c>
      <c r="O361" s="216">
        <f t="shared" si="59"/>
        <v>42.517499999999998</v>
      </c>
      <c r="P361" s="218">
        <f t="shared" si="55"/>
        <v>4.0104166666666652</v>
      </c>
      <c r="Q361" s="73"/>
      <c r="R361" s="58"/>
      <c r="S361" s="200" t="s">
        <v>821</v>
      </c>
      <c r="T361" s="201">
        <v>21</v>
      </c>
      <c r="U361" s="58" t="s">
        <v>822</v>
      </c>
      <c r="V361" s="46"/>
      <c r="W361" s="46"/>
      <c r="X361" s="99" t="s">
        <v>76</v>
      </c>
      <c r="Y361" s="63">
        <f t="shared" si="62"/>
        <v>8.5034999999999989</v>
      </c>
      <c r="Z361" s="64">
        <f t="shared" si="66"/>
        <v>5</v>
      </c>
      <c r="AA361" s="30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</row>
    <row r="362" spans="1:48" ht="18" customHeight="1">
      <c r="A362" s="188">
        <v>20250335</v>
      </c>
      <c r="B362" s="189" t="s">
        <v>819</v>
      </c>
      <c r="C362" s="190">
        <v>46009</v>
      </c>
      <c r="D362" s="190">
        <v>46021</v>
      </c>
      <c r="E362" s="209">
        <v>249</v>
      </c>
      <c r="F362" s="210">
        <v>1051.6959999999999</v>
      </c>
      <c r="G362" s="211">
        <v>199.71875</v>
      </c>
      <c r="H362" s="212" t="s">
        <v>823</v>
      </c>
      <c r="I362" s="212" t="s">
        <v>72</v>
      </c>
      <c r="J362" s="207" t="s">
        <v>72</v>
      </c>
      <c r="K362" s="213">
        <f t="shared" si="57"/>
        <v>46029</v>
      </c>
      <c r="L362" s="213">
        <f t="shared" si="58"/>
        <v>46089</v>
      </c>
      <c r="M362" s="214"/>
      <c r="N362" s="215">
        <f>E362-20-67-24-120-11</f>
        <v>7</v>
      </c>
      <c r="O362" s="216">
        <f t="shared" si="59"/>
        <v>29.565751004016057</v>
      </c>
      <c r="P362" s="218">
        <f t="shared" si="55"/>
        <v>5.6145833333333339</v>
      </c>
      <c r="Q362" s="73"/>
      <c r="R362" s="58"/>
      <c r="S362" s="200" t="s">
        <v>824</v>
      </c>
      <c r="T362" s="201">
        <v>62</v>
      </c>
      <c r="U362" s="58" t="s">
        <v>825</v>
      </c>
      <c r="V362" s="46"/>
      <c r="W362" s="46"/>
      <c r="X362" s="99" t="s">
        <v>76</v>
      </c>
      <c r="Y362" s="63">
        <f t="shared" si="62"/>
        <v>4.223678714859437</v>
      </c>
      <c r="Z362" s="64">
        <f t="shared" si="66"/>
        <v>242</v>
      </c>
      <c r="AA362" s="30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</row>
    <row r="363" spans="1:48" ht="18" customHeight="1">
      <c r="A363" s="106">
        <v>20250335</v>
      </c>
      <c r="B363" s="107" t="s">
        <v>819</v>
      </c>
      <c r="C363" s="108">
        <v>46009</v>
      </c>
      <c r="D363" s="108">
        <v>46021</v>
      </c>
      <c r="E363" s="106">
        <v>2470</v>
      </c>
      <c r="F363" s="106">
        <v>990.91920000000005</v>
      </c>
      <c r="G363" s="106">
        <v>500</v>
      </c>
      <c r="H363" s="109" t="s">
        <v>826</v>
      </c>
      <c r="I363" s="109" t="s">
        <v>52</v>
      </c>
      <c r="J363" s="107" t="s">
        <v>52</v>
      </c>
      <c r="K363" s="108">
        <f t="shared" si="57"/>
        <v>46029</v>
      </c>
      <c r="L363" s="108">
        <f t="shared" si="58"/>
        <v>46089</v>
      </c>
      <c r="M363" s="111"/>
      <c r="N363" s="112">
        <f>E363-154-176-150-118-1076-628-90-48-30</f>
        <v>0</v>
      </c>
      <c r="O363" s="113">
        <f t="shared" si="59"/>
        <v>0</v>
      </c>
      <c r="P363" s="112">
        <f t="shared" si="55"/>
        <v>0</v>
      </c>
      <c r="Q363" s="109"/>
      <c r="R363" s="109"/>
      <c r="S363" s="109" t="s">
        <v>827</v>
      </c>
      <c r="T363" s="114">
        <v>64</v>
      </c>
      <c r="U363" s="109" t="s">
        <v>828</v>
      </c>
      <c r="V363" s="106"/>
      <c r="W363" s="106"/>
      <c r="X363" s="106" t="s">
        <v>55</v>
      </c>
      <c r="Y363" s="63">
        <f t="shared" si="62"/>
        <v>0.40118186234817815</v>
      </c>
      <c r="Z363" s="30"/>
      <c r="AA363" s="30"/>
      <c r="AB363" s="202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</row>
    <row r="364" spans="1:48" ht="18" customHeight="1">
      <c r="A364" s="106">
        <v>20250335</v>
      </c>
      <c r="B364" s="109" t="s">
        <v>819</v>
      </c>
      <c r="C364" s="259">
        <v>46009</v>
      </c>
      <c r="D364" s="259">
        <v>46021</v>
      </c>
      <c r="E364" s="106">
        <v>137</v>
      </c>
      <c r="F364" s="106">
        <v>152.75</v>
      </c>
      <c r="G364" s="106">
        <v>119.19</v>
      </c>
      <c r="H364" s="109" t="s">
        <v>829</v>
      </c>
      <c r="I364" s="109" t="s">
        <v>271</v>
      </c>
      <c r="J364" s="109" t="s">
        <v>92</v>
      </c>
      <c r="K364" s="259">
        <v>46029</v>
      </c>
      <c r="L364" s="259">
        <v>46089</v>
      </c>
      <c r="M364" s="109"/>
      <c r="N364" s="106">
        <f>E364-66-52-19</f>
        <v>0</v>
      </c>
      <c r="O364" s="106">
        <f t="shared" si="59"/>
        <v>0</v>
      </c>
      <c r="P364" s="106">
        <f t="shared" si="55"/>
        <v>0</v>
      </c>
      <c r="Q364" s="109"/>
      <c r="R364" s="109"/>
      <c r="S364" s="109" t="s">
        <v>830</v>
      </c>
      <c r="T364" s="114">
        <v>26</v>
      </c>
      <c r="U364" s="109" t="s">
        <v>831</v>
      </c>
      <c r="V364" s="106"/>
      <c r="W364" s="106"/>
      <c r="X364" s="106" t="s">
        <v>55</v>
      </c>
      <c r="Y364" s="63">
        <f t="shared" si="62"/>
        <v>1.114963503649635</v>
      </c>
      <c r="Z364" s="30"/>
      <c r="AA364" s="30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</row>
    <row r="365" spans="1:48" ht="18" customHeight="1">
      <c r="A365" s="188">
        <v>20250335</v>
      </c>
      <c r="B365" s="189" t="s">
        <v>819</v>
      </c>
      <c r="C365" s="190">
        <v>46009</v>
      </c>
      <c r="D365" s="190">
        <v>46021</v>
      </c>
      <c r="E365" s="191">
        <v>145</v>
      </c>
      <c r="F365" s="192">
        <v>260.29349999999999</v>
      </c>
      <c r="G365" s="193">
        <v>126.15</v>
      </c>
      <c r="H365" s="194" t="s">
        <v>832</v>
      </c>
      <c r="I365" s="194" t="s">
        <v>24</v>
      </c>
      <c r="J365" s="189" t="s">
        <v>24</v>
      </c>
      <c r="K365" s="203">
        <f t="shared" ref="K365:K428" si="67">D365+8</f>
        <v>46029</v>
      </c>
      <c r="L365" s="203">
        <f t="shared" ref="L365:L428" si="68">K365+60</f>
        <v>46089</v>
      </c>
      <c r="M365" s="195"/>
      <c r="N365" s="196">
        <f>E365-39-14-13-34-32-3</f>
        <v>10</v>
      </c>
      <c r="O365" s="197">
        <f t="shared" si="59"/>
        <v>17.951275862068965</v>
      </c>
      <c r="P365" s="198">
        <f t="shared" si="55"/>
        <v>8.6999999999999993</v>
      </c>
      <c r="Q365" s="73"/>
      <c r="R365" s="58"/>
      <c r="S365" s="200" t="s">
        <v>833</v>
      </c>
      <c r="T365" s="201">
        <v>56</v>
      </c>
      <c r="U365" s="58" t="s">
        <v>834</v>
      </c>
      <c r="V365" s="46"/>
      <c r="W365" s="46"/>
      <c r="X365" s="99" t="s">
        <v>76</v>
      </c>
      <c r="Y365" s="63">
        <f t="shared" si="62"/>
        <v>1.7951275862068965</v>
      </c>
      <c r="Z365" s="64">
        <f t="shared" ref="Z365:Z380" si="69">E365-N365</f>
        <v>135</v>
      </c>
      <c r="AA365" s="30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</row>
    <row r="366" spans="1:48" ht="18" customHeight="1">
      <c r="A366" s="63">
        <v>20250335</v>
      </c>
      <c r="B366" s="65" t="s">
        <v>819</v>
      </c>
      <c r="C366" s="66">
        <v>46009</v>
      </c>
      <c r="D366" s="66">
        <v>46021</v>
      </c>
      <c r="E366" s="67">
        <v>2</v>
      </c>
      <c r="F366" s="68">
        <v>8.9260000000000002</v>
      </c>
      <c r="G366" s="69">
        <v>20</v>
      </c>
      <c r="H366" s="70" t="s">
        <v>835</v>
      </c>
      <c r="I366" s="70" t="s">
        <v>24</v>
      </c>
      <c r="J366" s="65" t="s">
        <v>24</v>
      </c>
      <c r="K366" s="48">
        <f t="shared" si="67"/>
        <v>46029</v>
      </c>
      <c r="L366" s="48">
        <f t="shared" si="68"/>
        <v>46089</v>
      </c>
      <c r="M366" s="71"/>
      <c r="N366" s="72">
        <f>E366</f>
        <v>2</v>
      </c>
      <c r="O366" s="50">
        <f t="shared" si="59"/>
        <v>8.9260000000000002</v>
      </c>
      <c r="P366" s="56">
        <f t="shared" si="55"/>
        <v>20</v>
      </c>
      <c r="Q366" s="73"/>
      <c r="R366" s="58"/>
      <c r="S366" s="200" t="s">
        <v>836</v>
      </c>
      <c r="T366" s="201">
        <v>5</v>
      </c>
      <c r="U366" s="58" t="s">
        <v>837</v>
      </c>
      <c r="V366" s="46"/>
      <c r="W366" s="46"/>
      <c r="X366" s="62" t="s">
        <v>25</v>
      </c>
      <c r="Y366" s="63">
        <f t="shared" si="62"/>
        <v>4.4630000000000001</v>
      </c>
      <c r="Z366" s="64">
        <f t="shared" si="69"/>
        <v>0</v>
      </c>
      <c r="AA366" s="30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</row>
    <row r="367" spans="1:48" ht="18" customHeight="1">
      <c r="A367" s="63">
        <v>20250335</v>
      </c>
      <c r="B367" s="65" t="s">
        <v>819</v>
      </c>
      <c r="C367" s="66">
        <v>46009</v>
      </c>
      <c r="D367" s="66">
        <v>46021</v>
      </c>
      <c r="E367" s="67">
        <v>1</v>
      </c>
      <c r="F367" s="68">
        <v>2.363</v>
      </c>
      <c r="G367" s="69">
        <v>20</v>
      </c>
      <c r="H367" s="70" t="s">
        <v>835</v>
      </c>
      <c r="I367" s="70" t="s">
        <v>24</v>
      </c>
      <c r="J367" s="65" t="s">
        <v>24</v>
      </c>
      <c r="K367" s="48">
        <f t="shared" si="67"/>
        <v>46029</v>
      </c>
      <c r="L367" s="48">
        <f t="shared" si="68"/>
        <v>46089</v>
      </c>
      <c r="M367" s="71"/>
      <c r="N367" s="72">
        <f>E367</f>
        <v>1</v>
      </c>
      <c r="O367" s="50">
        <f t="shared" si="59"/>
        <v>2.363</v>
      </c>
      <c r="P367" s="56">
        <f t="shared" si="55"/>
        <v>20</v>
      </c>
      <c r="Q367" s="73"/>
      <c r="R367" s="58"/>
      <c r="S367" s="200" t="s">
        <v>838</v>
      </c>
      <c r="T367" s="201">
        <v>6</v>
      </c>
      <c r="U367" s="58" t="s">
        <v>839</v>
      </c>
      <c r="V367" s="46"/>
      <c r="W367" s="46"/>
      <c r="X367" s="62" t="s">
        <v>25</v>
      </c>
      <c r="Y367" s="63">
        <f t="shared" si="62"/>
        <v>2.363</v>
      </c>
      <c r="Z367" s="64">
        <f t="shared" si="69"/>
        <v>0</v>
      </c>
      <c r="AA367" s="30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</row>
    <row r="368" spans="1:48" ht="18" customHeight="1">
      <c r="A368" s="188">
        <v>20250335</v>
      </c>
      <c r="B368" s="189" t="s">
        <v>819</v>
      </c>
      <c r="C368" s="190">
        <v>46009</v>
      </c>
      <c r="D368" s="190">
        <v>46021</v>
      </c>
      <c r="E368" s="191">
        <v>3</v>
      </c>
      <c r="F368" s="192">
        <v>48</v>
      </c>
      <c r="G368" s="193">
        <v>72</v>
      </c>
      <c r="H368" s="194" t="s">
        <v>786</v>
      </c>
      <c r="I368" s="194" t="s">
        <v>42</v>
      </c>
      <c r="J368" s="189" t="s">
        <v>28</v>
      </c>
      <c r="K368" s="203">
        <f t="shared" si="67"/>
        <v>46029</v>
      </c>
      <c r="L368" s="203">
        <f t="shared" si="68"/>
        <v>46089</v>
      </c>
      <c r="M368" s="195"/>
      <c r="N368" s="196">
        <f>E368-1</f>
        <v>2</v>
      </c>
      <c r="O368" s="197">
        <f t="shared" si="59"/>
        <v>32</v>
      </c>
      <c r="P368" s="198">
        <f t="shared" si="55"/>
        <v>48</v>
      </c>
      <c r="Q368" s="73"/>
      <c r="R368" s="58"/>
      <c r="S368" s="200" t="s">
        <v>840</v>
      </c>
      <c r="T368" s="201">
        <v>11</v>
      </c>
      <c r="U368" s="58" t="s">
        <v>841</v>
      </c>
      <c r="V368" s="46"/>
      <c r="W368" s="46"/>
      <c r="X368" s="99" t="s">
        <v>76</v>
      </c>
      <c r="Y368" s="63">
        <f t="shared" si="62"/>
        <v>16</v>
      </c>
      <c r="Z368" s="64">
        <f t="shared" si="69"/>
        <v>1</v>
      </c>
      <c r="AA368" s="30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</row>
    <row r="369" spans="1:48" ht="18" customHeight="1">
      <c r="A369" s="63">
        <v>20250335</v>
      </c>
      <c r="B369" s="65" t="s">
        <v>819</v>
      </c>
      <c r="C369" s="66">
        <v>46009</v>
      </c>
      <c r="D369" s="66">
        <v>46021</v>
      </c>
      <c r="E369" s="67">
        <v>1</v>
      </c>
      <c r="F369" s="68">
        <v>33.173999999999999</v>
      </c>
      <c r="G369" s="69">
        <v>24</v>
      </c>
      <c r="H369" s="70" t="s">
        <v>842</v>
      </c>
      <c r="I369" s="70" t="s">
        <v>194</v>
      </c>
      <c r="J369" s="65" t="s">
        <v>26</v>
      </c>
      <c r="K369" s="48">
        <f t="shared" si="67"/>
        <v>46029</v>
      </c>
      <c r="L369" s="48">
        <f t="shared" si="68"/>
        <v>46089</v>
      </c>
      <c r="M369" s="71"/>
      <c r="N369" s="72">
        <f>E369</f>
        <v>1</v>
      </c>
      <c r="O369" s="50">
        <f t="shared" si="59"/>
        <v>33.173999999999999</v>
      </c>
      <c r="P369" s="56">
        <f t="shared" si="55"/>
        <v>24</v>
      </c>
      <c r="Q369" s="73"/>
      <c r="R369" s="58"/>
      <c r="S369" s="200" t="s">
        <v>843</v>
      </c>
      <c r="T369" s="201">
        <v>53</v>
      </c>
      <c r="U369" s="58" t="s">
        <v>682</v>
      </c>
      <c r="V369" s="46"/>
      <c r="W369" s="46"/>
      <c r="X369" s="62" t="s">
        <v>25</v>
      </c>
      <c r="Y369" s="63">
        <f t="shared" si="62"/>
        <v>33.173999999999999</v>
      </c>
      <c r="Z369" s="64">
        <f t="shared" si="69"/>
        <v>0</v>
      </c>
      <c r="AA369" s="30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</row>
    <row r="370" spans="1:48" ht="18" customHeight="1">
      <c r="A370" s="63">
        <v>20250335</v>
      </c>
      <c r="B370" s="65" t="s">
        <v>819</v>
      </c>
      <c r="C370" s="66">
        <v>46009</v>
      </c>
      <c r="D370" s="66">
        <v>46021</v>
      </c>
      <c r="E370" s="67">
        <v>2</v>
      </c>
      <c r="F370" s="68">
        <v>0</v>
      </c>
      <c r="G370" s="69">
        <v>6</v>
      </c>
      <c r="H370" s="70" t="s">
        <v>842</v>
      </c>
      <c r="I370" s="70" t="s">
        <v>24</v>
      </c>
      <c r="J370" s="65" t="s">
        <v>24</v>
      </c>
      <c r="K370" s="48">
        <f t="shared" si="67"/>
        <v>46029</v>
      </c>
      <c r="L370" s="48">
        <f t="shared" si="68"/>
        <v>46089</v>
      </c>
      <c r="M370" s="71"/>
      <c r="N370" s="72">
        <f>E370</f>
        <v>2</v>
      </c>
      <c r="O370" s="50">
        <f t="shared" si="59"/>
        <v>0</v>
      </c>
      <c r="P370" s="56">
        <f t="shared" si="55"/>
        <v>6</v>
      </c>
      <c r="Q370" s="73"/>
      <c r="R370" s="58"/>
      <c r="S370" s="200" t="s">
        <v>843</v>
      </c>
      <c r="T370" s="201">
        <v>53</v>
      </c>
      <c r="U370" s="58"/>
      <c r="V370" s="46"/>
      <c r="W370" s="46"/>
      <c r="X370" s="62" t="s">
        <v>25</v>
      </c>
      <c r="Y370" s="63">
        <f t="shared" si="62"/>
        <v>0</v>
      </c>
      <c r="Z370" s="64">
        <f t="shared" si="69"/>
        <v>0</v>
      </c>
      <c r="AA370" s="3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</row>
    <row r="371" spans="1:48" ht="18" customHeight="1">
      <c r="A371" s="206">
        <v>20250335</v>
      </c>
      <c r="B371" s="207" t="s">
        <v>819</v>
      </c>
      <c r="C371" s="208">
        <v>46009</v>
      </c>
      <c r="D371" s="208">
        <v>46021</v>
      </c>
      <c r="E371" s="209">
        <v>120</v>
      </c>
      <c r="F371" s="210">
        <v>876.13099999999997</v>
      </c>
      <c r="G371" s="211">
        <v>800</v>
      </c>
      <c r="H371" s="212" t="s">
        <v>844</v>
      </c>
      <c r="I371" s="212" t="s">
        <v>24</v>
      </c>
      <c r="J371" s="207" t="s">
        <v>24</v>
      </c>
      <c r="K371" s="213">
        <f t="shared" si="67"/>
        <v>46029</v>
      </c>
      <c r="L371" s="213">
        <f t="shared" si="68"/>
        <v>46089</v>
      </c>
      <c r="M371" s="214"/>
      <c r="N371" s="215">
        <f>E371-5-12-20-15-51-4-6-3</f>
        <v>4</v>
      </c>
      <c r="O371" s="216">
        <f t="shared" si="59"/>
        <v>29.204366666666665</v>
      </c>
      <c r="P371" s="218">
        <f t="shared" si="55"/>
        <v>26.666666666666668</v>
      </c>
      <c r="Q371" s="73"/>
      <c r="R371" s="58"/>
      <c r="S371" s="200" t="s">
        <v>845</v>
      </c>
      <c r="T371" s="201">
        <v>57</v>
      </c>
      <c r="U371" s="58" t="s">
        <v>846</v>
      </c>
      <c r="V371" s="46"/>
      <c r="W371" s="46"/>
      <c r="X371" s="99" t="s">
        <v>76</v>
      </c>
      <c r="Y371" s="63">
        <f t="shared" si="62"/>
        <v>7.3010916666666663</v>
      </c>
      <c r="Z371" s="64">
        <f t="shared" si="69"/>
        <v>116</v>
      </c>
      <c r="AA371" s="30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</row>
    <row r="372" spans="1:48" ht="18" customHeight="1">
      <c r="A372" s="87">
        <v>20260014</v>
      </c>
      <c r="B372" s="88" t="s">
        <v>847</v>
      </c>
      <c r="C372" s="89">
        <v>46034</v>
      </c>
      <c r="D372" s="190">
        <v>46037</v>
      </c>
      <c r="E372" s="191">
        <v>1041</v>
      </c>
      <c r="F372" s="192">
        <v>2881.1329999999998</v>
      </c>
      <c r="G372" s="193">
        <v>1735</v>
      </c>
      <c r="H372" s="194" t="s">
        <v>848</v>
      </c>
      <c r="I372" s="194" t="s">
        <v>849</v>
      </c>
      <c r="J372" s="189" t="s">
        <v>850</v>
      </c>
      <c r="K372" s="203">
        <f t="shared" si="67"/>
        <v>46045</v>
      </c>
      <c r="L372" s="203">
        <f t="shared" si="68"/>
        <v>46105</v>
      </c>
      <c r="M372" s="195" t="s">
        <v>851</v>
      </c>
      <c r="N372" s="196">
        <f>E372-90-99-66-154-58-27-93-99-100-46-84-65-23</f>
        <v>37</v>
      </c>
      <c r="O372" s="197">
        <f t="shared" si="59"/>
        <v>102.40338232468778</v>
      </c>
      <c r="P372" s="198">
        <f t="shared" si="55"/>
        <v>61.666666666666671</v>
      </c>
      <c r="Q372" s="73"/>
      <c r="R372" s="58"/>
      <c r="S372" s="200" t="s">
        <v>852</v>
      </c>
      <c r="T372" s="201">
        <v>2</v>
      </c>
      <c r="U372" s="58"/>
      <c r="V372" s="46"/>
      <c r="W372" s="46"/>
      <c r="X372" s="99" t="s">
        <v>76</v>
      </c>
      <c r="Y372" s="63">
        <f t="shared" si="62"/>
        <v>2.7676589817483186</v>
      </c>
      <c r="Z372" s="64">
        <f t="shared" si="69"/>
        <v>1004</v>
      </c>
      <c r="AA372" s="30"/>
    </row>
    <row r="373" spans="1:48" ht="18" customHeight="1">
      <c r="A373" s="188">
        <v>20260014</v>
      </c>
      <c r="B373" s="194" t="s">
        <v>847</v>
      </c>
      <c r="C373" s="262">
        <v>46034</v>
      </c>
      <c r="D373" s="262">
        <v>46037</v>
      </c>
      <c r="E373" s="188">
        <v>447</v>
      </c>
      <c r="F373" s="192">
        <v>1281.31</v>
      </c>
      <c r="G373" s="188">
        <v>745</v>
      </c>
      <c r="H373" s="194" t="s">
        <v>853</v>
      </c>
      <c r="I373" s="194" t="s">
        <v>849</v>
      </c>
      <c r="J373" s="194" t="s">
        <v>850</v>
      </c>
      <c r="K373" s="203">
        <f t="shared" si="67"/>
        <v>46045</v>
      </c>
      <c r="L373" s="203">
        <f t="shared" si="68"/>
        <v>46105</v>
      </c>
      <c r="M373" s="194" t="s">
        <v>851</v>
      </c>
      <c r="N373" s="188">
        <f>E373-46-33-50-24-96-57-70-36</f>
        <v>35</v>
      </c>
      <c r="O373" s="188">
        <f t="shared" si="59"/>
        <v>100.32628635346755</v>
      </c>
      <c r="P373" s="198">
        <f t="shared" si="55"/>
        <v>58.333333333333336</v>
      </c>
      <c r="Q373" s="73"/>
      <c r="R373" s="58"/>
      <c r="S373" s="200" t="s">
        <v>854</v>
      </c>
      <c r="T373" s="201">
        <v>3</v>
      </c>
      <c r="U373" s="58"/>
      <c r="V373" s="46"/>
      <c r="W373" s="46"/>
      <c r="X373" s="99" t="s">
        <v>76</v>
      </c>
      <c r="Y373" s="63">
        <f t="shared" si="62"/>
        <v>2.8664653243847873</v>
      </c>
      <c r="Z373" s="64">
        <f t="shared" si="69"/>
        <v>412</v>
      </c>
      <c r="AA373" s="30"/>
    </row>
    <row r="374" spans="1:48" ht="18" customHeight="1">
      <c r="A374" s="188">
        <v>20260014</v>
      </c>
      <c r="B374" s="189" t="s">
        <v>847</v>
      </c>
      <c r="C374" s="190">
        <v>46034</v>
      </c>
      <c r="D374" s="190">
        <v>46037</v>
      </c>
      <c r="E374" s="191">
        <v>351</v>
      </c>
      <c r="F374" s="192">
        <v>831.79499999999996</v>
      </c>
      <c r="G374" s="193">
        <v>585</v>
      </c>
      <c r="H374" s="194" t="s">
        <v>855</v>
      </c>
      <c r="I374" s="194" t="s">
        <v>849</v>
      </c>
      <c r="J374" s="189" t="s">
        <v>850</v>
      </c>
      <c r="K374" s="203">
        <f t="shared" si="67"/>
        <v>46045</v>
      </c>
      <c r="L374" s="203">
        <f t="shared" si="68"/>
        <v>46105</v>
      </c>
      <c r="M374" s="195" t="s">
        <v>851</v>
      </c>
      <c r="N374" s="196">
        <f>E374-50-36-9-58-36-65-17-59-12</f>
        <v>9</v>
      </c>
      <c r="O374" s="197">
        <f t="shared" si="59"/>
        <v>21.328076923076921</v>
      </c>
      <c r="P374" s="198">
        <f t="shared" ref="P374:P437" si="70">G374/E374*N374</f>
        <v>15</v>
      </c>
      <c r="Q374" s="73"/>
      <c r="R374" s="58"/>
      <c r="S374" s="200" t="s">
        <v>856</v>
      </c>
      <c r="T374" s="201">
        <v>5</v>
      </c>
      <c r="U374" s="58"/>
      <c r="V374" s="46"/>
      <c r="W374" s="46"/>
      <c r="X374" s="99" t="s">
        <v>76</v>
      </c>
      <c r="Y374" s="63">
        <f t="shared" si="62"/>
        <v>2.3697863247863244</v>
      </c>
      <c r="Z374" s="64">
        <f t="shared" si="69"/>
        <v>342</v>
      </c>
      <c r="AA374" s="30"/>
    </row>
    <row r="375" spans="1:48" ht="18" customHeight="1">
      <c r="A375" s="87">
        <v>20260023</v>
      </c>
      <c r="B375" s="88" t="s">
        <v>857</v>
      </c>
      <c r="C375" s="89">
        <v>46040</v>
      </c>
      <c r="D375" s="66">
        <v>46041</v>
      </c>
      <c r="E375" s="67">
        <v>80</v>
      </c>
      <c r="F375" s="68">
        <v>292.92700000000002</v>
      </c>
      <c r="G375" s="69">
        <v>10</v>
      </c>
      <c r="H375" s="70" t="s">
        <v>532</v>
      </c>
      <c r="I375" s="70" t="s">
        <v>86</v>
      </c>
      <c r="J375" s="70" t="s">
        <v>86</v>
      </c>
      <c r="K375" s="48">
        <f t="shared" si="67"/>
        <v>46049</v>
      </c>
      <c r="L375" s="48">
        <f t="shared" si="68"/>
        <v>46109</v>
      </c>
      <c r="M375" s="224"/>
      <c r="N375" s="72">
        <f>E375</f>
        <v>80</v>
      </c>
      <c r="O375" s="50">
        <f t="shared" si="59"/>
        <v>292.92700000000002</v>
      </c>
      <c r="P375" s="56">
        <f t="shared" si="70"/>
        <v>10</v>
      </c>
      <c r="Q375" s="73" t="s">
        <v>858</v>
      </c>
      <c r="R375" s="58"/>
      <c r="S375" s="200">
        <v>152442</v>
      </c>
      <c r="T375" s="201">
        <v>2</v>
      </c>
      <c r="U375" s="58"/>
      <c r="V375" s="46"/>
      <c r="W375" s="46"/>
      <c r="X375" s="62" t="s">
        <v>25</v>
      </c>
      <c r="Y375" s="63">
        <f t="shared" si="62"/>
        <v>3.6615875000000004</v>
      </c>
      <c r="Z375" s="64">
        <f t="shared" si="69"/>
        <v>0</v>
      </c>
      <c r="AA375" s="30"/>
    </row>
    <row r="376" spans="1:48" ht="18" customHeight="1">
      <c r="A376" s="63">
        <v>20260023</v>
      </c>
      <c r="B376" s="65" t="s">
        <v>857</v>
      </c>
      <c r="C376" s="66">
        <v>46040</v>
      </c>
      <c r="D376" s="66">
        <v>46041</v>
      </c>
      <c r="E376" s="67">
        <v>5</v>
      </c>
      <c r="F376" s="68">
        <v>9.2260000000000009</v>
      </c>
      <c r="G376" s="69">
        <v>6.0227272727272698</v>
      </c>
      <c r="H376" s="70" t="s">
        <v>661</v>
      </c>
      <c r="I376" s="70" t="s">
        <v>86</v>
      </c>
      <c r="J376" s="70" t="s">
        <v>86</v>
      </c>
      <c r="K376" s="48">
        <f t="shared" si="67"/>
        <v>46049</v>
      </c>
      <c r="L376" s="48">
        <f t="shared" si="68"/>
        <v>46109</v>
      </c>
      <c r="M376" s="224"/>
      <c r="N376" s="72">
        <f>E376</f>
        <v>5</v>
      </c>
      <c r="O376" s="50">
        <f t="shared" si="59"/>
        <v>9.2260000000000009</v>
      </c>
      <c r="P376" s="56">
        <f t="shared" si="70"/>
        <v>6.0227272727272698</v>
      </c>
      <c r="Q376" s="73" t="s">
        <v>858</v>
      </c>
      <c r="R376" s="58"/>
      <c r="S376" s="200">
        <v>152443</v>
      </c>
      <c r="T376" s="201">
        <v>3</v>
      </c>
      <c r="U376" s="58"/>
      <c r="V376" s="46"/>
      <c r="W376" s="46"/>
      <c r="X376" s="62" t="s">
        <v>25</v>
      </c>
      <c r="Y376" s="63">
        <f t="shared" si="62"/>
        <v>1.8452000000000002</v>
      </c>
      <c r="Z376" s="64">
        <f t="shared" si="69"/>
        <v>0</v>
      </c>
      <c r="AA376" s="30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</row>
    <row r="377" spans="1:48" ht="18" customHeight="1">
      <c r="A377" s="87">
        <v>20260024</v>
      </c>
      <c r="B377" s="88" t="s">
        <v>859</v>
      </c>
      <c r="C377" s="89">
        <v>46044</v>
      </c>
      <c r="D377" s="190">
        <v>46045</v>
      </c>
      <c r="E377" s="191">
        <v>766</v>
      </c>
      <c r="F377" s="192">
        <v>3163.7</v>
      </c>
      <c r="G377" s="193">
        <v>670</v>
      </c>
      <c r="H377" s="194" t="s">
        <v>51</v>
      </c>
      <c r="I377" s="194" t="s">
        <v>52</v>
      </c>
      <c r="J377" s="194" t="s">
        <v>52</v>
      </c>
      <c r="K377" s="203">
        <f t="shared" si="67"/>
        <v>46053</v>
      </c>
      <c r="L377" s="203">
        <f t="shared" si="68"/>
        <v>46113</v>
      </c>
      <c r="M377" s="195"/>
      <c r="N377" s="196">
        <f>E377-242-23-33-35-57-172-34-121-19</f>
        <v>30</v>
      </c>
      <c r="O377" s="197">
        <f t="shared" si="59"/>
        <v>123.90469973890337</v>
      </c>
      <c r="P377" s="198">
        <f t="shared" si="70"/>
        <v>26.240208877284598</v>
      </c>
      <c r="Q377" s="73"/>
      <c r="R377" s="58"/>
      <c r="S377" s="200">
        <v>1</v>
      </c>
      <c r="T377" s="201">
        <v>1</v>
      </c>
      <c r="U377" s="58" t="s">
        <v>860</v>
      </c>
      <c r="V377" s="46"/>
      <c r="W377" s="46"/>
      <c r="X377" s="99" t="s">
        <v>76</v>
      </c>
      <c r="Y377" s="63">
        <f t="shared" si="62"/>
        <v>4.1301566579634459</v>
      </c>
      <c r="Z377" s="64">
        <f t="shared" si="69"/>
        <v>736</v>
      </c>
      <c r="AA377" s="30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</row>
    <row r="378" spans="1:48" ht="18" customHeight="1">
      <c r="A378" s="87">
        <v>20260025</v>
      </c>
      <c r="B378" s="88" t="s">
        <v>861</v>
      </c>
      <c r="C378" s="89">
        <v>46044</v>
      </c>
      <c r="D378" s="137">
        <v>46048</v>
      </c>
      <c r="E378" s="138">
        <v>11513</v>
      </c>
      <c r="F378" s="139">
        <v>8020.2380000000003</v>
      </c>
      <c r="G378" s="140">
        <v>9800</v>
      </c>
      <c r="H378" s="141" t="s">
        <v>862</v>
      </c>
      <c r="I378" s="141" t="s">
        <v>86</v>
      </c>
      <c r="J378" s="141" t="s">
        <v>86</v>
      </c>
      <c r="K378" s="142">
        <f t="shared" si="67"/>
        <v>46056</v>
      </c>
      <c r="L378" s="142">
        <f t="shared" si="68"/>
        <v>46116</v>
      </c>
      <c r="M378" s="143"/>
      <c r="N378" s="144">
        <f>E378-9146-117</f>
        <v>2250</v>
      </c>
      <c r="O378" s="145">
        <f t="shared" si="59"/>
        <v>1567.4051506992098</v>
      </c>
      <c r="P378" s="146">
        <f t="shared" si="70"/>
        <v>1915.2262659602191</v>
      </c>
      <c r="Q378" s="73" t="s">
        <v>863</v>
      </c>
      <c r="R378" s="58"/>
      <c r="S378" s="200" t="s">
        <v>864</v>
      </c>
      <c r="T378" s="201">
        <v>1</v>
      </c>
      <c r="U378" s="58" t="s">
        <v>865</v>
      </c>
      <c r="V378" s="46"/>
      <c r="W378" s="46"/>
      <c r="X378" s="99" t="s">
        <v>76</v>
      </c>
      <c r="Y378" s="63">
        <f t="shared" si="62"/>
        <v>0.69662451142187098</v>
      </c>
      <c r="Z378" s="64">
        <f t="shared" si="69"/>
        <v>9263</v>
      </c>
      <c r="AA378" s="30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</row>
    <row r="379" spans="1:48" ht="18" customHeight="1">
      <c r="A379" s="106">
        <v>20260017</v>
      </c>
      <c r="B379" s="107" t="s">
        <v>866</v>
      </c>
      <c r="C379" s="108">
        <v>46036</v>
      </c>
      <c r="D379" s="108">
        <v>46055</v>
      </c>
      <c r="E379" s="106">
        <v>1</v>
      </c>
      <c r="F379" s="106">
        <v>4</v>
      </c>
      <c r="G379" s="106">
        <v>24</v>
      </c>
      <c r="H379" s="109" t="s">
        <v>703</v>
      </c>
      <c r="I379" s="109" t="s">
        <v>24</v>
      </c>
      <c r="J379" s="107" t="s">
        <v>24</v>
      </c>
      <c r="K379" s="108">
        <f t="shared" si="67"/>
        <v>46063</v>
      </c>
      <c r="L379" s="108">
        <f t="shared" si="68"/>
        <v>46123</v>
      </c>
      <c r="M379" s="111"/>
      <c r="N379" s="112">
        <f>E379-1</f>
        <v>0</v>
      </c>
      <c r="O379" s="113">
        <f t="shared" si="59"/>
        <v>0</v>
      </c>
      <c r="P379" s="112">
        <f t="shared" si="70"/>
        <v>0</v>
      </c>
      <c r="Q379" s="109"/>
      <c r="R379" s="109"/>
      <c r="S379" s="109" t="s">
        <v>867</v>
      </c>
      <c r="T379" s="114">
        <v>3</v>
      </c>
      <c r="U379" s="109" t="s">
        <v>868</v>
      </c>
      <c r="V379" s="106"/>
      <c r="W379" s="106"/>
      <c r="X379" s="106" t="s">
        <v>55</v>
      </c>
      <c r="Y379" s="63">
        <f t="shared" si="62"/>
        <v>4</v>
      </c>
      <c r="Z379" s="64">
        <f t="shared" si="69"/>
        <v>1</v>
      </c>
      <c r="AA379" s="30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</row>
    <row r="380" spans="1:48" ht="18" customHeight="1">
      <c r="A380" s="206">
        <v>20260017</v>
      </c>
      <c r="B380" s="207" t="s">
        <v>866</v>
      </c>
      <c r="C380" s="208">
        <v>46036</v>
      </c>
      <c r="D380" s="208">
        <v>46055</v>
      </c>
      <c r="E380" s="206">
        <v>35</v>
      </c>
      <c r="F380" s="206">
        <v>309.90699999999998</v>
      </c>
      <c r="G380" s="206">
        <v>360</v>
      </c>
      <c r="H380" s="212" t="s">
        <v>869</v>
      </c>
      <c r="I380" s="212" t="s">
        <v>63</v>
      </c>
      <c r="J380" s="207" t="s">
        <v>28</v>
      </c>
      <c r="K380" s="208">
        <f t="shared" si="67"/>
        <v>46063</v>
      </c>
      <c r="L380" s="208">
        <f t="shared" si="68"/>
        <v>46123</v>
      </c>
      <c r="M380" s="263"/>
      <c r="N380" s="215">
        <f>E380-19-4-4</f>
        <v>8</v>
      </c>
      <c r="O380" s="264">
        <f t="shared" si="59"/>
        <v>70.835885714285709</v>
      </c>
      <c r="P380" s="215">
        <f t="shared" si="70"/>
        <v>82.285714285714292</v>
      </c>
      <c r="Q380" s="73"/>
      <c r="R380" s="58"/>
      <c r="S380" s="200" t="s">
        <v>870</v>
      </c>
      <c r="T380" s="201">
        <v>4</v>
      </c>
      <c r="U380" s="58" t="s">
        <v>871</v>
      </c>
      <c r="V380" s="46"/>
      <c r="W380" s="46"/>
      <c r="X380" s="99" t="s">
        <v>76</v>
      </c>
      <c r="Y380" s="63">
        <f t="shared" si="62"/>
        <v>8.8544857142857136</v>
      </c>
      <c r="Z380" s="64">
        <f t="shared" si="69"/>
        <v>27</v>
      </c>
      <c r="AA380" s="3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</row>
    <row r="381" spans="1:48" ht="18" customHeight="1">
      <c r="A381" s="106">
        <v>20260017</v>
      </c>
      <c r="B381" s="107" t="s">
        <v>866</v>
      </c>
      <c r="C381" s="108">
        <v>46036</v>
      </c>
      <c r="D381" s="108">
        <v>46055</v>
      </c>
      <c r="E381" s="106">
        <v>9</v>
      </c>
      <c r="F381" s="106">
        <v>100</v>
      </c>
      <c r="G381" s="106">
        <v>216</v>
      </c>
      <c r="H381" s="109" t="s">
        <v>872</v>
      </c>
      <c r="I381" s="109" t="s">
        <v>42</v>
      </c>
      <c r="J381" s="107" t="s">
        <v>28</v>
      </c>
      <c r="K381" s="108">
        <f t="shared" si="67"/>
        <v>46063</v>
      </c>
      <c r="L381" s="108">
        <f t="shared" si="68"/>
        <v>46123</v>
      </c>
      <c r="M381" s="111"/>
      <c r="N381" s="112">
        <f>E381-9</f>
        <v>0</v>
      </c>
      <c r="O381" s="113">
        <f t="shared" si="59"/>
        <v>0</v>
      </c>
      <c r="P381" s="112">
        <f t="shared" si="70"/>
        <v>0</v>
      </c>
      <c r="Q381" s="109"/>
      <c r="R381" s="109"/>
      <c r="S381" s="109" t="s">
        <v>873</v>
      </c>
      <c r="T381" s="114">
        <v>8</v>
      </c>
      <c r="U381" s="109" t="s">
        <v>874</v>
      </c>
      <c r="V381" s="106"/>
      <c r="W381" s="106"/>
      <c r="X381" s="106" t="s">
        <v>55</v>
      </c>
      <c r="Y381" s="63">
        <f t="shared" si="62"/>
        <v>11.111111111111111</v>
      </c>
      <c r="Z381" s="30"/>
      <c r="AA381" s="30"/>
      <c r="AB381" s="202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</row>
    <row r="382" spans="1:48" ht="18" customHeight="1">
      <c r="A382" s="106">
        <v>20260017</v>
      </c>
      <c r="B382" s="107" t="s">
        <v>866</v>
      </c>
      <c r="C382" s="108">
        <v>46036</v>
      </c>
      <c r="D382" s="108">
        <v>46055</v>
      </c>
      <c r="E382" s="106">
        <v>1</v>
      </c>
      <c r="F382" s="106">
        <v>67.438999999999993</v>
      </c>
      <c r="G382" s="106">
        <v>40</v>
      </c>
      <c r="H382" s="109" t="s">
        <v>872</v>
      </c>
      <c r="I382" s="109" t="s">
        <v>147</v>
      </c>
      <c r="J382" s="107" t="s">
        <v>26</v>
      </c>
      <c r="K382" s="108">
        <f t="shared" si="67"/>
        <v>46063</v>
      </c>
      <c r="L382" s="108">
        <f t="shared" si="68"/>
        <v>46123</v>
      </c>
      <c r="M382" s="111"/>
      <c r="N382" s="112">
        <f>E382-1</f>
        <v>0</v>
      </c>
      <c r="O382" s="113">
        <f t="shared" si="59"/>
        <v>0</v>
      </c>
      <c r="P382" s="112">
        <f t="shared" si="70"/>
        <v>0</v>
      </c>
      <c r="Q382" s="109"/>
      <c r="R382" s="109"/>
      <c r="S382" s="109" t="s">
        <v>873</v>
      </c>
      <c r="T382" s="114">
        <v>8</v>
      </c>
      <c r="U382" s="109"/>
      <c r="V382" s="106"/>
      <c r="W382" s="106"/>
      <c r="X382" s="106" t="s">
        <v>55</v>
      </c>
      <c r="Y382" s="63">
        <f t="shared" si="62"/>
        <v>67.438999999999993</v>
      </c>
      <c r="Z382" s="30"/>
      <c r="AA382" s="30"/>
      <c r="AB382" s="20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</row>
    <row r="383" spans="1:48" ht="18" customHeight="1">
      <c r="A383" s="106">
        <v>20260017</v>
      </c>
      <c r="B383" s="107" t="s">
        <v>866</v>
      </c>
      <c r="C383" s="108">
        <v>46036</v>
      </c>
      <c r="D383" s="108">
        <v>46055</v>
      </c>
      <c r="E383" s="106">
        <v>6</v>
      </c>
      <c r="F383" s="106">
        <v>0</v>
      </c>
      <c r="G383" s="106">
        <v>25</v>
      </c>
      <c r="H383" s="109" t="s">
        <v>872</v>
      </c>
      <c r="I383" s="109" t="s">
        <v>24</v>
      </c>
      <c r="J383" s="107" t="s">
        <v>24</v>
      </c>
      <c r="K383" s="108">
        <f t="shared" si="67"/>
        <v>46063</v>
      </c>
      <c r="L383" s="108">
        <f t="shared" si="68"/>
        <v>46123</v>
      </c>
      <c r="M383" s="111"/>
      <c r="N383" s="112">
        <f>E383-6</f>
        <v>0</v>
      </c>
      <c r="O383" s="113">
        <f t="shared" si="59"/>
        <v>0</v>
      </c>
      <c r="P383" s="112">
        <f t="shared" si="70"/>
        <v>0</v>
      </c>
      <c r="Q383" s="109"/>
      <c r="R383" s="109"/>
      <c r="S383" s="109" t="s">
        <v>873</v>
      </c>
      <c r="T383" s="114">
        <v>8</v>
      </c>
      <c r="U383" s="109"/>
      <c r="V383" s="106"/>
      <c r="W383" s="106"/>
      <c r="X383" s="106" t="s">
        <v>55</v>
      </c>
      <c r="Y383" s="63">
        <f t="shared" si="62"/>
        <v>0</v>
      </c>
      <c r="Z383" s="30"/>
      <c r="AA383" s="30"/>
      <c r="AB383" s="202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</row>
    <row r="384" spans="1:48" ht="18" customHeight="1">
      <c r="A384" s="206">
        <v>20260017</v>
      </c>
      <c r="B384" s="207" t="s">
        <v>866</v>
      </c>
      <c r="C384" s="208">
        <v>46036</v>
      </c>
      <c r="D384" s="208">
        <v>46055</v>
      </c>
      <c r="E384" s="209">
        <v>2</v>
      </c>
      <c r="F384" s="210">
        <v>1.81</v>
      </c>
      <c r="G384" s="211">
        <v>15</v>
      </c>
      <c r="H384" s="212" t="s">
        <v>875</v>
      </c>
      <c r="I384" s="212" t="s">
        <v>24</v>
      </c>
      <c r="J384" s="207" t="s">
        <v>24</v>
      </c>
      <c r="K384" s="213">
        <f t="shared" si="67"/>
        <v>46063</v>
      </c>
      <c r="L384" s="213">
        <f t="shared" si="68"/>
        <v>46123</v>
      </c>
      <c r="M384" s="214"/>
      <c r="N384" s="215">
        <f>E384-1</f>
        <v>1</v>
      </c>
      <c r="O384" s="216">
        <f t="shared" si="59"/>
        <v>0.90500000000000003</v>
      </c>
      <c r="P384" s="218">
        <f t="shared" si="70"/>
        <v>7.5</v>
      </c>
      <c r="Q384" s="73"/>
      <c r="R384" s="58"/>
      <c r="S384" s="200" t="s">
        <v>876</v>
      </c>
      <c r="T384" s="201">
        <v>17</v>
      </c>
      <c r="U384" s="58" t="s">
        <v>609</v>
      </c>
      <c r="V384" s="46"/>
      <c r="W384" s="46"/>
      <c r="X384" s="99" t="s">
        <v>76</v>
      </c>
      <c r="Y384" s="63">
        <f t="shared" si="62"/>
        <v>0.90500000000000003</v>
      </c>
      <c r="Z384" s="64">
        <f t="shared" ref="Z384:Z385" si="71">E384-N384</f>
        <v>1</v>
      </c>
      <c r="AA384" s="30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</row>
    <row r="385" spans="1:48" ht="18" customHeight="1">
      <c r="A385" s="63">
        <v>20260017</v>
      </c>
      <c r="B385" s="65" t="s">
        <v>866</v>
      </c>
      <c r="C385" s="66">
        <v>46036</v>
      </c>
      <c r="D385" s="66">
        <v>46055</v>
      </c>
      <c r="E385" s="67">
        <v>2</v>
      </c>
      <c r="F385" s="68">
        <v>30</v>
      </c>
      <c r="G385" s="69">
        <v>48</v>
      </c>
      <c r="H385" s="70" t="s">
        <v>712</v>
      </c>
      <c r="I385" s="70" t="s">
        <v>42</v>
      </c>
      <c r="J385" s="65" t="s">
        <v>28</v>
      </c>
      <c r="K385" s="48">
        <f t="shared" si="67"/>
        <v>46063</v>
      </c>
      <c r="L385" s="48">
        <f t="shared" si="68"/>
        <v>46123</v>
      </c>
      <c r="M385" s="71"/>
      <c r="N385" s="72">
        <f>E385</f>
        <v>2</v>
      </c>
      <c r="O385" s="50">
        <f t="shared" si="59"/>
        <v>30</v>
      </c>
      <c r="P385" s="56">
        <f t="shared" si="70"/>
        <v>48</v>
      </c>
      <c r="Q385" s="73"/>
      <c r="R385" s="58"/>
      <c r="S385" s="200" t="s">
        <v>877</v>
      </c>
      <c r="T385" s="201">
        <v>27</v>
      </c>
      <c r="U385" s="58" t="s">
        <v>878</v>
      </c>
      <c r="V385" s="46"/>
      <c r="W385" s="46"/>
      <c r="X385" s="62" t="s">
        <v>25</v>
      </c>
      <c r="Y385" s="63">
        <f t="shared" si="62"/>
        <v>15</v>
      </c>
      <c r="Z385" s="64">
        <f t="shared" si="71"/>
        <v>0</v>
      </c>
      <c r="AA385" s="64">
        <v>3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</row>
    <row r="386" spans="1:48" ht="18" customHeight="1">
      <c r="A386" s="106">
        <v>20260017</v>
      </c>
      <c r="B386" s="107" t="s">
        <v>866</v>
      </c>
      <c r="C386" s="108">
        <v>46036</v>
      </c>
      <c r="D386" s="108">
        <v>46055</v>
      </c>
      <c r="E386" s="106">
        <v>9</v>
      </c>
      <c r="F386" s="106">
        <v>485.06400000000002</v>
      </c>
      <c r="G386" s="106">
        <v>540</v>
      </c>
      <c r="H386" s="109" t="s">
        <v>879</v>
      </c>
      <c r="I386" s="109" t="s">
        <v>138</v>
      </c>
      <c r="J386" s="107" t="s">
        <v>26</v>
      </c>
      <c r="K386" s="108">
        <f t="shared" si="67"/>
        <v>46063</v>
      </c>
      <c r="L386" s="108">
        <f t="shared" si="68"/>
        <v>46123</v>
      </c>
      <c r="M386" s="111"/>
      <c r="N386" s="112">
        <f>E386-9</f>
        <v>0</v>
      </c>
      <c r="O386" s="113">
        <f t="shared" si="59"/>
        <v>0</v>
      </c>
      <c r="P386" s="112">
        <f t="shared" si="70"/>
        <v>0</v>
      </c>
      <c r="Q386" s="109"/>
      <c r="R386" s="109"/>
      <c r="S386" s="109" t="s">
        <v>880</v>
      </c>
      <c r="T386" s="114">
        <v>33</v>
      </c>
      <c r="U386" s="109" t="s">
        <v>881</v>
      </c>
      <c r="V386" s="106"/>
      <c r="W386" s="106"/>
      <c r="X386" s="106" t="s">
        <v>55</v>
      </c>
      <c r="Y386" s="63">
        <f t="shared" si="62"/>
        <v>53.896000000000001</v>
      </c>
      <c r="Z386" s="30"/>
      <c r="AA386" s="64">
        <v>3</v>
      </c>
      <c r="AB386" s="202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</row>
    <row r="387" spans="1:48" ht="18" customHeight="1">
      <c r="A387" s="106">
        <v>20260017</v>
      </c>
      <c r="B387" s="107" t="s">
        <v>866</v>
      </c>
      <c r="C387" s="108">
        <v>46036</v>
      </c>
      <c r="D387" s="108">
        <v>46055</v>
      </c>
      <c r="E387" s="106">
        <v>1</v>
      </c>
      <c r="F387" s="106">
        <v>53.896000000000001</v>
      </c>
      <c r="G387" s="106">
        <v>24</v>
      </c>
      <c r="H387" s="109" t="s">
        <v>879</v>
      </c>
      <c r="I387" s="109" t="s">
        <v>882</v>
      </c>
      <c r="J387" s="107" t="s">
        <v>26</v>
      </c>
      <c r="K387" s="108">
        <f t="shared" si="67"/>
        <v>46063</v>
      </c>
      <c r="L387" s="108">
        <f t="shared" si="68"/>
        <v>46123</v>
      </c>
      <c r="M387" s="111"/>
      <c r="N387" s="112">
        <f>E387-1</f>
        <v>0</v>
      </c>
      <c r="O387" s="113">
        <f t="shared" si="59"/>
        <v>0</v>
      </c>
      <c r="P387" s="112">
        <f t="shared" si="70"/>
        <v>0</v>
      </c>
      <c r="Q387" s="109"/>
      <c r="R387" s="109"/>
      <c r="S387" s="109" t="s">
        <v>880</v>
      </c>
      <c r="T387" s="114">
        <v>33</v>
      </c>
      <c r="U387" s="109"/>
      <c r="V387" s="106"/>
      <c r="W387" s="106"/>
      <c r="X387" s="106" t="s">
        <v>55</v>
      </c>
      <c r="Y387" s="63">
        <f t="shared" si="62"/>
        <v>53.896000000000001</v>
      </c>
      <c r="Z387" s="30"/>
      <c r="AA387" s="30"/>
      <c r="AB387" s="202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</row>
    <row r="388" spans="1:48" ht="18" customHeight="1">
      <c r="A388" s="63">
        <v>20260017</v>
      </c>
      <c r="B388" s="65" t="s">
        <v>866</v>
      </c>
      <c r="C388" s="66">
        <v>46036</v>
      </c>
      <c r="D388" s="66">
        <v>46055</v>
      </c>
      <c r="E388" s="67">
        <v>19</v>
      </c>
      <c r="F388" s="68">
        <v>0</v>
      </c>
      <c r="G388" s="69">
        <v>70</v>
      </c>
      <c r="H388" s="70" t="s">
        <v>879</v>
      </c>
      <c r="I388" s="70" t="s">
        <v>24</v>
      </c>
      <c r="J388" s="65" t="s">
        <v>24</v>
      </c>
      <c r="K388" s="48">
        <f t="shared" si="67"/>
        <v>46063</v>
      </c>
      <c r="L388" s="48">
        <f t="shared" si="68"/>
        <v>46123</v>
      </c>
      <c r="M388" s="71"/>
      <c r="N388" s="72">
        <f>E388</f>
        <v>19</v>
      </c>
      <c r="O388" s="50">
        <f t="shared" si="59"/>
        <v>0</v>
      </c>
      <c r="P388" s="56">
        <f t="shared" si="70"/>
        <v>70</v>
      </c>
      <c r="Q388" s="73"/>
      <c r="R388" s="58"/>
      <c r="S388" s="200" t="s">
        <v>880</v>
      </c>
      <c r="T388" s="201">
        <v>33</v>
      </c>
      <c r="U388" s="58"/>
      <c r="V388" s="46"/>
      <c r="W388" s="46"/>
      <c r="X388" s="62" t="s">
        <v>25</v>
      </c>
      <c r="Y388" s="63">
        <f t="shared" si="62"/>
        <v>0</v>
      </c>
      <c r="Z388" s="64">
        <f t="shared" ref="Z388" si="72">E388-N388</f>
        <v>0</v>
      </c>
      <c r="AA388" s="30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</row>
    <row r="389" spans="1:48" ht="18" customHeight="1">
      <c r="A389" s="106">
        <v>20260017</v>
      </c>
      <c r="B389" s="107" t="s">
        <v>866</v>
      </c>
      <c r="C389" s="108">
        <v>46036</v>
      </c>
      <c r="D389" s="108">
        <v>46055</v>
      </c>
      <c r="E389" s="106">
        <v>1</v>
      </c>
      <c r="F389" s="106">
        <v>14.32</v>
      </c>
      <c r="G389" s="106">
        <v>24</v>
      </c>
      <c r="H389" s="109" t="s">
        <v>883</v>
      </c>
      <c r="I389" s="109" t="s">
        <v>42</v>
      </c>
      <c r="J389" s="107" t="s">
        <v>28</v>
      </c>
      <c r="K389" s="108">
        <f t="shared" si="67"/>
        <v>46063</v>
      </c>
      <c r="L389" s="108">
        <f t="shared" si="68"/>
        <v>46123</v>
      </c>
      <c r="M389" s="111"/>
      <c r="N389" s="112">
        <f>E389-1</f>
        <v>0</v>
      </c>
      <c r="O389" s="113">
        <f t="shared" si="59"/>
        <v>0</v>
      </c>
      <c r="P389" s="112">
        <f t="shared" si="70"/>
        <v>0</v>
      </c>
      <c r="Q389" s="109"/>
      <c r="R389" s="109"/>
      <c r="S389" s="109" t="s">
        <v>884</v>
      </c>
      <c r="T389" s="114">
        <v>37</v>
      </c>
      <c r="U389" s="109" t="s">
        <v>885</v>
      </c>
      <c r="V389" s="106"/>
      <c r="W389" s="106"/>
      <c r="X389" s="106" t="s">
        <v>55</v>
      </c>
      <c r="Y389" s="63">
        <f t="shared" si="62"/>
        <v>14.32</v>
      </c>
      <c r="Z389" s="30"/>
      <c r="AA389" s="30"/>
      <c r="AB389" s="202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</row>
    <row r="390" spans="1:48" ht="18" customHeight="1">
      <c r="A390" s="63">
        <v>20260017</v>
      </c>
      <c r="B390" s="65" t="s">
        <v>866</v>
      </c>
      <c r="C390" s="66">
        <v>46036</v>
      </c>
      <c r="D390" s="66">
        <v>46055</v>
      </c>
      <c r="E390" s="67">
        <v>1</v>
      </c>
      <c r="F390" s="68">
        <v>0.31</v>
      </c>
      <c r="G390" s="69">
        <v>3</v>
      </c>
      <c r="H390" s="70" t="s">
        <v>883</v>
      </c>
      <c r="I390" s="70" t="s">
        <v>24</v>
      </c>
      <c r="J390" s="65" t="s">
        <v>24</v>
      </c>
      <c r="K390" s="48">
        <f t="shared" si="67"/>
        <v>46063</v>
      </c>
      <c r="L390" s="48">
        <f t="shared" si="68"/>
        <v>46123</v>
      </c>
      <c r="M390" s="71"/>
      <c r="N390" s="72">
        <f>E390</f>
        <v>1</v>
      </c>
      <c r="O390" s="50">
        <f t="shared" si="59"/>
        <v>0.31</v>
      </c>
      <c r="P390" s="56">
        <f t="shared" si="70"/>
        <v>3</v>
      </c>
      <c r="Q390" s="73"/>
      <c r="R390" s="58"/>
      <c r="S390" s="200" t="s">
        <v>886</v>
      </c>
      <c r="T390" s="201">
        <v>62</v>
      </c>
      <c r="U390" s="58" t="s">
        <v>887</v>
      </c>
      <c r="V390" s="46"/>
      <c r="W390" s="46"/>
      <c r="X390" s="62" t="s">
        <v>25</v>
      </c>
      <c r="Y390" s="63">
        <f t="shared" si="62"/>
        <v>0.31</v>
      </c>
      <c r="Z390" s="64">
        <f t="shared" ref="Z390:Z392" si="73">E390-N390</f>
        <v>0</v>
      </c>
      <c r="AA390" s="3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</row>
    <row r="391" spans="1:48" ht="18" customHeight="1">
      <c r="A391" s="206">
        <v>20260017</v>
      </c>
      <c r="B391" s="207" t="s">
        <v>866</v>
      </c>
      <c r="C391" s="208">
        <v>46036</v>
      </c>
      <c r="D391" s="208">
        <v>46055</v>
      </c>
      <c r="E391" s="209">
        <v>2</v>
      </c>
      <c r="F391" s="210">
        <v>38.316000000000003</v>
      </c>
      <c r="G391" s="211">
        <v>40</v>
      </c>
      <c r="H391" s="212" t="s">
        <v>888</v>
      </c>
      <c r="I391" s="212" t="s">
        <v>889</v>
      </c>
      <c r="J391" s="207" t="s">
        <v>26</v>
      </c>
      <c r="K391" s="213">
        <f t="shared" si="67"/>
        <v>46063</v>
      </c>
      <c r="L391" s="213">
        <f t="shared" si="68"/>
        <v>46123</v>
      </c>
      <c r="M391" s="214"/>
      <c r="N391" s="215">
        <f>E391-1</f>
        <v>1</v>
      </c>
      <c r="O391" s="216">
        <f t="shared" si="59"/>
        <v>19.158000000000001</v>
      </c>
      <c r="P391" s="218">
        <f t="shared" si="70"/>
        <v>20</v>
      </c>
      <c r="Q391" s="73"/>
      <c r="R391" s="58"/>
      <c r="S391" s="200" t="s">
        <v>890</v>
      </c>
      <c r="T391" s="201">
        <v>40</v>
      </c>
      <c r="U391" s="58" t="s">
        <v>891</v>
      </c>
      <c r="V391" s="46"/>
      <c r="W391" s="46"/>
      <c r="X391" s="99" t="s">
        <v>76</v>
      </c>
      <c r="Y391" s="63">
        <f t="shared" si="62"/>
        <v>19.158000000000001</v>
      </c>
      <c r="Z391" s="64">
        <f t="shared" si="73"/>
        <v>1</v>
      </c>
      <c r="AA391" s="30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</row>
    <row r="392" spans="1:48" ht="18" customHeight="1">
      <c r="A392" s="63">
        <v>20260017</v>
      </c>
      <c r="B392" s="65" t="s">
        <v>866</v>
      </c>
      <c r="C392" s="66">
        <v>46036</v>
      </c>
      <c r="D392" s="66">
        <v>46055</v>
      </c>
      <c r="E392" s="67">
        <v>2</v>
      </c>
      <c r="F392" s="68">
        <v>24.32</v>
      </c>
      <c r="G392" s="69">
        <v>48</v>
      </c>
      <c r="H392" s="70" t="s">
        <v>892</v>
      </c>
      <c r="I392" s="70" t="s">
        <v>42</v>
      </c>
      <c r="J392" s="65" t="s">
        <v>28</v>
      </c>
      <c r="K392" s="48">
        <f t="shared" si="67"/>
        <v>46063</v>
      </c>
      <c r="L392" s="48">
        <f t="shared" si="68"/>
        <v>46123</v>
      </c>
      <c r="M392" s="71"/>
      <c r="N392" s="72">
        <f>E392</f>
        <v>2</v>
      </c>
      <c r="O392" s="50">
        <f t="shared" si="59"/>
        <v>24.32</v>
      </c>
      <c r="P392" s="56">
        <f t="shared" si="70"/>
        <v>48</v>
      </c>
      <c r="Q392" s="73"/>
      <c r="R392" s="58"/>
      <c r="S392" s="200" t="s">
        <v>893</v>
      </c>
      <c r="T392" s="201">
        <v>52</v>
      </c>
      <c r="U392" s="58" t="s">
        <v>894</v>
      </c>
      <c r="V392" s="46"/>
      <c r="W392" s="46"/>
      <c r="X392" s="62" t="s">
        <v>25</v>
      </c>
      <c r="Y392" s="63">
        <f t="shared" si="62"/>
        <v>12.16</v>
      </c>
      <c r="Z392" s="64">
        <f t="shared" si="73"/>
        <v>0</v>
      </c>
      <c r="AA392" s="30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</row>
    <row r="393" spans="1:48" ht="18" customHeight="1">
      <c r="A393" s="106">
        <v>20260017</v>
      </c>
      <c r="B393" s="107" t="s">
        <v>866</v>
      </c>
      <c r="C393" s="108">
        <v>46036</v>
      </c>
      <c r="D393" s="108">
        <v>46055</v>
      </c>
      <c r="E393" s="106">
        <v>1</v>
      </c>
      <c r="F393" s="106">
        <v>9</v>
      </c>
      <c r="G393" s="106">
        <v>18</v>
      </c>
      <c r="H393" s="109" t="s">
        <v>895</v>
      </c>
      <c r="I393" s="109" t="s">
        <v>113</v>
      </c>
      <c r="J393" s="107" t="s">
        <v>28</v>
      </c>
      <c r="K393" s="108">
        <f t="shared" si="67"/>
        <v>46063</v>
      </c>
      <c r="L393" s="108">
        <f t="shared" si="68"/>
        <v>46123</v>
      </c>
      <c r="M393" s="111"/>
      <c r="N393" s="112">
        <f>E393-1</f>
        <v>0</v>
      </c>
      <c r="O393" s="113">
        <f t="shared" ref="O393:O456" si="74">F393/E393*N393</f>
        <v>0</v>
      </c>
      <c r="P393" s="112">
        <f t="shared" si="70"/>
        <v>0</v>
      </c>
      <c r="Q393" s="109"/>
      <c r="R393" s="109"/>
      <c r="S393" s="109" t="s">
        <v>896</v>
      </c>
      <c r="T393" s="114">
        <v>53</v>
      </c>
      <c r="U393" s="109" t="s">
        <v>897</v>
      </c>
      <c r="V393" s="106"/>
      <c r="W393" s="106"/>
      <c r="X393" s="106" t="s">
        <v>55</v>
      </c>
      <c r="Y393" s="63">
        <f t="shared" si="62"/>
        <v>9</v>
      </c>
      <c r="Z393" s="30"/>
      <c r="AA393" s="30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</row>
    <row r="394" spans="1:48" ht="18" customHeight="1">
      <c r="A394" s="63">
        <v>20260017</v>
      </c>
      <c r="B394" s="65" t="s">
        <v>866</v>
      </c>
      <c r="C394" s="66">
        <v>46036</v>
      </c>
      <c r="D394" s="66">
        <v>46055</v>
      </c>
      <c r="E394" s="67">
        <v>1</v>
      </c>
      <c r="F394" s="68">
        <v>8.5</v>
      </c>
      <c r="G394" s="69">
        <v>18</v>
      </c>
      <c r="H394" s="70" t="s">
        <v>898</v>
      </c>
      <c r="I394" s="70" t="s">
        <v>113</v>
      </c>
      <c r="J394" s="65" t="s">
        <v>28</v>
      </c>
      <c r="K394" s="48">
        <f t="shared" si="67"/>
        <v>46063</v>
      </c>
      <c r="L394" s="48">
        <f t="shared" si="68"/>
        <v>46123</v>
      </c>
      <c r="M394" s="71"/>
      <c r="N394" s="72">
        <f>E394</f>
        <v>1</v>
      </c>
      <c r="O394" s="50">
        <f t="shared" si="74"/>
        <v>8.5</v>
      </c>
      <c r="P394" s="56">
        <f t="shared" si="70"/>
        <v>18</v>
      </c>
      <c r="Q394" s="73"/>
      <c r="R394" s="58"/>
      <c r="S394" s="200" t="s">
        <v>899</v>
      </c>
      <c r="T394" s="201">
        <v>56</v>
      </c>
      <c r="U394" s="58" t="s">
        <v>900</v>
      </c>
      <c r="V394" s="46"/>
      <c r="W394" s="46"/>
      <c r="X394" s="62" t="s">
        <v>25</v>
      </c>
      <c r="Y394" s="63">
        <f t="shared" si="62"/>
        <v>8.5</v>
      </c>
      <c r="Z394" s="64">
        <f t="shared" ref="Z394:Z398" si="75">E394-N394</f>
        <v>0</v>
      </c>
      <c r="AA394" s="30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</row>
    <row r="395" spans="1:48" ht="18" customHeight="1">
      <c r="A395" s="206">
        <v>20260017</v>
      </c>
      <c r="B395" s="207" t="s">
        <v>866</v>
      </c>
      <c r="C395" s="208">
        <v>46036</v>
      </c>
      <c r="D395" s="208">
        <v>46055</v>
      </c>
      <c r="E395" s="206">
        <v>1160</v>
      </c>
      <c r="F395" s="265">
        <v>1626.36</v>
      </c>
      <c r="G395" s="212">
        <v>501</v>
      </c>
      <c r="H395" s="212" t="s">
        <v>901</v>
      </c>
      <c r="I395" s="212" t="s">
        <v>402</v>
      </c>
      <c r="J395" s="212" t="s">
        <v>123</v>
      </c>
      <c r="K395" s="213">
        <f t="shared" si="67"/>
        <v>46063</v>
      </c>
      <c r="L395" s="213">
        <f t="shared" si="68"/>
        <v>46123</v>
      </c>
      <c r="M395" s="206"/>
      <c r="N395" s="206">
        <f>E395-70-195-245-70-210-32-175-35-105</f>
        <v>23</v>
      </c>
      <c r="O395" s="206">
        <f t="shared" si="74"/>
        <v>32.246793103448276</v>
      </c>
      <c r="P395" s="206">
        <f t="shared" si="70"/>
        <v>9.9336206896551733</v>
      </c>
      <c r="Q395" s="73"/>
      <c r="R395" s="58"/>
      <c r="S395" s="200" t="s">
        <v>902</v>
      </c>
      <c r="T395" s="201">
        <v>19</v>
      </c>
      <c r="U395" s="58" t="s">
        <v>402</v>
      </c>
      <c r="V395" s="46"/>
      <c r="W395" s="46"/>
      <c r="X395" s="99" t="s">
        <v>76</v>
      </c>
      <c r="Y395" s="63">
        <f t="shared" si="62"/>
        <v>1.4020344827586206</v>
      </c>
      <c r="Z395" s="64">
        <f t="shared" si="75"/>
        <v>1137</v>
      </c>
      <c r="AA395" s="30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</row>
    <row r="396" spans="1:48" ht="18" customHeight="1">
      <c r="A396" s="206">
        <v>20260017</v>
      </c>
      <c r="B396" s="207" t="s">
        <v>866</v>
      </c>
      <c r="C396" s="208">
        <v>46036</v>
      </c>
      <c r="D396" s="208">
        <v>46055</v>
      </c>
      <c r="E396" s="209">
        <v>420</v>
      </c>
      <c r="F396" s="210">
        <v>751.2</v>
      </c>
      <c r="G396" s="211">
        <v>181</v>
      </c>
      <c r="H396" s="212" t="s">
        <v>903</v>
      </c>
      <c r="I396" s="212" t="s">
        <v>402</v>
      </c>
      <c r="J396" s="207" t="s">
        <v>123</v>
      </c>
      <c r="K396" s="213">
        <f t="shared" si="67"/>
        <v>46063</v>
      </c>
      <c r="L396" s="213">
        <f t="shared" si="68"/>
        <v>46123</v>
      </c>
      <c r="M396" s="214"/>
      <c r="N396" s="215">
        <f>E396-39-26-121-49-26-31-47</f>
        <v>81</v>
      </c>
      <c r="O396" s="216">
        <f t="shared" si="74"/>
        <v>144.87428571428572</v>
      </c>
      <c r="P396" s="218">
        <f t="shared" si="70"/>
        <v>34.907142857142858</v>
      </c>
      <c r="Q396" s="73"/>
      <c r="R396" s="58"/>
      <c r="S396" s="200" t="s">
        <v>904</v>
      </c>
      <c r="T396" s="201">
        <v>20</v>
      </c>
      <c r="U396" s="58" t="s">
        <v>905</v>
      </c>
      <c r="V396" s="46"/>
      <c r="W396" s="46"/>
      <c r="X396" s="99" t="s">
        <v>76</v>
      </c>
      <c r="Y396" s="63">
        <f t="shared" si="62"/>
        <v>1.7885714285714287</v>
      </c>
      <c r="Z396" s="64">
        <f t="shared" si="75"/>
        <v>339</v>
      </c>
      <c r="AA396" s="30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</row>
    <row r="397" spans="1:48" ht="18" customHeight="1">
      <c r="A397" s="206">
        <v>20260017</v>
      </c>
      <c r="B397" s="207" t="s">
        <v>866</v>
      </c>
      <c r="C397" s="208">
        <v>46036</v>
      </c>
      <c r="D397" s="208">
        <v>46055</v>
      </c>
      <c r="E397" s="209">
        <v>660</v>
      </c>
      <c r="F397" s="210">
        <v>916.92399999999998</v>
      </c>
      <c r="G397" s="211">
        <v>285</v>
      </c>
      <c r="H397" s="212" t="s">
        <v>906</v>
      </c>
      <c r="I397" s="212" t="s">
        <v>402</v>
      </c>
      <c r="J397" s="207" t="s">
        <v>123</v>
      </c>
      <c r="K397" s="213">
        <f t="shared" si="67"/>
        <v>46063</v>
      </c>
      <c r="L397" s="213">
        <f t="shared" si="68"/>
        <v>46123</v>
      </c>
      <c r="M397" s="214"/>
      <c r="N397" s="215">
        <f>E397-120-127-40-33-47-33-86-64-95</f>
        <v>15</v>
      </c>
      <c r="O397" s="216">
        <f t="shared" si="74"/>
        <v>20.839181818181817</v>
      </c>
      <c r="P397" s="218">
        <f t="shared" si="70"/>
        <v>6.4772727272727275</v>
      </c>
      <c r="Q397" s="73"/>
      <c r="R397" s="58"/>
      <c r="S397" s="200" t="s">
        <v>907</v>
      </c>
      <c r="T397" s="201">
        <v>21</v>
      </c>
      <c r="U397" s="58" t="s">
        <v>908</v>
      </c>
      <c r="V397" s="46"/>
      <c r="W397" s="46"/>
      <c r="X397" s="99" t="s">
        <v>76</v>
      </c>
      <c r="Y397" s="63">
        <f t="shared" si="62"/>
        <v>1.3892787878787878</v>
      </c>
      <c r="Z397" s="64">
        <f t="shared" si="75"/>
        <v>645</v>
      </c>
      <c r="AA397" s="30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</row>
    <row r="398" spans="1:48" ht="18" customHeight="1">
      <c r="A398" s="206">
        <v>20260017</v>
      </c>
      <c r="B398" s="207" t="s">
        <v>866</v>
      </c>
      <c r="C398" s="208">
        <v>46036</v>
      </c>
      <c r="D398" s="208">
        <v>46055</v>
      </c>
      <c r="E398" s="209">
        <v>2179</v>
      </c>
      <c r="F398" s="210">
        <v>2136.08</v>
      </c>
      <c r="G398" s="211">
        <v>941</v>
      </c>
      <c r="H398" s="212" t="s">
        <v>909</v>
      </c>
      <c r="I398" s="212" t="s">
        <v>910</v>
      </c>
      <c r="J398" s="207" t="s">
        <v>123</v>
      </c>
      <c r="K398" s="213">
        <f t="shared" si="67"/>
        <v>46063</v>
      </c>
      <c r="L398" s="213">
        <f t="shared" si="68"/>
        <v>46123</v>
      </c>
      <c r="M398" s="214"/>
      <c r="N398" s="215">
        <f>E398-130-234-217-208-140-180-208-182-208-208-103-42</f>
        <v>119</v>
      </c>
      <c r="O398" s="216">
        <f t="shared" si="74"/>
        <v>116.65604405690684</v>
      </c>
      <c r="P398" s="218">
        <f t="shared" si="70"/>
        <v>51.390087195961449</v>
      </c>
      <c r="Q398" s="73"/>
      <c r="R398" s="58"/>
      <c r="S398" s="200" t="s">
        <v>911</v>
      </c>
      <c r="T398" s="201">
        <v>22</v>
      </c>
      <c r="U398" s="58" t="s">
        <v>912</v>
      </c>
      <c r="V398" s="46"/>
      <c r="W398" s="46"/>
      <c r="X398" s="99" t="s">
        <v>76</v>
      </c>
      <c r="Y398" s="63">
        <f t="shared" si="62"/>
        <v>0.9803028912345112</v>
      </c>
      <c r="Z398" s="64">
        <f t="shared" si="75"/>
        <v>2060</v>
      </c>
      <c r="AA398" s="64">
        <v>4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</row>
    <row r="399" spans="1:48" ht="18" customHeight="1">
      <c r="A399" s="106">
        <v>20260017</v>
      </c>
      <c r="B399" s="107" t="s">
        <v>866</v>
      </c>
      <c r="C399" s="108">
        <v>46036</v>
      </c>
      <c r="D399" s="108">
        <v>46055</v>
      </c>
      <c r="E399" s="106">
        <v>3276</v>
      </c>
      <c r="F399" s="106">
        <v>3448.712</v>
      </c>
      <c r="G399" s="106">
        <v>1414</v>
      </c>
      <c r="H399" s="109" t="s">
        <v>909</v>
      </c>
      <c r="I399" s="109" t="s">
        <v>303</v>
      </c>
      <c r="J399" s="107" t="s">
        <v>123</v>
      </c>
      <c r="K399" s="108">
        <f t="shared" si="67"/>
        <v>46063</v>
      </c>
      <c r="L399" s="108">
        <f t="shared" si="68"/>
        <v>46123</v>
      </c>
      <c r="M399" s="111"/>
      <c r="N399" s="112">
        <f>E399-182-78-104-234-286-286-260-286-234-286-208-52-182-234-286-52-1-8-17</f>
        <v>0</v>
      </c>
      <c r="O399" s="113">
        <f t="shared" si="74"/>
        <v>0</v>
      </c>
      <c r="P399" s="112">
        <f t="shared" si="70"/>
        <v>0</v>
      </c>
      <c r="Q399" s="109"/>
      <c r="R399" s="109"/>
      <c r="S399" s="109" t="s">
        <v>913</v>
      </c>
      <c r="T399" s="114">
        <v>23</v>
      </c>
      <c r="U399" s="109" t="s">
        <v>545</v>
      </c>
      <c r="V399" s="106"/>
      <c r="W399" s="106"/>
      <c r="X399" s="106" t="s">
        <v>55</v>
      </c>
      <c r="Y399" s="63">
        <f t="shared" si="62"/>
        <v>1.0527203907203908</v>
      </c>
      <c r="Z399" s="30"/>
      <c r="AA399" s="30"/>
      <c r="AB399" s="202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</row>
    <row r="400" spans="1:48" ht="18" customHeight="1">
      <c r="A400" s="63">
        <v>20260017</v>
      </c>
      <c r="B400" s="65" t="s">
        <v>866</v>
      </c>
      <c r="C400" s="66">
        <v>46036</v>
      </c>
      <c r="D400" s="66">
        <v>46055</v>
      </c>
      <c r="E400" s="67">
        <v>244</v>
      </c>
      <c r="F400" s="68">
        <v>663.68799999999999</v>
      </c>
      <c r="G400" s="69">
        <v>294</v>
      </c>
      <c r="H400" s="70" t="s">
        <v>85</v>
      </c>
      <c r="I400" s="70" t="s">
        <v>86</v>
      </c>
      <c r="J400" s="65" t="s">
        <v>86</v>
      </c>
      <c r="K400" s="48">
        <f t="shared" si="67"/>
        <v>46063</v>
      </c>
      <c r="L400" s="48">
        <f t="shared" si="68"/>
        <v>46123</v>
      </c>
      <c r="M400" s="71"/>
      <c r="N400" s="72">
        <f>E400</f>
        <v>244</v>
      </c>
      <c r="O400" s="50">
        <f t="shared" si="74"/>
        <v>663.68799999999999</v>
      </c>
      <c r="P400" s="56">
        <f t="shared" si="70"/>
        <v>294</v>
      </c>
      <c r="Q400" s="73" t="s">
        <v>914</v>
      </c>
      <c r="R400" s="58"/>
      <c r="S400" s="200" t="s">
        <v>915</v>
      </c>
      <c r="T400" s="201">
        <v>26</v>
      </c>
      <c r="U400" s="58" t="s">
        <v>916</v>
      </c>
      <c r="V400" s="46"/>
      <c r="W400" s="46"/>
      <c r="X400" s="62" t="s">
        <v>25</v>
      </c>
      <c r="Y400" s="63">
        <f t="shared" si="62"/>
        <v>2.7200327868852456</v>
      </c>
      <c r="Z400" s="64">
        <f t="shared" ref="Z400:Z402" si="76">E400-N400</f>
        <v>0</v>
      </c>
      <c r="AA400" s="64">
        <v>6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</row>
    <row r="401" spans="1:48" ht="18" customHeight="1">
      <c r="A401" s="206">
        <v>20260017</v>
      </c>
      <c r="B401" s="207" t="s">
        <v>866</v>
      </c>
      <c r="C401" s="208">
        <v>46036</v>
      </c>
      <c r="D401" s="208">
        <v>46055</v>
      </c>
      <c r="E401" s="209">
        <v>1868</v>
      </c>
      <c r="F401" s="210">
        <v>5283.6480000000001</v>
      </c>
      <c r="G401" s="211">
        <v>2253</v>
      </c>
      <c r="H401" s="212" t="s">
        <v>917</v>
      </c>
      <c r="I401" s="212" t="s">
        <v>86</v>
      </c>
      <c r="J401" s="207" t="s">
        <v>86</v>
      </c>
      <c r="K401" s="213">
        <f t="shared" si="67"/>
        <v>46063</v>
      </c>
      <c r="L401" s="213">
        <f t="shared" si="68"/>
        <v>46123</v>
      </c>
      <c r="M401" s="214"/>
      <c r="N401" s="215">
        <f>E401-5-84-24</f>
        <v>1755</v>
      </c>
      <c r="O401" s="216">
        <f t="shared" si="74"/>
        <v>4964.0268950749469</v>
      </c>
      <c r="P401" s="218">
        <f t="shared" si="70"/>
        <v>2116.710385438972</v>
      </c>
      <c r="Q401" s="73" t="s">
        <v>37</v>
      </c>
      <c r="R401" s="58"/>
      <c r="S401" s="200" t="s">
        <v>918</v>
      </c>
      <c r="T401" s="201">
        <v>79</v>
      </c>
      <c r="U401" s="58" t="s">
        <v>919</v>
      </c>
      <c r="V401" s="46"/>
      <c r="W401" s="46"/>
      <c r="X401" s="99" t="s">
        <v>76</v>
      </c>
      <c r="Y401" s="63">
        <f t="shared" si="62"/>
        <v>2.8285053533190578</v>
      </c>
      <c r="Z401" s="64">
        <f t="shared" si="76"/>
        <v>113</v>
      </c>
      <c r="AA401" s="30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</row>
    <row r="402" spans="1:48" ht="18" customHeight="1">
      <c r="A402" s="206">
        <v>20260017</v>
      </c>
      <c r="B402" s="207" t="s">
        <v>866</v>
      </c>
      <c r="C402" s="208">
        <v>46036</v>
      </c>
      <c r="D402" s="208">
        <v>46055</v>
      </c>
      <c r="E402" s="209">
        <v>1555</v>
      </c>
      <c r="F402" s="210">
        <v>1214.96</v>
      </c>
      <c r="G402" s="211">
        <v>1241</v>
      </c>
      <c r="H402" s="212" t="s">
        <v>920</v>
      </c>
      <c r="I402" s="212" t="s">
        <v>52</v>
      </c>
      <c r="J402" s="207" t="s">
        <v>52</v>
      </c>
      <c r="K402" s="213">
        <f t="shared" si="67"/>
        <v>46063</v>
      </c>
      <c r="L402" s="213">
        <f t="shared" si="68"/>
        <v>46123</v>
      </c>
      <c r="M402" s="214"/>
      <c r="N402" s="215">
        <f>E402-60-15-69-41-28-27</f>
        <v>1315</v>
      </c>
      <c r="O402" s="216">
        <f t="shared" si="74"/>
        <v>1027.4420578778136</v>
      </c>
      <c r="P402" s="218">
        <f t="shared" si="70"/>
        <v>1049.4630225080386</v>
      </c>
      <c r="Q402" s="73" t="s">
        <v>921</v>
      </c>
      <c r="R402" s="58"/>
      <c r="S402" s="200" t="s">
        <v>922</v>
      </c>
      <c r="T402" s="201">
        <v>16</v>
      </c>
      <c r="U402" s="58" t="s">
        <v>923</v>
      </c>
      <c r="V402" s="46"/>
      <c r="W402" s="46"/>
      <c r="X402" s="99" t="s">
        <v>76</v>
      </c>
      <c r="Y402" s="63">
        <f t="shared" si="62"/>
        <v>0.78132475884244379</v>
      </c>
      <c r="Z402" s="64">
        <f t="shared" si="76"/>
        <v>240</v>
      </c>
      <c r="AA402" s="30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</row>
    <row r="403" spans="1:48" ht="18" customHeight="1">
      <c r="A403" s="106">
        <v>20260017</v>
      </c>
      <c r="B403" s="107" t="s">
        <v>866</v>
      </c>
      <c r="C403" s="108">
        <v>46036</v>
      </c>
      <c r="D403" s="108">
        <v>46055</v>
      </c>
      <c r="E403" s="106">
        <v>71</v>
      </c>
      <c r="F403" s="106">
        <v>570.68899999999996</v>
      </c>
      <c r="G403" s="106">
        <v>57</v>
      </c>
      <c r="H403" s="109" t="s">
        <v>924</v>
      </c>
      <c r="I403" s="109" t="s">
        <v>72</v>
      </c>
      <c r="J403" s="107" t="s">
        <v>72</v>
      </c>
      <c r="K403" s="108">
        <f t="shared" si="67"/>
        <v>46063</v>
      </c>
      <c r="L403" s="108">
        <f t="shared" si="68"/>
        <v>46123</v>
      </c>
      <c r="M403" s="111"/>
      <c r="N403" s="112">
        <f>E403-50-21</f>
        <v>0</v>
      </c>
      <c r="O403" s="113">
        <f t="shared" si="74"/>
        <v>0</v>
      </c>
      <c r="P403" s="112">
        <f t="shared" si="70"/>
        <v>0</v>
      </c>
      <c r="Q403" s="109" t="s">
        <v>925</v>
      </c>
      <c r="R403" s="109"/>
      <c r="S403" s="109" t="s">
        <v>926</v>
      </c>
      <c r="T403" s="114">
        <v>65</v>
      </c>
      <c r="U403" s="109" t="s">
        <v>615</v>
      </c>
      <c r="V403" s="106"/>
      <c r="W403" s="106"/>
      <c r="X403" s="106" t="s">
        <v>55</v>
      </c>
      <c r="Y403" s="63">
        <f t="shared" si="62"/>
        <v>8.0378732394366192</v>
      </c>
      <c r="Z403" s="30"/>
      <c r="AA403" s="30"/>
      <c r="AB403" s="202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</row>
    <row r="404" spans="1:48" ht="18" customHeight="1">
      <c r="A404" s="206">
        <v>20260017</v>
      </c>
      <c r="B404" s="207" t="s">
        <v>866</v>
      </c>
      <c r="C404" s="208">
        <v>46036</v>
      </c>
      <c r="D404" s="208">
        <v>46055</v>
      </c>
      <c r="E404" s="209">
        <v>89</v>
      </c>
      <c r="F404" s="210">
        <v>667.721</v>
      </c>
      <c r="G404" s="211">
        <v>71</v>
      </c>
      <c r="H404" s="212" t="s">
        <v>924</v>
      </c>
      <c r="I404" s="212" t="s">
        <v>72</v>
      </c>
      <c r="J404" s="207" t="s">
        <v>72</v>
      </c>
      <c r="K404" s="213">
        <f t="shared" si="67"/>
        <v>46063</v>
      </c>
      <c r="L404" s="213">
        <f t="shared" si="68"/>
        <v>46123</v>
      </c>
      <c r="M404" s="214"/>
      <c r="N404" s="215">
        <f>E404-42-13-20-12</f>
        <v>2</v>
      </c>
      <c r="O404" s="216">
        <f t="shared" si="74"/>
        <v>15.004966292134831</v>
      </c>
      <c r="P404" s="218">
        <f t="shared" si="70"/>
        <v>1.595505617977528</v>
      </c>
      <c r="Q404" s="73" t="s">
        <v>925</v>
      </c>
      <c r="R404" s="58"/>
      <c r="S404" s="200" t="s">
        <v>927</v>
      </c>
      <c r="T404" s="201">
        <v>66</v>
      </c>
      <c r="U404" s="58" t="s">
        <v>615</v>
      </c>
      <c r="V404" s="46"/>
      <c r="W404" s="46"/>
      <c r="X404" s="99" t="s">
        <v>76</v>
      </c>
      <c r="Y404" s="63">
        <f t="shared" si="62"/>
        <v>7.5024831460674157</v>
      </c>
      <c r="Z404" s="64">
        <f t="shared" ref="Z404" si="77">E404-N404</f>
        <v>87</v>
      </c>
      <c r="AA404" s="30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</row>
    <row r="405" spans="1:48" ht="18" customHeight="1">
      <c r="A405" s="106">
        <v>20260017</v>
      </c>
      <c r="B405" s="107" t="s">
        <v>866</v>
      </c>
      <c r="C405" s="108">
        <v>46036</v>
      </c>
      <c r="D405" s="108">
        <v>46055</v>
      </c>
      <c r="E405" s="106">
        <v>32</v>
      </c>
      <c r="F405" s="106">
        <v>279.33</v>
      </c>
      <c r="G405" s="106">
        <v>26</v>
      </c>
      <c r="H405" s="109" t="s">
        <v>928</v>
      </c>
      <c r="I405" s="109" t="s">
        <v>72</v>
      </c>
      <c r="J405" s="107" t="s">
        <v>72</v>
      </c>
      <c r="K405" s="108">
        <f t="shared" si="67"/>
        <v>46063</v>
      </c>
      <c r="L405" s="108">
        <f t="shared" si="68"/>
        <v>46123</v>
      </c>
      <c r="M405" s="111"/>
      <c r="N405" s="112">
        <f>E405-32</f>
        <v>0</v>
      </c>
      <c r="O405" s="113">
        <f t="shared" si="74"/>
        <v>0</v>
      </c>
      <c r="P405" s="112">
        <f t="shared" si="70"/>
        <v>0</v>
      </c>
      <c r="Q405" s="109" t="s">
        <v>925</v>
      </c>
      <c r="R405" s="109" t="s">
        <v>929</v>
      </c>
      <c r="S405" s="109" t="s">
        <v>930</v>
      </c>
      <c r="T405" s="114">
        <v>67</v>
      </c>
      <c r="U405" s="109" t="s">
        <v>931</v>
      </c>
      <c r="V405" s="106"/>
      <c r="W405" s="106"/>
      <c r="X405" s="106" t="s">
        <v>55</v>
      </c>
      <c r="Y405" s="63">
        <f t="shared" si="62"/>
        <v>8.7290624999999995</v>
      </c>
      <c r="Z405" s="30"/>
      <c r="AA405" s="30"/>
      <c r="AB405" s="202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</row>
    <row r="406" spans="1:48" ht="18" customHeight="1">
      <c r="A406" s="206">
        <v>20260017</v>
      </c>
      <c r="B406" s="207" t="s">
        <v>866</v>
      </c>
      <c r="C406" s="208">
        <v>46036</v>
      </c>
      <c r="D406" s="208">
        <v>46055</v>
      </c>
      <c r="E406" s="209">
        <v>306</v>
      </c>
      <c r="F406" s="210">
        <v>1471.6110000000001</v>
      </c>
      <c r="G406" s="211">
        <v>245</v>
      </c>
      <c r="H406" s="212" t="s">
        <v>928</v>
      </c>
      <c r="I406" s="212" t="s">
        <v>72</v>
      </c>
      <c r="J406" s="207" t="s">
        <v>72</v>
      </c>
      <c r="K406" s="213">
        <f t="shared" si="67"/>
        <v>46063</v>
      </c>
      <c r="L406" s="213">
        <f t="shared" si="68"/>
        <v>46123</v>
      </c>
      <c r="M406" s="214"/>
      <c r="N406" s="215">
        <f>E406-39-67-44-36-40-28-28-12</f>
        <v>12</v>
      </c>
      <c r="O406" s="216">
        <f t="shared" si="74"/>
        <v>57.710235294117652</v>
      </c>
      <c r="P406" s="218">
        <f t="shared" si="70"/>
        <v>9.6078431372549034</v>
      </c>
      <c r="Q406" s="73" t="s">
        <v>925</v>
      </c>
      <c r="R406" s="58" t="s">
        <v>929</v>
      </c>
      <c r="S406" s="200" t="s">
        <v>932</v>
      </c>
      <c r="T406" s="201">
        <v>69</v>
      </c>
      <c r="U406" s="58" t="s">
        <v>933</v>
      </c>
      <c r="V406" s="46"/>
      <c r="W406" s="46"/>
      <c r="X406" s="99" t="s">
        <v>76</v>
      </c>
      <c r="Y406" s="63">
        <f t="shared" ref="Y406:Y469" si="78">F406/E406</f>
        <v>4.8091862745098046</v>
      </c>
      <c r="Z406" s="64">
        <f t="shared" ref="Z406:Z407" si="79">E406-N406</f>
        <v>294</v>
      </c>
      <c r="AA406" s="64">
        <v>1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</row>
    <row r="407" spans="1:48" ht="18" customHeight="1">
      <c r="A407" s="206">
        <v>20260017</v>
      </c>
      <c r="B407" s="207" t="s">
        <v>866</v>
      </c>
      <c r="C407" s="208">
        <v>46036</v>
      </c>
      <c r="D407" s="208">
        <v>46055</v>
      </c>
      <c r="E407" s="209">
        <v>362</v>
      </c>
      <c r="F407" s="210">
        <v>2395.558</v>
      </c>
      <c r="G407" s="211">
        <v>290</v>
      </c>
      <c r="H407" s="212" t="s">
        <v>934</v>
      </c>
      <c r="I407" s="212" t="s">
        <v>72</v>
      </c>
      <c r="J407" s="207" t="s">
        <v>72</v>
      </c>
      <c r="K407" s="213">
        <f t="shared" si="67"/>
        <v>46063</v>
      </c>
      <c r="L407" s="213">
        <f t="shared" si="68"/>
        <v>46123</v>
      </c>
      <c r="M407" s="214"/>
      <c r="N407" s="215">
        <f>E407-37-70-86-41-45-16-58</f>
        <v>9</v>
      </c>
      <c r="O407" s="216">
        <f t="shared" si="74"/>
        <v>59.558071823204415</v>
      </c>
      <c r="P407" s="218">
        <f t="shared" si="70"/>
        <v>7.2099447513812152</v>
      </c>
      <c r="Q407" s="73" t="s">
        <v>925</v>
      </c>
      <c r="R407" s="58" t="s">
        <v>935</v>
      </c>
      <c r="S407" s="200" t="s">
        <v>936</v>
      </c>
      <c r="T407" s="201">
        <v>72</v>
      </c>
      <c r="U407" s="58" t="s">
        <v>554</v>
      </c>
      <c r="V407" s="46"/>
      <c r="W407" s="46"/>
      <c r="X407" s="99" t="s">
        <v>76</v>
      </c>
      <c r="Y407" s="63">
        <f t="shared" si="78"/>
        <v>6.6175635359116018</v>
      </c>
      <c r="Z407" s="64">
        <f t="shared" si="79"/>
        <v>353</v>
      </c>
      <c r="AA407" s="30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</row>
    <row r="408" spans="1:48" ht="18" customHeight="1">
      <c r="A408" s="106">
        <v>20260017</v>
      </c>
      <c r="B408" s="107" t="s">
        <v>866</v>
      </c>
      <c r="C408" s="108">
        <v>46036</v>
      </c>
      <c r="D408" s="108">
        <v>46055</v>
      </c>
      <c r="E408" s="106">
        <v>30</v>
      </c>
      <c r="F408" s="106">
        <v>197.07</v>
      </c>
      <c r="G408" s="106">
        <v>24</v>
      </c>
      <c r="H408" s="109" t="s">
        <v>361</v>
      </c>
      <c r="I408" s="109" t="s">
        <v>72</v>
      </c>
      <c r="J408" s="107" t="s">
        <v>72</v>
      </c>
      <c r="K408" s="108">
        <f t="shared" si="67"/>
        <v>46063</v>
      </c>
      <c r="L408" s="108">
        <f t="shared" si="68"/>
        <v>46123</v>
      </c>
      <c r="M408" s="111"/>
      <c r="N408" s="112">
        <f>E408-8-8-14</f>
        <v>0</v>
      </c>
      <c r="O408" s="113">
        <f t="shared" si="74"/>
        <v>0</v>
      </c>
      <c r="P408" s="112">
        <f t="shared" si="70"/>
        <v>0</v>
      </c>
      <c r="Q408" s="109" t="s">
        <v>925</v>
      </c>
      <c r="R408" s="109"/>
      <c r="S408" s="109" t="s">
        <v>937</v>
      </c>
      <c r="T408" s="114">
        <v>74</v>
      </c>
      <c r="U408" s="109" t="s">
        <v>938</v>
      </c>
      <c r="V408" s="106"/>
      <c r="W408" s="106"/>
      <c r="X408" s="106" t="s">
        <v>55</v>
      </c>
      <c r="Y408" s="63">
        <f t="shared" si="78"/>
        <v>6.569</v>
      </c>
      <c r="Z408" s="30"/>
      <c r="AA408" s="30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</row>
    <row r="409" spans="1:48" ht="18" customHeight="1">
      <c r="A409" s="106">
        <v>20260017</v>
      </c>
      <c r="B409" s="107" t="s">
        <v>866</v>
      </c>
      <c r="C409" s="108">
        <v>46036</v>
      </c>
      <c r="D409" s="108">
        <v>46055</v>
      </c>
      <c r="E409" s="106">
        <v>42</v>
      </c>
      <c r="F409" s="106">
        <v>302.149</v>
      </c>
      <c r="G409" s="106">
        <v>34</v>
      </c>
      <c r="H409" s="109" t="s">
        <v>361</v>
      </c>
      <c r="I409" s="109" t="s">
        <v>72</v>
      </c>
      <c r="J409" s="107" t="s">
        <v>72</v>
      </c>
      <c r="K409" s="108">
        <f t="shared" si="67"/>
        <v>46063</v>
      </c>
      <c r="L409" s="108">
        <f t="shared" si="68"/>
        <v>46123</v>
      </c>
      <c r="M409" s="111"/>
      <c r="N409" s="112">
        <f>E409-42</f>
        <v>0</v>
      </c>
      <c r="O409" s="113">
        <f t="shared" si="74"/>
        <v>0</v>
      </c>
      <c r="P409" s="112">
        <f t="shared" si="70"/>
        <v>0</v>
      </c>
      <c r="Q409" s="109" t="s">
        <v>925</v>
      </c>
      <c r="R409" s="109"/>
      <c r="S409" s="109" t="s">
        <v>939</v>
      </c>
      <c r="T409" s="114">
        <v>75</v>
      </c>
      <c r="U409" s="109" t="s">
        <v>938</v>
      </c>
      <c r="V409" s="106"/>
      <c r="W409" s="106"/>
      <c r="X409" s="106" t="s">
        <v>55</v>
      </c>
      <c r="Y409" s="63">
        <f t="shared" si="78"/>
        <v>7.1940238095238094</v>
      </c>
      <c r="Z409" s="30"/>
      <c r="AA409" s="30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</row>
    <row r="410" spans="1:48" ht="18" customHeight="1">
      <c r="A410" s="106">
        <v>20260017</v>
      </c>
      <c r="B410" s="107" t="s">
        <v>866</v>
      </c>
      <c r="C410" s="108">
        <v>46036</v>
      </c>
      <c r="D410" s="108">
        <v>46055</v>
      </c>
      <c r="E410" s="106">
        <v>573</v>
      </c>
      <c r="F410" s="106">
        <v>3488.8809999999999</v>
      </c>
      <c r="G410" s="106">
        <v>460</v>
      </c>
      <c r="H410" s="109" t="s">
        <v>940</v>
      </c>
      <c r="I410" s="109" t="s">
        <v>72</v>
      </c>
      <c r="J410" s="107" t="s">
        <v>72</v>
      </c>
      <c r="K410" s="108">
        <f t="shared" si="67"/>
        <v>46063</v>
      </c>
      <c r="L410" s="108">
        <f t="shared" si="68"/>
        <v>46123</v>
      </c>
      <c r="M410" s="111"/>
      <c r="N410" s="112">
        <f>E410-88-54-78-8-78-80-79-54-54</f>
        <v>0</v>
      </c>
      <c r="O410" s="113">
        <f t="shared" si="74"/>
        <v>0</v>
      </c>
      <c r="P410" s="112">
        <f t="shared" si="70"/>
        <v>0</v>
      </c>
      <c r="Q410" s="109" t="s">
        <v>925</v>
      </c>
      <c r="R410" s="109" t="s">
        <v>941</v>
      </c>
      <c r="S410" s="109" t="s">
        <v>942</v>
      </c>
      <c r="T410" s="114">
        <v>78</v>
      </c>
      <c r="U410" s="109" t="s">
        <v>943</v>
      </c>
      <c r="V410" s="106"/>
      <c r="W410" s="106"/>
      <c r="X410" s="106" t="s">
        <v>55</v>
      </c>
      <c r="Y410" s="63">
        <f t="shared" si="78"/>
        <v>6.0887975567190225</v>
      </c>
      <c r="Z410" s="30"/>
      <c r="AA410" s="3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</row>
    <row r="411" spans="1:48" ht="18" customHeight="1">
      <c r="A411" s="106">
        <v>20260017</v>
      </c>
      <c r="B411" s="107" t="s">
        <v>866</v>
      </c>
      <c r="C411" s="108">
        <v>46036</v>
      </c>
      <c r="D411" s="108">
        <v>46055</v>
      </c>
      <c r="E411" s="106">
        <v>26</v>
      </c>
      <c r="F411" s="106">
        <v>145.56</v>
      </c>
      <c r="G411" s="106">
        <v>21</v>
      </c>
      <c r="H411" s="109" t="s">
        <v>940</v>
      </c>
      <c r="I411" s="109" t="s">
        <v>72</v>
      </c>
      <c r="J411" s="107" t="s">
        <v>72</v>
      </c>
      <c r="K411" s="108">
        <f t="shared" si="67"/>
        <v>46063</v>
      </c>
      <c r="L411" s="108">
        <f t="shared" si="68"/>
        <v>46123</v>
      </c>
      <c r="M411" s="111"/>
      <c r="N411" s="112">
        <f>E411-26</f>
        <v>0</v>
      </c>
      <c r="O411" s="113">
        <f t="shared" si="74"/>
        <v>0</v>
      </c>
      <c r="P411" s="112">
        <f t="shared" si="70"/>
        <v>0</v>
      </c>
      <c r="Q411" s="109" t="s">
        <v>925</v>
      </c>
      <c r="R411" s="109" t="s">
        <v>941</v>
      </c>
      <c r="S411" s="109" t="s">
        <v>944</v>
      </c>
      <c r="T411" s="114">
        <v>81</v>
      </c>
      <c r="U411" s="109" t="s">
        <v>943</v>
      </c>
      <c r="V411" s="106"/>
      <c r="W411" s="106"/>
      <c r="X411" s="106" t="s">
        <v>55</v>
      </c>
      <c r="Y411" s="63">
        <f t="shared" si="78"/>
        <v>5.5984615384615388</v>
      </c>
      <c r="Z411" s="30"/>
      <c r="AA411" s="30"/>
      <c r="AB411" s="202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</row>
    <row r="412" spans="1:48" ht="18" customHeight="1">
      <c r="A412" s="206">
        <v>20260017</v>
      </c>
      <c r="B412" s="207" t="s">
        <v>866</v>
      </c>
      <c r="C412" s="208">
        <v>46036</v>
      </c>
      <c r="D412" s="208">
        <v>46055</v>
      </c>
      <c r="E412" s="209">
        <v>70</v>
      </c>
      <c r="F412" s="210">
        <v>380.86500000000001</v>
      </c>
      <c r="G412" s="211">
        <v>56</v>
      </c>
      <c r="H412" s="212" t="s">
        <v>945</v>
      </c>
      <c r="I412" s="212" t="s">
        <v>72</v>
      </c>
      <c r="J412" s="207" t="s">
        <v>72</v>
      </c>
      <c r="K412" s="213">
        <f t="shared" si="67"/>
        <v>46063</v>
      </c>
      <c r="L412" s="213">
        <f t="shared" si="68"/>
        <v>46123</v>
      </c>
      <c r="M412" s="214"/>
      <c r="N412" s="215">
        <f>E412-24-23-16</f>
        <v>7</v>
      </c>
      <c r="O412" s="216">
        <f t="shared" si="74"/>
        <v>38.086500000000001</v>
      </c>
      <c r="P412" s="218">
        <f t="shared" si="70"/>
        <v>5.6000000000000005</v>
      </c>
      <c r="Q412" s="73" t="s">
        <v>925</v>
      </c>
      <c r="R412" s="58" t="s">
        <v>946</v>
      </c>
      <c r="S412" s="200" t="s">
        <v>947</v>
      </c>
      <c r="T412" s="201">
        <v>83</v>
      </c>
      <c r="U412" s="58" t="s">
        <v>615</v>
      </c>
      <c r="V412" s="46"/>
      <c r="W412" s="46"/>
      <c r="X412" s="99" t="s">
        <v>76</v>
      </c>
      <c r="Y412" s="63">
        <f t="shared" si="78"/>
        <v>5.4409285714285716</v>
      </c>
      <c r="Z412" s="64">
        <f t="shared" ref="Z412" si="80">E412-N412</f>
        <v>63</v>
      </c>
      <c r="AA412" s="64">
        <v>1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</row>
    <row r="413" spans="1:48" ht="15.75" customHeight="1">
      <c r="A413" s="106">
        <v>20260043</v>
      </c>
      <c r="B413" s="107" t="s">
        <v>948</v>
      </c>
      <c r="C413" s="108">
        <v>46057</v>
      </c>
      <c r="D413" s="108">
        <v>46063</v>
      </c>
      <c r="E413" s="106">
        <v>100</v>
      </c>
      <c r="F413" s="106">
        <v>315.976</v>
      </c>
      <c r="G413" s="106">
        <v>45</v>
      </c>
      <c r="H413" s="107" t="s">
        <v>949</v>
      </c>
      <c r="I413" s="107" t="s">
        <v>402</v>
      </c>
      <c r="J413" s="107" t="s">
        <v>123</v>
      </c>
      <c r="K413" s="108">
        <f t="shared" si="67"/>
        <v>46071</v>
      </c>
      <c r="L413" s="108">
        <f t="shared" si="68"/>
        <v>46131</v>
      </c>
      <c r="M413" s="107"/>
      <c r="N413" s="112">
        <f>E413-34-51-15</f>
        <v>0</v>
      </c>
      <c r="O413" s="113">
        <f t="shared" si="74"/>
        <v>0</v>
      </c>
      <c r="P413" s="112">
        <f t="shared" si="70"/>
        <v>0</v>
      </c>
      <c r="Q413" s="109"/>
      <c r="R413" s="107"/>
      <c r="S413" s="109" t="s">
        <v>950</v>
      </c>
      <c r="T413" s="114">
        <v>15</v>
      </c>
      <c r="U413" s="109" t="s">
        <v>951</v>
      </c>
      <c r="V413" s="106"/>
      <c r="W413" s="106"/>
      <c r="X413" s="106" t="s">
        <v>55</v>
      </c>
      <c r="Y413" s="63">
        <f t="shared" si="78"/>
        <v>3.1597599999999999</v>
      </c>
      <c r="AA413" s="64">
        <v>1</v>
      </c>
    </row>
    <row r="414" spans="1:48" ht="15.75" customHeight="1">
      <c r="A414" s="106">
        <v>20260043</v>
      </c>
      <c r="B414" s="107" t="s">
        <v>948</v>
      </c>
      <c r="C414" s="108">
        <v>46057</v>
      </c>
      <c r="D414" s="108">
        <v>46063</v>
      </c>
      <c r="E414" s="106">
        <v>100</v>
      </c>
      <c r="F414" s="106">
        <v>315.976</v>
      </c>
      <c r="G414" s="106">
        <v>45</v>
      </c>
      <c r="H414" s="107" t="s">
        <v>949</v>
      </c>
      <c r="I414" s="107" t="s">
        <v>402</v>
      </c>
      <c r="J414" s="107" t="s">
        <v>123</v>
      </c>
      <c r="K414" s="108">
        <f t="shared" si="67"/>
        <v>46071</v>
      </c>
      <c r="L414" s="108">
        <f t="shared" si="68"/>
        <v>46131</v>
      </c>
      <c r="M414" s="107"/>
      <c r="N414" s="112">
        <f>E414-44-56</f>
        <v>0</v>
      </c>
      <c r="O414" s="113">
        <f t="shared" si="74"/>
        <v>0</v>
      </c>
      <c r="P414" s="112">
        <f t="shared" si="70"/>
        <v>0</v>
      </c>
      <c r="Q414" s="109"/>
      <c r="R414" s="107"/>
      <c r="S414" s="109" t="s">
        <v>952</v>
      </c>
      <c r="T414" s="114">
        <v>16</v>
      </c>
      <c r="U414" s="109" t="s">
        <v>953</v>
      </c>
      <c r="V414" s="106"/>
      <c r="W414" s="106"/>
      <c r="X414" s="106" t="s">
        <v>55</v>
      </c>
      <c r="Y414" s="63">
        <f t="shared" si="78"/>
        <v>3.1597599999999999</v>
      </c>
      <c r="AA414" s="64">
        <v>31</v>
      </c>
    </row>
    <row r="415" spans="1:48" ht="15.75" customHeight="1">
      <c r="A415" s="63">
        <v>20260043</v>
      </c>
      <c r="B415" s="65" t="s">
        <v>948</v>
      </c>
      <c r="C415" s="66">
        <v>46057</v>
      </c>
      <c r="D415" s="66">
        <v>46063</v>
      </c>
      <c r="E415" s="63">
        <v>1</v>
      </c>
      <c r="F415" s="68">
        <v>30</v>
      </c>
      <c r="G415" s="69">
        <v>24</v>
      </c>
      <c r="H415" s="65" t="s">
        <v>954</v>
      </c>
      <c r="I415" s="65" t="s">
        <v>58</v>
      </c>
      <c r="J415" s="65" t="s">
        <v>28</v>
      </c>
      <c r="K415" s="48">
        <f t="shared" si="67"/>
        <v>46071</v>
      </c>
      <c r="L415" s="48">
        <f t="shared" si="68"/>
        <v>46131</v>
      </c>
      <c r="N415" s="72">
        <f>E415</f>
        <v>1</v>
      </c>
      <c r="O415" s="50">
        <f t="shared" si="74"/>
        <v>30</v>
      </c>
      <c r="P415" s="56">
        <f t="shared" si="70"/>
        <v>24</v>
      </c>
      <c r="S415" s="200" t="s">
        <v>955</v>
      </c>
      <c r="T415" s="201">
        <v>1</v>
      </c>
      <c r="U415" s="58" t="s">
        <v>956</v>
      </c>
      <c r="V415" s="46"/>
      <c r="W415" s="46"/>
      <c r="X415" s="62" t="s">
        <v>25</v>
      </c>
      <c r="Y415" s="63">
        <f t="shared" si="78"/>
        <v>30</v>
      </c>
      <c r="Z415" s="64">
        <f t="shared" ref="Z415" si="81">E415-N415</f>
        <v>0</v>
      </c>
      <c r="AA415" s="30"/>
    </row>
    <row r="416" spans="1:48" ht="15.75" customHeight="1">
      <c r="A416" s="106">
        <v>20260043</v>
      </c>
      <c r="B416" s="107" t="s">
        <v>948</v>
      </c>
      <c r="C416" s="108">
        <v>46057</v>
      </c>
      <c r="D416" s="108">
        <v>46063</v>
      </c>
      <c r="E416" s="106">
        <v>3</v>
      </c>
      <c r="F416" s="106">
        <v>9.9</v>
      </c>
      <c r="G416" s="106">
        <v>72</v>
      </c>
      <c r="H416" s="107" t="s">
        <v>957</v>
      </c>
      <c r="I416" s="107" t="s">
        <v>42</v>
      </c>
      <c r="J416" s="107" t="s">
        <v>28</v>
      </c>
      <c r="K416" s="108">
        <f t="shared" si="67"/>
        <v>46071</v>
      </c>
      <c r="L416" s="108">
        <f t="shared" si="68"/>
        <v>46131</v>
      </c>
      <c r="M416" s="107"/>
      <c r="N416" s="112">
        <f>E416-3</f>
        <v>0</v>
      </c>
      <c r="O416" s="113">
        <f t="shared" si="74"/>
        <v>0</v>
      </c>
      <c r="P416" s="112">
        <f t="shared" si="70"/>
        <v>0</v>
      </c>
      <c r="Q416" s="109"/>
      <c r="R416" s="107"/>
      <c r="S416" s="109" t="s">
        <v>958</v>
      </c>
      <c r="T416" s="114">
        <v>2</v>
      </c>
      <c r="U416" s="109" t="s">
        <v>959</v>
      </c>
      <c r="V416" s="106"/>
      <c r="W416" s="106"/>
      <c r="X416" s="106" t="s">
        <v>55</v>
      </c>
      <c r="Y416" s="63">
        <f t="shared" si="78"/>
        <v>3.3000000000000003</v>
      </c>
      <c r="AA416" s="64">
        <v>3636</v>
      </c>
    </row>
    <row r="417" spans="1:48" ht="15.75" customHeight="1">
      <c r="A417" s="63">
        <v>20260043</v>
      </c>
      <c r="B417" s="65" t="s">
        <v>948</v>
      </c>
      <c r="C417" s="66">
        <v>46057</v>
      </c>
      <c r="D417" s="66">
        <v>46063</v>
      </c>
      <c r="E417" s="63">
        <v>3</v>
      </c>
      <c r="F417" s="68">
        <v>7.95</v>
      </c>
      <c r="G417" s="69">
        <v>72</v>
      </c>
      <c r="H417" s="65" t="s">
        <v>957</v>
      </c>
      <c r="I417" s="65" t="s">
        <v>42</v>
      </c>
      <c r="J417" s="65" t="s">
        <v>28</v>
      </c>
      <c r="K417" s="48">
        <f t="shared" si="67"/>
        <v>46071</v>
      </c>
      <c r="L417" s="48">
        <f t="shared" si="68"/>
        <v>46131</v>
      </c>
      <c r="N417" s="72">
        <f t="shared" ref="N417:N428" si="82">E417</f>
        <v>3</v>
      </c>
      <c r="O417" s="50">
        <f t="shared" si="74"/>
        <v>7.9499999999999993</v>
      </c>
      <c r="P417" s="56">
        <f t="shared" si="70"/>
        <v>72</v>
      </c>
      <c r="S417" s="200" t="s">
        <v>960</v>
      </c>
      <c r="T417" s="201">
        <v>3</v>
      </c>
      <c r="U417" s="58" t="s">
        <v>961</v>
      </c>
      <c r="V417" s="46"/>
      <c r="W417" s="46"/>
      <c r="X417" s="62" t="s">
        <v>25</v>
      </c>
      <c r="Y417" s="63">
        <f t="shared" si="78"/>
        <v>2.65</v>
      </c>
      <c r="Z417" s="64">
        <f t="shared" ref="Z417:Z430" si="83">E417-N417</f>
        <v>0</v>
      </c>
      <c r="AA417" s="30"/>
    </row>
    <row r="418" spans="1:48" ht="15.75" customHeight="1">
      <c r="A418" s="63">
        <v>20260043</v>
      </c>
      <c r="B418" s="65" t="s">
        <v>948</v>
      </c>
      <c r="C418" s="66">
        <v>46057</v>
      </c>
      <c r="D418" s="66">
        <v>46063</v>
      </c>
      <c r="E418" s="63">
        <v>1</v>
      </c>
      <c r="F418" s="68">
        <v>5.95</v>
      </c>
      <c r="G418" s="69">
        <v>24</v>
      </c>
      <c r="H418" s="65" t="s">
        <v>962</v>
      </c>
      <c r="I418" s="65" t="s">
        <v>42</v>
      </c>
      <c r="J418" s="65" t="s">
        <v>28</v>
      </c>
      <c r="K418" s="48">
        <f t="shared" si="67"/>
        <v>46071</v>
      </c>
      <c r="L418" s="48">
        <f t="shared" si="68"/>
        <v>46131</v>
      </c>
      <c r="N418" s="72">
        <f t="shared" si="82"/>
        <v>1</v>
      </c>
      <c r="O418" s="50">
        <f t="shared" si="74"/>
        <v>5.95</v>
      </c>
      <c r="P418" s="56">
        <f t="shared" si="70"/>
        <v>24</v>
      </c>
      <c r="S418" s="200" t="s">
        <v>963</v>
      </c>
      <c r="T418" s="201">
        <v>6</v>
      </c>
      <c r="U418" s="58" t="s">
        <v>964</v>
      </c>
      <c r="V418" s="46"/>
      <c r="W418" s="46"/>
      <c r="X418" s="62" t="s">
        <v>25</v>
      </c>
      <c r="Y418" s="63">
        <f t="shared" si="78"/>
        <v>5.95</v>
      </c>
      <c r="Z418" s="64">
        <f t="shared" si="83"/>
        <v>0</v>
      </c>
      <c r="AA418" s="64">
        <v>412</v>
      </c>
    </row>
    <row r="419" spans="1:48" ht="15.75" customHeight="1">
      <c r="A419" s="63">
        <v>20260043</v>
      </c>
      <c r="B419" s="65" t="s">
        <v>948</v>
      </c>
      <c r="C419" s="66">
        <v>46057</v>
      </c>
      <c r="D419" s="66">
        <v>46063</v>
      </c>
      <c r="E419" s="63">
        <v>1</v>
      </c>
      <c r="F419" s="68">
        <v>9.68</v>
      </c>
      <c r="G419" s="69">
        <v>24</v>
      </c>
      <c r="H419" s="65" t="s">
        <v>895</v>
      </c>
      <c r="I419" s="65" t="s">
        <v>63</v>
      </c>
      <c r="J419" s="65" t="s">
        <v>28</v>
      </c>
      <c r="K419" s="48">
        <f t="shared" si="67"/>
        <v>46071</v>
      </c>
      <c r="L419" s="48">
        <f t="shared" si="68"/>
        <v>46131</v>
      </c>
      <c r="N419" s="72">
        <f t="shared" si="82"/>
        <v>1</v>
      </c>
      <c r="O419" s="50">
        <f t="shared" si="74"/>
        <v>9.68</v>
      </c>
      <c r="P419" s="56">
        <f t="shared" si="70"/>
        <v>24</v>
      </c>
      <c r="S419" s="200" t="s">
        <v>965</v>
      </c>
      <c r="T419" s="201">
        <v>8</v>
      </c>
      <c r="U419" s="58" t="s">
        <v>966</v>
      </c>
      <c r="V419" s="46"/>
      <c r="W419" s="46"/>
      <c r="X419" s="62" t="s">
        <v>25</v>
      </c>
      <c r="Y419" s="63">
        <f t="shared" si="78"/>
        <v>9.68</v>
      </c>
      <c r="Z419" s="64">
        <f t="shared" si="83"/>
        <v>0</v>
      </c>
      <c r="AA419" s="30"/>
    </row>
    <row r="420" spans="1:48" ht="15.75" customHeight="1">
      <c r="A420" s="63">
        <v>20260043</v>
      </c>
      <c r="B420" s="65" t="s">
        <v>948</v>
      </c>
      <c r="C420" s="66">
        <v>46057</v>
      </c>
      <c r="D420" s="66">
        <v>46063</v>
      </c>
      <c r="E420" s="63">
        <v>1</v>
      </c>
      <c r="F420" s="68">
        <v>12.62</v>
      </c>
      <c r="G420" s="69">
        <v>24</v>
      </c>
      <c r="H420" s="65" t="s">
        <v>967</v>
      </c>
      <c r="I420" s="65" t="s">
        <v>42</v>
      </c>
      <c r="J420" s="65" t="s">
        <v>28</v>
      </c>
      <c r="K420" s="48">
        <f t="shared" si="67"/>
        <v>46071</v>
      </c>
      <c r="L420" s="48">
        <f t="shared" si="68"/>
        <v>46131</v>
      </c>
      <c r="N420" s="72">
        <f t="shared" si="82"/>
        <v>1</v>
      </c>
      <c r="O420" s="50">
        <f t="shared" si="74"/>
        <v>12.62</v>
      </c>
      <c r="P420" s="56">
        <f t="shared" si="70"/>
        <v>24</v>
      </c>
      <c r="S420" s="200" t="s">
        <v>968</v>
      </c>
      <c r="T420" s="201">
        <v>9</v>
      </c>
      <c r="U420" s="58" t="s">
        <v>969</v>
      </c>
      <c r="V420" s="46"/>
      <c r="W420" s="46"/>
      <c r="X420" s="62" t="s">
        <v>25</v>
      </c>
      <c r="Y420" s="63">
        <f t="shared" si="78"/>
        <v>12.62</v>
      </c>
      <c r="Z420" s="64">
        <f t="shared" si="83"/>
        <v>0</v>
      </c>
      <c r="AA420" s="64">
        <v>212</v>
      </c>
    </row>
    <row r="421" spans="1:48" ht="15.75" customHeight="1">
      <c r="A421" s="63">
        <v>20260043</v>
      </c>
      <c r="B421" s="65" t="s">
        <v>948</v>
      </c>
      <c r="C421" s="66">
        <v>46057</v>
      </c>
      <c r="D421" s="66">
        <v>46063</v>
      </c>
      <c r="E421" s="63">
        <v>1</v>
      </c>
      <c r="F421" s="68">
        <v>0</v>
      </c>
      <c r="G421" s="69">
        <v>5</v>
      </c>
      <c r="H421" s="65" t="s">
        <v>967</v>
      </c>
      <c r="I421" s="65" t="s">
        <v>24</v>
      </c>
      <c r="J421" s="65" t="s">
        <v>24</v>
      </c>
      <c r="K421" s="48">
        <f t="shared" si="67"/>
        <v>46071</v>
      </c>
      <c r="L421" s="48">
        <f t="shared" si="68"/>
        <v>46131</v>
      </c>
      <c r="N421" s="72">
        <f t="shared" si="82"/>
        <v>1</v>
      </c>
      <c r="O421" s="50">
        <f t="shared" si="74"/>
        <v>0</v>
      </c>
      <c r="P421" s="56">
        <f t="shared" si="70"/>
        <v>5</v>
      </c>
      <c r="S421" s="200" t="s">
        <v>968</v>
      </c>
      <c r="T421" s="201">
        <v>9</v>
      </c>
      <c r="U421" s="58"/>
      <c r="V421" s="46"/>
      <c r="W421" s="46"/>
      <c r="X421" s="62" t="s">
        <v>25</v>
      </c>
      <c r="Y421" s="63">
        <f t="shared" si="78"/>
        <v>0</v>
      </c>
      <c r="Z421" s="64">
        <f t="shared" si="83"/>
        <v>0</v>
      </c>
      <c r="AA421" s="64">
        <v>398</v>
      </c>
    </row>
    <row r="422" spans="1:48" ht="15.75" customHeight="1">
      <c r="A422" s="63">
        <v>20260043</v>
      </c>
      <c r="B422" s="65" t="s">
        <v>948</v>
      </c>
      <c r="C422" s="66">
        <v>46057</v>
      </c>
      <c r="D422" s="66">
        <v>46063</v>
      </c>
      <c r="E422" s="63">
        <v>1</v>
      </c>
      <c r="F422" s="68">
        <v>12</v>
      </c>
      <c r="G422" s="69">
        <v>24</v>
      </c>
      <c r="H422" s="65" t="s">
        <v>970</v>
      </c>
      <c r="I422" s="65" t="s">
        <v>42</v>
      </c>
      <c r="J422" s="65" t="s">
        <v>28</v>
      </c>
      <c r="K422" s="48">
        <f t="shared" si="67"/>
        <v>46071</v>
      </c>
      <c r="L422" s="48">
        <f t="shared" si="68"/>
        <v>46131</v>
      </c>
      <c r="N422" s="72">
        <f t="shared" si="82"/>
        <v>1</v>
      </c>
      <c r="O422" s="50">
        <f t="shared" si="74"/>
        <v>12</v>
      </c>
      <c r="P422" s="56">
        <f t="shared" si="70"/>
        <v>24</v>
      </c>
      <c r="S422" s="200" t="s">
        <v>971</v>
      </c>
      <c r="T422" s="201">
        <v>10</v>
      </c>
      <c r="U422" s="58" t="s">
        <v>972</v>
      </c>
      <c r="V422" s="46"/>
      <c r="W422" s="46"/>
      <c r="X422" s="62" t="s">
        <v>25</v>
      </c>
      <c r="Y422" s="63">
        <f t="shared" si="78"/>
        <v>12</v>
      </c>
      <c r="Z422" s="64">
        <f t="shared" si="83"/>
        <v>0</v>
      </c>
      <c r="AA422" s="30"/>
    </row>
    <row r="423" spans="1:48" ht="15.75" customHeight="1">
      <c r="A423" s="106">
        <v>20260043</v>
      </c>
      <c r="B423" s="107" t="s">
        <v>948</v>
      </c>
      <c r="C423" s="108">
        <v>46057</v>
      </c>
      <c r="D423" s="108">
        <v>46063</v>
      </c>
      <c r="E423" s="106">
        <v>1</v>
      </c>
      <c r="F423" s="106">
        <v>9</v>
      </c>
      <c r="G423" s="106">
        <v>24</v>
      </c>
      <c r="H423" s="107" t="s">
        <v>973</v>
      </c>
      <c r="I423" s="107" t="s">
        <v>42</v>
      </c>
      <c r="J423" s="107" t="s">
        <v>28</v>
      </c>
      <c r="K423" s="108">
        <f t="shared" si="67"/>
        <v>46071</v>
      </c>
      <c r="L423" s="108">
        <f t="shared" si="68"/>
        <v>46131</v>
      </c>
      <c r="M423" s="107"/>
      <c r="N423" s="112">
        <f>E423-1</f>
        <v>0</v>
      </c>
      <c r="O423" s="113">
        <f t="shared" si="74"/>
        <v>0</v>
      </c>
      <c r="P423" s="112">
        <f t="shared" si="70"/>
        <v>0</v>
      </c>
      <c r="Q423" s="109"/>
      <c r="R423" s="107"/>
      <c r="S423" s="109" t="s">
        <v>974</v>
      </c>
      <c r="T423" s="114">
        <v>12</v>
      </c>
      <c r="U423" s="109" t="s">
        <v>975</v>
      </c>
      <c r="V423" s="106"/>
      <c r="W423" s="106"/>
      <c r="X423" s="106" t="s">
        <v>55</v>
      </c>
      <c r="Y423" s="63">
        <f t="shared" si="78"/>
        <v>9</v>
      </c>
      <c r="Z423" s="64">
        <f t="shared" si="83"/>
        <v>1</v>
      </c>
      <c r="AA423" s="64">
        <v>240</v>
      </c>
    </row>
    <row r="424" spans="1:48" ht="15.75" customHeight="1">
      <c r="A424" s="63">
        <v>20260043</v>
      </c>
      <c r="B424" s="65" t="s">
        <v>948</v>
      </c>
      <c r="C424" s="66">
        <v>46057</v>
      </c>
      <c r="D424" s="66">
        <v>46063</v>
      </c>
      <c r="E424" s="63">
        <v>1</v>
      </c>
      <c r="F424" s="68">
        <v>31</v>
      </c>
      <c r="G424" s="69">
        <v>60</v>
      </c>
      <c r="H424" s="65" t="s">
        <v>976</v>
      </c>
      <c r="I424" s="65" t="s">
        <v>138</v>
      </c>
      <c r="J424" s="65" t="s">
        <v>26</v>
      </c>
      <c r="K424" s="48">
        <f t="shared" si="67"/>
        <v>46071</v>
      </c>
      <c r="L424" s="48">
        <f t="shared" si="68"/>
        <v>46131</v>
      </c>
      <c r="N424" s="72">
        <f t="shared" si="82"/>
        <v>1</v>
      </c>
      <c r="O424" s="50">
        <f t="shared" si="74"/>
        <v>31</v>
      </c>
      <c r="P424" s="56">
        <f t="shared" si="70"/>
        <v>60</v>
      </c>
      <c r="S424" s="200" t="s">
        <v>977</v>
      </c>
      <c r="T424" s="201">
        <v>14</v>
      </c>
      <c r="U424" s="58" t="s">
        <v>978</v>
      </c>
      <c r="V424" s="46"/>
      <c r="W424" s="46"/>
      <c r="X424" s="62" t="s">
        <v>25</v>
      </c>
      <c r="Y424" s="63">
        <f t="shared" si="78"/>
        <v>31</v>
      </c>
      <c r="Z424" s="64">
        <f t="shared" si="83"/>
        <v>0</v>
      </c>
      <c r="AA424" s="64">
        <v>240</v>
      </c>
    </row>
    <row r="425" spans="1:48" ht="15.75" customHeight="1">
      <c r="A425" s="106">
        <v>20260043</v>
      </c>
      <c r="B425" s="107" t="s">
        <v>948</v>
      </c>
      <c r="C425" s="108">
        <v>46057</v>
      </c>
      <c r="D425" s="108">
        <v>46063</v>
      </c>
      <c r="E425" s="106">
        <v>1</v>
      </c>
      <c r="F425" s="106">
        <v>13.5</v>
      </c>
      <c r="G425" s="106">
        <v>24</v>
      </c>
      <c r="H425" s="107" t="s">
        <v>979</v>
      </c>
      <c r="I425" s="107" t="s">
        <v>42</v>
      </c>
      <c r="J425" s="107" t="s">
        <v>28</v>
      </c>
      <c r="K425" s="108">
        <f t="shared" si="67"/>
        <v>46071</v>
      </c>
      <c r="L425" s="108">
        <f t="shared" si="68"/>
        <v>46131</v>
      </c>
      <c r="M425" s="107"/>
      <c r="N425" s="112">
        <f>E425-1</f>
        <v>0</v>
      </c>
      <c r="O425" s="113">
        <f t="shared" si="74"/>
        <v>0</v>
      </c>
      <c r="P425" s="112">
        <f t="shared" si="70"/>
        <v>0</v>
      </c>
      <c r="Q425" s="109"/>
      <c r="R425" s="107"/>
      <c r="S425" s="109" t="s">
        <v>980</v>
      </c>
      <c r="T425" s="114">
        <v>17</v>
      </c>
      <c r="U425" s="109" t="s">
        <v>981</v>
      </c>
      <c r="V425" s="106"/>
      <c r="W425" s="106"/>
      <c r="X425" s="106" t="s">
        <v>55</v>
      </c>
      <c r="Y425" s="63">
        <f t="shared" si="78"/>
        <v>13.5</v>
      </c>
      <c r="Z425" s="64">
        <f t="shared" si="83"/>
        <v>1</v>
      </c>
      <c r="AA425" s="64">
        <v>60</v>
      </c>
    </row>
    <row r="426" spans="1:48" ht="15.75" customHeight="1">
      <c r="A426" s="63">
        <v>20260043</v>
      </c>
      <c r="B426" s="65" t="s">
        <v>948</v>
      </c>
      <c r="C426" s="66">
        <v>46057</v>
      </c>
      <c r="D426" s="66">
        <v>46063</v>
      </c>
      <c r="E426" s="63">
        <v>1</v>
      </c>
      <c r="F426" s="68">
        <v>32.231999999999999</v>
      </c>
      <c r="G426" s="69">
        <v>60</v>
      </c>
      <c r="H426" s="65" t="s">
        <v>982</v>
      </c>
      <c r="I426" s="65" t="s">
        <v>138</v>
      </c>
      <c r="J426" s="65" t="s">
        <v>26</v>
      </c>
      <c r="K426" s="48">
        <f t="shared" si="67"/>
        <v>46071</v>
      </c>
      <c r="L426" s="48">
        <f t="shared" si="68"/>
        <v>46131</v>
      </c>
      <c r="N426" s="72">
        <f t="shared" si="82"/>
        <v>1</v>
      </c>
      <c r="O426" s="50">
        <f t="shared" si="74"/>
        <v>32.231999999999999</v>
      </c>
      <c r="P426" s="56">
        <f t="shared" si="70"/>
        <v>60</v>
      </c>
      <c r="S426" s="200" t="s">
        <v>983</v>
      </c>
      <c r="T426" s="201">
        <v>19</v>
      </c>
      <c r="U426" s="58" t="s">
        <v>984</v>
      </c>
      <c r="V426" s="46"/>
      <c r="W426" s="46"/>
      <c r="X426" s="62" t="s">
        <v>25</v>
      </c>
      <c r="Y426" s="63">
        <f t="shared" si="78"/>
        <v>32.231999999999999</v>
      </c>
      <c r="Z426" s="64">
        <f t="shared" si="83"/>
        <v>0</v>
      </c>
      <c r="AA426" s="30"/>
    </row>
    <row r="427" spans="1:48" ht="15.75" customHeight="1">
      <c r="A427" s="63">
        <v>20260043</v>
      </c>
      <c r="B427" s="65" t="s">
        <v>948</v>
      </c>
      <c r="C427" s="66">
        <v>46057</v>
      </c>
      <c r="D427" s="66">
        <v>46063</v>
      </c>
      <c r="E427" s="63">
        <v>4</v>
      </c>
      <c r="F427" s="68">
        <v>0</v>
      </c>
      <c r="G427" s="69">
        <v>20</v>
      </c>
      <c r="H427" s="65" t="s">
        <v>982</v>
      </c>
      <c r="I427" s="65" t="s">
        <v>24</v>
      </c>
      <c r="J427" s="65" t="s">
        <v>24</v>
      </c>
      <c r="K427" s="48">
        <f t="shared" si="67"/>
        <v>46071</v>
      </c>
      <c r="L427" s="48">
        <f t="shared" si="68"/>
        <v>46131</v>
      </c>
      <c r="N427" s="72">
        <f t="shared" si="82"/>
        <v>4</v>
      </c>
      <c r="O427" s="50">
        <f t="shared" si="74"/>
        <v>0</v>
      </c>
      <c r="P427" s="56">
        <f t="shared" si="70"/>
        <v>20</v>
      </c>
      <c r="S427" s="200" t="s">
        <v>983</v>
      </c>
      <c r="T427" s="201">
        <v>19</v>
      </c>
      <c r="U427" s="58"/>
      <c r="V427" s="46"/>
      <c r="W427" s="46"/>
      <c r="X427" s="62" t="s">
        <v>25</v>
      </c>
      <c r="Y427" s="63">
        <f t="shared" si="78"/>
        <v>0</v>
      </c>
      <c r="Z427" s="64">
        <f t="shared" si="83"/>
        <v>0</v>
      </c>
      <c r="AA427" s="30"/>
    </row>
    <row r="428" spans="1:48" ht="15.75" customHeight="1">
      <c r="A428" s="63">
        <v>20260043</v>
      </c>
      <c r="B428" s="65" t="s">
        <v>948</v>
      </c>
      <c r="C428" s="66">
        <v>46057</v>
      </c>
      <c r="D428" s="66">
        <v>46063</v>
      </c>
      <c r="E428" s="63">
        <v>120</v>
      </c>
      <c r="F428" s="68">
        <v>1637.39</v>
      </c>
      <c r="G428" s="69">
        <v>2400</v>
      </c>
      <c r="H428" s="65" t="s">
        <v>263</v>
      </c>
      <c r="I428" s="65" t="s">
        <v>985</v>
      </c>
      <c r="J428" s="65" t="s">
        <v>24</v>
      </c>
      <c r="K428" s="48">
        <f t="shared" si="67"/>
        <v>46071</v>
      </c>
      <c r="L428" s="48">
        <f t="shared" si="68"/>
        <v>46131</v>
      </c>
      <c r="N428" s="72">
        <f t="shared" si="82"/>
        <v>120</v>
      </c>
      <c r="O428" s="50">
        <f t="shared" si="74"/>
        <v>1637.39</v>
      </c>
      <c r="P428" s="56">
        <f t="shared" si="70"/>
        <v>2400</v>
      </c>
      <c r="Q428" s="224" t="s">
        <v>547</v>
      </c>
      <c r="S428" s="200" t="s">
        <v>986</v>
      </c>
      <c r="T428" s="201">
        <v>23</v>
      </c>
      <c r="U428" s="58" t="s">
        <v>987</v>
      </c>
      <c r="V428" s="46"/>
      <c r="W428" s="46"/>
      <c r="X428" s="62" t="s">
        <v>25</v>
      </c>
      <c r="Y428" s="63">
        <f t="shared" si="78"/>
        <v>13.644916666666667</v>
      </c>
      <c r="Z428" s="64">
        <f t="shared" si="83"/>
        <v>0</v>
      </c>
      <c r="AA428" s="64">
        <v>200</v>
      </c>
    </row>
    <row r="429" spans="1:48" ht="15.75" customHeight="1">
      <c r="A429" s="206">
        <v>20260043</v>
      </c>
      <c r="B429" s="207" t="s">
        <v>948</v>
      </c>
      <c r="C429" s="208">
        <v>46057</v>
      </c>
      <c r="D429" s="208">
        <v>46063</v>
      </c>
      <c r="E429" s="206">
        <v>107</v>
      </c>
      <c r="F429" s="210">
        <v>1556.6</v>
      </c>
      <c r="G429" s="211">
        <v>2100</v>
      </c>
      <c r="H429" s="207" t="s">
        <v>263</v>
      </c>
      <c r="I429" s="207" t="s">
        <v>985</v>
      </c>
      <c r="J429" s="207" t="s">
        <v>24</v>
      </c>
      <c r="K429" s="213">
        <f t="shared" ref="K429:K492" si="84">D429+8</f>
        <v>46071</v>
      </c>
      <c r="L429" s="213">
        <f t="shared" ref="L429:L492" si="85">K429+60</f>
        <v>46131</v>
      </c>
      <c r="M429" s="207"/>
      <c r="N429" s="215">
        <f>E429-16-17-29-12-10</f>
        <v>23</v>
      </c>
      <c r="O429" s="216">
        <f t="shared" si="74"/>
        <v>334.59626168224298</v>
      </c>
      <c r="P429" s="218">
        <f t="shared" si="70"/>
        <v>451.40186915887847</v>
      </c>
      <c r="Q429" s="224" t="s">
        <v>547</v>
      </c>
      <c r="S429" s="200" t="s">
        <v>988</v>
      </c>
      <c r="T429" s="201">
        <v>24</v>
      </c>
      <c r="U429" s="58" t="s">
        <v>989</v>
      </c>
      <c r="V429" s="46"/>
      <c r="W429" s="46"/>
      <c r="X429" s="99" t="s">
        <v>76</v>
      </c>
      <c r="Y429" s="63">
        <f t="shared" si="78"/>
        <v>14.547663551401868</v>
      </c>
      <c r="Z429" s="64">
        <f t="shared" si="83"/>
        <v>84</v>
      </c>
      <c r="AA429" s="64">
        <v>200</v>
      </c>
    </row>
    <row r="430" spans="1:48" ht="18" customHeight="1">
      <c r="A430" s="87">
        <v>20260036</v>
      </c>
      <c r="B430" s="88" t="s">
        <v>990</v>
      </c>
      <c r="C430" s="89">
        <v>46052</v>
      </c>
      <c r="D430" s="89">
        <v>46071</v>
      </c>
      <c r="E430" s="184">
        <v>137</v>
      </c>
      <c r="F430" s="251">
        <v>152.755</v>
      </c>
      <c r="G430" s="252">
        <v>119.282970550576</v>
      </c>
      <c r="H430" s="253" t="s">
        <v>991</v>
      </c>
      <c r="I430" s="253" t="s">
        <v>271</v>
      </c>
      <c r="J430" s="88" t="s">
        <v>92</v>
      </c>
      <c r="K430" s="186">
        <f t="shared" si="84"/>
        <v>46079</v>
      </c>
      <c r="L430" s="186">
        <f t="shared" si="85"/>
        <v>46139</v>
      </c>
      <c r="M430" s="254"/>
      <c r="N430" s="215">
        <f>E430-81</f>
        <v>56</v>
      </c>
      <c r="O430" s="216">
        <f t="shared" si="74"/>
        <v>62.44</v>
      </c>
      <c r="P430" s="218">
        <f t="shared" si="70"/>
        <v>48.758002560819385</v>
      </c>
      <c r="Q430" s="257"/>
      <c r="R430" s="258"/>
      <c r="S430" s="200" t="s">
        <v>992</v>
      </c>
      <c r="T430" s="201">
        <v>1</v>
      </c>
      <c r="U430" s="58" t="s">
        <v>831</v>
      </c>
      <c r="V430" s="46"/>
      <c r="W430" s="46"/>
      <c r="X430" s="99" t="s">
        <v>76</v>
      </c>
      <c r="Y430" s="63">
        <f t="shared" si="78"/>
        <v>1.115</v>
      </c>
      <c r="Z430" s="64">
        <f t="shared" si="83"/>
        <v>81</v>
      </c>
      <c r="AA430" s="64">
        <v>44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</row>
    <row r="431" spans="1:48" ht="18" customHeight="1">
      <c r="A431" s="106">
        <v>20260036</v>
      </c>
      <c r="B431" s="107" t="s">
        <v>990</v>
      </c>
      <c r="C431" s="108">
        <v>46052</v>
      </c>
      <c r="D431" s="108">
        <v>46071</v>
      </c>
      <c r="E431" s="106">
        <v>137</v>
      </c>
      <c r="F431" s="106">
        <v>152.755</v>
      </c>
      <c r="G431" s="106">
        <v>119.282970550576</v>
      </c>
      <c r="H431" s="109" t="s">
        <v>991</v>
      </c>
      <c r="I431" s="109" t="s">
        <v>271</v>
      </c>
      <c r="J431" s="107" t="s">
        <v>92</v>
      </c>
      <c r="K431" s="108">
        <f t="shared" si="84"/>
        <v>46079</v>
      </c>
      <c r="L431" s="108">
        <f t="shared" si="85"/>
        <v>46139</v>
      </c>
      <c r="M431" s="111"/>
      <c r="N431" s="112">
        <f>E431-137</f>
        <v>0</v>
      </c>
      <c r="O431" s="113">
        <f t="shared" si="74"/>
        <v>0</v>
      </c>
      <c r="P431" s="112">
        <f t="shared" si="70"/>
        <v>0</v>
      </c>
      <c r="Q431" s="109"/>
      <c r="R431" s="109"/>
      <c r="S431" s="109" t="s">
        <v>993</v>
      </c>
      <c r="T431" s="114">
        <v>2</v>
      </c>
      <c r="U431" s="109" t="s">
        <v>831</v>
      </c>
      <c r="V431" s="106"/>
      <c r="W431" s="106"/>
      <c r="X431" s="106" t="s">
        <v>55</v>
      </c>
      <c r="Y431" s="63">
        <f t="shared" si="78"/>
        <v>1.115</v>
      </c>
      <c r="Z431" s="30"/>
      <c r="AA431" s="64">
        <v>244</v>
      </c>
      <c r="AB431" s="202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</row>
    <row r="432" spans="1:48" ht="18" customHeight="1">
      <c r="A432" s="106">
        <v>20260036</v>
      </c>
      <c r="B432" s="107" t="s">
        <v>990</v>
      </c>
      <c r="C432" s="108">
        <v>46052</v>
      </c>
      <c r="D432" s="108">
        <v>46071</v>
      </c>
      <c r="E432" s="106">
        <v>364</v>
      </c>
      <c r="F432" s="106">
        <v>405.86</v>
      </c>
      <c r="G432" s="106">
        <v>316.92701664532598</v>
      </c>
      <c r="H432" s="109" t="s">
        <v>994</v>
      </c>
      <c r="I432" s="109" t="s">
        <v>271</v>
      </c>
      <c r="J432" s="107" t="s">
        <v>92</v>
      </c>
      <c r="K432" s="108">
        <f t="shared" si="84"/>
        <v>46079</v>
      </c>
      <c r="L432" s="108">
        <f t="shared" si="85"/>
        <v>46139</v>
      </c>
      <c r="M432" s="111"/>
      <c r="N432" s="112">
        <f>E432-56-28-113-140-27</f>
        <v>0</v>
      </c>
      <c r="O432" s="113">
        <f t="shared" si="74"/>
        <v>0</v>
      </c>
      <c r="P432" s="112">
        <f t="shared" si="70"/>
        <v>0</v>
      </c>
      <c r="Q432" s="109"/>
      <c r="R432" s="109"/>
      <c r="S432" s="109" t="s">
        <v>995</v>
      </c>
      <c r="T432" s="114">
        <v>3</v>
      </c>
      <c r="U432" s="109" t="s">
        <v>831</v>
      </c>
      <c r="V432" s="106"/>
      <c r="W432" s="106"/>
      <c r="X432" s="106" t="s">
        <v>55</v>
      </c>
      <c r="Y432" s="63">
        <f t="shared" si="78"/>
        <v>1.115</v>
      </c>
      <c r="Z432" s="30"/>
      <c r="AA432" s="30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</row>
    <row r="433" spans="1:48" ht="18" customHeight="1">
      <c r="A433" s="206">
        <v>20260036</v>
      </c>
      <c r="B433" s="207" t="s">
        <v>990</v>
      </c>
      <c r="C433" s="208">
        <v>46052</v>
      </c>
      <c r="D433" s="208">
        <v>46071</v>
      </c>
      <c r="E433" s="209">
        <v>910</v>
      </c>
      <c r="F433" s="210">
        <v>1014.65</v>
      </c>
      <c r="G433" s="211">
        <v>792.31754161331605</v>
      </c>
      <c r="H433" s="212" t="s">
        <v>996</v>
      </c>
      <c r="I433" s="212" t="s">
        <v>271</v>
      </c>
      <c r="J433" s="207" t="s">
        <v>92</v>
      </c>
      <c r="K433" s="213">
        <f t="shared" si="84"/>
        <v>46079</v>
      </c>
      <c r="L433" s="213">
        <f t="shared" si="85"/>
        <v>46139</v>
      </c>
      <c r="M433" s="214"/>
      <c r="N433" s="215">
        <f>E433-140-112-224-168-56</f>
        <v>210</v>
      </c>
      <c r="O433" s="216">
        <f t="shared" si="74"/>
        <v>234.15</v>
      </c>
      <c r="P433" s="218">
        <f t="shared" si="70"/>
        <v>182.84250960307293</v>
      </c>
      <c r="Q433" s="73"/>
      <c r="R433" s="58"/>
      <c r="S433" s="200" t="s">
        <v>997</v>
      </c>
      <c r="T433" s="201">
        <v>4</v>
      </c>
      <c r="U433" s="58" t="s">
        <v>831</v>
      </c>
      <c r="V433" s="46"/>
      <c r="W433" s="46"/>
      <c r="X433" s="182" t="s">
        <v>76</v>
      </c>
      <c r="Y433" s="63">
        <f t="shared" si="78"/>
        <v>1.115</v>
      </c>
      <c r="Z433" s="64">
        <f t="shared" ref="Z433" si="86">E433-N433</f>
        <v>700</v>
      </c>
      <c r="AA433" s="30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</row>
    <row r="434" spans="1:48" ht="18" customHeight="1">
      <c r="A434" s="106">
        <v>20260036</v>
      </c>
      <c r="B434" s="107" t="s">
        <v>990</v>
      </c>
      <c r="C434" s="108">
        <v>46052</v>
      </c>
      <c r="D434" s="108">
        <v>46071</v>
      </c>
      <c r="E434" s="106">
        <v>400</v>
      </c>
      <c r="F434" s="106">
        <v>404</v>
      </c>
      <c r="G434" s="106">
        <v>348.27144686299602</v>
      </c>
      <c r="H434" s="109" t="s">
        <v>998</v>
      </c>
      <c r="I434" s="109" t="s">
        <v>271</v>
      </c>
      <c r="J434" s="107" t="s">
        <v>92</v>
      </c>
      <c r="K434" s="108">
        <f t="shared" si="84"/>
        <v>46079</v>
      </c>
      <c r="L434" s="108">
        <f t="shared" si="85"/>
        <v>46139</v>
      </c>
      <c r="M434" s="111"/>
      <c r="N434" s="112">
        <f>E434-96-80-96-128</f>
        <v>0</v>
      </c>
      <c r="O434" s="113">
        <f t="shared" si="74"/>
        <v>0</v>
      </c>
      <c r="P434" s="112">
        <f t="shared" si="70"/>
        <v>0</v>
      </c>
      <c r="Q434" s="109"/>
      <c r="R434" s="109"/>
      <c r="S434" s="109" t="s">
        <v>999</v>
      </c>
      <c r="T434" s="114">
        <v>128</v>
      </c>
      <c r="U434" s="109" t="s">
        <v>1000</v>
      </c>
      <c r="V434" s="106"/>
      <c r="W434" s="106"/>
      <c r="X434" s="106" t="s">
        <v>55</v>
      </c>
      <c r="Y434" s="63">
        <f t="shared" si="78"/>
        <v>1.01</v>
      </c>
      <c r="Z434" s="30"/>
      <c r="AA434" s="30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</row>
    <row r="435" spans="1:48" ht="18" customHeight="1">
      <c r="A435" s="63">
        <v>20260036</v>
      </c>
      <c r="B435" s="65" t="s">
        <v>990</v>
      </c>
      <c r="C435" s="66">
        <v>46052</v>
      </c>
      <c r="D435" s="66">
        <v>46071</v>
      </c>
      <c r="E435" s="67">
        <v>150</v>
      </c>
      <c r="F435" s="68">
        <v>166.5</v>
      </c>
      <c r="G435" s="69">
        <v>87</v>
      </c>
      <c r="H435" s="70" t="s">
        <v>1001</v>
      </c>
      <c r="I435" s="70" t="s">
        <v>402</v>
      </c>
      <c r="J435" s="65" t="s">
        <v>123</v>
      </c>
      <c r="K435" s="48">
        <f t="shared" si="84"/>
        <v>46079</v>
      </c>
      <c r="L435" s="48">
        <f t="shared" si="85"/>
        <v>46139</v>
      </c>
      <c r="M435" s="71"/>
      <c r="N435" s="72">
        <f>E435</f>
        <v>150</v>
      </c>
      <c r="O435" s="50">
        <f t="shared" si="74"/>
        <v>166.50000000000003</v>
      </c>
      <c r="P435" s="56">
        <f t="shared" si="70"/>
        <v>87</v>
      </c>
      <c r="Q435" s="73"/>
      <c r="R435" s="58"/>
      <c r="S435" s="200" t="s">
        <v>1002</v>
      </c>
      <c r="T435" s="201">
        <v>83</v>
      </c>
      <c r="U435" s="58" t="s">
        <v>1003</v>
      </c>
      <c r="V435" s="46"/>
      <c r="W435" s="46"/>
      <c r="X435" s="62" t="s">
        <v>25</v>
      </c>
      <c r="Y435" s="63">
        <f t="shared" si="78"/>
        <v>1.1100000000000001</v>
      </c>
      <c r="Z435" s="64">
        <f t="shared" ref="Z435" si="87">E435-N435</f>
        <v>0</v>
      </c>
      <c r="AA435" s="64">
        <v>62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</row>
    <row r="436" spans="1:48" ht="18" customHeight="1">
      <c r="A436" s="106">
        <v>20260036</v>
      </c>
      <c r="B436" s="107" t="s">
        <v>990</v>
      </c>
      <c r="C436" s="108">
        <v>46052</v>
      </c>
      <c r="D436" s="108">
        <v>46071</v>
      </c>
      <c r="E436" s="106">
        <v>135</v>
      </c>
      <c r="F436" s="106">
        <v>362.58769999999998</v>
      </c>
      <c r="G436" s="106">
        <v>78.3</v>
      </c>
      <c r="H436" s="109" t="s">
        <v>1004</v>
      </c>
      <c r="I436" s="109" t="s">
        <v>402</v>
      </c>
      <c r="J436" s="107" t="s">
        <v>123</v>
      </c>
      <c r="K436" s="108">
        <f t="shared" si="84"/>
        <v>46079</v>
      </c>
      <c r="L436" s="108">
        <f t="shared" si="85"/>
        <v>46139</v>
      </c>
      <c r="M436" s="111"/>
      <c r="N436" s="112">
        <f>E436-122-13</f>
        <v>0</v>
      </c>
      <c r="O436" s="113">
        <f t="shared" si="74"/>
        <v>0</v>
      </c>
      <c r="P436" s="112">
        <f t="shared" si="70"/>
        <v>0</v>
      </c>
      <c r="Q436" s="109"/>
      <c r="R436" s="109"/>
      <c r="S436" s="109" t="s">
        <v>1005</v>
      </c>
      <c r="T436" s="114">
        <v>5</v>
      </c>
      <c r="U436" s="109" t="s">
        <v>1006</v>
      </c>
      <c r="V436" s="106"/>
      <c r="W436" s="106"/>
      <c r="X436" s="106" t="s">
        <v>55</v>
      </c>
      <c r="Y436" s="63">
        <f t="shared" si="78"/>
        <v>2.6858348148148146</v>
      </c>
      <c r="Z436" s="30"/>
      <c r="AA436" s="30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</row>
    <row r="437" spans="1:48" ht="15" customHeight="1">
      <c r="A437" s="106">
        <v>20260036</v>
      </c>
      <c r="B437" s="107" t="s">
        <v>990</v>
      </c>
      <c r="C437" s="108">
        <v>46052</v>
      </c>
      <c r="D437" s="108">
        <v>46071</v>
      </c>
      <c r="E437" s="106">
        <v>134</v>
      </c>
      <c r="F437" s="106">
        <v>288.7</v>
      </c>
      <c r="G437" s="106">
        <v>77.72</v>
      </c>
      <c r="H437" s="109" t="s">
        <v>1007</v>
      </c>
      <c r="I437" s="109" t="s">
        <v>402</v>
      </c>
      <c r="J437" s="107" t="s">
        <v>123</v>
      </c>
      <c r="K437" s="108">
        <f t="shared" si="84"/>
        <v>46079</v>
      </c>
      <c r="L437" s="108">
        <f t="shared" si="85"/>
        <v>46139</v>
      </c>
      <c r="M437" s="111"/>
      <c r="N437" s="112">
        <f>E437-20-60-40-14</f>
        <v>0</v>
      </c>
      <c r="O437" s="113">
        <f t="shared" si="74"/>
        <v>0</v>
      </c>
      <c r="P437" s="112">
        <f t="shared" si="70"/>
        <v>0</v>
      </c>
      <c r="Q437" s="109"/>
      <c r="R437" s="109"/>
      <c r="S437" s="109" t="s">
        <v>1008</v>
      </c>
      <c r="T437" s="114">
        <v>7</v>
      </c>
      <c r="U437" s="109" t="s">
        <v>1009</v>
      </c>
      <c r="V437" s="106"/>
      <c r="W437" s="106"/>
      <c r="X437" s="106" t="s">
        <v>55</v>
      </c>
      <c r="Y437" s="63">
        <f t="shared" si="78"/>
        <v>2.1544776119402984</v>
      </c>
      <c r="Z437" s="30"/>
      <c r="AA437" s="64">
        <v>329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</row>
    <row r="438" spans="1:48" ht="15" customHeight="1">
      <c r="A438" s="63">
        <v>20260036</v>
      </c>
      <c r="B438" s="65" t="s">
        <v>990</v>
      </c>
      <c r="C438" s="66">
        <v>46052</v>
      </c>
      <c r="D438" s="66">
        <v>46071</v>
      </c>
      <c r="E438" s="67">
        <v>72</v>
      </c>
      <c r="F438" s="68">
        <v>146.68</v>
      </c>
      <c r="G438" s="69">
        <v>62.661087866108801</v>
      </c>
      <c r="H438" s="70" t="s">
        <v>1010</v>
      </c>
      <c r="I438" s="70" t="s">
        <v>72</v>
      </c>
      <c r="J438" s="65" t="s">
        <v>72</v>
      </c>
      <c r="K438" s="48">
        <f t="shared" si="84"/>
        <v>46079</v>
      </c>
      <c r="L438" s="48">
        <f t="shared" si="85"/>
        <v>46139</v>
      </c>
      <c r="M438" s="71"/>
      <c r="N438" s="72">
        <f>E438</f>
        <v>72</v>
      </c>
      <c r="O438" s="50">
        <f t="shared" si="74"/>
        <v>146.68</v>
      </c>
      <c r="P438" s="56">
        <f t="shared" ref="P438:P501" si="88">G438/E438*N438</f>
        <v>62.661087866108801</v>
      </c>
      <c r="Q438" s="73"/>
      <c r="R438" s="58"/>
      <c r="S438" s="200" t="s">
        <v>1011</v>
      </c>
      <c r="T438" s="201">
        <v>131</v>
      </c>
      <c r="U438" s="58" t="s">
        <v>1012</v>
      </c>
      <c r="V438" s="46"/>
      <c r="W438" s="46"/>
      <c r="X438" s="62" t="s">
        <v>25</v>
      </c>
      <c r="Y438" s="63">
        <f t="shared" si="78"/>
        <v>2.0372222222222223</v>
      </c>
      <c r="Z438" s="64">
        <f t="shared" ref="Z438:Z440" si="89">E438-N438</f>
        <v>0</v>
      </c>
      <c r="AA438" s="30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</row>
    <row r="439" spans="1:48" ht="15.75" customHeight="1">
      <c r="A439" s="63">
        <v>20260036</v>
      </c>
      <c r="B439" s="65" t="s">
        <v>990</v>
      </c>
      <c r="C439" s="66">
        <v>46052</v>
      </c>
      <c r="D439" s="66">
        <v>46071</v>
      </c>
      <c r="E439" s="63">
        <v>2</v>
      </c>
      <c r="F439" s="68">
        <v>13.202</v>
      </c>
      <c r="G439" s="69">
        <v>1.7405857740585799</v>
      </c>
      <c r="H439" s="65" t="s">
        <v>1013</v>
      </c>
      <c r="I439" s="65" t="s">
        <v>72</v>
      </c>
      <c r="J439" s="65" t="s">
        <v>72</v>
      </c>
      <c r="K439" s="48">
        <f t="shared" si="84"/>
        <v>46079</v>
      </c>
      <c r="L439" s="48">
        <f t="shared" si="85"/>
        <v>46139</v>
      </c>
      <c r="M439" s="71"/>
      <c r="N439" s="72">
        <f>E439</f>
        <v>2</v>
      </c>
      <c r="O439" s="50">
        <f t="shared" si="74"/>
        <v>13.202</v>
      </c>
      <c r="P439" s="56">
        <f t="shared" si="88"/>
        <v>1.7405857740585799</v>
      </c>
      <c r="S439" s="189" t="s">
        <v>1014</v>
      </c>
      <c r="T439" s="201">
        <v>12</v>
      </c>
      <c r="U439" s="65" t="s">
        <v>1015</v>
      </c>
      <c r="X439" s="62" t="s">
        <v>25</v>
      </c>
      <c r="Y439" s="63">
        <f t="shared" si="78"/>
        <v>6.601</v>
      </c>
      <c r="Z439" s="64">
        <f t="shared" si="89"/>
        <v>0</v>
      </c>
      <c r="AA439" s="64">
        <v>10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</row>
    <row r="440" spans="1:48" ht="15.75" customHeight="1">
      <c r="A440" s="209">
        <v>20260036</v>
      </c>
      <c r="B440" s="266" t="s">
        <v>990</v>
      </c>
      <c r="C440" s="213">
        <v>46052</v>
      </c>
      <c r="D440" s="213">
        <v>46071</v>
      </c>
      <c r="E440" s="209">
        <v>222</v>
      </c>
      <c r="F440" s="209">
        <v>1438.354</v>
      </c>
      <c r="G440" s="209">
        <v>193.20502092050199</v>
      </c>
      <c r="H440" s="266" t="s">
        <v>1016</v>
      </c>
      <c r="I440" s="266" t="s">
        <v>72</v>
      </c>
      <c r="J440" s="266" t="s">
        <v>72</v>
      </c>
      <c r="K440" s="213">
        <f t="shared" si="84"/>
        <v>46079</v>
      </c>
      <c r="L440" s="213">
        <f t="shared" si="85"/>
        <v>46139</v>
      </c>
      <c r="M440" s="267"/>
      <c r="N440" s="268">
        <f>E440-46-89-45-2</f>
        <v>40</v>
      </c>
      <c r="O440" s="269">
        <f t="shared" si="74"/>
        <v>259.16288288288291</v>
      </c>
      <c r="P440" s="268">
        <f t="shared" si="88"/>
        <v>34.811715481171532</v>
      </c>
      <c r="S440" s="189" t="s">
        <v>1017</v>
      </c>
      <c r="T440" s="201">
        <v>116</v>
      </c>
      <c r="U440" s="65" t="s">
        <v>1018</v>
      </c>
      <c r="X440" s="99" t="s">
        <v>76</v>
      </c>
      <c r="Y440" s="63">
        <f t="shared" si="78"/>
        <v>6.4790720720720723</v>
      </c>
      <c r="Z440" s="64">
        <f t="shared" si="89"/>
        <v>182</v>
      </c>
      <c r="AA440" s="64">
        <v>468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</row>
    <row r="441" spans="1:48" ht="15.75" customHeight="1">
      <c r="A441" s="106">
        <v>20260036</v>
      </c>
      <c r="B441" s="107" t="s">
        <v>990</v>
      </c>
      <c r="C441" s="108">
        <v>46052</v>
      </c>
      <c r="D441" s="108">
        <v>46071</v>
      </c>
      <c r="E441" s="106">
        <v>105</v>
      </c>
      <c r="F441" s="106"/>
      <c r="G441" s="106"/>
      <c r="H441" s="107" t="s">
        <v>1016</v>
      </c>
      <c r="I441" s="107" t="s">
        <v>72</v>
      </c>
      <c r="J441" s="107" t="s">
        <v>72</v>
      </c>
      <c r="K441" s="108">
        <f t="shared" si="84"/>
        <v>46079</v>
      </c>
      <c r="L441" s="108">
        <f t="shared" si="85"/>
        <v>46139</v>
      </c>
      <c r="M441" s="106"/>
      <c r="N441" s="112">
        <f>E441-24-7-8-46-20</f>
        <v>0</v>
      </c>
      <c r="O441" s="113">
        <f t="shared" si="74"/>
        <v>0</v>
      </c>
      <c r="P441" s="112">
        <f t="shared" si="88"/>
        <v>0</v>
      </c>
      <c r="Q441" s="109"/>
      <c r="R441" s="107"/>
      <c r="S441" s="107" t="s">
        <v>1019</v>
      </c>
      <c r="T441" s="114">
        <v>117</v>
      </c>
      <c r="U441" s="107" t="s">
        <v>1018</v>
      </c>
      <c r="V441" s="107"/>
      <c r="W441" s="107"/>
      <c r="X441" s="106" t="s">
        <v>55</v>
      </c>
      <c r="Y441" s="63">
        <f t="shared" si="78"/>
        <v>0</v>
      </c>
      <c r="AA441" s="64">
        <v>28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</row>
    <row r="442" spans="1:48" ht="15.75" customHeight="1">
      <c r="A442" s="106">
        <v>20260036</v>
      </c>
      <c r="B442" s="107" t="s">
        <v>990</v>
      </c>
      <c r="C442" s="108">
        <v>46052</v>
      </c>
      <c r="D442" s="108">
        <v>46071</v>
      </c>
      <c r="E442" s="106">
        <v>143</v>
      </c>
      <c r="F442" s="106">
        <v>697.52</v>
      </c>
      <c r="G442" s="106">
        <v>124.451882845188</v>
      </c>
      <c r="H442" s="107" t="s">
        <v>1020</v>
      </c>
      <c r="I442" s="107" t="s">
        <v>72</v>
      </c>
      <c r="J442" s="107" t="s">
        <v>72</v>
      </c>
      <c r="K442" s="108">
        <f t="shared" si="84"/>
        <v>46079</v>
      </c>
      <c r="L442" s="108">
        <f t="shared" si="85"/>
        <v>46139</v>
      </c>
      <c r="M442" s="111"/>
      <c r="N442" s="112">
        <f>E442-23-34-34-32-20</f>
        <v>0</v>
      </c>
      <c r="O442" s="113">
        <f t="shared" si="74"/>
        <v>0</v>
      </c>
      <c r="P442" s="112">
        <f t="shared" si="88"/>
        <v>0</v>
      </c>
      <c r="Q442" s="109"/>
      <c r="R442" s="107"/>
      <c r="S442" s="107" t="s">
        <v>1021</v>
      </c>
      <c r="T442" s="114">
        <v>126</v>
      </c>
      <c r="U442" s="107" t="s">
        <v>1022</v>
      </c>
      <c r="V442" s="107"/>
      <c r="W442" s="107"/>
      <c r="X442" s="106" t="s">
        <v>55</v>
      </c>
      <c r="Y442" s="63">
        <f t="shared" si="78"/>
        <v>4.8777622377622381</v>
      </c>
      <c r="AA442" s="64">
        <v>72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</row>
    <row r="443" spans="1:48" ht="15.75" customHeight="1">
      <c r="A443" s="63">
        <v>20260036</v>
      </c>
      <c r="B443" s="65" t="s">
        <v>990</v>
      </c>
      <c r="C443" s="66">
        <v>46052</v>
      </c>
      <c r="D443" s="66">
        <v>46071</v>
      </c>
      <c r="E443" s="63">
        <v>28</v>
      </c>
      <c r="F443" s="68">
        <v>53.86</v>
      </c>
      <c r="G443" s="69">
        <v>30</v>
      </c>
      <c r="H443" s="65" t="s">
        <v>627</v>
      </c>
      <c r="I443" s="65" t="s">
        <v>86</v>
      </c>
      <c r="J443" s="65" t="s">
        <v>86</v>
      </c>
      <c r="K443" s="48">
        <f t="shared" si="84"/>
        <v>46079</v>
      </c>
      <c r="L443" s="48">
        <f t="shared" si="85"/>
        <v>46139</v>
      </c>
      <c r="M443" s="71"/>
      <c r="N443" s="72">
        <f t="shared" ref="N443:N451" si="90">E443</f>
        <v>28</v>
      </c>
      <c r="O443" s="50">
        <f t="shared" si="74"/>
        <v>53.86</v>
      </c>
      <c r="P443" s="56">
        <f t="shared" si="88"/>
        <v>30</v>
      </c>
      <c r="S443" s="189" t="s">
        <v>1023</v>
      </c>
      <c r="T443" s="201">
        <v>120</v>
      </c>
      <c r="U443" s="65" t="s">
        <v>1024</v>
      </c>
      <c r="X443" s="62" t="s">
        <v>25</v>
      </c>
      <c r="Y443" s="63">
        <f t="shared" si="78"/>
        <v>1.9235714285714285</v>
      </c>
      <c r="Z443" s="64">
        <f t="shared" ref="Z443:Z451" si="91">E443-N443</f>
        <v>0</v>
      </c>
      <c r="AA443" s="30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</row>
    <row r="444" spans="1:48" ht="15.75" customHeight="1">
      <c r="A444" s="63">
        <v>20260036</v>
      </c>
      <c r="B444" s="65" t="s">
        <v>990</v>
      </c>
      <c r="C444" s="66">
        <v>46052</v>
      </c>
      <c r="D444" s="66">
        <v>46071</v>
      </c>
      <c r="E444" s="63">
        <v>138</v>
      </c>
      <c r="F444" s="68">
        <v>343.69499999999999</v>
      </c>
      <c r="G444" s="69">
        <v>155</v>
      </c>
      <c r="H444" s="65" t="s">
        <v>1025</v>
      </c>
      <c r="I444" s="65" t="s">
        <v>1026</v>
      </c>
      <c r="J444" s="65" t="s">
        <v>1026</v>
      </c>
      <c r="K444" s="48">
        <f t="shared" si="84"/>
        <v>46079</v>
      </c>
      <c r="L444" s="48">
        <f t="shared" si="85"/>
        <v>46139</v>
      </c>
      <c r="M444" s="71"/>
      <c r="N444" s="72">
        <f t="shared" si="90"/>
        <v>138</v>
      </c>
      <c r="O444" s="50">
        <f t="shared" si="74"/>
        <v>343.69499999999994</v>
      </c>
      <c r="P444" s="56">
        <f t="shared" si="88"/>
        <v>155</v>
      </c>
      <c r="S444" s="189" t="s">
        <v>1027</v>
      </c>
      <c r="T444" s="201">
        <v>113</v>
      </c>
      <c r="U444" s="65" t="s">
        <v>1028</v>
      </c>
      <c r="X444" s="62" t="s">
        <v>25</v>
      </c>
      <c r="Y444" s="63">
        <f t="shared" si="78"/>
        <v>2.4905434782608693</v>
      </c>
      <c r="Z444" s="64">
        <f t="shared" si="91"/>
        <v>0</v>
      </c>
      <c r="AA444" s="30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</row>
    <row r="445" spans="1:48" ht="15.75" customHeight="1">
      <c r="A445" s="63">
        <v>20260036</v>
      </c>
      <c r="B445" s="65" t="s">
        <v>990</v>
      </c>
      <c r="C445" s="66">
        <v>46052</v>
      </c>
      <c r="D445" s="66">
        <v>46071</v>
      </c>
      <c r="E445" s="63">
        <v>18</v>
      </c>
      <c r="F445" s="68">
        <v>186.6454</v>
      </c>
      <c r="G445" s="69">
        <v>90</v>
      </c>
      <c r="H445" s="65" t="s">
        <v>1029</v>
      </c>
      <c r="I445" s="65" t="s">
        <v>24</v>
      </c>
      <c r="J445" s="65" t="s">
        <v>24</v>
      </c>
      <c r="K445" s="48">
        <f t="shared" si="84"/>
        <v>46079</v>
      </c>
      <c r="L445" s="48">
        <f t="shared" si="85"/>
        <v>46139</v>
      </c>
      <c r="M445" s="71"/>
      <c r="N445" s="72">
        <f t="shared" si="90"/>
        <v>18</v>
      </c>
      <c r="O445" s="50">
        <f t="shared" si="74"/>
        <v>186.6454</v>
      </c>
      <c r="P445" s="56">
        <f t="shared" si="88"/>
        <v>90</v>
      </c>
      <c r="S445" s="189" t="s">
        <v>1030</v>
      </c>
      <c r="T445" s="201">
        <v>127</v>
      </c>
      <c r="U445" s="65" t="s">
        <v>1031</v>
      </c>
      <c r="V445" s="202"/>
      <c r="W445" s="202"/>
      <c r="X445" s="62" t="s">
        <v>25</v>
      </c>
      <c r="Y445" s="63">
        <f t="shared" si="78"/>
        <v>10.369188888888889</v>
      </c>
      <c r="Z445" s="64">
        <f t="shared" si="91"/>
        <v>0</v>
      </c>
      <c r="AA445" s="30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</row>
    <row r="446" spans="1:48" ht="15.75" customHeight="1">
      <c r="A446" s="63">
        <v>20260036</v>
      </c>
      <c r="B446" s="65" t="s">
        <v>990</v>
      </c>
      <c r="C446" s="66">
        <v>46052</v>
      </c>
      <c r="D446" s="66">
        <v>46071</v>
      </c>
      <c r="E446" s="63">
        <v>10</v>
      </c>
      <c r="F446" s="68">
        <v>18.149999999999999</v>
      </c>
      <c r="G446" s="69">
        <v>60</v>
      </c>
      <c r="H446" s="65" t="s">
        <v>1032</v>
      </c>
      <c r="I446" s="65" t="s">
        <v>24</v>
      </c>
      <c r="J446" s="65" t="s">
        <v>24</v>
      </c>
      <c r="K446" s="48">
        <f t="shared" si="84"/>
        <v>46079</v>
      </c>
      <c r="L446" s="48">
        <f t="shared" si="85"/>
        <v>46139</v>
      </c>
      <c r="M446" s="71"/>
      <c r="N446" s="72">
        <f t="shared" si="90"/>
        <v>10</v>
      </c>
      <c r="O446" s="50">
        <f t="shared" si="74"/>
        <v>18.149999999999999</v>
      </c>
      <c r="P446" s="56">
        <f t="shared" si="88"/>
        <v>60</v>
      </c>
      <c r="S446" s="189" t="s">
        <v>1033</v>
      </c>
      <c r="T446" s="201">
        <v>105</v>
      </c>
      <c r="U446" s="65" t="s">
        <v>1034</v>
      </c>
      <c r="V446" s="202"/>
      <c r="W446" s="202"/>
      <c r="X446" s="62" t="s">
        <v>25</v>
      </c>
      <c r="Y446" s="63">
        <f t="shared" si="78"/>
        <v>1.8149999999999999</v>
      </c>
      <c r="Z446" s="64">
        <f t="shared" si="91"/>
        <v>0</v>
      </c>
      <c r="AA446" s="64">
        <v>197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</row>
    <row r="447" spans="1:48" ht="15.75" customHeight="1">
      <c r="A447" s="63">
        <v>20260036</v>
      </c>
      <c r="B447" s="65" t="s">
        <v>990</v>
      </c>
      <c r="C447" s="66">
        <v>46052</v>
      </c>
      <c r="D447" s="66">
        <v>46071</v>
      </c>
      <c r="E447" s="63">
        <v>6</v>
      </c>
      <c r="F447" s="68">
        <v>61.5</v>
      </c>
      <c r="G447" s="69">
        <v>40</v>
      </c>
      <c r="H447" s="65" t="s">
        <v>832</v>
      </c>
      <c r="I447" s="65" t="s">
        <v>24</v>
      </c>
      <c r="J447" s="65" t="s">
        <v>24</v>
      </c>
      <c r="K447" s="48">
        <f t="shared" si="84"/>
        <v>46079</v>
      </c>
      <c r="L447" s="48">
        <f t="shared" si="85"/>
        <v>46139</v>
      </c>
      <c r="M447" s="71"/>
      <c r="N447" s="72">
        <f t="shared" si="90"/>
        <v>6</v>
      </c>
      <c r="O447" s="50">
        <f t="shared" si="74"/>
        <v>61.5</v>
      </c>
      <c r="P447" s="56">
        <f t="shared" si="88"/>
        <v>40</v>
      </c>
      <c r="S447" s="189" t="s">
        <v>1035</v>
      </c>
      <c r="T447" s="201">
        <v>106</v>
      </c>
      <c r="U447" s="65" t="s">
        <v>1036</v>
      </c>
      <c r="V447" s="202"/>
      <c r="W447" s="202"/>
      <c r="X447" s="62" t="s">
        <v>25</v>
      </c>
      <c r="Y447" s="63">
        <f t="shared" si="78"/>
        <v>10.25</v>
      </c>
      <c r="Z447" s="64">
        <f t="shared" si="91"/>
        <v>0</v>
      </c>
      <c r="AA447" s="30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</row>
    <row r="448" spans="1:48" ht="15.75" customHeight="1">
      <c r="A448" s="63">
        <v>20260036</v>
      </c>
      <c r="B448" s="65" t="s">
        <v>990</v>
      </c>
      <c r="C448" s="66">
        <v>46052</v>
      </c>
      <c r="D448" s="66">
        <v>46071</v>
      </c>
      <c r="E448" s="63">
        <v>2</v>
      </c>
      <c r="F448" s="68">
        <v>51</v>
      </c>
      <c r="G448" s="69">
        <v>24</v>
      </c>
      <c r="H448" s="65" t="s">
        <v>1037</v>
      </c>
      <c r="I448" s="65" t="s">
        <v>24</v>
      </c>
      <c r="J448" s="65" t="s">
        <v>24</v>
      </c>
      <c r="K448" s="48">
        <f t="shared" si="84"/>
        <v>46079</v>
      </c>
      <c r="L448" s="48">
        <f t="shared" si="85"/>
        <v>46139</v>
      </c>
      <c r="M448" s="71"/>
      <c r="N448" s="72">
        <f t="shared" si="90"/>
        <v>2</v>
      </c>
      <c r="O448" s="50">
        <f t="shared" si="74"/>
        <v>51</v>
      </c>
      <c r="P448" s="56">
        <f t="shared" si="88"/>
        <v>24</v>
      </c>
      <c r="S448" s="189" t="s">
        <v>1038</v>
      </c>
      <c r="T448" s="201">
        <v>107</v>
      </c>
      <c r="U448" s="65" t="s">
        <v>1039</v>
      </c>
      <c r="V448" s="202"/>
      <c r="W448" s="202"/>
      <c r="X448" s="62" t="s">
        <v>25</v>
      </c>
      <c r="Y448" s="63">
        <f t="shared" si="78"/>
        <v>25.5</v>
      </c>
      <c r="Z448" s="64">
        <f t="shared" si="91"/>
        <v>0</v>
      </c>
      <c r="AA448" s="30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</row>
    <row r="449" spans="1:48" ht="15.75" customHeight="1">
      <c r="A449" s="63">
        <v>20260036</v>
      </c>
      <c r="B449" s="65" t="s">
        <v>990</v>
      </c>
      <c r="C449" s="66">
        <v>46052</v>
      </c>
      <c r="D449" s="66">
        <v>46071</v>
      </c>
      <c r="E449" s="63">
        <v>2</v>
      </c>
      <c r="F449" s="68">
        <v>78</v>
      </c>
      <c r="G449" s="69">
        <v>24</v>
      </c>
      <c r="H449" s="65" t="s">
        <v>1040</v>
      </c>
      <c r="I449" s="65" t="s">
        <v>24</v>
      </c>
      <c r="J449" s="65" t="s">
        <v>24</v>
      </c>
      <c r="K449" s="48">
        <f t="shared" si="84"/>
        <v>46079</v>
      </c>
      <c r="L449" s="48">
        <f t="shared" si="85"/>
        <v>46139</v>
      </c>
      <c r="M449" s="71"/>
      <c r="N449" s="72">
        <f t="shared" si="90"/>
        <v>2</v>
      </c>
      <c r="O449" s="50">
        <f t="shared" si="74"/>
        <v>78</v>
      </c>
      <c r="P449" s="56">
        <f t="shared" si="88"/>
        <v>24</v>
      </c>
      <c r="S449" s="189" t="s">
        <v>1041</v>
      </c>
      <c r="T449" s="201">
        <v>110</v>
      </c>
      <c r="U449" s="65" t="s">
        <v>1042</v>
      </c>
      <c r="V449" s="202"/>
      <c r="W449" s="202"/>
      <c r="X449" s="62" t="s">
        <v>25</v>
      </c>
      <c r="Y449" s="63">
        <f t="shared" si="78"/>
        <v>39</v>
      </c>
      <c r="Z449" s="64">
        <f t="shared" si="91"/>
        <v>0</v>
      </c>
      <c r="AA449" s="30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</row>
    <row r="450" spans="1:48" ht="15.75" customHeight="1">
      <c r="A450" s="63">
        <v>20260036</v>
      </c>
      <c r="B450" s="65" t="s">
        <v>990</v>
      </c>
      <c r="C450" s="66">
        <v>46052</v>
      </c>
      <c r="D450" s="66">
        <v>46071</v>
      </c>
      <c r="E450" s="63">
        <v>5</v>
      </c>
      <c r="F450" s="68">
        <v>17.22</v>
      </c>
      <c r="G450" s="69">
        <v>30</v>
      </c>
      <c r="H450" s="65" t="s">
        <v>1043</v>
      </c>
      <c r="I450" s="65" t="s">
        <v>24</v>
      </c>
      <c r="J450" s="65" t="s">
        <v>24</v>
      </c>
      <c r="K450" s="48">
        <f t="shared" si="84"/>
        <v>46079</v>
      </c>
      <c r="L450" s="48">
        <f t="shared" si="85"/>
        <v>46139</v>
      </c>
      <c r="M450" s="71"/>
      <c r="N450" s="72">
        <f t="shared" si="90"/>
        <v>5</v>
      </c>
      <c r="O450" s="50">
        <f t="shared" si="74"/>
        <v>17.22</v>
      </c>
      <c r="P450" s="56">
        <f t="shared" si="88"/>
        <v>30</v>
      </c>
      <c r="S450" s="189" t="s">
        <v>1044</v>
      </c>
      <c r="T450" s="201">
        <v>35</v>
      </c>
      <c r="U450" s="65" t="s">
        <v>1045</v>
      </c>
      <c r="V450" s="202"/>
      <c r="W450" s="202"/>
      <c r="X450" s="62" t="s">
        <v>25</v>
      </c>
      <c r="Y450" s="63">
        <f t="shared" si="78"/>
        <v>3.444</v>
      </c>
      <c r="Z450" s="64">
        <f t="shared" si="91"/>
        <v>0</v>
      </c>
      <c r="AA450" s="64">
        <v>174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</row>
    <row r="451" spans="1:48" ht="15.75" customHeight="1">
      <c r="A451" s="63">
        <v>20260036</v>
      </c>
      <c r="B451" s="65" t="s">
        <v>990</v>
      </c>
      <c r="C451" s="66">
        <v>46052</v>
      </c>
      <c r="D451" s="66">
        <v>46071</v>
      </c>
      <c r="E451" s="63">
        <v>1</v>
      </c>
      <c r="F451" s="68">
        <v>17</v>
      </c>
      <c r="G451" s="69">
        <v>24</v>
      </c>
      <c r="H451" s="65" t="s">
        <v>1046</v>
      </c>
      <c r="I451" s="65" t="s">
        <v>24</v>
      </c>
      <c r="J451" s="65" t="s">
        <v>24</v>
      </c>
      <c r="K451" s="48">
        <f t="shared" si="84"/>
        <v>46079</v>
      </c>
      <c r="L451" s="48">
        <f t="shared" si="85"/>
        <v>46139</v>
      </c>
      <c r="M451" s="71"/>
      <c r="N451" s="72">
        <f t="shared" si="90"/>
        <v>1</v>
      </c>
      <c r="O451" s="50">
        <f t="shared" si="74"/>
        <v>17</v>
      </c>
      <c r="P451" s="56">
        <f t="shared" si="88"/>
        <v>24</v>
      </c>
      <c r="S451" s="189" t="s">
        <v>1047</v>
      </c>
      <c r="T451" s="201">
        <v>36</v>
      </c>
      <c r="U451" s="65" t="s">
        <v>1048</v>
      </c>
      <c r="V451" s="202"/>
      <c r="W451" s="202"/>
      <c r="X451" s="62" t="s">
        <v>25</v>
      </c>
      <c r="Y451" s="63">
        <f t="shared" si="78"/>
        <v>17</v>
      </c>
      <c r="Z451" s="64">
        <f t="shared" si="91"/>
        <v>0</v>
      </c>
      <c r="AA451" s="30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</row>
    <row r="452" spans="1:48" ht="15.75" customHeight="1">
      <c r="A452" s="106">
        <v>20260036</v>
      </c>
      <c r="B452" s="107" t="s">
        <v>990</v>
      </c>
      <c r="C452" s="108">
        <v>46052</v>
      </c>
      <c r="D452" s="108">
        <v>46071</v>
      </c>
      <c r="E452" s="106">
        <v>1</v>
      </c>
      <c r="F452" s="106">
        <v>1.75</v>
      </c>
      <c r="G452" s="106">
        <v>24</v>
      </c>
      <c r="H452" s="107" t="s">
        <v>816</v>
      </c>
      <c r="I452" s="107" t="s">
        <v>24</v>
      </c>
      <c r="J452" s="107" t="s">
        <v>24</v>
      </c>
      <c r="K452" s="108">
        <f t="shared" si="84"/>
        <v>46079</v>
      </c>
      <c r="L452" s="108">
        <f t="shared" si="85"/>
        <v>46139</v>
      </c>
      <c r="M452" s="111"/>
      <c r="N452" s="112">
        <f>E452-1</f>
        <v>0</v>
      </c>
      <c r="O452" s="113">
        <f t="shared" si="74"/>
        <v>0</v>
      </c>
      <c r="P452" s="112">
        <f t="shared" si="88"/>
        <v>0</v>
      </c>
      <c r="Q452" s="109"/>
      <c r="R452" s="107"/>
      <c r="S452" s="107" t="s">
        <v>1049</v>
      </c>
      <c r="T452" s="114">
        <v>50</v>
      </c>
      <c r="U452" s="107" t="s">
        <v>1050</v>
      </c>
      <c r="V452" s="270"/>
      <c r="W452" s="270"/>
      <c r="X452" s="106" t="s">
        <v>55</v>
      </c>
      <c r="Y452" s="63">
        <f t="shared" si="78"/>
        <v>1.75</v>
      </c>
      <c r="Z452" s="202"/>
      <c r="AA452" s="30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</row>
    <row r="453" spans="1:48" ht="15.75" customHeight="1">
      <c r="A453" s="63">
        <v>20260036</v>
      </c>
      <c r="B453" s="65" t="s">
        <v>990</v>
      </c>
      <c r="C453" s="66">
        <v>46052</v>
      </c>
      <c r="D453" s="66">
        <v>46071</v>
      </c>
      <c r="E453" s="63">
        <v>1</v>
      </c>
      <c r="F453" s="68">
        <v>3.2</v>
      </c>
      <c r="G453" s="69">
        <v>24</v>
      </c>
      <c r="H453" s="65" t="s">
        <v>967</v>
      </c>
      <c r="I453" s="65" t="s">
        <v>24</v>
      </c>
      <c r="J453" s="65" t="s">
        <v>24</v>
      </c>
      <c r="K453" s="48">
        <f t="shared" si="84"/>
        <v>46079</v>
      </c>
      <c r="L453" s="48">
        <f t="shared" si="85"/>
        <v>46139</v>
      </c>
      <c r="M453" s="71"/>
      <c r="N453" s="72">
        <f>E453</f>
        <v>1</v>
      </c>
      <c r="O453" s="50">
        <f t="shared" si="74"/>
        <v>3.2</v>
      </c>
      <c r="P453" s="56">
        <f t="shared" si="88"/>
        <v>24</v>
      </c>
      <c r="S453" s="189" t="s">
        <v>1051</v>
      </c>
      <c r="T453" s="201">
        <v>80</v>
      </c>
      <c r="U453" s="65" t="s">
        <v>1052</v>
      </c>
      <c r="V453" s="202"/>
      <c r="W453" s="202"/>
      <c r="X453" s="62" t="s">
        <v>25</v>
      </c>
      <c r="Y453" s="63">
        <f t="shared" si="78"/>
        <v>3.2</v>
      </c>
      <c r="Z453" s="64">
        <f t="shared" ref="Z453" si="92">E453-N453</f>
        <v>0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</row>
    <row r="454" spans="1:48" ht="15.75" customHeight="1">
      <c r="A454" s="106">
        <v>20260036</v>
      </c>
      <c r="B454" s="107" t="s">
        <v>990</v>
      </c>
      <c r="C454" s="108">
        <v>46052</v>
      </c>
      <c r="D454" s="108">
        <v>46071</v>
      </c>
      <c r="E454" s="106">
        <v>12</v>
      </c>
      <c r="F454" s="106">
        <v>175.042</v>
      </c>
      <c r="G454" s="106">
        <v>96</v>
      </c>
      <c r="H454" s="107" t="s">
        <v>1053</v>
      </c>
      <c r="I454" s="107" t="s">
        <v>24</v>
      </c>
      <c r="J454" s="107" t="s">
        <v>24</v>
      </c>
      <c r="K454" s="108">
        <f t="shared" si="84"/>
        <v>46079</v>
      </c>
      <c r="L454" s="108">
        <f t="shared" si="85"/>
        <v>46139</v>
      </c>
      <c r="M454" s="111"/>
      <c r="N454" s="112">
        <f>E454-4-5-2-1</f>
        <v>0</v>
      </c>
      <c r="O454" s="113">
        <f t="shared" si="74"/>
        <v>0</v>
      </c>
      <c r="P454" s="112">
        <f t="shared" si="88"/>
        <v>0</v>
      </c>
      <c r="Q454" s="109"/>
      <c r="R454" s="107"/>
      <c r="S454" s="107" t="s">
        <v>1054</v>
      </c>
      <c r="T454" s="114">
        <v>81</v>
      </c>
      <c r="U454" s="107" t="s">
        <v>1055</v>
      </c>
      <c r="V454" s="270"/>
      <c r="W454" s="270"/>
      <c r="X454" s="106" t="s">
        <v>55</v>
      </c>
      <c r="Y454" s="63">
        <f t="shared" si="78"/>
        <v>14.586833333333333</v>
      </c>
      <c r="Z454" s="202"/>
      <c r="AA454" s="64">
        <v>1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</row>
    <row r="455" spans="1:48" ht="15.75" customHeight="1">
      <c r="A455" s="206">
        <v>20260036</v>
      </c>
      <c r="B455" s="207" t="s">
        <v>990</v>
      </c>
      <c r="C455" s="208">
        <v>46052</v>
      </c>
      <c r="D455" s="208">
        <v>46071</v>
      </c>
      <c r="E455" s="206">
        <v>225</v>
      </c>
      <c r="F455" s="210">
        <v>1040.231</v>
      </c>
      <c r="G455" s="211">
        <v>900</v>
      </c>
      <c r="H455" s="207" t="s">
        <v>1056</v>
      </c>
      <c r="I455" s="207" t="s">
        <v>24</v>
      </c>
      <c r="J455" s="207" t="s">
        <v>24</v>
      </c>
      <c r="K455" s="213">
        <f t="shared" si="84"/>
        <v>46079</v>
      </c>
      <c r="L455" s="213">
        <f t="shared" si="85"/>
        <v>46139</v>
      </c>
      <c r="M455" s="214"/>
      <c r="N455" s="215">
        <f>E455-5-14-24-33-44-73-26-3</f>
        <v>3</v>
      </c>
      <c r="O455" s="216">
        <f t="shared" si="74"/>
        <v>13.869746666666668</v>
      </c>
      <c r="P455" s="218">
        <f t="shared" si="88"/>
        <v>12</v>
      </c>
      <c r="S455" s="189" t="s">
        <v>1057</v>
      </c>
      <c r="T455" s="201">
        <v>114</v>
      </c>
      <c r="U455" s="65" t="s">
        <v>1058</v>
      </c>
      <c r="V455" s="202"/>
      <c r="W455" s="202"/>
      <c r="X455" s="99" t="s">
        <v>76</v>
      </c>
      <c r="Y455" s="63">
        <f t="shared" si="78"/>
        <v>4.623248888888889</v>
      </c>
      <c r="Z455" s="64">
        <f t="shared" ref="Z455" si="93">E455-N455</f>
        <v>222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</row>
    <row r="456" spans="1:48" ht="15.75" customHeight="1">
      <c r="A456" s="106">
        <v>20260036</v>
      </c>
      <c r="B456" s="107" t="s">
        <v>990</v>
      </c>
      <c r="C456" s="108">
        <v>46052</v>
      </c>
      <c r="D456" s="108">
        <v>46071</v>
      </c>
      <c r="E456" s="106">
        <v>143</v>
      </c>
      <c r="F456" s="106">
        <v>610.51499999999999</v>
      </c>
      <c r="G456" s="106">
        <v>550</v>
      </c>
      <c r="H456" s="107" t="s">
        <v>1056</v>
      </c>
      <c r="I456" s="107" t="s">
        <v>24</v>
      </c>
      <c r="J456" s="107" t="s">
        <v>24</v>
      </c>
      <c r="K456" s="108">
        <f t="shared" si="84"/>
        <v>46079</v>
      </c>
      <c r="L456" s="108">
        <f t="shared" si="85"/>
        <v>46139</v>
      </c>
      <c r="M456" s="111"/>
      <c r="N456" s="112">
        <f>E456-33-46-9-1-4-4-5-5-8-3-3-2-13-2-3-2</f>
        <v>0</v>
      </c>
      <c r="O456" s="113">
        <f t="shared" si="74"/>
        <v>0</v>
      </c>
      <c r="P456" s="112">
        <f t="shared" si="88"/>
        <v>0</v>
      </c>
      <c r="Q456" s="109"/>
      <c r="R456" s="107"/>
      <c r="S456" s="107" t="s">
        <v>1059</v>
      </c>
      <c r="T456" s="114">
        <v>108</v>
      </c>
      <c r="U456" s="107" t="s">
        <v>1060</v>
      </c>
      <c r="V456" s="270"/>
      <c r="W456" s="270"/>
      <c r="X456" s="106" t="s">
        <v>55</v>
      </c>
      <c r="Y456" s="63">
        <f t="shared" si="78"/>
        <v>4.2693356643356646</v>
      </c>
      <c r="Z456" s="202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</row>
    <row r="457" spans="1:48" ht="15.75" customHeight="1">
      <c r="A457" s="206">
        <v>20260036</v>
      </c>
      <c r="B457" s="207" t="s">
        <v>990</v>
      </c>
      <c r="C457" s="208">
        <v>46052</v>
      </c>
      <c r="D457" s="208">
        <v>46071</v>
      </c>
      <c r="E457" s="206">
        <v>23</v>
      </c>
      <c r="F457" s="210">
        <v>458.56108999999998</v>
      </c>
      <c r="G457" s="211">
        <v>80</v>
      </c>
      <c r="H457" s="207" t="s">
        <v>1056</v>
      </c>
      <c r="I457" s="207" t="s">
        <v>24</v>
      </c>
      <c r="J457" s="207" t="s">
        <v>24</v>
      </c>
      <c r="K457" s="213">
        <f t="shared" si="84"/>
        <v>46079</v>
      </c>
      <c r="L457" s="213">
        <f t="shared" si="85"/>
        <v>46139</v>
      </c>
      <c r="M457" s="214"/>
      <c r="N457" s="215">
        <f>E457-1-1-4-5-3-6-1-1</f>
        <v>1</v>
      </c>
      <c r="O457" s="216">
        <f t="shared" ref="O457:O520" si="94">F457/E457*N457</f>
        <v>19.937438695652173</v>
      </c>
      <c r="P457" s="218">
        <f t="shared" si="88"/>
        <v>3.4782608695652173</v>
      </c>
      <c r="S457" s="189" t="s">
        <v>1061</v>
      </c>
      <c r="T457" s="201">
        <v>109</v>
      </c>
      <c r="U457" s="65" t="s">
        <v>1062</v>
      </c>
      <c r="V457" s="202"/>
      <c r="W457" s="202"/>
      <c r="X457" s="99" t="s">
        <v>76</v>
      </c>
      <c r="Y457" s="63">
        <f t="shared" si="78"/>
        <v>19.937438695652173</v>
      </c>
      <c r="Z457" s="64">
        <f t="shared" ref="Z457" si="95">E457-N457</f>
        <v>22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</row>
    <row r="458" spans="1:48" ht="15.75" customHeight="1">
      <c r="A458" s="106">
        <v>20260036</v>
      </c>
      <c r="B458" s="107" t="s">
        <v>990</v>
      </c>
      <c r="C458" s="108">
        <v>46052</v>
      </c>
      <c r="D458" s="108">
        <v>46071</v>
      </c>
      <c r="E458" s="106">
        <v>2</v>
      </c>
      <c r="F458" s="106">
        <v>16.350000000000001</v>
      </c>
      <c r="G458" s="106">
        <v>48</v>
      </c>
      <c r="H458" s="107" t="s">
        <v>1056</v>
      </c>
      <c r="I458" s="107" t="s">
        <v>1063</v>
      </c>
      <c r="J458" s="107" t="s">
        <v>28</v>
      </c>
      <c r="K458" s="108">
        <f t="shared" si="84"/>
        <v>46079</v>
      </c>
      <c r="L458" s="108">
        <f t="shared" si="85"/>
        <v>46139</v>
      </c>
      <c r="M458" s="111"/>
      <c r="N458" s="112">
        <f>E458-2</f>
        <v>0</v>
      </c>
      <c r="O458" s="113">
        <f t="shared" si="94"/>
        <v>0</v>
      </c>
      <c r="P458" s="112">
        <f t="shared" si="88"/>
        <v>0</v>
      </c>
      <c r="Q458" s="109"/>
      <c r="R458" s="107"/>
      <c r="S458" s="107" t="s">
        <v>1064</v>
      </c>
      <c r="T458" s="114">
        <v>16</v>
      </c>
      <c r="U458" s="107" t="s">
        <v>1065</v>
      </c>
      <c r="V458" s="270"/>
      <c r="W458" s="270"/>
      <c r="X458" s="106" t="s">
        <v>55</v>
      </c>
      <c r="Y458" s="63">
        <f t="shared" si="78"/>
        <v>8.1750000000000007</v>
      </c>
      <c r="Z458" s="202"/>
      <c r="AB458" s="202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</row>
    <row r="459" spans="1:48" ht="15.75" customHeight="1">
      <c r="A459" s="106">
        <v>20260036</v>
      </c>
      <c r="B459" s="107" t="s">
        <v>990</v>
      </c>
      <c r="C459" s="108">
        <v>46052</v>
      </c>
      <c r="D459" s="108">
        <v>46071</v>
      </c>
      <c r="E459" s="106">
        <v>6</v>
      </c>
      <c r="F459" s="106">
        <v>49.05</v>
      </c>
      <c r="G459" s="106">
        <v>144</v>
      </c>
      <c r="H459" s="107" t="s">
        <v>1056</v>
      </c>
      <c r="I459" s="107" t="s">
        <v>446</v>
      </c>
      <c r="J459" s="107" t="s">
        <v>26</v>
      </c>
      <c r="K459" s="108">
        <f t="shared" si="84"/>
        <v>46079</v>
      </c>
      <c r="L459" s="108">
        <f t="shared" si="85"/>
        <v>46139</v>
      </c>
      <c r="M459" s="111"/>
      <c r="N459" s="112">
        <f>E459-6</f>
        <v>0</v>
      </c>
      <c r="O459" s="113">
        <f t="shared" si="94"/>
        <v>0</v>
      </c>
      <c r="P459" s="112">
        <f t="shared" si="88"/>
        <v>0</v>
      </c>
      <c r="Q459" s="109"/>
      <c r="R459" s="107"/>
      <c r="S459" s="107" t="s">
        <v>1064</v>
      </c>
      <c r="T459" s="114">
        <v>16</v>
      </c>
      <c r="U459" s="107" t="s">
        <v>1065</v>
      </c>
      <c r="V459" s="270"/>
      <c r="W459" s="270"/>
      <c r="X459" s="106" t="s">
        <v>55</v>
      </c>
      <c r="Y459" s="63">
        <f t="shared" si="78"/>
        <v>8.1749999999999989</v>
      </c>
      <c r="Z459" s="202"/>
      <c r="AB459" s="202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</row>
    <row r="460" spans="1:48" ht="15.75" customHeight="1">
      <c r="A460" s="106">
        <v>20260036</v>
      </c>
      <c r="B460" s="107" t="s">
        <v>990</v>
      </c>
      <c r="C460" s="108">
        <v>46052</v>
      </c>
      <c r="D460" s="108">
        <v>46071</v>
      </c>
      <c r="E460" s="106">
        <v>3</v>
      </c>
      <c r="F460" s="106">
        <v>0</v>
      </c>
      <c r="G460" s="106">
        <v>15</v>
      </c>
      <c r="H460" s="107" t="s">
        <v>1056</v>
      </c>
      <c r="I460" s="107" t="s">
        <v>24</v>
      </c>
      <c r="J460" s="107" t="s">
        <v>24</v>
      </c>
      <c r="K460" s="108">
        <f t="shared" si="84"/>
        <v>46079</v>
      </c>
      <c r="L460" s="108">
        <f t="shared" si="85"/>
        <v>46139</v>
      </c>
      <c r="M460" s="111"/>
      <c r="N460" s="112">
        <f>E460-3</f>
        <v>0</v>
      </c>
      <c r="O460" s="113">
        <f t="shared" si="94"/>
        <v>0</v>
      </c>
      <c r="P460" s="112">
        <f t="shared" si="88"/>
        <v>0</v>
      </c>
      <c r="Q460" s="109"/>
      <c r="R460" s="107"/>
      <c r="S460" s="107" t="s">
        <v>1064</v>
      </c>
      <c r="T460" s="114">
        <v>16</v>
      </c>
      <c r="U460" s="107"/>
      <c r="V460" s="270"/>
      <c r="W460" s="270"/>
      <c r="X460" s="106" t="s">
        <v>55</v>
      </c>
      <c r="Y460" s="63">
        <f t="shared" si="78"/>
        <v>0</v>
      </c>
      <c r="Z460" s="202"/>
      <c r="AB460" s="202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</row>
    <row r="461" spans="1:48" ht="15.75" customHeight="1">
      <c r="A461" s="63">
        <v>20260036</v>
      </c>
      <c r="B461" s="65" t="s">
        <v>990</v>
      </c>
      <c r="C461" s="66">
        <v>46052</v>
      </c>
      <c r="D461" s="66">
        <v>46071</v>
      </c>
      <c r="E461" s="63">
        <v>1</v>
      </c>
      <c r="F461" s="68">
        <v>0.2</v>
      </c>
      <c r="G461" s="69">
        <v>5</v>
      </c>
      <c r="H461" s="65" t="s">
        <v>1056</v>
      </c>
      <c r="I461" s="65" t="s">
        <v>24</v>
      </c>
      <c r="J461" s="65" t="s">
        <v>24</v>
      </c>
      <c r="K461" s="48">
        <f t="shared" si="84"/>
        <v>46079</v>
      </c>
      <c r="L461" s="48">
        <f t="shared" si="85"/>
        <v>46139</v>
      </c>
      <c r="M461" s="71"/>
      <c r="N461" s="72">
        <f>E461</f>
        <v>1</v>
      </c>
      <c r="O461" s="50">
        <f t="shared" si="94"/>
        <v>0.2</v>
      </c>
      <c r="P461" s="56">
        <f t="shared" si="88"/>
        <v>5</v>
      </c>
      <c r="S461" s="189" t="s">
        <v>1066</v>
      </c>
      <c r="T461" s="201">
        <v>17</v>
      </c>
      <c r="U461" s="65" t="s">
        <v>1067</v>
      </c>
      <c r="V461" s="202"/>
      <c r="W461" s="202"/>
      <c r="X461" s="62" t="s">
        <v>25</v>
      </c>
      <c r="Y461" s="63">
        <f t="shared" si="78"/>
        <v>0.2</v>
      </c>
      <c r="Z461" s="64">
        <f t="shared" ref="Z461:Z465" si="96">E461-N461</f>
        <v>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</row>
    <row r="462" spans="1:48" ht="15.75" customHeight="1">
      <c r="A462" s="63">
        <v>20260036</v>
      </c>
      <c r="B462" s="65" t="s">
        <v>990</v>
      </c>
      <c r="C462" s="66">
        <v>46052</v>
      </c>
      <c r="D462" s="66">
        <v>46071</v>
      </c>
      <c r="E462" s="63">
        <v>1</v>
      </c>
      <c r="F462" s="68">
        <v>35</v>
      </c>
      <c r="G462" s="69">
        <v>24</v>
      </c>
      <c r="H462" s="65" t="s">
        <v>1068</v>
      </c>
      <c r="I462" s="65" t="s">
        <v>194</v>
      </c>
      <c r="J462" s="65" t="s">
        <v>26</v>
      </c>
      <c r="K462" s="48">
        <f t="shared" si="84"/>
        <v>46079</v>
      </c>
      <c r="L462" s="48">
        <f t="shared" si="85"/>
        <v>46139</v>
      </c>
      <c r="M462" s="71"/>
      <c r="N462" s="72">
        <f>E462</f>
        <v>1</v>
      </c>
      <c r="O462" s="50">
        <f t="shared" si="94"/>
        <v>35</v>
      </c>
      <c r="P462" s="56">
        <f t="shared" si="88"/>
        <v>24</v>
      </c>
      <c r="S462" s="189" t="s">
        <v>1069</v>
      </c>
      <c r="T462" s="201">
        <v>18</v>
      </c>
      <c r="U462" s="65" t="s">
        <v>571</v>
      </c>
      <c r="V462" s="202"/>
      <c r="W462" s="202"/>
      <c r="X462" s="62" t="s">
        <v>25</v>
      </c>
      <c r="Y462" s="63">
        <f t="shared" si="78"/>
        <v>35</v>
      </c>
      <c r="Z462" s="64">
        <f t="shared" si="96"/>
        <v>0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</row>
    <row r="463" spans="1:48" ht="15.75" customHeight="1">
      <c r="A463" s="63">
        <v>20260036</v>
      </c>
      <c r="B463" s="65" t="s">
        <v>990</v>
      </c>
      <c r="C463" s="66">
        <v>46052</v>
      </c>
      <c r="D463" s="66">
        <v>46071</v>
      </c>
      <c r="E463" s="63">
        <v>3</v>
      </c>
      <c r="F463" s="68">
        <v>39.19</v>
      </c>
      <c r="G463" s="69">
        <v>72</v>
      </c>
      <c r="H463" s="65" t="s">
        <v>717</v>
      </c>
      <c r="I463" s="65" t="s">
        <v>42</v>
      </c>
      <c r="J463" s="65" t="s">
        <v>28</v>
      </c>
      <c r="K463" s="48">
        <f t="shared" si="84"/>
        <v>46079</v>
      </c>
      <c r="L463" s="48">
        <f t="shared" si="85"/>
        <v>46139</v>
      </c>
      <c r="M463" s="71"/>
      <c r="N463" s="72">
        <f>E463</f>
        <v>3</v>
      </c>
      <c r="O463" s="50">
        <f t="shared" si="94"/>
        <v>39.19</v>
      </c>
      <c r="P463" s="56">
        <f t="shared" si="88"/>
        <v>72</v>
      </c>
      <c r="S463" s="189" t="s">
        <v>1070</v>
      </c>
      <c r="T463" s="201">
        <v>20</v>
      </c>
      <c r="U463" s="65" t="s">
        <v>1071</v>
      </c>
      <c r="V463" s="202"/>
      <c r="W463" s="202"/>
      <c r="X463" s="62" t="s">
        <v>25</v>
      </c>
      <c r="Y463" s="63">
        <f t="shared" si="78"/>
        <v>13.063333333333333</v>
      </c>
      <c r="Z463" s="64">
        <f t="shared" si="96"/>
        <v>0</v>
      </c>
      <c r="AA463" s="64">
        <v>90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</row>
    <row r="464" spans="1:48" ht="15.75" customHeight="1">
      <c r="A464" s="63">
        <v>20260036</v>
      </c>
      <c r="B464" s="65" t="s">
        <v>990</v>
      </c>
      <c r="C464" s="66">
        <v>46052</v>
      </c>
      <c r="D464" s="66">
        <v>46071</v>
      </c>
      <c r="E464" s="63">
        <v>1</v>
      </c>
      <c r="F464" s="68">
        <v>12.33</v>
      </c>
      <c r="G464" s="69">
        <v>24</v>
      </c>
      <c r="H464" s="65" t="s">
        <v>1072</v>
      </c>
      <c r="I464" s="65" t="s">
        <v>42</v>
      </c>
      <c r="J464" s="65" t="s">
        <v>28</v>
      </c>
      <c r="K464" s="48">
        <f t="shared" si="84"/>
        <v>46079</v>
      </c>
      <c r="L464" s="48">
        <f t="shared" si="85"/>
        <v>46139</v>
      </c>
      <c r="M464" s="71"/>
      <c r="N464" s="72">
        <f>E464</f>
        <v>1</v>
      </c>
      <c r="O464" s="50">
        <f t="shared" si="94"/>
        <v>12.33</v>
      </c>
      <c r="P464" s="56">
        <f t="shared" si="88"/>
        <v>24</v>
      </c>
      <c r="S464" s="189" t="s">
        <v>1073</v>
      </c>
      <c r="T464" s="201">
        <v>21</v>
      </c>
      <c r="U464" s="65" t="s">
        <v>1074</v>
      </c>
      <c r="V464" s="202"/>
      <c r="W464" s="202"/>
      <c r="X464" s="62" t="s">
        <v>25</v>
      </c>
      <c r="Y464" s="63">
        <f t="shared" si="78"/>
        <v>12.33</v>
      </c>
      <c r="Z464" s="64">
        <f t="shared" si="96"/>
        <v>0</v>
      </c>
      <c r="AA464" s="64">
        <v>1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</row>
    <row r="465" spans="1:48" ht="15.75" customHeight="1">
      <c r="A465" s="106">
        <v>20260036</v>
      </c>
      <c r="B465" s="107" t="s">
        <v>990</v>
      </c>
      <c r="C465" s="108">
        <v>46052</v>
      </c>
      <c r="D465" s="108">
        <v>46071</v>
      </c>
      <c r="E465" s="106">
        <v>2</v>
      </c>
      <c r="F465" s="106">
        <v>25.66</v>
      </c>
      <c r="G465" s="106">
        <v>48</v>
      </c>
      <c r="H465" s="107" t="s">
        <v>1075</v>
      </c>
      <c r="I465" s="107" t="s">
        <v>42</v>
      </c>
      <c r="J465" s="107" t="s">
        <v>28</v>
      </c>
      <c r="K465" s="108">
        <f t="shared" si="84"/>
        <v>46079</v>
      </c>
      <c r="L465" s="108">
        <f t="shared" si="85"/>
        <v>46139</v>
      </c>
      <c r="M465" s="111"/>
      <c r="N465" s="112">
        <f>E465-2</f>
        <v>0</v>
      </c>
      <c r="O465" s="113">
        <f t="shared" si="94"/>
        <v>0</v>
      </c>
      <c r="P465" s="112">
        <f t="shared" si="88"/>
        <v>0</v>
      </c>
      <c r="Q465" s="109"/>
      <c r="R465" s="107"/>
      <c r="S465" s="107" t="s">
        <v>1076</v>
      </c>
      <c r="T465" s="114">
        <v>22</v>
      </c>
      <c r="U465" s="107" t="s">
        <v>1077</v>
      </c>
      <c r="V465" s="270"/>
      <c r="W465" s="270"/>
      <c r="X465" s="106" t="s">
        <v>55</v>
      </c>
      <c r="Y465" s="63">
        <f t="shared" si="78"/>
        <v>12.83</v>
      </c>
      <c r="Z465" s="64">
        <f t="shared" si="96"/>
        <v>2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</row>
    <row r="466" spans="1:48" ht="15.75" customHeight="1">
      <c r="A466" s="106">
        <v>20260036</v>
      </c>
      <c r="B466" s="107" t="s">
        <v>990</v>
      </c>
      <c r="C466" s="108">
        <v>46052</v>
      </c>
      <c r="D466" s="108">
        <v>46071</v>
      </c>
      <c r="E466" s="106">
        <v>2</v>
      </c>
      <c r="F466" s="106">
        <v>46.48</v>
      </c>
      <c r="G466" s="106">
        <v>48</v>
      </c>
      <c r="H466" s="107" t="s">
        <v>1078</v>
      </c>
      <c r="I466" s="107" t="s">
        <v>194</v>
      </c>
      <c r="J466" s="107" t="s">
        <v>26</v>
      </c>
      <c r="K466" s="108">
        <f t="shared" si="84"/>
        <v>46079</v>
      </c>
      <c r="L466" s="108">
        <f t="shared" si="85"/>
        <v>46139</v>
      </c>
      <c r="M466" s="111"/>
      <c r="N466" s="112">
        <f>E466-2</f>
        <v>0</v>
      </c>
      <c r="O466" s="113">
        <f t="shared" si="94"/>
        <v>0</v>
      </c>
      <c r="P466" s="112">
        <f t="shared" si="88"/>
        <v>0</v>
      </c>
      <c r="Q466" s="109"/>
      <c r="R466" s="107"/>
      <c r="S466" s="107" t="s">
        <v>1079</v>
      </c>
      <c r="T466" s="114">
        <v>24</v>
      </c>
      <c r="U466" s="107" t="s">
        <v>1080</v>
      </c>
      <c r="V466" s="270"/>
      <c r="W466" s="270"/>
      <c r="X466" s="106" t="s">
        <v>55</v>
      </c>
      <c r="Y466" s="63">
        <f t="shared" si="78"/>
        <v>23.24</v>
      </c>
      <c r="Z466" s="202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</row>
    <row r="467" spans="1:48" ht="15.75" customHeight="1">
      <c r="A467" s="63">
        <v>20260036</v>
      </c>
      <c r="B467" s="65" t="s">
        <v>990</v>
      </c>
      <c r="C467" s="66">
        <v>46052</v>
      </c>
      <c r="D467" s="66">
        <v>46071</v>
      </c>
      <c r="E467" s="63">
        <v>2</v>
      </c>
      <c r="F467" s="68">
        <v>0</v>
      </c>
      <c r="G467" s="69">
        <v>10</v>
      </c>
      <c r="H467" s="65" t="s">
        <v>1078</v>
      </c>
      <c r="I467" s="65" t="s">
        <v>24</v>
      </c>
      <c r="J467" s="65" t="s">
        <v>24</v>
      </c>
      <c r="K467" s="48">
        <f t="shared" si="84"/>
        <v>46079</v>
      </c>
      <c r="L467" s="48">
        <f t="shared" si="85"/>
        <v>46139</v>
      </c>
      <c r="M467" s="71"/>
      <c r="N467" s="72">
        <f>E467</f>
        <v>2</v>
      </c>
      <c r="O467" s="50">
        <f t="shared" si="94"/>
        <v>0</v>
      </c>
      <c r="P467" s="56">
        <f t="shared" si="88"/>
        <v>10</v>
      </c>
      <c r="S467" s="189" t="s">
        <v>1079</v>
      </c>
      <c r="T467" s="201">
        <v>24</v>
      </c>
      <c r="V467" s="202"/>
      <c r="W467" s="202"/>
      <c r="X467" s="62" t="s">
        <v>25</v>
      </c>
      <c r="Y467" s="63">
        <f t="shared" si="78"/>
        <v>0</v>
      </c>
      <c r="Z467" s="64">
        <f t="shared" ref="Z467" si="97">E467-N467</f>
        <v>0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</row>
    <row r="468" spans="1:48" ht="15.75" customHeight="1">
      <c r="A468" s="106">
        <v>20260036</v>
      </c>
      <c r="B468" s="107" t="s">
        <v>990</v>
      </c>
      <c r="C468" s="108">
        <v>46052</v>
      </c>
      <c r="D468" s="108">
        <v>46071</v>
      </c>
      <c r="E468" s="106">
        <v>1</v>
      </c>
      <c r="F468" s="106">
        <v>39.15</v>
      </c>
      <c r="G468" s="106">
        <v>24</v>
      </c>
      <c r="H468" s="107" t="s">
        <v>1078</v>
      </c>
      <c r="I468" s="107" t="s">
        <v>194</v>
      </c>
      <c r="J468" s="107" t="s">
        <v>26</v>
      </c>
      <c r="K468" s="108">
        <f t="shared" si="84"/>
        <v>46079</v>
      </c>
      <c r="L468" s="108">
        <f t="shared" si="85"/>
        <v>46139</v>
      </c>
      <c r="M468" s="111"/>
      <c r="N468" s="112">
        <f>E468-1</f>
        <v>0</v>
      </c>
      <c r="O468" s="113">
        <f t="shared" si="94"/>
        <v>0</v>
      </c>
      <c r="P468" s="112">
        <f t="shared" si="88"/>
        <v>0</v>
      </c>
      <c r="Q468" s="109"/>
      <c r="R468" s="107"/>
      <c r="S468" s="107" t="s">
        <v>1081</v>
      </c>
      <c r="T468" s="114">
        <v>25</v>
      </c>
      <c r="U468" s="107" t="s">
        <v>1082</v>
      </c>
      <c r="V468" s="270"/>
      <c r="W468" s="270"/>
      <c r="X468" s="106" t="s">
        <v>55</v>
      </c>
      <c r="Y468" s="63">
        <f t="shared" si="78"/>
        <v>39.15</v>
      </c>
      <c r="Z468" s="202"/>
      <c r="AB468" s="202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</row>
    <row r="469" spans="1:48" ht="15.75" customHeight="1">
      <c r="A469" s="106">
        <v>20260036</v>
      </c>
      <c r="B469" s="107" t="s">
        <v>990</v>
      </c>
      <c r="C469" s="108">
        <v>46052</v>
      </c>
      <c r="D469" s="108">
        <v>46071</v>
      </c>
      <c r="E469" s="106">
        <v>4</v>
      </c>
      <c r="F469" s="106">
        <v>0</v>
      </c>
      <c r="G469" s="106">
        <v>16</v>
      </c>
      <c r="H469" s="107" t="s">
        <v>1078</v>
      </c>
      <c r="I469" s="107" t="s">
        <v>24</v>
      </c>
      <c r="J469" s="107" t="s">
        <v>24</v>
      </c>
      <c r="K469" s="108">
        <f t="shared" si="84"/>
        <v>46079</v>
      </c>
      <c r="L469" s="108">
        <f t="shared" si="85"/>
        <v>46139</v>
      </c>
      <c r="M469" s="111"/>
      <c r="N469" s="112">
        <f>E469-4</f>
        <v>0</v>
      </c>
      <c r="O469" s="113">
        <f t="shared" si="94"/>
        <v>0</v>
      </c>
      <c r="P469" s="112">
        <f t="shared" si="88"/>
        <v>0</v>
      </c>
      <c r="Q469" s="109"/>
      <c r="R469" s="107"/>
      <c r="S469" s="107" t="s">
        <v>1081</v>
      </c>
      <c r="T469" s="114">
        <v>25</v>
      </c>
      <c r="U469" s="107"/>
      <c r="V469" s="270"/>
      <c r="W469" s="270"/>
      <c r="X469" s="106" t="s">
        <v>55</v>
      </c>
      <c r="Y469" s="63">
        <f t="shared" si="78"/>
        <v>0</v>
      </c>
      <c r="Z469" s="202"/>
      <c r="AB469" s="202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</row>
    <row r="470" spans="1:48" ht="15.75" customHeight="1">
      <c r="A470" s="63">
        <v>20260036</v>
      </c>
      <c r="B470" s="65" t="s">
        <v>990</v>
      </c>
      <c r="C470" s="66">
        <v>46052</v>
      </c>
      <c r="D470" s="66">
        <v>46071</v>
      </c>
      <c r="E470" s="63">
        <v>1</v>
      </c>
      <c r="F470" s="68">
        <v>23.8</v>
      </c>
      <c r="G470" s="69">
        <v>24</v>
      </c>
      <c r="H470" s="65" t="s">
        <v>1083</v>
      </c>
      <c r="I470" s="65" t="s">
        <v>194</v>
      </c>
      <c r="J470" s="65" t="s">
        <v>26</v>
      </c>
      <c r="K470" s="48">
        <f t="shared" si="84"/>
        <v>46079</v>
      </c>
      <c r="L470" s="48">
        <f t="shared" si="85"/>
        <v>46139</v>
      </c>
      <c r="M470" s="71"/>
      <c r="N470" s="72">
        <f>E470</f>
        <v>1</v>
      </c>
      <c r="O470" s="50">
        <f t="shared" si="94"/>
        <v>23.8</v>
      </c>
      <c r="P470" s="56">
        <f t="shared" si="88"/>
        <v>24</v>
      </c>
      <c r="S470" s="189" t="s">
        <v>1084</v>
      </c>
      <c r="T470" s="201">
        <v>26</v>
      </c>
      <c r="U470" s="65" t="s">
        <v>1085</v>
      </c>
      <c r="V470" s="202"/>
      <c r="W470" s="202"/>
      <c r="X470" s="62" t="s">
        <v>25</v>
      </c>
      <c r="Y470" s="63">
        <f t="shared" ref="Y470:Y533" si="98">F470/E470</f>
        <v>23.8</v>
      </c>
      <c r="Z470" s="64">
        <f t="shared" ref="Z470:Z473" si="99">E470-N470</f>
        <v>0</v>
      </c>
      <c r="AA470" s="64">
        <v>6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</row>
    <row r="471" spans="1:48" ht="15.75" customHeight="1">
      <c r="A471" s="63">
        <v>20260036</v>
      </c>
      <c r="B471" s="65" t="s">
        <v>990</v>
      </c>
      <c r="C471" s="66">
        <v>46052</v>
      </c>
      <c r="D471" s="66">
        <v>46071</v>
      </c>
      <c r="E471" s="63">
        <v>1</v>
      </c>
      <c r="F471" s="68">
        <v>0</v>
      </c>
      <c r="G471" s="69">
        <v>5</v>
      </c>
      <c r="H471" s="65" t="s">
        <v>1083</v>
      </c>
      <c r="I471" s="65" t="s">
        <v>24</v>
      </c>
      <c r="J471" s="65" t="s">
        <v>24</v>
      </c>
      <c r="K471" s="48">
        <f t="shared" si="84"/>
        <v>46079</v>
      </c>
      <c r="L471" s="48">
        <f t="shared" si="85"/>
        <v>46139</v>
      </c>
      <c r="M471" s="71"/>
      <c r="N471" s="72">
        <f>E471</f>
        <v>1</v>
      </c>
      <c r="O471" s="50">
        <f t="shared" si="94"/>
        <v>0</v>
      </c>
      <c r="P471" s="56">
        <f t="shared" si="88"/>
        <v>5</v>
      </c>
      <c r="S471" s="189" t="s">
        <v>1084</v>
      </c>
      <c r="T471" s="201">
        <v>26</v>
      </c>
      <c r="V471" s="202"/>
      <c r="W471" s="202"/>
      <c r="X471" s="62" t="s">
        <v>25</v>
      </c>
      <c r="Y471" s="63">
        <f t="shared" si="98"/>
        <v>0</v>
      </c>
      <c r="Z471" s="64">
        <f t="shared" si="99"/>
        <v>0</v>
      </c>
      <c r="AA471" s="64">
        <v>2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</row>
    <row r="472" spans="1:48" ht="15.75" customHeight="1">
      <c r="A472" s="63">
        <v>20260036</v>
      </c>
      <c r="B472" s="65" t="s">
        <v>990</v>
      </c>
      <c r="C472" s="66">
        <v>46052</v>
      </c>
      <c r="D472" s="66">
        <v>46071</v>
      </c>
      <c r="E472" s="63">
        <v>4</v>
      </c>
      <c r="F472" s="68">
        <v>159.58000000000001</v>
      </c>
      <c r="G472" s="69">
        <v>20</v>
      </c>
      <c r="H472" s="65" t="s">
        <v>1086</v>
      </c>
      <c r="I472" s="65" t="s">
        <v>24</v>
      </c>
      <c r="J472" s="65" t="s">
        <v>24</v>
      </c>
      <c r="K472" s="48">
        <f t="shared" si="84"/>
        <v>46079</v>
      </c>
      <c r="L472" s="48">
        <f t="shared" si="85"/>
        <v>46139</v>
      </c>
      <c r="M472" s="71"/>
      <c r="N472" s="72">
        <f>E472</f>
        <v>4</v>
      </c>
      <c r="O472" s="50">
        <f t="shared" si="94"/>
        <v>159.58000000000001</v>
      </c>
      <c r="P472" s="56">
        <f t="shared" si="88"/>
        <v>20</v>
      </c>
      <c r="S472" s="189" t="s">
        <v>1087</v>
      </c>
      <c r="T472" s="201">
        <v>27</v>
      </c>
      <c r="U472" s="65" t="s">
        <v>1088</v>
      </c>
      <c r="V472" s="202"/>
      <c r="W472" s="202"/>
      <c r="X472" s="62" t="s">
        <v>25</v>
      </c>
      <c r="Y472" s="63">
        <f t="shared" si="98"/>
        <v>39.895000000000003</v>
      </c>
      <c r="Z472" s="64">
        <f t="shared" si="99"/>
        <v>0</v>
      </c>
      <c r="AA472" s="64">
        <v>5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</row>
    <row r="473" spans="1:48" ht="15.75" customHeight="1">
      <c r="A473" s="63">
        <v>20260036</v>
      </c>
      <c r="B473" s="65" t="s">
        <v>990</v>
      </c>
      <c r="C473" s="66">
        <v>46052</v>
      </c>
      <c r="D473" s="66">
        <v>46071</v>
      </c>
      <c r="E473" s="63">
        <v>1</v>
      </c>
      <c r="F473" s="68">
        <v>4.3</v>
      </c>
      <c r="G473" s="69">
        <v>24</v>
      </c>
      <c r="H473" s="65" t="s">
        <v>1089</v>
      </c>
      <c r="I473" s="65" t="s">
        <v>42</v>
      </c>
      <c r="J473" s="65" t="s">
        <v>28</v>
      </c>
      <c r="K473" s="48">
        <f t="shared" si="84"/>
        <v>46079</v>
      </c>
      <c r="L473" s="48">
        <f t="shared" si="85"/>
        <v>46139</v>
      </c>
      <c r="M473" s="71"/>
      <c r="N473" s="72">
        <f>E473</f>
        <v>1</v>
      </c>
      <c r="O473" s="50">
        <f t="shared" si="94"/>
        <v>4.3</v>
      </c>
      <c r="P473" s="56">
        <f t="shared" si="88"/>
        <v>24</v>
      </c>
      <c r="S473" s="189" t="s">
        <v>1090</v>
      </c>
      <c r="T473" s="201">
        <v>28</v>
      </c>
      <c r="U473" s="65" t="s">
        <v>1091</v>
      </c>
      <c r="V473" s="202"/>
      <c r="W473" s="202"/>
      <c r="X473" s="62" t="s">
        <v>25</v>
      </c>
      <c r="Y473" s="63">
        <f t="shared" si="98"/>
        <v>4.3</v>
      </c>
      <c r="Z473" s="64">
        <f t="shared" si="99"/>
        <v>0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</row>
    <row r="474" spans="1:48" ht="15.75" customHeight="1">
      <c r="A474" s="106">
        <v>20260036</v>
      </c>
      <c r="B474" s="107" t="s">
        <v>990</v>
      </c>
      <c r="C474" s="108">
        <v>46052</v>
      </c>
      <c r="D474" s="108">
        <v>46071</v>
      </c>
      <c r="E474" s="106">
        <v>2</v>
      </c>
      <c r="F474" s="106">
        <v>88.302999999999997</v>
      </c>
      <c r="G474" s="106">
        <v>48</v>
      </c>
      <c r="H474" s="107" t="s">
        <v>1092</v>
      </c>
      <c r="I474" s="107" t="s">
        <v>194</v>
      </c>
      <c r="J474" s="107" t="s">
        <v>26</v>
      </c>
      <c r="K474" s="108">
        <f t="shared" si="84"/>
        <v>46079</v>
      </c>
      <c r="L474" s="108">
        <f t="shared" si="85"/>
        <v>46139</v>
      </c>
      <c r="M474" s="111"/>
      <c r="N474" s="112">
        <f>E474-2</f>
        <v>0</v>
      </c>
      <c r="O474" s="113">
        <f t="shared" si="94"/>
        <v>0</v>
      </c>
      <c r="P474" s="112">
        <f t="shared" si="88"/>
        <v>0</v>
      </c>
      <c r="Q474" s="109"/>
      <c r="R474" s="107"/>
      <c r="S474" s="107" t="s">
        <v>1093</v>
      </c>
      <c r="T474" s="114">
        <v>30</v>
      </c>
      <c r="U474" s="107" t="s">
        <v>1094</v>
      </c>
      <c r="V474" s="270"/>
      <c r="W474" s="270"/>
      <c r="X474" s="106" t="s">
        <v>55</v>
      </c>
      <c r="Y474" s="63">
        <f t="shared" si="98"/>
        <v>44.151499999999999</v>
      </c>
      <c r="Z474" s="202"/>
      <c r="AB474" s="202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</row>
    <row r="475" spans="1:48" ht="15.75" customHeight="1">
      <c r="A475" s="106">
        <v>20260036</v>
      </c>
      <c r="B475" s="107" t="s">
        <v>990</v>
      </c>
      <c r="C475" s="108">
        <v>46052</v>
      </c>
      <c r="D475" s="108">
        <v>46071</v>
      </c>
      <c r="E475" s="106">
        <v>12</v>
      </c>
      <c r="F475" s="106">
        <v>0</v>
      </c>
      <c r="G475" s="106">
        <v>40</v>
      </c>
      <c r="H475" s="107" t="s">
        <v>1092</v>
      </c>
      <c r="I475" s="107" t="s">
        <v>24</v>
      </c>
      <c r="J475" s="107" t="s">
        <v>24</v>
      </c>
      <c r="K475" s="108">
        <f t="shared" si="84"/>
        <v>46079</v>
      </c>
      <c r="L475" s="108">
        <f t="shared" si="85"/>
        <v>46139</v>
      </c>
      <c r="M475" s="111"/>
      <c r="N475" s="112">
        <f>E475-9-3</f>
        <v>0</v>
      </c>
      <c r="O475" s="113">
        <f t="shared" si="94"/>
        <v>0</v>
      </c>
      <c r="P475" s="112">
        <f t="shared" si="88"/>
        <v>0</v>
      </c>
      <c r="Q475" s="109"/>
      <c r="R475" s="107"/>
      <c r="S475" s="107" t="s">
        <v>1093</v>
      </c>
      <c r="T475" s="114">
        <v>30</v>
      </c>
      <c r="U475" s="107"/>
      <c r="V475" s="270"/>
      <c r="W475" s="270"/>
      <c r="X475" s="106" t="s">
        <v>55</v>
      </c>
      <c r="Y475" s="63">
        <f t="shared" si="98"/>
        <v>0</v>
      </c>
      <c r="Z475" s="202"/>
      <c r="AB475" s="202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</row>
    <row r="476" spans="1:48" ht="15.75" customHeight="1">
      <c r="A476" s="63">
        <v>20260036</v>
      </c>
      <c r="B476" s="65" t="s">
        <v>990</v>
      </c>
      <c r="C476" s="66">
        <v>46052</v>
      </c>
      <c r="D476" s="66">
        <v>46071</v>
      </c>
      <c r="E476" s="63">
        <v>1</v>
      </c>
      <c r="F476" s="68">
        <v>25.873000000000001</v>
      </c>
      <c r="G476" s="69">
        <v>24</v>
      </c>
      <c r="H476" s="65" t="s">
        <v>1095</v>
      </c>
      <c r="I476" s="65" t="s">
        <v>194</v>
      </c>
      <c r="J476" s="65" t="s">
        <v>26</v>
      </c>
      <c r="K476" s="48">
        <f t="shared" si="84"/>
        <v>46079</v>
      </c>
      <c r="L476" s="48">
        <f t="shared" si="85"/>
        <v>46139</v>
      </c>
      <c r="M476" s="71"/>
      <c r="N476" s="72">
        <f>E476</f>
        <v>1</v>
      </c>
      <c r="O476" s="50">
        <f t="shared" si="94"/>
        <v>25.873000000000001</v>
      </c>
      <c r="P476" s="56">
        <f t="shared" si="88"/>
        <v>24</v>
      </c>
      <c r="S476" s="189" t="s">
        <v>1096</v>
      </c>
      <c r="T476" s="201">
        <v>32</v>
      </c>
      <c r="U476" s="65" t="s">
        <v>1097</v>
      </c>
      <c r="V476" s="202"/>
      <c r="W476" s="202"/>
      <c r="X476" s="62" t="s">
        <v>25</v>
      </c>
      <c r="Y476" s="63">
        <f t="shared" si="98"/>
        <v>25.873000000000001</v>
      </c>
      <c r="Z476" s="64">
        <f t="shared" ref="Z476" si="100">E476-N476</f>
        <v>0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</row>
    <row r="477" spans="1:48" ht="15.75" customHeight="1">
      <c r="A477" s="106">
        <v>20260036</v>
      </c>
      <c r="B477" s="107" t="s">
        <v>990</v>
      </c>
      <c r="C477" s="108">
        <v>46052</v>
      </c>
      <c r="D477" s="108">
        <v>46071</v>
      </c>
      <c r="E477" s="106">
        <v>1</v>
      </c>
      <c r="F477" s="106">
        <v>0</v>
      </c>
      <c r="G477" s="106">
        <v>5</v>
      </c>
      <c r="H477" s="107" t="s">
        <v>1095</v>
      </c>
      <c r="I477" s="107" t="s">
        <v>24</v>
      </c>
      <c r="J477" s="107" t="s">
        <v>24</v>
      </c>
      <c r="K477" s="108">
        <f t="shared" si="84"/>
        <v>46079</v>
      </c>
      <c r="L477" s="108">
        <f t="shared" si="85"/>
        <v>46139</v>
      </c>
      <c r="M477" s="111"/>
      <c r="N477" s="112">
        <f>E477-1</f>
        <v>0</v>
      </c>
      <c r="O477" s="113">
        <f t="shared" si="94"/>
        <v>0</v>
      </c>
      <c r="P477" s="112">
        <f t="shared" si="88"/>
        <v>0</v>
      </c>
      <c r="Q477" s="109"/>
      <c r="R477" s="107"/>
      <c r="S477" s="107" t="s">
        <v>1096</v>
      </c>
      <c r="T477" s="114">
        <v>32</v>
      </c>
      <c r="U477" s="107"/>
      <c r="V477" s="270"/>
      <c r="W477" s="270"/>
      <c r="X477" s="106" t="s">
        <v>55</v>
      </c>
      <c r="Y477" s="63">
        <f t="shared" si="98"/>
        <v>0</v>
      </c>
      <c r="Z477" s="202"/>
      <c r="AA477" s="64">
        <v>1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</row>
    <row r="478" spans="1:48" ht="15.75" customHeight="1">
      <c r="A478" s="63">
        <v>20260036</v>
      </c>
      <c r="B478" s="65" t="s">
        <v>990</v>
      </c>
      <c r="C478" s="66">
        <v>46052</v>
      </c>
      <c r="D478" s="66">
        <v>46071</v>
      </c>
      <c r="E478" s="63">
        <v>1</v>
      </c>
      <c r="F478" s="68">
        <v>293.63499999999999</v>
      </c>
      <c r="G478" s="69">
        <v>60</v>
      </c>
      <c r="H478" s="65" t="s">
        <v>1098</v>
      </c>
      <c r="I478" s="65" t="s">
        <v>138</v>
      </c>
      <c r="J478" s="65" t="s">
        <v>26</v>
      </c>
      <c r="K478" s="48">
        <f t="shared" si="84"/>
        <v>46079</v>
      </c>
      <c r="L478" s="48">
        <f t="shared" si="85"/>
        <v>46139</v>
      </c>
      <c r="M478" s="71"/>
      <c r="N478" s="72">
        <f>E478</f>
        <v>1</v>
      </c>
      <c r="O478" s="50">
        <f t="shared" si="94"/>
        <v>293.63499999999999</v>
      </c>
      <c r="P478" s="56">
        <f t="shared" si="88"/>
        <v>60</v>
      </c>
      <c r="S478" s="189" t="s">
        <v>1099</v>
      </c>
      <c r="T478" s="201">
        <v>33</v>
      </c>
      <c r="U478" s="65" t="s">
        <v>1100</v>
      </c>
      <c r="V478" s="202"/>
      <c r="W478" s="202"/>
      <c r="X478" s="62" t="s">
        <v>25</v>
      </c>
      <c r="Y478" s="63">
        <f t="shared" si="98"/>
        <v>293.63499999999999</v>
      </c>
      <c r="Z478" s="64">
        <f t="shared" ref="Z478" si="101">E478-N478</f>
        <v>0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</row>
    <row r="479" spans="1:48" ht="15.75" customHeight="1">
      <c r="A479" s="106">
        <v>20260036</v>
      </c>
      <c r="B479" s="107" t="s">
        <v>990</v>
      </c>
      <c r="C479" s="108">
        <v>46052</v>
      </c>
      <c r="D479" s="108">
        <v>46071</v>
      </c>
      <c r="E479" s="106">
        <v>30</v>
      </c>
      <c r="F479" s="106">
        <v>0</v>
      </c>
      <c r="G479" s="106">
        <v>150</v>
      </c>
      <c r="H479" s="107" t="s">
        <v>1098</v>
      </c>
      <c r="I479" s="107" t="s">
        <v>24</v>
      </c>
      <c r="J479" s="107" t="s">
        <v>24</v>
      </c>
      <c r="K479" s="108">
        <f t="shared" si="84"/>
        <v>46079</v>
      </c>
      <c r="L479" s="108">
        <f t="shared" si="85"/>
        <v>46139</v>
      </c>
      <c r="M479" s="111"/>
      <c r="N479" s="112">
        <f>E479-1-16-6-6-1</f>
        <v>0</v>
      </c>
      <c r="O479" s="113">
        <f t="shared" si="94"/>
        <v>0</v>
      </c>
      <c r="P479" s="112">
        <f t="shared" si="88"/>
        <v>0</v>
      </c>
      <c r="Q479" s="109"/>
      <c r="R479" s="107"/>
      <c r="S479" s="107" t="s">
        <v>1099</v>
      </c>
      <c r="T479" s="114">
        <v>33</v>
      </c>
      <c r="U479" s="107"/>
      <c r="V479" s="270"/>
      <c r="W479" s="270"/>
      <c r="X479" s="106" t="s">
        <v>55</v>
      </c>
      <c r="Y479" s="63">
        <f t="shared" si="98"/>
        <v>0</v>
      </c>
      <c r="Z479" s="202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</row>
    <row r="480" spans="1:48" ht="15.75" customHeight="1">
      <c r="A480" s="106">
        <v>20260036</v>
      </c>
      <c r="B480" s="107" t="s">
        <v>990</v>
      </c>
      <c r="C480" s="108">
        <v>46052</v>
      </c>
      <c r="D480" s="108">
        <v>46071</v>
      </c>
      <c r="E480" s="106">
        <v>1</v>
      </c>
      <c r="F480" s="106">
        <v>77.59</v>
      </c>
      <c r="G480" s="106">
        <v>60</v>
      </c>
      <c r="H480" s="107" t="s">
        <v>816</v>
      </c>
      <c r="I480" s="107" t="s">
        <v>138</v>
      </c>
      <c r="J480" s="107" t="s">
        <v>26</v>
      </c>
      <c r="K480" s="108">
        <f t="shared" si="84"/>
        <v>46079</v>
      </c>
      <c r="L480" s="108">
        <f t="shared" si="85"/>
        <v>46139</v>
      </c>
      <c r="M480" s="111"/>
      <c r="N480" s="112">
        <f>E480-1</f>
        <v>0</v>
      </c>
      <c r="O480" s="113">
        <f t="shared" si="94"/>
        <v>0</v>
      </c>
      <c r="P480" s="112">
        <f t="shared" si="88"/>
        <v>0</v>
      </c>
      <c r="Q480" s="109"/>
      <c r="R480" s="107"/>
      <c r="S480" s="107" t="s">
        <v>1101</v>
      </c>
      <c r="T480" s="114">
        <v>34</v>
      </c>
      <c r="U480" s="107" t="s">
        <v>1102</v>
      </c>
      <c r="V480" s="270"/>
      <c r="W480" s="270"/>
      <c r="X480" s="106" t="s">
        <v>55</v>
      </c>
      <c r="Y480" s="63">
        <f t="shared" si="98"/>
        <v>77.59</v>
      </c>
      <c r="Z480" s="202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</row>
    <row r="481" spans="1:48" ht="15.75" customHeight="1">
      <c r="A481" s="106">
        <v>20260036</v>
      </c>
      <c r="B481" s="107" t="s">
        <v>990</v>
      </c>
      <c r="C481" s="108">
        <v>46052</v>
      </c>
      <c r="D481" s="108">
        <v>46071</v>
      </c>
      <c r="E481" s="106">
        <v>10</v>
      </c>
      <c r="F481" s="106">
        <v>0</v>
      </c>
      <c r="G481" s="106">
        <v>40</v>
      </c>
      <c r="H481" s="107" t="s">
        <v>816</v>
      </c>
      <c r="I481" s="107" t="s">
        <v>24</v>
      </c>
      <c r="J481" s="107" t="s">
        <v>24</v>
      </c>
      <c r="K481" s="108">
        <f t="shared" si="84"/>
        <v>46079</v>
      </c>
      <c r="L481" s="108">
        <f t="shared" si="85"/>
        <v>46139</v>
      </c>
      <c r="M481" s="111"/>
      <c r="N481" s="112">
        <f>E481-10</f>
        <v>0</v>
      </c>
      <c r="O481" s="113">
        <f t="shared" si="94"/>
        <v>0</v>
      </c>
      <c r="P481" s="112">
        <f t="shared" si="88"/>
        <v>0</v>
      </c>
      <c r="Q481" s="109"/>
      <c r="R481" s="107"/>
      <c r="S481" s="107" t="s">
        <v>1101</v>
      </c>
      <c r="T481" s="114">
        <v>34</v>
      </c>
      <c r="U481" s="107"/>
      <c r="V481" s="270"/>
      <c r="W481" s="270"/>
      <c r="X481" s="106" t="s">
        <v>55</v>
      </c>
      <c r="Y481" s="63">
        <f t="shared" si="98"/>
        <v>0</v>
      </c>
      <c r="Z481" s="202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</row>
    <row r="482" spans="1:48" ht="15.75" customHeight="1">
      <c r="A482" s="106">
        <v>20260036</v>
      </c>
      <c r="B482" s="107" t="s">
        <v>990</v>
      </c>
      <c r="C482" s="108">
        <v>46052</v>
      </c>
      <c r="D482" s="108">
        <v>46071</v>
      </c>
      <c r="E482" s="106">
        <v>3</v>
      </c>
      <c r="F482" s="106">
        <v>80.316923076923104</v>
      </c>
      <c r="G482" s="106">
        <v>72</v>
      </c>
      <c r="H482" s="107" t="s">
        <v>844</v>
      </c>
      <c r="I482" s="107" t="s">
        <v>276</v>
      </c>
      <c r="J482" s="107" t="s">
        <v>26</v>
      </c>
      <c r="K482" s="108">
        <f t="shared" si="84"/>
        <v>46079</v>
      </c>
      <c r="L482" s="108">
        <f t="shared" si="85"/>
        <v>46139</v>
      </c>
      <c r="M482" s="111"/>
      <c r="N482" s="112">
        <f>E482-3</f>
        <v>0</v>
      </c>
      <c r="O482" s="113">
        <f t="shared" si="94"/>
        <v>0</v>
      </c>
      <c r="P482" s="112">
        <f t="shared" si="88"/>
        <v>0</v>
      </c>
      <c r="Q482" s="109"/>
      <c r="R482" s="107"/>
      <c r="S482" s="107" t="s">
        <v>1103</v>
      </c>
      <c r="T482" s="114">
        <v>38</v>
      </c>
      <c r="U482" s="107" t="s">
        <v>1104</v>
      </c>
      <c r="V482" s="270"/>
      <c r="W482" s="270"/>
      <c r="X482" s="106" t="s">
        <v>55</v>
      </c>
      <c r="Y482" s="63">
        <f t="shared" si="98"/>
        <v>26.772307692307702</v>
      </c>
      <c r="Z482" s="202"/>
      <c r="AB482" s="20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</row>
    <row r="483" spans="1:48" ht="15.75" customHeight="1">
      <c r="A483" s="63">
        <v>20260036</v>
      </c>
      <c r="B483" s="65" t="s">
        <v>990</v>
      </c>
      <c r="C483" s="66">
        <v>46052</v>
      </c>
      <c r="D483" s="66">
        <v>46071</v>
      </c>
      <c r="E483" s="63">
        <v>3</v>
      </c>
      <c r="F483" s="68">
        <v>80.316923076923104</v>
      </c>
      <c r="G483" s="69">
        <v>72</v>
      </c>
      <c r="H483" s="65" t="s">
        <v>781</v>
      </c>
      <c r="I483" s="65" t="s">
        <v>208</v>
      </c>
      <c r="J483" s="65" t="s">
        <v>26</v>
      </c>
      <c r="K483" s="48">
        <f t="shared" si="84"/>
        <v>46079</v>
      </c>
      <c r="L483" s="48">
        <f t="shared" si="85"/>
        <v>46139</v>
      </c>
      <c r="M483" s="71"/>
      <c r="N483" s="72">
        <f>E483</f>
        <v>3</v>
      </c>
      <c r="O483" s="50">
        <f t="shared" si="94"/>
        <v>80.316923076923104</v>
      </c>
      <c r="P483" s="56">
        <f t="shared" si="88"/>
        <v>72</v>
      </c>
      <c r="S483" s="189" t="s">
        <v>1105</v>
      </c>
      <c r="T483" s="201">
        <v>39</v>
      </c>
      <c r="U483" s="65" t="s">
        <v>1106</v>
      </c>
      <c r="V483" s="202"/>
      <c r="W483" s="202"/>
      <c r="X483" s="62" t="s">
        <v>25</v>
      </c>
      <c r="Y483" s="63">
        <f t="shared" si="98"/>
        <v>26.772307692307702</v>
      </c>
      <c r="Z483" s="64">
        <f t="shared" ref="Z483:Z486" si="102">E483-N483</f>
        <v>0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</row>
    <row r="484" spans="1:48" ht="15.75" customHeight="1">
      <c r="A484" s="63">
        <v>20260036</v>
      </c>
      <c r="B484" s="65" t="s">
        <v>990</v>
      </c>
      <c r="C484" s="66">
        <v>46052</v>
      </c>
      <c r="D484" s="66">
        <v>46071</v>
      </c>
      <c r="E484" s="63">
        <v>3</v>
      </c>
      <c r="F484" s="68">
        <v>80.316923076923104</v>
      </c>
      <c r="G484" s="69">
        <v>72</v>
      </c>
      <c r="H484" s="65" t="s">
        <v>781</v>
      </c>
      <c r="I484" s="65" t="s">
        <v>276</v>
      </c>
      <c r="J484" s="65" t="s">
        <v>26</v>
      </c>
      <c r="K484" s="48">
        <f t="shared" si="84"/>
        <v>46079</v>
      </c>
      <c r="L484" s="48">
        <f t="shared" si="85"/>
        <v>46139</v>
      </c>
      <c r="M484" s="71"/>
      <c r="N484" s="72">
        <f>E484</f>
        <v>3</v>
      </c>
      <c r="O484" s="50">
        <f t="shared" si="94"/>
        <v>80.316923076923104</v>
      </c>
      <c r="P484" s="56">
        <f t="shared" si="88"/>
        <v>72</v>
      </c>
      <c r="S484" s="189" t="s">
        <v>1105</v>
      </c>
      <c r="T484" s="201">
        <v>39</v>
      </c>
      <c r="V484" s="202"/>
      <c r="W484" s="202"/>
      <c r="X484" s="62" t="s">
        <v>25</v>
      </c>
      <c r="Y484" s="63">
        <f t="shared" si="98"/>
        <v>26.772307692307702</v>
      </c>
      <c r="Z484" s="64">
        <f t="shared" si="102"/>
        <v>0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</row>
    <row r="485" spans="1:48" ht="15.75" customHeight="1">
      <c r="A485" s="63">
        <v>20260036</v>
      </c>
      <c r="B485" s="65" t="s">
        <v>990</v>
      </c>
      <c r="C485" s="66">
        <v>46052</v>
      </c>
      <c r="D485" s="66">
        <v>46071</v>
      </c>
      <c r="E485" s="63">
        <v>5</v>
      </c>
      <c r="F485" s="68">
        <v>133.861538461538</v>
      </c>
      <c r="G485" s="69">
        <v>180</v>
      </c>
      <c r="H485" s="65" t="s">
        <v>781</v>
      </c>
      <c r="I485" s="65" t="s">
        <v>138</v>
      </c>
      <c r="J485" s="65" t="s">
        <v>26</v>
      </c>
      <c r="K485" s="48">
        <f t="shared" si="84"/>
        <v>46079</v>
      </c>
      <c r="L485" s="48">
        <f t="shared" si="85"/>
        <v>46139</v>
      </c>
      <c r="M485" s="71"/>
      <c r="N485" s="72">
        <f>E485</f>
        <v>5</v>
      </c>
      <c r="O485" s="50">
        <f t="shared" si="94"/>
        <v>133.861538461538</v>
      </c>
      <c r="P485" s="56">
        <f t="shared" si="88"/>
        <v>180</v>
      </c>
      <c r="S485" s="189" t="s">
        <v>1105</v>
      </c>
      <c r="T485" s="201">
        <v>39</v>
      </c>
      <c r="V485" s="202"/>
      <c r="W485" s="202"/>
      <c r="X485" s="62" t="s">
        <v>25</v>
      </c>
      <c r="Y485" s="63">
        <f t="shared" si="98"/>
        <v>26.772307692307599</v>
      </c>
      <c r="Z485" s="64">
        <f t="shared" si="102"/>
        <v>0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</row>
    <row r="486" spans="1:48" ht="15.75" customHeight="1">
      <c r="A486" s="63">
        <v>20260036</v>
      </c>
      <c r="B486" s="65" t="s">
        <v>990</v>
      </c>
      <c r="C486" s="66">
        <v>46052</v>
      </c>
      <c r="D486" s="66">
        <v>46071</v>
      </c>
      <c r="E486" s="63">
        <v>2</v>
      </c>
      <c r="F486" s="68">
        <v>53.544615384615398</v>
      </c>
      <c r="G486" s="69">
        <v>48</v>
      </c>
      <c r="H486" s="65" t="s">
        <v>781</v>
      </c>
      <c r="I486" s="65" t="s">
        <v>42</v>
      </c>
      <c r="J486" s="65" t="s">
        <v>28</v>
      </c>
      <c r="K486" s="48">
        <f t="shared" si="84"/>
        <v>46079</v>
      </c>
      <c r="L486" s="48">
        <f t="shared" si="85"/>
        <v>46139</v>
      </c>
      <c r="M486" s="71"/>
      <c r="N486" s="72">
        <f>E486</f>
        <v>2</v>
      </c>
      <c r="O486" s="50">
        <f t="shared" si="94"/>
        <v>53.544615384615398</v>
      </c>
      <c r="P486" s="56">
        <f t="shared" si="88"/>
        <v>48</v>
      </c>
      <c r="S486" s="189" t="s">
        <v>1105</v>
      </c>
      <c r="T486" s="201">
        <v>39</v>
      </c>
      <c r="V486" s="202"/>
      <c r="W486" s="202"/>
      <c r="X486" s="62" t="s">
        <v>25</v>
      </c>
      <c r="Y486" s="63">
        <f t="shared" si="98"/>
        <v>26.772307692307699</v>
      </c>
      <c r="Z486" s="64">
        <f t="shared" si="102"/>
        <v>0</v>
      </c>
      <c r="AA486" s="64">
        <v>2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</row>
    <row r="487" spans="1:48" ht="15.75" customHeight="1">
      <c r="A487" s="106">
        <v>20260036</v>
      </c>
      <c r="B487" s="107" t="s">
        <v>990</v>
      </c>
      <c r="C487" s="108">
        <v>46052</v>
      </c>
      <c r="D487" s="108">
        <v>46071</v>
      </c>
      <c r="E487" s="106">
        <v>17</v>
      </c>
      <c r="F487" s="106">
        <v>2.0649999999999999</v>
      </c>
      <c r="G487" s="106">
        <v>50</v>
      </c>
      <c r="H487" s="107" t="s">
        <v>781</v>
      </c>
      <c r="I487" s="107" t="s">
        <v>24</v>
      </c>
      <c r="J487" s="107" t="s">
        <v>24</v>
      </c>
      <c r="K487" s="108">
        <f t="shared" si="84"/>
        <v>46079</v>
      </c>
      <c r="L487" s="108">
        <f t="shared" si="85"/>
        <v>46139</v>
      </c>
      <c r="M487" s="111"/>
      <c r="N487" s="112">
        <f>E487-17</f>
        <v>0</v>
      </c>
      <c r="O487" s="113">
        <f t="shared" si="94"/>
        <v>0</v>
      </c>
      <c r="P487" s="112">
        <f t="shared" si="88"/>
        <v>0</v>
      </c>
      <c r="Q487" s="109"/>
      <c r="R487" s="107"/>
      <c r="S487" s="107" t="s">
        <v>1107</v>
      </c>
      <c r="T487" s="114">
        <v>40</v>
      </c>
      <c r="U487" s="107" t="s">
        <v>1108</v>
      </c>
      <c r="V487" s="270"/>
      <c r="W487" s="270"/>
      <c r="X487" s="106" t="s">
        <v>55</v>
      </c>
      <c r="Y487" s="63">
        <f t="shared" si="98"/>
        <v>0.12147058823529411</v>
      </c>
      <c r="Z487" s="202"/>
      <c r="AA487" s="64">
        <v>2</v>
      </c>
      <c r="AB487" s="202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</row>
    <row r="488" spans="1:48" ht="15.75" customHeight="1">
      <c r="A488" s="63">
        <v>20260036</v>
      </c>
      <c r="B488" s="65" t="s">
        <v>990</v>
      </c>
      <c r="C488" s="66">
        <v>46052</v>
      </c>
      <c r="D488" s="66">
        <v>46071</v>
      </c>
      <c r="E488" s="63">
        <v>6</v>
      </c>
      <c r="F488" s="68">
        <v>73.62</v>
      </c>
      <c r="G488" s="69">
        <v>144</v>
      </c>
      <c r="H488" s="65" t="s">
        <v>1109</v>
      </c>
      <c r="I488" s="65" t="s">
        <v>42</v>
      </c>
      <c r="J488" s="65" t="s">
        <v>28</v>
      </c>
      <c r="K488" s="48">
        <f t="shared" si="84"/>
        <v>46079</v>
      </c>
      <c r="L488" s="48">
        <f t="shared" si="85"/>
        <v>46139</v>
      </c>
      <c r="M488" s="71"/>
      <c r="N488" s="72">
        <f>E488</f>
        <v>6</v>
      </c>
      <c r="O488" s="50">
        <f t="shared" si="94"/>
        <v>73.62</v>
      </c>
      <c r="P488" s="56">
        <f t="shared" si="88"/>
        <v>144</v>
      </c>
      <c r="S488" s="189" t="s">
        <v>1110</v>
      </c>
      <c r="T488" s="201">
        <v>44</v>
      </c>
      <c r="U488" s="65" t="s">
        <v>1111</v>
      </c>
      <c r="V488" s="202"/>
      <c r="W488" s="202"/>
      <c r="X488" s="62" t="s">
        <v>25</v>
      </c>
      <c r="Y488" s="63">
        <f t="shared" si="98"/>
        <v>12.270000000000001</v>
      </c>
      <c r="Z488" s="64">
        <f t="shared" ref="Z488:Z489" si="103">E488-N488</f>
        <v>0</v>
      </c>
      <c r="AA488" s="64">
        <v>1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</row>
    <row r="489" spans="1:48" ht="15.75" customHeight="1">
      <c r="A489" s="63">
        <v>20260036</v>
      </c>
      <c r="B489" s="65" t="s">
        <v>990</v>
      </c>
      <c r="C489" s="66">
        <v>46052</v>
      </c>
      <c r="D489" s="66">
        <v>46071</v>
      </c>
      <c r="E489" s="63">
        <v>2</v>
      </c>
      <c r="F489" s="68">
        <v>87.2</v>
      </c>
      <c r="G489" s="69">
        <v>120</v>
      </c>
      <c r="H489" s="65" t="s">
        <v>1112</v>
      </c>
      <c r="I489" s="65" t="s">
        <v>138</v>
      </c>
      <c r="J489" s="65" t="s">
        <v>26</v>
      </c>
      <c r="K489" s="48">
        <f t="shared" si="84"/>
        <v>46079</v>
      </c>
      <c r="L489" s="48">
        <f t="shared" si="85"/>
        <v>46139</v>
      </c>
      <c r="M489" s="71"/>
      <c r="N489" s="72">
        <f>E489</f>
        <v>2</v>
      </c>
      <c r="O489" s="50">
        <f t="shared" si="94"/>
        <v>87.2</v>
      </c>
      <c r="P489" s="56">
        <f t="shared" si="88"/>
        <v>120</v>
      </c>
      <c r="S489" s="189" t="s">
        <v>1113</v>
      </c>
      <c r="T489" s="201">
        <v>45</v>
      </c>
      <c r="U489" s="65" t="s">
        <v>1114</v>
      </c>
      <c r="V489" s="202"/>
      <c r="W489" s="202"/>
      <c r="X489" s="62" t="s">
        <v>25</v>
      </c>
      <c r="Y489" s="63">
        <f t="shared" si="98"/>
        <v>43.6</v>
      </c>
      <c r="Z489" s="64">
        <f t="shared" si="103"/>
        <v>0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</row>
    <row r="490" spans="1:48" ht="15.75" customHeight="1">
      <c r="A490" s="106">
        <v>20260036</v>
      </c>
      <c r="B490" s="107" t="s">
        <v>990</v>
      </c>
      <c r="C490" s="108">
        <v>46052</v>
      </c>
      <c r="D490" s="108">
        <v>46071</v>
      </c>
      <c r="E490" s="106">
        <v>1</v>
      </c>
      <c r="F490" s="106">
        <v>42.2</v>
      </c>
      <c r="G490" s="106">
        <v>60</v>
      </c>
      <c r="H490" s="107" t="s">
        <v>1115</v>
      </c>
      <c r="I490" s="107" t="s">
        <v>138</v>
      </c>
      <c r="J490" s="107" t="s">
        <v>26</v>
      </c>
      <c r="K490" s="108">
        <f t="shared" si="84"/>
        <v>46079</v>
      </c>
      <c r="L490" s="108">
        <f t="shared" si="85"/>
        <v>46139</v>
      </c>
      <c r="M490" s="111"/>
      <c r="N490" s="112">
        <f>E490-1</f>
        <v>0</v>
      </c>
      <c r="O490" s="113">
        <f t="shared" si="94"/>
        <v>0</v>
      </c>
      <c r="P490" s="112">
        <f t="shared" si="88"/>
        <v>0</v>
      </c>
      <c r="Q490" s="109"/>
      <c r="R490" s="107"/>
      <c r="S490" s="107" t="s">
        <v>1116</v>
      </c>
      <c r="T490" s="114">
        <v>46</v>
      </c>
      <c r="U490" s="107" t="s">
        <v>1117</v>
      </c>
      <c r="V490" s="270"/>
      <c r="W490" s="270"/>
      <c r="X490" s="106" t="s">
        <v>55</v>
      </c>
      <c r="Y490" s="63">
        <f t="shared" si="98"/>
        <v>42.2</v>
      </c>
      <c r="Z490" s="202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</row>
    <row r="491" spans="1:48" ht="15.75" customHeight="1">
      <c r="A491" s="106">
        <v>20260036</v>
      </c>
      <c r="B491" s="107" t="s">
        <v>990</v>
      </c>
      <c r="C491" s="108">
        <v>46052</v>
      </c>
      <c r="D491" s="108">
        <v>46071</v>
      </c>
      <c r="E491" s="106">
        <v>1</v>
      </c>
      <c r="F491" s="106">
        <v>36.299999999999997</v>
      </c>
      <c r="G491" s="106">
        <v>24</v>
      </c>
      <c r="H491" s="107" t="s">
        <v>1118</v>
      </c>
      <c r="I491" s="107" t="s">
        <v>194</v>
      </c>
      <c r="J491" s="107" t="s">
        <v>26</v>
      </c>
      <c r="K491" s="108">
        <f t="shared" si="84"/>
        <v>46079</v>
      </c>
      <c r="L491" s="108">
        <f t="shared" si="85"/>
        <v>46139</v>
      </c>
      <c r="M491" s="111"/>
      <c r="N491" s="112">
        <f>E491-1</f>
        <v>0</v>
      </c>
      <c r="O491" s="113">
        <f t="shared" si="94"/>
        <v>0</v>
      </c>
      <c r="P491" s="112">
        <f t="shared" si="88"/>
        <v>0</v>
      </c>
      <c r="Q491" s="109"/>
      <c r="R491" s="107"/>
      <c r="S491" s="107" t="s">
        <v>1119</v>
      </c>
      <c r="T491" s="114">
        <v>47</v>
      </c>
      <c r="U491" s="107" t="s">
        <v>1120</v>
      </c>
      <c r="V491" s="270"/>
      <c r="W491" s="270"/>
      <c r="X491" s="106" t="s">
        <v>55</v>
      </c>
      <c r="Y491" s="63">
        <f t="shared" si="98"/>
        <v>36.299999999999997</v>
      </c>
      <c r="Z491" s="202"/>
      <c r="AA491" s="64">
        <v>1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</row>
    <row r="492" spans="1:48" ht="15.75" customHeight="1">
      <c r="A492" s="106">
        <v>20260036</v>
      </c>
      <c r="B492" s="107" t="s">
        <v>990</v>
      </c>
      <c r="C492" s="108">
        <v>46052</v>
      </c>
      <c r="D492" s="108">
        <v>46071</v>
      </c>
      <c r="E492" s="106">
        <v>5</v>
      </c>
      <c r="F492" s="106">
        <v>0</v>
      </c>
      <c r="G492" s="106">
        <v>25</v>
      </c>
      <c r="H492" s="107" t="s">
        <v>1118</v>
      </c>
      <c r="I492" s="107" t="s">
        <v>24</v>
      </c>
      <c r="J492" s="107" t="s">
        <v>24</v>
      </c>
      <c r="K492" s="108">
        <f t="shared" si="84"/>
        <v>46079</v>
      </c>
      <c r="L492" s="108">
        <f t="shared" si="85"/>
        <v>46139</v>
      </c>
      <c r="M492" s="111"/>
      <c r="N492" s="112">
        <f>E492-5</f>
        <v>0</v>
      </c>
      <c r="O492" s="113">
        <f t="shared" si="94"/>
        <v>0</v>
      </c>
      <c r="P492" s="112">
        <f t="shared" si="88"/>
        <v>0</v>
      </c>
      <c r="Q492" s="109"/>
      <c r="R492" s="107"/>
      <c r="S492" s="107" t="s">
        <v>1119</v>
      </c>
      <c r="T492" s="114">
        <v>47</v>
      </c>
      <c r="U492" s="107"/>
      <c r="V492" s="270"/>
      <c r="W492" s="270"/>
      <c r="X492" s="106" t="s">
        <v>55</v>
      </c>
      <c r="Y492" s="63">
        <f t="shared" si="98"/>
        <v>0</v>
      </c>
      <c r="Z492" s="202"/>
      <c r="AA492" s="64">
        <v>1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</row>
    <row r="493" spans="1:48" ht="15.75" customHeight="1">
      <c r="A493" s="63">
        <v>20260036</v>
      </c>
      <c r="B493" s="65" t="s">
        <v>990</v>
      </c>
      <c r="C493" s="66">
        <v>46052</v>
      </c>
      <c r="D493" s="66">
        <v>46071</v>
      </c>
      <c r="E493" s="63">
        <v>2</v>
      </c>
      <c r="F493" s="68">
        <v>72.599999999999994</v>
      </c>
      <c r="G493" s="69">
        <v>48</v>
      </c>
      <c r="H493" s="65" t="s">
        <v>1121</v>
      </c>
      <c r="I493" s="65" t="s">
        <v>194</v>
      </c>
      <c r="J493" s="65" t="s">
        <v>26</v>
      </c>
      <c r="K493" s="48">
        <f t="shared" ref="K493:K556" si="104">D493+8</f>
        <v>46079</v>
      </c>
      <c r="L493" s="48">
        <f t="shared" ref="L493:L556" si="105">K493+60</f>
        <v>46139</v>
      </c>
      <c r="M493" s="71"/>
      <c r="N493" s="72">
        <f>E493</f>
        <v>2</v>
      </c>
      <c r="O493" s="50">
        <f t="shared" si="94"/>
        <v>72.599999999999994</v>
      </c>
      <c r="P493" s="56">
        <f t="shared" si="88"/>
        <v>48</v>
      </c>
      <c r="S493" s="189" t="s">
        <v>1122</v>
      </c>
      <c r="T493" s="201">
        <v>48</v>
      </c>
      <c r="U493" s="65" t="s">
        <v>1123</v>
      </c>
      <c r="V493" s="202"/>
      <c r="W493" s="202"/>
      <c r="X493" s="62" t="s">
        <v>25</v>
      </c>
      <c r="Y493" s="63">
        <f t="shared" si="98"/>
        <v>36.299999999999997</v>
      </c>
      <c r="Z493" s="64">
        <f t="shared" ref="Z493" si="106">E493-N493</f>
        <v>0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</row>
    <row r="494" spans="1:48" ht="15.75" customHeight="1">
      <c r="A494" s="106">
        <v>20260036</v>
      </c>
      <c r="B494" s="107" t="s">
        <v>990</v>
      </c>
      <c r="C494" s="108">
        <v>46052</v>
      </c>
      <c r="D494" s="108">
        <v>46071</v>
      </c>
      <c r="E494" s="106">
        <v>8</v>
      </c>
      <c r="F494" s="106">
        <v>0</v>
      </c>
      <c r="G494" s="106">
        <v>40</v>
      </c>
      <c r="H494" s="107" t="s">
        <v>1121</v>
      </c>
      <c r="I494" s="107" t="s">
        <v>24</v>
      </c>
      <c r="J494" s="107" t="s">
        <v>24</v>
      </c>
      <c r="K494" s="108">
        <f t="shared" si="104"/>
        <v>46079</v>
      </c>
      <c r="L494" s="108">
        <f t="shared" si="105"/>
        <v>46139</v>
      </c>
      <c r="M494" s="111"/>
      <c r="N494" s="112">
        <f>E494-4-4</f>
        <v>0</v>
      </c>
      <c r="O494" s="113">
        <f t="shared" si="94"/>
        <v>0</v>
      </c>
      <c r="P494" s="112">
        <f t="shared" si="88"/>
        <v>0</v>
      </c>
      <c r="Q494" s="109"/>
      <c r="R494" s="107"/>
      <c r="S494" s="107" t="s">
        <v>1122</v>
      </c>
      <c r="T494" s="114">
        <v>48</v>
      </c>
      <c r="U494" s="107"/>
      <c r="V494" s="270"/>
      <c r="W494" s="270"/>
      <c r="X494" s="106" t="s">
        <v>55</v>
      </c>
      <c r="Y494" s="63">
        <f t="shared" si="98"/>
        <v>0</v>
      </c>
      <c r="Z494" s="202"/>
      <c r="AB494" s="202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</row>
    <row r="495" spans="1:48" ht="15.75" customHeight="1">
      <c r="A495" s="63">
        <v>20260036</v>
      </c>
      <c r="B495" s="65" t="s">
        <v>990</v>
      </c>
      <c r="C495" s="66">
        <v>46052</v>
      </c>
      <c r="D495" s="66">
        <v>46071</v>
      </c>
      <c r="E495" s="63">
        <v>3</v>
      </c>
      <c r="F495" s="68">
        <v>97.64</v>
      </c>
      <c r="G495" s="69">
        <v>72</v>
      </c>
      <c r="H495" s="65" t="s">
        <v>1124</v>
      </c>
      <c r="I495" s="65" t="s">
        <v>194</v>
      </c>
      <c r="J495" s="65" t="s">
        <v>26</v>
      </c>
      <c r="K495" s="48">
        <f t="shared" si="104"/>
        <v>46079</v>
      </c>
      <c r="L495" s="48">
        <f t="shared" si="105"/>
        <v>46139</v>
      </c>
      <c r="M495" s="71"/>
      <c r="N495" s="72">
        <f>E495</f>
        <v>3</v>
      </c>
      <c r="O495" s="50">
        <f t="shared" si="94"/>
        <v>97.64</v>
      </c>
      <c r="P495" s="56">
        <f t="shared" si="88"/>
        <v>72</v>
      </c>
      <c r="S495" s="189" t="s">
        <v>1125</v>
      </c>
      <c r="T495" s="201">
        <v>49</v>
      </c>
      <c r="U495" s="65" t="s">
        <v>1126</v>
      </c>
      <c r="V495" s="202"/>
      <c r="W495" s="202"/>
      <c r="X495" s="62" t="s">
        <v>25</v>
      </c>
      <c r="Y495" s="63">
        <f t="shared" si="98"/>
        <v>32.546666666666667</v>
      </c>
      <c r="Z495" s="64">
        <f t="shared" ref="Z495:Z496" si="107">E495-N495</f>
        <v>0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</row>
    <row r="496" spans="1:48" ht="15.75" customHeight="1">
      <c r="A496" s="63">
        <v>20260036</v>
      </c>
      <c r="B496" s="65" t="s">
        <v>990</v>
      </c>
      <c r="C496" s="66">
        <v>46052</v>
      </c>
      <c r="D496" s="66">
        <v>46071</v>
      </c>
      <c r="E496" s="63">
        <v>6</v>
      </c>
      <c r="F496" s="68">
        <v>0</v>
      </c>
      <c r="G496" s="69">
        <v>30</v>
      </c>
      <c r="H496" s="65" t="s">
        <v>1124</v>
      </c>
      <c r="I496" s="65" t="s">
        <v>24</v>
      </c>
      <c r="J496" s="65" t="s">
        <v>24</v>
      </c>
      <c r="K496" s="48">
        <f t="shared" si="104"/>
        <v>46079</v>
      </c>
      <c r="L496" s="48">
        <f t="shared" si="105"/>
        <v>46139</v>
      </c>
      <c r="M496" s="71"/>
      <c r="N496" s="72">
        <f>E496</f>
        <v>6</v>
      </c>
      <c r="O496" s="50">
        <f t="shared" si="94"/>
        <v>0</v>
      </c>
      <c r="P496" s="56">
        <f t="shared" si="88"/>
        <v>30</v>
      </c>
      <c r="S496" s="189" t="s">
        <v>1125</v>
      </c>
      <c r="T496" s="201">
        <v>49</v>
      </c>
      <c r="V496" s="202"/>
      <c r="W496" s="202"/>
      <c r="X496" s="62" t="s">
        <v>25</v>
      </c>
      <c r="Y496" s="63">
        <f t="shared" si="98"/>
        <v>0</v>
      </c>
      <c r="Z496" s="64">
        <f t="shared" si="107"/>
        <v>0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</row>
    <row r="497" spans="1:48" ht="15.75" customHeight="1">
      <c r="A497" s="106">
        <v>20260036</v>
      </c>
      <c r="B497" s="107" t="s">
        <v>990</v>
      </c>
      <c r="C497" s="108">
        <v>46052</v>
      </c>
      <c r="D497" s="108">
        <v>46071</v>
      </c>
      <c r="E497" s="106">
        <v>2</v>
      </c>
      <c r="F497" s="106">
        <v>24.66</v>
      </c>
      <c r="G497" s="106">
        <v>48</v>
      </c>
      <c r="H497" s="107" t="s">
        <v>895</v>
      </c>
      <c r="I497" s="107" t="s">
        <v>42</v>
      </c>
      <c r="J497" s="107" t="s">
        <v>28</v>
      </c>
      <c r="K497" s="108">
        <f t="shared" si="104"/>
        <v>46079</v>
      </c>
      <c r="L497" s="108">
        <f t="shared" si="105"/>
        <v>46139</v>
      </c>
      <c r="M497" s="111"/>
      <c r="N497" s="112">
        <f>E497-2</f>
        <v>0</v>
      </c>
      <c r="O497" s="113">
        <f t="shared" si="94"/>
        <v>0</v>
      </c>
      <c r="P497" s="112">
        <f t="shared" si="88"/>
        <v>0</v>
      </c>
      <c r="Q497" s="109"/>
      <c r="R497" s="107"/>
      <c r="S497" s="107" t="s">
        <v>1127</v>
      </c>
      <c r="T497" s="114">
        <v>51</v>
      </c>
      <c r="U497" s="107" t="s">
        <v>1128</v>
      </c>
      <c r="V497" s="270"/>
      <c r="W497" s="270"/>
      <c r="X497" s="106" t="s">
        <v>55</v>
      </c>
      <c r="Y497" s="63">
        <f t="shared" si="98"/>
        <v>12.33</v>
      </c>
      <c r="Z497" s="202"/>
      <c r="AA497" s="64">
        <v>1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</row>
    <row r="498" spans="1:48" ht="15.75" customHeight="1">
      <c r="A498" s="63">
        <v>20260036</v>
      </c>
      <c r="B498" s="65" t="s">
        <v>990</v>
      </c>
      <c r="C498" s="66">
        <v>46052</v>
      </c>
      <c r="D498" s="66">
        <v>46071</v>
      </c>
      <c r="E498" s="63">
        <v>1</v>
      </c>
      <c r="F498" s="68">
        <v>35.844000000000001</v>
      </c>
      <c r="G498" s="69">
        <v>24</v>
      </c>
      <c r="H498" s="65" t="s">
        <v>1129</v>
      </c>
      <c r="I498" s="65" t="s">
        <v>194</v>
      </c>
      <c r="J498" s="65" t="s">
        <v>26</v>
      </c>
      <c r="K498" s="48">
        <f t="shared" si="104"/>
        <v>46079</v>
      </c>
      <c r="L498" s="48">
        <f t="shared" si="105"/>
        <v>46139</v>
      </c>
      <c r="M498" s="71"/>
      <c r="N498" s="72">
        <f>E498</f>
        <v>1</v>
      </c>
      <c r="O498" s="50">
        <f t="shared" si="94"/>
        <v>35.844000000000001</v>
      </c>
      <c r="P498" s="56">
        <f t="shared" si="88"/>
        <v>24</v>
      </c>
      <c r="S498" s="189" t="s">
        <v>1130</v>
      </c>
      <c r="T498" s="201">
        <v>52</v>
      </c>
      <c r="U498" s="65" t="s">
        <v>1131</v>
      </c>
      <c r="V498" s="202"/>
      <c r="W498" s="202"/>
      <c r="X498" s="62" t="s">
        <v>25</v>
      </c>
      <c r="Y498" s="63">
        <f t="shared" si="98"/>
        <v>35.844000000000001</v>
      </c>
      <c r="Z498" s="64">
        <f t="shared" ref="Z498:Z499" si="108">E498-N498</f>
        <v>0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</row>
    <row r="499" spans="1:48" ht="15.75" customHeight="1">
      <c r="A499" s="63">
        <v>20260036</v>
      </c>
      <c r="B499" s="65" t="s">
        <v>990</v>
      </c>
      <c r="C499" s="66">
        <v>46052</v>
      </c>
      <c r="D499" s="66">
        <v>46071</v>
      </c>
      <c r="E499" s="63">
        <v>3</v>
      </c>
      <c r="F499" s="68">
        <v>0</v>
      </c>
      <c r="G499" s="69">
        <v>15</v>
      </c>
      <c r="H499" s="65" t="s">
        <v>1129</v>
      </c>
      <c r="I499" s="65" t="s">
        <v>24</v>
      </c>
      <c r="J499" s="65" t="s">
        <v>24</v>
      </c>
      <c r="K499" s="48">
        <f t="shared" si="104"/>
        <v>46079</v>
      </c>
      <c r="L499" s="48">
        <f t="shared" si="105"/>
        <v>46139</v>
      </c>
      <c r="M499" s="71"/>
      <c r="N499" s="72">
        <f>E499</f>
        <v>3</v>
      </c>
      <c r="O499" s="50">
        <f t="shared" si="94"/>
        <v>0</v>
      </c>
      <c r="P499" s="56">
        <f t="shared" si="88"/>
        <v>15</v>
      </c>
      <c r="S499" s="189" t="s">
        <v>1130</v>
      </c>
      <c r="T499" s="201">
        <v>52</v>
      </c>
      <c r="V499" s="202"/>
      <c r="W499" s="202"/>
      <c r="X499" s="62" t="s">
        <v>25</v>
      </c>
      <c r="Y499" s="63">
        <f t="shared" si="98"/>
        <v>0</v>
      </c>
      <c r="Z499" s="64">
        <f t="shared" si="108"/>
        <v>0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</row>
    <row r="500" spans="1:48" ht="15.75" customHeight="1">
      <c r="A500" s="106">
        <v>20260036</v>
      </c>
      <c r="B500" s="107" t="s">
        <v>990</v>
      </c>
      <c r="C500" s="108">
        <v>46052</v>
      </c>
      <c r="D500" s="108">
        <v>46071</v>
      </c>
      <c r="E500" s="106">
        <v>2</v>
      </c>
      <c r="F500" s="106">
        <v>72.3</v>
      </c>
      <c r="G500" s="106">
        <v>48</v>
      </c>
      <c r="H500" s="107" t="s">
        <v>1132</v>
      </c>
      <c r="I500" s="107" t="s">
        <v>194</v>
      </c>
      <c r="J500" s="107" t="s">
        <v>26</v>
      </c>
      <c r="K500" s="108">
        <f t="shared" si="104"/>
        <v>46079</v>
      </c>
      <c r="L500" s="108">
        <f t="shared" si="105"/>
        <v>46139</v>
      </c>
      <c r="M500" s="111"/>
      <c r="N500" s="112">
        <f>E500-2</f>
        <v>0</v>
      </c>
      <c r="O500" s="113">
        <f t="shared" si="94"/>
        <v>0</v>
      </c>
      <c r="P500" s="112">
        <f t="shared" si="88"/>
        <v>0</v>
      </c>
      <c r="Q500" s="109"/>
      <c r="R500" s="107"/>
      <c r="S500" s="107" t="s">
        <v>1133</v>
      </c>
      <c r="T500" s="114">
        <v>55</v>
      </c>
      <c r="U500" s="107" t="s">
        <v>1134</v>
      </c>
      <c r="V500" s="270"/>
      <c r="W500" s="270"/>
      <c r="X500" s="106" t="s">
        <v>55</v>
      </c>
      <c r="Y500" s="63">
        <f t="shared" si="98"/>
        <v>36.15</v>
      </c>
      <c r="Z500" s="202"/>
      <c r="AB500" s="202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</row>
    <row r="501" spans="1:48" ht="15.75" customHeight="1">
      <c r="A501" s="188">
        <v>20260036</v>
      </c>
      <c r="B501" s="189" t="s">
        <v>990</v>
      </c>
      <c r="C501" s="190">
        <v>46052</v>
      </c>
      <c r="D501" s="190">
        <v>46071</v>
      </c>
      <c r="E501" s="188">
        <v>4</v>
      </c>
      <c r="F501" s="192">
        <v>0</v>
      </c>
      <c r="G501" s="193">
        <v>20</v>
      </c>
      <c r="H501" s="189" t="s">
        <v>1132</v>
      </c>
      <c r="I501" s="189" t="s">
        <v>24</v>
      </c>
      <c r="J501" s="189" t="s">
        <v>24</v>
      </c>
      <c r="K501" s="203">
        <f t="shared" si="104"/>
        <v>46079</v>
      </c>
      <c r="L501" s="203">
        <f t="shared" si="105"/>
        <v>46139</v>
      </c>
      <c r="M501" s="195"/>
      <c r="N501" s="196">
        <f>E501</f>
        <v>4</v>
      </c>
      <c r="O501" s="197">
        <f t="shared" si="94"/>
        <v>0</v>
      </c>
      <c r="P501" s="198">
        <f t="shared" si="88"/>
        <v>20</v>
      </c>
      <c r="S501" s="189" t="s">
        <v>1133</v>
      </c>
      <c r="T501" s="201">
        <v>55</v>
      </c>
      <c r="V501" s="202"/>
      <c r="W501" s="202"/>
      <c r="X501" s="62" t="s">
        <v>25</v>
      </c>
      <c r="Y501" s="63">
        <f t="shared" si="98"/>
        <v>0</v>
      </c>
      <c r="Z501" s="64">
        <f t="shared" ref="Z501:Z505" si="109">E501-N501</f>
        <v>0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</row>
    <row r="502" spans="1:48" ht="15.75" customHeight="1">
      <c r="A502" s="106">
        <v>20260036</v>
      </c>
      <c r="B502" s="107" t="s">
        <v>990</v>
      </c>
      <c r="C502" s="108">
        <v>46052</v>
      </c>
      <c r="D502" s="108">
        <v>46071</v>
      </c>
      <c r="E502" s="106">
        <v>1</v>
      </c>
      <c r="F502" s="106">
        <v>37</v>
      </c>
      <c r="G502" s="106">
        <v>24</v>
      </c>
      <c r="H502" s="107" t="s">
        <v>1135</v>
      </c>
      <c r="I502" s="107" t="s">
        <v>194</v>
      </c>
      <c r="J502" s="107" t="s">
        <v>26</v>
      </c>
      <c r="K502" s="108">
        <f t="shared" si="104"/>
        <v>46079</v>
      </c>
      <c r="L502" s="108">
        <f t="shared" si="105"/>
        <v>46139</v>
      </c>
      <c r="M502" s="111"/>
      <c r="N502" s="112">
        <f>E502-1</f>
        <v>0</v>
      </c>
      <c r="O502" s="113">
        <f t="shared" si="94"/>
        <v>0</v>
      </c>
      <c r="P502" s="112">
        <f t="shared" ref="P502:P565" si="110">G502/E502*N502</f>
        <v>0</v>
      </c>
      <c r="Q502" s="109"/>
      <c r="R502" s="107"/>
      <c r="S502" s="107" t="s">
        <v>1136</v>
      </c>
      <c r="T502" s="114">
        <v>60</v>
      </c>
      <c r="U502" s="107" t="s">
        <v>1137</v>
      </c>
      <c r="V502" s="270"/>
      <c r="W502" s="270"/>
      <c r="X502" s="106" t="s">
        <v>55</v>
      </c>
      <c r="Y502" s="63">
        <f t="shared" si="98"/>
        <v>37</v>
      </c>
      <c r="Z502" s="64">
        <f t="shared" si="109"/>
        <v>1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</row>
    <row r="503" spans="1:48" ht="15.75" customHeight="1">
      <c r="A503" s="106">
        <v>20260036</v>
      </c>
      <c r="B503" s="107" t="s">
        <v>990</v>
      </c>
      <c r="C503" s="108">
        <v>46052</v>
      </c>
      <c r="D503" s="108">
        <v>46071</v>
      </c>
      <c r="E503" s="106">
        <v>2</v>
      </c>
      <c r="F503" s="106">
        <v>0</v>
      </c>
      <c r="G503" s="106">
        <v>10</v>
      </c>
      <c r="H503" s="107" t="s">
        <v>1135</v>
      </c>
      <c r="I503" s="107" t="s">
        <v>24</v>
      </c>
      <c r="J503" s="107" t="s">
        <v>24</v>
      </c>
      <c r="K503" s="108">
        <f t="shared" si="104"/>
        <v>46079</v>
      </c>
      <c r="L503" s="108">
        <f t="shared" si="105"/>
        <v>46139</v>
      </c>
      <c r="M503" s="111"/>
      <c r="N503" s="112">
        <f>E503-2</f>
        <v>0</v>
      </c>
      <c r="O503" s="113">
        <f t="shared" si="94"/>
        <v>0</v>
      </c>
      <c r="P503" s="112">
        <f t="shared" si="110"/>
        <v>0</v>
      </c>
      <c r="Q503" s="109"/>
      <c r="R503" s="107"/>
      <c r="S503" s="107" t="s">
        <v>1136</v>
      </c>
      <c r="T503" s="114">
        <v>60</v>
      </c>
      <c r="U503" s="107"/>
      <c r="V503" s="270"/>
      <c r="W503" s="270"/>
      <c r="X503" s="106" t="s">
        <v>55</v>
      </c>
      <c r="Y503" s="63">
        <f t="shared" si="98"/>
        <v>0</v>
      </c>
      <c r="Z503" s="64">
        <f t="shared" si="109"/>
        <v>2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</row>
    <row r="504" spans="1:48" ht="15.75" customHeight="1">
      <c r="A504" s="63">
        <v>20260036</v>
      </c>
      <c r="B504" s="65" t="s">
        <v>990</v>
      </c>
      <c r="C504" s="66">
        <v>46052</v>
      </c>
      <c r="D504" s="66">
        <v>46071</v>
      </c>
      <c r="E504" s="63">
        <v>2</v>
      </c>
      <c r="F504" s="68">
        <v>60.16</v>
      </c>
      <c r="G504" s="69">
        <v>48</v>
      </c>
      <c r="H504" s="65" t="s">
        <v>623</v>
      </c>
      <c r="I504" s="65" t="s">
        <v>446</v>
      </c>
      <c r="J504" s="65" t="s">
        <v>26</v>
      </c>
      <c r="K504" s="48">
        <f t="shared" si="104"/>
        <v>46079</v>
      </c>
      <c r="L504" s="48">
        <f t="shared" si="105"/>
        <v>46139</v>
      </c>
      <c r="M504" s="71"/>
      <c r="N504" s="72">
        <f>E504</f>
        <v>2</v>
      </c>
      <c r="O504" s="50">
        <f t="shared" si="94"/>
        <v>60.16</v>
      </c>
      <c r="P504" s="56">
        <f t="shared" si="110"/>
        <v>48</v>
      </c>
      <c r="S504" s="189" t="s">
        <v>1138</v>
      </c>
      <c r="T504" s="201">
        <v>61</v>
      </c>
      <c r="U504" s="65" t="s">
        <v>1139</v>
      </c>
      <c r="V504" s="202"/>
      <c r="W504" s="202"/>
      <c r="X504" s="62" t="s">
        <v>25</v>
      </c>
      <c r="Y504" s="63">
        <f t="shared" si="98"/>
        <v>30.08</v>
      </c>
      <c r="Z504" s="64">
        <f t="shared" si="109"/>
        <v>0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</row>
    <row r="505" spans="1:48" ht="15.75" customHeight="1">
      <c r="A505" s="63">
        <v>20260036</v>
      </c>
      <c r="B505" s="65" t="s">
        <v>990</v>
      </c>
      <c r="C505" s="66">
        <v>46052</v>
      </c>
      <c r="D505" s="66">
        <v>46071</v>
      </c>
      <c r="E505" s="63">
        <v>1</v>
      </c>
      <c r="F505" s="68">
        <v>25.47</v>
      </c>
      <c r="G505" s="69">
        <v>60</v>
      </c>
      <c r="H505" s="65" t="s">
        <v>1140</v>
      </c>
      <c r="I505" s="65" t="s">
        <v>138</v>
      </c>
      <c r="J505" s="65" t="s">
        <v>26</v>
      </c>
      <c r="K505" s="48">
        <f t="shared" si="104"/>
        <v>46079</v>
      </c>
      <c r="L505" s="48">
        <f t="shared" si="105"/>
        <v>46139</v>
      </c>
      <c r="M505" s="71"/>
      <c r="N505" s="72">
        <f>E505</f>
        <v>1</v>
      </c>
      <c r="O505" s="50">
        <f t="shared" si="94"/>
        <v>25.47</v>
      </c>
      <c r="P505" s="56">
        <f t="shared" si="110"/>
        <v>60</v>
      </c>
      <c r="S505" s="189" t="s">
        <v>1141</v>
      </c>
      <c r="T505" s="201">
        <v>62</v>
      </c>
      <c r="U505" s="65" t="s">
        <v>1142</v>
      </c>
      <c r="V505" s="202"/>
      <c r="W505" s="202"/>
      <c r="X505" s="62" t="s">
        <v>25</v>
      </c>
      <c r="Y505" s="63">
        <f t="shared" si="98"/>
        <v>25.47</v>
      </c>
      <c r="Z505" s="64">
        <f t="shared" si="109"/>
        <v>0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</row>
    <row r="506" spans="1:48" ht="15.75" customHeight="1">
      <c r="A506" s="106">
        <v>20260036</v>
      </c>
      <c r="B506" s="107" t="s">
        <v>990</v>
      </c>
      <c r="C506" s="108">
        <v>46052</v>
      </c>
      <c r="D506" s="108">
        <v>46071</v>
      </c>
      <c r="E506" s="106">
        <v>1</v>
      </c>
      <c r="F506" s="106">
        <v>37.091000000000001</v>
      </c>
      <c r="G506" s="106">
        <v>24</v>
      </c>
      <c r="H506" s="107" t="s">
        <v>1143</v>
      </c>
      <c r="I506" s="107" t="s">
        <v>194</v>
      </c>
      <c r="J506" s="107" t="s">
        <v>26</v>
      </c>
      <c r="K506" s="108">
        <f t="shared" si="104"/>
        <v>46079</v>
      </c>
      <c r="L506" s="108">
        <f t="shared" si="105"/>
        <v>46139</v>
      </c>
      <c r="M506" s="111"/>
      <c r="N506" s="112">
        <f>E506-1</f>
        <v>0</v>
      </c>
      <c r="O506" s="113">
        <f t="shared" si="94"/>
        <v>0</v>
      </c>
      <c r="P506" s="112">
        <f t="shared" si="110"/>
        <v>0</v>
      </c>
      <c r="Q506" s="109"/>
      <c r="R506" s="107"/>
      <c r="S506" s="107" t="s">
        <v>1144</v>
      </c>
      <c r="T506" s="114">
        <v>63</v>
      </c>
      <c r="U506" s="107" t="s">
        <v>1145</v>
      </c>
      <c r="V506" s="270"/>
      <c r="W506" s="270"/>
      <c r="X506" s="106" t="s">
        <v>55</v>
      </c>
      <c r="Y506" s="63">
        <f t="shared" si="98"/>
        <v>37.091000000000001</v>
      </c>
      <c r="Z506" s="202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</row>
    <row r="507" spans="1:48" ht="15.75" customHeight="1">
      <c r="A507" s="106">
        <v>20260036</v>
      </c>
      <c r="B507" s="107" t="s">
        <v>990</v>
      </c>
      <c r="C507" s="108">
        <v>46052</v>
      </c>
      <c r="D507" s="108">
        <v>46071</v>
      </c>
      <c r="E507" s="106">
        <v>2</v>
      </c>
      <c r="F507" s="106">
        <v>0</v>
      </c>
      <c r="G507" s="106">
        <v>10</v>
      </c>
      <c r="H507" s="107" t="s">
        <v>1143</v>
      </c>
      <c r="I507" s="107" t="s">
        <v>24</v>
      </c>
      <c r="J507" s="107" t="s">
        <v>24</v>
      </c>
      <c r="K507" s="108">
        <f t="shared" si="104"/>
        <v>46079</v>
      </c>
      <c r="L507" s="108">
        <f t="shared" si="105"/>
        <v>46139</v>
      </c>
      <c r="M507" s="111"/>
      <c r="N507" s="112">
        <f>E507-2</f>
        <v>0</v>
      </c>
      <c r="O507" s="113">
        <f t="shared" si="94"/>
        <v>0</v>
      </c>
      <c r="P507" s="112">
        <f t="shared" si="110"/>
        <v>0</v>
      </c>
      <c r="Q507" s="109"/>
      <c r="R507" s="107"/>
      <c r="S507" s="107" t="s">
        <v>1144</v>
      </c>
      <c r="T507" s="114">
        <v>63</v>
      </c>
      <c r="U507" s="107"/>
      <c r="V507" s="270"/>
      <c r="W507" s="270"/>
      <c r="X507" s="106" t="s">
        <v>55</v>
      </c>
      <c r="Y507" s="63">
        <f t="shared" si="98"/>
        <v>0</v>
      </c>
      <c r="Z507" s="202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</row>
    <row r="508" spans="1:48" ht="15.75" customHeight="1">
      <c r="A508" s="206">
        <v>20260036</v>
      </c>
      <c r="B508" s="207" t="s">
        <v>990</v>
      </c>
      <c r="C508" s="208">
        <v>46052</v>
      </c>
      <c r="D508" s="208">
        <v>46071</v>
      </c>
      <c r="E508" s="206">
        <v>3</v>
      </c>
      <c r="F508" s="210">
        <v>63.6</v>
      </c>
      <c r="G508" s="211">
        <v>72</v>
      </c>
      <c r="H508" s="207" t="s">
        <v>1146</v>
      </c>
      <c r="I508" s="207" t="s">
        <v>208</v>
      </c>
      <c r="J508" s="207" t="s">
        <v>26</v>
      </c>
      <c r="K508" s="213">
        <f t="shared" si="104"/>
        <v>46079</v>
      </c>
      <c r="L508" s="213">
        <f t="shared" si="105"/>
        <v>46139</v>
      </c>
      <c r="M508" s="214"/>
      <c r="N508" s="215">
        <f>E508-2</f>
        <v>1</v>
      </c>
      <c r="O508" s="216">
        <f t="shared" si="94"/>
        <v>21.2</v>
      </c>
      <c r="P508" s="218">
        <f t="shared" si="110"/>
        <v>24</v>
      </c>
      <c r="S508" s="189" t="s">
        <v>1147</v>
      </c>
      <c r="T508" s="201">
        <v>64</v>
      </c>
      <c r="U508" s="65" t="s">
        <v>1148</v>
      </c>
      <c r="V508" s="202"/>
      <c r="W508" s="202"/>
      <c r="X508" s="99" t="s">
        <v>76</v>
      </c>
      <c r="Y508" s="63">
        <f t="shared" si="98"/>
        <v>21.2</v>
      </c>
      <c r="Z508" s="64">
        <f t="shared" ref="Z508:Z513" si="111">E508-N508</f>
        <v>2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</row>
    <row r="509" spans="1:48" ht="15.75" customHeight="1">
      <c r="A509" s="63">
        <v>20260036</v>
      </c>
      <c r="B509" s="65" t="s">
        <v>990</v>
      </c>
      <c r="C509" s="66">
        <v>46052</v>
      </c>
      <c r="D509" s="66">
        <v>46071</v>
      </c>
      <c r="E509" s="63">
        <v>2</v>
      </c>
      <c r="F509" s="68">
        <v>0</v>
      </c>
      <c r="G509" s="69">
        <v>10</v>
      </c>
      <c r="H509" s="65" t="s">
        <v>1146</v>
      </c>
      <c r="I509" s="65" t="s">
        <v>24</v>
      </c>
      <c r="J509" s="65" t="s">
        <v>24</v>
      </c>
      <c r="K509" s="48">
        <f t="shared" si="104"/>
        <v>46079</v>
      </c>
      <c r="L509" s="48">
        <f t="shared" si="105"/>
        <v>46139</v>
      </c>
      <c r="M509" s="71"/>
      <c r="N509" s="72">
        <f>E509</f>
        <v>2</v>
      </c>
      <c r="O509" s="50">
        <f t="shared" si="94"/>
        <v>0</v>
      </c>
      <c r="P509" s="56">
        <f t="shared" si="110"/>
        <v>10</v>
      </c>
      <c r="S509" s="189" t="s">
        <v>1147</v>
      </c>
      <c r="T509" s="201">
        <v>64</v>
      </c>
      <c r="V509" s="202"/>
      <c r="W509" s="202"/>
      <c r="X509" s="62" t="s">
        <v>25</v>
      </c>
      <c r="Y509" s="63">
        <f t="shared" si="98"/>
        <v>0</v>
      </c>
      <c r="Z509" s="64">
        <f t="shared" si="111"/>
        <v>0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</row>
    <row r="510" spans="1:48" ht="15.75" customHeight="1">
      <c r="A510" s="106">
        <v>20260036</v>
      </c>
      <c r="B510" s="107" t="s">
        <v>990</v>
      </c>
      <c r="C510" s="108">
        <v>46052</v>
      </c>
      <c r="D510" s="108">
        <v>46071</v>
      </c>
      <c r="E510" s="106">
        <v>1</v>
      </c>
      <c r="F510" s="106">
        <v>33.869999999999997</v>
      </c>
      <c r="G510" s="106">
        <v>60</v>
      </c>
      <c r="H510" s="107" t="s">
        <v>1149</v>
      </c>
      <c r="I510" s="107" t="s">
        <v>138</v>
      </c>
      <c r="J510" s="107" t="s">
        <v>26</v>
      </c>
      <c r="K510" s="108">
        <f t="shared" si="104"/>
        <v>46079</v>
      </c>
      <c r="L510" s="108">
        <f t="shared" si="105"/>
        <v>46139</v>
      </c>
      <c r="M510" s="111"/>
      <c r="N510" s="112">
        <f>E510-1</f>
        <v>0</v>
      </c>
      <c r="O510" s="113">
        <f t="shared" si="94"/>
        <v>0</v>
      </c>
      <c r="P510" s="112">
        <f t="shared" si="110"/>
        <v>0</v>
      </c>
      <c r="Q510" s="109"/>
      <c r="R510" s="107"/>
      <c r="S510" s="107" t="s">
        <v>1150</v>
      </c>
      <c r="T510" s="114">
        <v>65</v>
      </c>
      <c r="U510" s="107" t="s">
        <v>1151</v>
      </c>
      <c r="V510" s="270"/>
      <c r="W510" s="270"/>
      <c r="X510" s="106" t="s">
        <v>55</v>
      </c>
      <c r="Y510" s="63">
        <f t="shared" si="98"/>
        <v>33.869999999999997</v>
      </c>
      <c r="Z510" s="64">
        <f t="shared" si="111"/>
        <v>1</v>
      </c>
      <c r="AA510" s="64">
        <v>12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</row>
    <row r="511" spans="1:48" ht="15.75" customHeight="1">
      <c r="A511" s="63">
        <v>20260036</v>
      </c>
      <c r="B511" s="65" t="s">
        <v>990</v>
      </c>
      <c r="C511" s="66">
        <v>46052</v>
      </c>
      <c r="D511" s="66">
        <v>46071</v>
      </c>
      <c r="E511" s="63">
        <v>1</v>
      </c>
      <c r="F511" s="68">
        <v>34.380000000000003</v>
      </c>
      <c r="G511" s="69">
        <v>24</v>
      </c>
      <c r="H511" s="65" t="s">
        <v>967</v>
      </c>
      <c r="I511" s="65" t="s">
        <v>194</v>
      </c>
      <c r="J511" s="65" t="s">
        <v>26</v>
      </c>
      <c r="K511" s="48">
        <f t="shared" si="104"/>
        <v>46079</v>
      </c>
      <c r="L511" s="48">
        <f t="shared" si="105"/>
        <v>46139</v>
      </c>
      <c r="M511" s="71"/>
      <c r="N511" s="72">
        <f>E511</f>
        <v>1</v>
      </c>
      <c r="O511" s="50">
        <f t="shared" si="94"/>
        <v>34.380000000000003</v>
      </c>
      <c r="P511" s="56">
        <f t="shared" si="110"/>
        <v>24</v>
      </c>
      <c r="S511" s="189" t="s">
        <v>1152</v>
      </c>
      <c r="T511" s="201">
        <v>67</v>
      </c>
      <c r="U511" s="65" t="s">
        <v>1153</v>
      </c>
      <c r="V511" s="202"/>
      <c r="W511" s="202"/>
      <c r="X511" s="62" t="s">
        <v>25</v>
      </c>
      <c r="Y511" s="63">
        <f t="shared" si="98"/>
        <v>34.380000000000003</v>
      </c>
      <c r="Z511" s="64">
        <f t="shared" si="111"/>
        <v>0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</row>
    <row r="512" spans="1:48" ht="15.75" customHeight="1">
      <c r="A512" s="63">
        <v>20260036</v>
      </c>
      <c r="B512" s="65" t="s">
        <v>990</v>
      </c>
      <c r="C512" s="66">
        <v>46052</v>
      </c>
      <c r="D512" s="66">
        <v>46071</v>
      </c>
      <c r="E512" s="63">
        <v>3</v>
      </c>
      <c r="F512" s="68">
        <v>0</v>
      </c>
      <c r="G512" s="69">
        <v>15</v>
      </c>
      <c r="H512" s="65" t="s">
        <v>967</v>
      </c>
      <c r="I512" s="65" t="s">
        <v>24</v>
      </c>
      <c r="J512" s="65" t="s">
        <v>24</v>
      </c>
      <c r="K512" s="48">
        <f t="shared" si="104"/>
        <v>46079</v>
      </c>
      <c r="L512" s="48">
        <f t="shared" si="105"/>
        <v>46139</v>
      </c>
      <c r="M512" s="71"/>
      <c r="N512" s="72">
        <f>E512</f>
        <v>3</v>
      </c>
      <c r="O512" s="50">
        <f t="shared" si="94"/>
        <v>0</v>
      </c>
      <c r="P512" s="56">
        <f t="shared" si="110"/>
        <v>15</v>
      </c>
      <c r="S512" s="189" t="s">
        <v>1152</v>
      </c>
      <c r="T512" s="201">
        <v>67</v>
      </c>
      <c r="V512" s="202"/>
      <c r="W512" s="202"/>
      <c r="X512" s="62" t="s">
        <v>25</v>
      </c>
      <c r="Y512" s="63">
        <f t="shared" si="98"/>
        <v>0</v>
      </c>
      <c r="Z512" s="64">
        <f t="shared" si="111"/>
        <v>0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</row>
    <row r="513" spans="1:48" ht="15.75" customHeight="1">
      <c r="A513" s="63">
        <v>20260036</v>
      </c>
      <c r="B513" s="65" t="s">
        <v>990</v>
      </c>
      <c r="C513" s="66">
        <v>46052</v>
      </c>
      <c r="D513" s="66">
        <v>46071</v>
      </c>
      <c r="E513" s="63">
        <v>1</v>
      </c>
      <c r="F513" s="68">
        <v>12</v>
      </c>
      <c r="G513" s="69">
        <v>24</v>
      </c>
      <c r="H513" s="65" t="s">
        <v>1154</v>
      </c>
      <c r="I513" s="65" t="s">
        <v>42</v>
      </c>
      <c r="J513" s="65" t="s">
        <v>28</v>
      </c>
      <c r="K513" s="48">
        <f t="shared" si="104"/>
        <v>46079</v>
      </c>
      <c r="L513" s="48">
        <f t="shared" si="105"/>
        <v>46139</v>
      </c>
      <c r="M513" s="71"/>
      <c r="N513" s="72">
        <f>E513</f>
        <v>1</v>
      </c>
      <c r="O513" s="50">
        <f t="shared" si="94"/>
        <v>12</v>
      </c>
      <c r="P513" s="56">
        <f t="shared" si="110"/>
        <v>24</v>
      </c>
      <c r="S513" s="189" t="s">
        <v>1155</v>
      </c>
      <c r="T513" s="201">
        <v>69</v>
      </c>
      <c r="U513" s="65" t="s">
        <v>1156</v>
      </c>
      <c r="V513" s="202"/>
      <c r="W513" s="202"/>
      <c r="X513" s="62" t="s">
        <v>25</v>
      </c>
      <c r="Y513" s="63">
        <f t="shared" si="98"/>
        <v>12</v>
      </c>
      <c r="Z513" s="64">
        <f t="shared" si="111"/>
        <v>0</v>
      </c>
      <c r="AA513" s="64">
        <v>275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</row>
    <row r="514" spans="1:48" ht="15.75" customHeight="1">
      <c r="A514" s="106">
        <v>20260036</v>
      </c>
      <c r="B514" s="107" t="s">
        <v>990</v>
      </c>
      <c r="C514" s="108">
        <v>46052</v>
      </c>
      <c r="D514" s="108">
        <v>46071</v>
      </c>
      <c r="E514" s="106">
        <v>1</v>
      </c>
      <c r="F514" s="106">
        <v>30</v>
      </c>
      <c r="G514" s="106">
        <v>24</v>
      </c>
      <c r="H514" s="107" t="s">
        <v>1157</v>
      </c>
      <c r="I514" s="107" t="s">
        <v>208</v>
      </c>
      <c r="J514" s="107" t="s">
        <v>26</v>
      </c>
      <c r="K514" s="108">
        <f t="shared" si="104"/>
        <v>46079</v>
      </c>
      <c r="L514" s="108">
        <f t="shared" si="105"/>
        <v>46139</v>
      </c>
      <c r="M514" s="111"/>
      <c r="N514" s="112">
        <f>E514-1</f>
        <v>0</v>
      </c>
      <c r="O514" s="113">
        <f t="shared" si="94"/>
        <v>0</v>
      </c>
      <c r="P514" s="112">
        <f t="shared" si="110"/>
        <v>0</v>
      </c>
      <c r="Q514" s="109"/>
      <c r="R514" s="107"/>
      <c r="S514" s="107" t="s">
        <v>1158</v>
      </c>
      <c r="T514" s="114">
        <v>73</v>
      </c>
      <c r="U514" s="107" t="s">
        <v>1159</v>
      </c>
      <c r="V514" s="270"/>
      <c r="W514" s="270"/>
      <c r="X514" s="106" t="s">
        <v>55</v>
      </c>
      <c r="Y514" s="63">
        <f t="shared" si="98"/>
        <v>30</v>
      </c>
      <c r="Z514" s="202"/>
      <c r="AA514" s="64">
        <v>73</v>
      </c>
      <c r="AB514" s="202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</row>
    <row r="515" spans="1:48" ht="15.75" customHeight="1">
      <c r="A515" s="63">
        <v>20260036</v>
      </c>
      <c r="B515" s="65" t="s">
        <v>990</v>
      </c>
      <c r="C515" s="66">
        <v>46052</v>
      </c>
      <c r="D515" s="66">
        <v>46071</v>
      </c>
      <c r="E515" s="63">
        <v>1</v>
      </c>
      <c r="F515" s="68">
        <v>33.204999999999998</v>
      </c>
      <c r="G515" s="69">
        <v>24</v>
      </c>
      <c r="H515" s="65" t="s">
        <v>1160</v>
      </c>
      <c r="I515" s="65" t="s">
        <v>138</v>
      </c>
      <c r="J515" s="65" t="s">
        <v>26</v>
      </c>
      <c r="K515" s="48">
        <f t="shared" si="104"/>
        <v>46079</v>
      </c>
      <c r="L515" s="48">
        <f t="shared" si="105"/>
        <v>46139</v>
      </c>
      <c r="M515" s="71"/>
      <c r="N515" s="72">
        <f>E515</f>
        <v>1</v>
      </c>
      <c r="O515" s="50">
        <f t="shared" si="94"/>
        <v>33.204999999999998</v>
      </c>
      <c r="P515" s="56">
        <f t="shared" si="110"/>
        <v>24</v>
      </c>
      <c r="S515" s="189" t="s">
        <v>1161</v>
      </c>
      <c r="T515" s="201">
        <v>74</v>
      </c>
      <c r="U515" s="65" t="s">
        <v>1162</v>
      </c>
      <c r="V515" s="202"/>
      <c r="W515" s="202"/>
      <c r="X515" s="62" t="s">
        <v>25</v>
      </c>
      <c r="Y515" s="63">
        <f t="shared" si="98"/>
        <v>33.204999999999998</v>
      </c>
      <c r="Z515" s="64">
        <f t="shared" ref="Z515:Z516" si="112">E515-N515</f>
        <v>0</v>
      </c>
      <c r="AA515" s="64">
        <v>443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</row>
    <row r="516" spans="1:48" ht="15.75" customHeight="1">
      <c r="A516" s="63">
        <v>20260036</v>
      </c>
      <c r="B516" s="65" t="s">
        <v>990</v>
      </c>
      <c r="C516" s="66">
        <v>46052</v>
      </c>
      <c r="D516" s="66">
        <v>46071</v>
      </c>
      <c r="E516" s="63">
        <v>1</v>
      </c>
      <c r="F516" s="68">
        <v>0</v>
      </c>
      <c r="G516" s="69">
        <v>5</v>
      </c>
      <c r="H516" s="65" t="s">
        <v>1160</v>
      </c>
      <c r="I516" s="65" t="s">
        <v>24</v>
      </c>
      <c r="J516" s="65" t="s">
        <v>24</v>
      </c>
      <c r="K516" s="48">
        <f t="shared" si="104"/>
        <v>46079</v>
      </c>
      <c r="L516" s="48">
        <f t="shared" si="105"/>
        <v>46139</v>
      </c>
      <c r="M516" s="71"/>
      <c r="N516" s="72">
        <f>E516</f>
        <v>1</v>
      </c>
      <c r="O516" s="50">
        <f t="shared" si="94"/>
        <v>0</v>
      </c>
      <c r="P516" s="56">
        <f t="shared" si="110"/>
        <v>5</v>
      </c>
      <c r="S516" s="189" t="s">
        <v>1161</v>
      </c>
      <c r="T516" s="201">
        <v>74</v>
      </c>
      <c r="V516" s="202"/>
      <c r="W516" s="202"/>
      <c r="X516" s="62" t="s">
        <v>25</v>
      </c>
      <c r="Y516" s="63">
        <f t="shared" si="98"/>
        <v>0</v>
      </c>
      <c r="Z516" s="64">
        <f t="shared" si="112"/>
        <v>0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</row>
    <row r="517" spans="1:48" ht="15.75" customHeight="1">
      <c r="A517" s="106">
        <v>20260036</v>
      </c>
      <c r="B517" s="107" t="s">
        <v>990</v>
      </c>
      <c r="C517" s="108">
        <v>46052</v>
      </c>
      <c r="D517" s="108">
        <v>46071</v>
      </c>
      <c r="E517" s="106">
        <v>1</v>
      </c>
      <c r="F517" s="106">
        <v>13.5</v>
      </c>
      <c r="G517" s="106">
        <v>24</v>
      </c>
      <c r="H517" s="107" t="s">
        <v>1157</v>
      </c>
      <c r="I517" s="107" t="s">
        <v>42</v>
      </c>
      <c r="J517" s="107" t="s">
        <v>28</v>
      </c>
      <c r="K517" s="108">
        <f t="shared" si="104"/>
        <v>46079</v>
      </c>
      <c r="L517" s="108">
        <f t="shared" si="105"/>
        <v>46139</v>
      </c>
      <c r="M517" s="111"/>
      <c r="N517" s="112">
        <f>E517-1</f>
        <v>0</v>
      </c>
      <c r="O517" s="113">
        <f t="shared" si="94"/>
        <v>0</v>
      </c>
      <c r="P517" s="112">
        <f t="shared" si="110"/>
        <v>0</v>
      </c>
      <c r="Q517" s="109"/>
      <c r="R517" s="107"/>
      <c r="S517" s="107" t="s">
        <v>1163</v>
      </c>
      <c r="T517" s="114">
        <v>75</v>
      </c>
      <c r="U517" s="107" t="s">
        <v>1164</v>
      </c>
      <c r="V517" s="270"/>
      <c r="W517" s="270"/>
      <c r="X517" s="106" t="s">
        <v>55</v>
      </c>
      <c r="Y517" s="63">
        <f t="shared" si="98"/>
        <v>13.5</v>
      </c>
      <c r="Z517" s="202"/>
      <c r="AA517" s="64">
        <v>340</v>
      </c>
      <c r="AB517" s="202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</row>
    <row r="518" spans="1:48" ht="15.75" customHeight="1">
      <c r="A518" s="106">
        <v>20260036</v>
      </c>
      <c r="B518" s="107" t="s">
        <v>990</v>
      </c>
      <c r="C518" s="108">
        <v>46052</v>
      </c>
      <c r="D518" s="108">
        <v>46071</v>
      </c>
      <c r="E518" s="106">
        <v>2</v>
      </c>
      <c r="F518" s="106">
        <v>66.347999999999999</v>
      </c>
      <c r="G518" s="106">
        <v>48</v>
      </c>
      <c r="H518" s="107" t="s">
        <v>1165</v>
      </c>
      <c r="I518" s="107" t="s">
        <v>194</v>
      </c>
      <c r="J518" s="107" t="s">
        <v>26</v>
      </c>
      <c r="K518" s="108">
        <f t="shared" si="104"/>
        <v>46079</v>
      </c>
      <c r="L518" s="108">
        <f t="shared" si="105"/>
        <v>46139</v>
      </c>
      <c r="M518" s="111"/>
      <c r="N518" s="112">
        <f>E518-2</f>
        <v>0</v>
      </c>
      <c r="O518" s="113">
        <f t="shared" si="94"/>
        <v>0</v>
      </c>
      <c r="P518" s="112">
        <f t="shared" si="110"/>
        <v>0</v>
      </c>
      <c r="Q518" s="109"/>
      <c r="R518" s="107"/>
      <c r="S518" s="107" t="s">
        <v>1166</v>
      </c>
      <c r="T518" s="114">
        <v>76</v>
      </c>
      <c r="U518" s="107" t="s">
        <v>765</v>
      </c>
      <c r="V518" s="270"/>
      <c r="W518" s="270"/>
      <c r="X518" s="106" t="s">
        <v>55</v>
      </c>
      <c r="Y518" s="63">
        <f t="shared" si="98"/>
        <v>33.173999999999999</v>
      </c>
      <c r="Z518" s="202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</row>
    <row r="519" spans="1:48" ht="15.75" customHeight="1">
      <c r="A519" s="63">
        <v>20260036</v>
      </c>
      <c r="B519" s="65" t="s">
        <v>990</v>
      </c>
      <c r="C519" s="66">
        <v>46052</v>
      </c>
      <c r="D519" s="66">
        <v>46071</v>
      </c>
      <c r="E519" s="63">
        <v>4</v>
      </c>
      <c r="F519" s="68">
        <v>0</v>
      </c>
      <c r="G519" s="69">
        <v>16</v>
      </c>
      <c r="H519" s="65" t="s">
        <v>1165</v>
      </c>
      <c r="I519" s="65" t="s">
        <v>24</v>
      </c>
      <c r="J519" s="65" t="s">
        <v>24</v>
      </c>
      <c r="K519" s="48">
        <f t="shared" si="104"/>
        <v>46079</v>
      </c>
      <c r="L519" s="48">
        <f t="shared" si="105"/>
        <v>46139</v>
      </c>
      <c r="M519" s="71"/>
      <c r="N519" s="72">
        <f>E519</f>
        <v>4</v>
      </c>
      <c r="O519" s="50">
        <f t="shared" si="94"/>
        <v>0</v>
      </c>
      <c r="P519" s="56">
        <f t="shared" si="110"/>
        <v>16</v>
      </c>
      <c r="S519" s="189" t="s">
        <v>1166</v>
      </c>
      <c r="T519" s="201">
        <v>76</v>
      </c>
      <c r="V519" s="202"/>
      <c r="W519" s="202"/>
      <c r="X519" s="62" t="s">
        <v>25</v>
      </c>
      <c r="Y519" s="63">
        <f t="shared" si="98"/>
        <v>0</v>
      </c>
      <c r="Z519" s="64">
        <f t="shared" ref="Z519" si="113">E519-N519</f>
        <v>0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</row>
    <row r="520" spans="1:48" ht="15.75" customHeight="1">
      <c r="A520" s="106">
        <v>20260036</v>
      </c>
      <c r="B520" s="107" t="s">
        <v>990</v>
      </c>
      <c r="C520" s="108">
        <v>46052</v>
      </c>
      <c r="D520" s="108">
        <v>46071</v>
      </c>
      <c r="E520" s="106">
        <v>1</v>
      </c>
      <c r="F520" s="106">
        <v>12.33</v>
      </c>
      <c r="G520" s="106">
        <v>24</v>
      </c>
      <c r="H520" s="107" t="s">
        <v>1167</v>
      </c>
      <c r="I520" s="107" t="s">
        <v>42</v>
      </c>
      <c r="J520" s="107" t="s">
        <v>28</v>
      </c>
      <c r="K520" s="108">
        <f t="shared" si="104"/>
        <v>46079</v>
      </c>
      <c r="L520" s="108">
        <f t="shared" si="105"/>
        <v>46139</v>
      </c>
      <c r="M520" s="111"/>
      <c r="N520" s="112">
        <f>E520-1</f>
        <v>0</v>
      </c>
      <c r="O520" s="113">
        <f t="shared" si="94"/>
        <v>0</v>
      </c>
      <c r="P520" s="112">
        <f t="shared" si="110"/>
        <v>0</v>
      </c>
      <c r="Q520" s="109"/>
      <c r="R520" s="107"/>
      <c r="S520" s="107" t="s">
        <v>1168</v>
      </c>
      <c r="T520" s="114">
        <v>79</v>
      </c>
      <c r="U520" s="107" t="s">
        <v>1169</v>
      </c>
      <c r="V520" s="270"/>
      <c r="W520" s="270"/>
      <c r="X520" s="106" t="s">
        <v>55</v>
      </c>
      <c r="Y520" s="63">
        <f t="shared" si="98"/>
        <v>12.33</v>
      </c>
      <c r="Z520" s="202"/>
      <c r="AA520" s="64">
        <v>960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</row>
    <row r="521" spans="1:48" ht="15.75" customHeight="1">
      <c r="A521" s="106">
        <v>20260036</v>
      </c>
      <c r="B521" s="107" t="s">
        <v>990</v>
      </c>
      <c r="C521" s="108">
        <v>46052</v>
      </c>
      <c r="D521" s="108">
        <v>46071</v>
      </c>
      <c r="E521" s="106">
        <v>3</v>
      </c>
      <c r="F521" s="106">
        <v>65.599999999999994</v>
      </c>
      <c r="G521" s="106">
        <v>72</v>
      </c>
      <c r="H521" s="107" t="s">
        <v>1170</v>
      </c>
      <c r="I521" s="107" t="s">
        <v>449</v>
      </c>
      <c r="J521" s="107" t="s">
        <v>28</v>
      </c>
      <c r="K521" s="108">
        <f t="shared" si="104"/>
        <v>46079</v>
      </c>
      <c r="L521" s="108">
        <f t="shared" si="105"/>
        <v>46139</v>
      </c>
      <c r="M521" s="111"/>
      <c r="N521" s="112">
        <f>E521-2-1</f>
        <v>0</v>
      </c>
      <c r="O521" s="113">
        <f t="shared" ref="O521:O584" si="114">F521/E521*N521</f>
        <v>0</v>
      </c>
      <c r="P521" s="112">
        <f t="shared" si="110"/>
        <v>0</v>
      </c>
      <c r="Q521" s="109"/>
      <c r="R521" s="107"/>
      <c r="S521" s="107" t="s">
        <v>1171</v>
      </c>
      <c r="T521" s="114">
        <v>82</v>
      </c>
      <c r="U521" s="107" t="s">
        <v>1172</v>
      </c>
      <c r="V521" s="270"/>
      <c r="W521" s="270"/>
      <c r="X521" s="106" t="s">
        <v>55</v>
      </c>
      <c r="Y521" s="63">
        <f t="shared" si="98"/>
        <v>21.866666666666664</v>
      </c>
      <c r="Z521" s="202"/>
      <c r="AB521" s="202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</row>
    <row r="522" spans="1:48" ht="15.75" customHeight="1">
      <c r="A522" s="106">
        <v>20260036</v>
      </c>
      <c r="B522" s="107" t="s">
        <v>990</v>
      </c>
      <c r="C522" s="108">
        <v>46052</v>
      </c>
      <c r="D522" s="108">
        <v>46071</v>
      </c>
      <c r="E522" s="106">
        <v>7</v>
      </c>
      <c r="F522" s="106">
        <v>62</v>
      </c>
      <c r="G522" s="106">
        <v>25</v>
      </c>
      <c r="H522" s="107" t="s">
        <v>1173</v>
      </c>
      <c r="I522" s="107" t="s">
        <v>24</v>
      </c>
      <c r="J522" s="107" t="s">
        <v>24</v>
      </c>
      <c r="K522" s="108">
        <f t="shared" si="104"/>
        <v>46079</v>
      </c>
      <c r="L522" s="108">
        <f t="shared" si="105"/>
        <v>46139</v>
      </c>
      <c r="M522" s="111"/>
      <c r="N522" s="112">
        <f>E522-7</f>
        <v>0</v>
      </c>
      <c r="O522" s="113">
        <f t="shared" si="114"/>
        <v>0</v>
      </c>
      <c r="P522" s="112">
        <f t="shared" si="110"/>
        <v>0</v>
      </c>
      <c r="Q522" s="109"/>
      <c r="R522" s="107"/>
      <c r="S522" s="107" t="s">
        <v>1174</v>
      </c>
      <c r="T522" s="114">
        <v>87</v>
      </c>
      <c r="U522" s="107" t="s">
        <v>1175</v>
      </c>
      <c r="V522" s="270"/>
      <c r="W522" s="270"/>
      <c r="X522" s="106" t="s">
        <v>55</v>
      </c>
      <c r="Y522" s="63">
        <f t="shared" si="98"/>
        <v>8.8571428571428577</v>
      </c>
      <c r="Z522" s="64">
        <f t="shared" ref="Z522:Z533" si="115">E522-N522</f>
        <v>7</v>
      </c>
      <c r="AA522" s="64">
        <v>9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</row>
    <row r="523" spans="1:48" ht="15.75" customHeight="1">
      <c r="A523" s="63">
        <v>20260036</v>
      </c>
      <c r="B523" s="65" t="s">
        <v>990</v>
      </c>
      <c r="C523" s="66">
        <v>46052</v>
      </c>
      <c r="D523" s="66">
        <v>46071</v>
      </c>
      <c r="E523" s="63">
        <v>3</v>
      </c>
      <c r="F523" s="68">
        <v>47.5</v>
      </c>
      <c r="G523" s="69">
        <v>72</v>
      </c>
      <c r="H523" s="65" t="s">
        <v>1176</v>
      </c>
      <c r="I523" s="65" t="s">
        <v>42</v>
      </c>
      <c r="J523" s="65" t="s">
        <v>28</v>
      </c>
      <c r="K523" s="48">
        <f t="shared" si="104"/>
        <v>46079</v>
      </c>
      <c r="L523" s="48">
        <f t="shared" si="105"/>
        <v>46139</v>
      </c>
      <c r="M523" s="71"/>
      <c r="N523" s="72">
        <f t="shared" ref="N523:N532" si="116">E523</f>
        <v>3</v>
      </c>
      <c r="O523" s="50">
        <f t="shared" si="114"/>
        <v>47.5</v>
      </c>
      <c r="P523" s="56">
        <f t="shared" si="110"/>
        <v>72</v>
      </c>
      <c r="S523" s="189" t="s">
        <v>1177</v>
      </c>
      <c r="T523" s="201">
        <v>89</v>
      </c>
      <c r="U523" s="65" t="s">
        <v>1178</v>
      </c>
      <c r="V523" s="202"/>
      <c r="W523" s="202"/>
      <c r="X523" s="62" t="s">
        <v>25</v>
      </c>
      <c r="Y523" s="63">
        <f t="shared" si="98"/>
        <v>15.833333333333334</v>
      </c>
      <c r="Z523" s="64">
        <f t="shared" si="115"/>
        <v>0</v>
      </c>
      <c r="AA523" s="64">
        <v>2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</row>
    <row r="524" spans="1:48" ht="15.75" customHeight="1">
      <c r="A524" s="63">
        <v>20260036</v>
      </c>
      <c r="B524" s="65" t="s">
        <v>990</v>
      </c>
      <c r="C524" s="66">
        <v>46052</v>
      </c>
      <c r="D524" s="66">
        <v>46071</v>
      </c>
      <c r="E524" s="63">
        <v>1</v>
      </c>
      <c r="F524" s="68">
        <v>17.100000000000001</v>
      </c>
      <c r="G524" s="69">
        <v>24</v>
      </c>
      <c r="H524" s="65" t="s">
        <v>1179</v>
      </c>
      <c r="I524" s="65" t="s">
        <v>276</v>
      </c>
      <c r="J524" s="65" t="s">
        <v>26</v>
      </c>
      <c r="K524" s="48">
        <f t="shared" si="104"/>
        <v>46079</v>
      </c>
      <c r="L524" s="48">
        <f t="shared" si="105"/>
        <v>46139</v>
      </c>
      <c r="M524" s="71"/>
      <c r="N524" s="72">
        <f t="shared" si="116"/>
        <v>1</v>
      </c>
      <c r="O524" s="50">
        <f t="shared" si="114"/>
        <v>17.100000000000001</v>
      </c>
      <c r="P524" s="56">
        <f t="shared" si="110"/>
        <v>24</v>
      </c>
      <c r="S524" s="189" t="s">
        <v>1180</v>
      </c>
      <c r="T524" s="201">
        <v>90</v>
      </c>
      <c r="U524" s="65" t="s">
        <v>741</v>
      </c>
      <c r="V524" s="202"/>
      <c r="W524" s="202"/>
      <c r="X524" s="62" t="s">
        <v>25</v>
      </c>
      <c r="Y524" s="63">
        <f t="shared" si="98"/>
        <v>17.100000000000001</v>
      </c>
      <c r="Z524" s="64">
        <f t="shared" si="115"/>
        <v>0</v>
      </c>
      <c r="AA524" s="64">
        <v>1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</row>
    <row r="525" spans="1:48" ht="15.75" customHeight="1">
      <c r="A525" s="63">
        <v>20260036</v>
      </c>
      <c r="B525" s="65" t="s">
        <v>990</v>
      </c>
      <c r="C525" s="66">
        <v>46052</v>
      </c>
      <c r="D525" s="66">
        <v>46071</v>
      </c>
      <c r="E525" s="63">
        <v>1</v>
      </c>
      <c r="F525" s="68">
        <v>20</v>
      </c>
      <c r="G525" s="69">
        <v>24</v>
      </c>
      <c r="H525" s="65" t="s">
        <v>1181</v>
      </c>
      <c r="I525" s="65" t="s">
        <v>276</v>
      </c>
      <c r="J525" s="65" t="s">
        <v>26</v>
      </c>
      <c r="K525" s="48">
        <f t="shared" si="104"/>
        <v>46079</v>
      </c>
      <c r="L525" s="48">
        <f t="shared" si="105"/>
        <v>46139</v>
      </c>
      <c r="M525" s="71"/>
      <c r="N525" s="72">
        <f t="shared" si="116"/>
        <v>1</v>
      </c>
      <c r="O525" s="50">
        <f t="shared" si="114"/>
        <v>20</v>
      </c>
      <c r="P525" s="56">
        <f t="shared" si="110"/>
        <v>24</v>
      </c>
      <c r="S525" s="189" t="s">
        <v>1182</v>
      </c>
      <c r="T525" s="201">
        <v>91</v>
      </c>
      <c r="U525" s="65" t="s">
        <v>1183</v>
      </c>
      <c r="V525" s="202"/>
      <c r="W525" s="202"/>
      <c r="X525" s="62" t="s">
        <v>25</v>
      </c>
      <c r="Y525" s="63">
        <f t="shared" si="98"/>
        <v>20</v>
      </c>
      <c r="Z525" s="64">
        <f t="shared" si="115"/>
        <v>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</row>
    <row r="526" spans="1:48" ht="15.75" customHeight="1">
      <c r="A526" s="63">
        <v>20260036</v>
      </c>
      <c r="B526" s="65" t="s">
        <v>990</v>
      </c>
      <c r="C526" s="66">
        <v>46052</v>
      </c>
      <c r="D526" s="66">
        <v>46071</v>
      </c>
      <c r="E526" s="63">
        <v>1</v>
      </c>
      <c r="F526" s="68">
        <v>20</v>
      </c>
      <c r="G526" s="69">
        <v>24</v>
      </c>
      <c r="H526" s="65" t="s">
        <v>1181</v>
      </c>
      <c r="I526" s="65" t="s">
        <v>194</v>
      </c>
      <c r="J526" s="65" t="s">
        <v>26</v>
      </c>
      <c r="K526" s="48">
        <f t="shared" si="104"/>
        <v>46079</v>
      </c>
      <c r="L526" s="48">
        <f t="shared" si="105"/>
        <v>46139</v>
      </c>
      <c r="M526" s="71"/>
      <c r="N526" s="72">
        <f t="shared" si="116"/>
        <v>1</v>
      </c>
      <c r="O526" s="50">
        <f t="shared" si="114"/>
        <v>20</v>
      </c>
      <c r="P526" s="56">
        <f t="shared" si="110"/>
        <v>24</v>
      </c>
      <c r="S526" s="189" t="s">
        <v>1182</v>
      </c>
      <c r="T526" s="201">
        <v>91</v>
      </c>
      <c r="V526" s="202"/>
      <c r="W526" s="202"/>
      <c r="X526" s="62" t="s">
        <v>25</v>
      </c>
      <c r="Y526" s="63">
        <f t="shared" si="98"/>
        <v>20</v>
      </c>
      <c r="Z526" s="64">
        <f t="shared" si="115"/>
        <v>0</v>
      </c>
      <c r="AA526" s="64">
        <v>1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</row>
    <row r="527" spans="1:48" ht="15.75" customHeight="1">
      <c r="A527" s="63">
        <v>20260036</v>
      </c>
      <c r="B527" s="65" t="s">
        <v>990</v>
      </c>
      <c r="C527" s="66">
        <v>46052</v>
      </c>
      <c r="D527" s="66">
        <v>46071</v>
      </c>
      <c r="E527" s="63">
        <v>1</v>
      </c>
      <c r="F527" s="68">
        <v>20</v>
      </c>
      <c r="G527" s="69">
        <v>40</v>
      </c>
      <c r="H527" s="65" t="s">
        <v>1181</v>
      </c>
      <c r="I527" s="65" t="s">
        <v>206</v>
      </c>
      <c r="J527" s="65" t="s">
        <v>26</v>
      </c>
      <c r="K527" s="48">
        <f t="shared" si="104"/>
        <v>46079</v>
      </c>
      <c r="L527" s="48">
        <f t="shared" si="105"/>
        <v>46139</v>
      </c>
      <c r="M527" s="71"/>
      <c r="N527" s="72">
        <f t="shared" si="116"/>
        <v>1</v>
      </c>
      <c r="O527" s="50">
        <f t="shared" si="114"/>
        <v>20</v>
      </c>
      <c r="P527" s="56">
        <f t="shared" si="110"/>
        <v>40</v>
      </c>
      <c r="S527" s="189" t="s">
        <v>1182</v>
      </c>
      <c r="T527" s="201">
        <v>91</v>
      </c>
      <c r="V527" s="202"/>
      <c r="W527" s="202"/>
      <c r="X527" s="62" t="s">
        <v>25</v>
      </c>
      <c r="Y527" s="63">
        <f t="shared" si="98"/>
        <v>20</v>
      </c>
      <c r="Z527" s="64">
        <f t="shared" si="115"/>
        <v>0</v>
      </c>
      <c r="AA527" s="64">
        <v>2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</row>
    <row r="528" spans="1:48" ht="15.75" customHeight="1">
      <c r="A528" s="63">
        <v>20260036</v>
      </c>
      <c r="B528" s="65" t="s">
        <v>990</v>
      </c>
      <c r="C528" s="66">
        <v>46052</v>
      </c>
      <c r="D528" s="66">
        <v>46071</v>
      </c>
      <c r="E528" s="63">
        <v>1</v>
      </c>
      <c r="F528" s="68">
        <v>20</v>
      </c>
      <c r="G528" s="69">
        <v>24</v>
      </c>
      <c r="H528" s="65" t="s">
        <v>1181</v>
      </c>
      <c r="I528" s="65" t="s">
        <v>42</v>
      </c>
      <c r="J528" s="65" t="s">
        <v>28</v>
      </c>
      <c r="K528" s="48">
        <f t="shared" si="104"/>
        <v>46079</v>
      </c>
      <c r="L528" s="48">
        <f t="shared" si="105"/>
        <v>46139</v>
      </c>
      <c r="M528" s="71"/>
      <c r="N528" s="72">
        <f t="shared" si="116"/>
        <v>1</v>
      </c>
      <c r="O528" s="50">
        <f t="shared" si="114"/>
        <v>20</v>
      </c>
      <c r="P528" s="56">
        <f t="shared" si="110"/>
        <v>24</v>
      </c>
      <c r="S528" s="189" t="s">
        <v>1182</v>
      </c>
      <c r="T528" s="201">
        <v>91</v>
      </c>
      <c r="V528" s="202"/>
      <c r="W528" s="202"/>
      <c r="X528" s="62" t="s">
        <v>25</v>
      </c>
      <c r="Y528" s="63">
        <f t="shared" si="98"/>
        <v>20</v>
      </c>
      <c r="Z528" s="64">
        <f t="shared" si="115"/>
        <v>0</v>
      </c>
      <c r="AA528" s="64">
        <v>1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</row>
    <row r="529" spans="1:48" ht="15.75" customHeight="1">
      <c r="A529" s="63">
        <v>20260036</v>
      </c>
      <c r="B529" s="65" t="s">
        <v>990</v>
      </c>
      <c r="C529" s="66">
        <v>46052</v>
      </c>
      <c r="D529" s="66">
        <v>46071</v>
      </c>
      <c r="E529" s="63">
        <v>1</v>
      </c>
      <c r="F529" s="68">
        <v>38.18</v>
      </c>
      <c r="G529" s="69">
        <v>60</v>
      </c>
      <c r="H529" s="65" t="s">
        <v>1181</v>
      </c>
      <c r="I529" s="65" t="s">
        <v>138</v>
      </c>
      <c r="J529" s="65" t="s">
        <v>26</v>
      </c>
      <c r="K529" s="48">
        <f t="shared" si="104"/>
        <v>46079</v>
      </c>
      <c r="L529" s="48">
        <f t="shared" si="105"/>
        <v>46139</v>
      </c>
      <c r="M529" s="71"/>
      <c r="N529" s="72">
        <f t="shared" si="116"/>
        <v>1</v>
      </c>
      <c r="O529" s="50">
        <f t="shared" si="114"/>
        <v>38.18</v>
      </c>
      <c r="P529" s="56">
        <f t="shared" si="110"/>
        <v>60</v>
      </c>
      <c r="S529" s="189" t="s">
        <v>1182</v>
      </c>
      <c r="T529" s="201">
        <v>91</v>
      </c>
      <c r="V529" s="202"/>
      <c r="W529" s="202"/>
      <c r="X529" s="62" t="s">
        <v>25</v>
      </c>
      <c r="Y529" s="63">
        <f t="shared" si="98"/>
        <v>38.18</v>
      </c>
      <c r="Z529" s="64">
        <f t="shared" si="115"/>
        <v>0</v>
      </c>
      <c r="AA529" s="64">
        <v>1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</row>
    <row r="530" spans="1:48" ht="15.75" customHeight="1">
      <c r="A530" s="63">
        <v>20260036</v>
      </c>
      <c r="B530" s="65" t="s">
        <v>990</v>
      </c>
      <c r="C530" s="66">
        <v>46052</v>
      </c>
      <c r="D530" s="66">
        <v>46071</v>
      </c>
      <c r="E530" s="63">
        <v>5</v>
      </c>
      <c r="F530" s="68">
        <v>0</v>
      </c>
      <c r="G530" s="69">
        <v>30</v>
      </c>
      <c r="H530" s="65" t="s">
        <v>1181</v>
      </c>
      <c r="I530" s="65" t="s">
        <v>24</v>
      </c>
      <c r="J530" s="65" t="s">
        <v>24</v>
      </c>
      <c r="K530" s="48">
        <f t="shared" si="104"/>
        <v>46079</v>
      </c>
      <c r="L530" s="48">
        <f t="shared" si="105"/>
        <v>46139</v>
      </c>
      <c r="M530" s="71"/>
      <c r="N530" s="72">
        <f t="shared" si="116"/>
        <v>5</v>
      </c>
      <c r="O530" s="50">
        <f t="shared" si="114"/>
        <v>0</v>
      </c>
      <c r="P530" s="56">
        <f t="shared" si="110"/>
        <v>30</v>
      </c>
      <c r="S530" s="189" t="s">
        <v>1182</v>
      </c>
      <c r="T530" s="201">
        <v>91</v>
      </c>
      <c r="V530" s="202"/>
      <c r="W530" s="202"/>
      <c r="X530" s="62" t="s">
        <v>25</v>
      </c>
      <c r="Y530" s="63">
        <f t="shared" si="98"/>
        <v>0</v>
      </c>
      <c r="Z530" s="64">
        <f t="shared" si="115"/>
        <v>0</v>
      </c>
      <c r="AA530" s="64">
        <v>1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</row>
    <row r="531" spans="1:48" ht="15.75" customHeight="1">
      <c r="A531" s="106">
        <v>20260036</v>
      </c>
      <c r="B531" s="107" t="s">
        <v>990</v>
      </c>
      <c r="C531" s="108">
        <v>46052</v>
      </c>
      <c r="D531" s="108">
        <v>46071</v>
      </c>
      <c r="E531" s="106">
        <v>1</v>
      </c>
      <c r="F531" s="106">
        <v>8.8000000000000007</v>
      </c>
      <c r="G531" s="106">
        <v>24</v>
      </c>
      <c r="H531" s="107" t="s">
        <v>1184</v>
      </c>
      <c r="I531" s="107" t="s">
        <v>42</v>
      </c>
      <c r="J531" s="107" t="s">
        <v>28</v>
      </c>
      <c r="K531" s="108">
        <f t="shared" si="104"/>
        <v>46079</v>
      </c>
      <c r="L531" s="108">
        <f t="shared" si="105"/>
        <v>46139</v>
      </c>
      <c r="M531" s="111"/>
      <c r="N531" s="112">
        <f>E531-1</f>
        <v>0</v>
      </c>
      <c r="O531" s="113">
        <f t="shared" si="114"/>
        <v>0</v>
      </c>
      <c r="P531" s="112">
        <f t="shared" si="110"/>
        <v>0</v>
      </c>
      <c r="Q531" s="109"/>
      <c r="R531" s="107"/>
      <c r="S531" s="107" t="s">
        <v>1185</v>
      </c>
      <c r="T531" s="114">
        <v>94</v>
      </c>
      <c r="U531" s="107" t="s">
        <v>1186</v>
      </c>
      <c r="V531" s="270"/>
      <c r="W531" s="270"/>
      <c r="X531" s="106" t="s">
        <v>55</v>
      </c>
      <c r="Y531" s="63">
        <f t="shared" si="98"/>
        <v>8.8000000000000007</v>
      </c>
      <c r="Z531" s="64">
        <f t="shared" si="115"/>
        <v>1</v>
      </c>
      <c r="AA531" s="64">
        <v>1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</row>
    <row r="532" spans="1:48" ht="15.75" customHeight="1">
      <c r="A532" s="63">
        <v>20260036</v>
      </c>
      <c r="B532" s="65" t="s">
        <v>990</v>
      </c>
      <c r="C532" s="66">
        <v>46052</v>
      </c>
      <c r="D532" s="66">
        <v>46071</v>
      </c>
      <c r="E532" s="63">
        <v>1</v>
      </c>
      <c r="F532" s="68">
        <v>7.8</v>
      </c>
      <c r="G532" s="69">
        <v>24</v>
      </c>
      <c r="H532" s="65" t="s">
        <v>1187</v>
      </c>
      <c r="I532" s="65" t="s">
        <v>42</v>
      </c>
      <c r="J532" s="65" t="s">
        <v>28</v>
      </c>
      <c r="K532" s="48">
        <f t="shared" si="104"/>
        <v>46079</v>
      </c>
      <c r="L532" s="48">
        <f t="shared" si="105"/>
        <v>46139</v>
      </c>
      <c r="M532" s="71"/>
      <c r="N532" s="72">
        <f t="shared" si="116"/>
        <v>1</v>
      </c>
      <c r="O532" s="50">
        <f t="shared" si="114"/>
        <v>7.8</v>
      </c>
      <c r="P532" s="56">
        <f t="shared" si="110"/>
        <v>24</v>
      </c>
      <c r="S532" s="189" t="s">
        <v>1188</v>
      </c>
      <c r="T532" s="201">
        <v>99</v>
      </c>
      <c r="U532" s="65" t="s">
        <v>1189</v>
      </c>
      <c r="V532" s="202"/>
      <c r="W532" s="202"/>
      <c r="X532" s="62" t="s">
        <v>25</v>
      </c>
      <c r="Y532" s="63">
        <f t="shared" si="98"/>
        <v>7.8</v>
      </c>
      <c r="Z532" s="64">
        <f t="shared" si="115"/>
        <v>0</v>
      </c>
      <c r="AA532" s="64">
        <v>1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</row>
    <row r="533" spans="1:48" ht="15.75" customHeight="1">
      <c r="A533" s="106">
        <v>20260036</v>
      </c>
      <c r="B533" s="107" t="s">
        <v>990</v>
      </c>
      <c r="C533" s="108">
        <v>46052</v>
      </c>
      <c r="D533" s="108">
        <v>46071</v>
      </c>
      <c r="E533" s="106">
        <v>2</v>
      </c>
      <c r="F533" s="106">
        <v>17.14</v>
      </c>
      <c r="G533" s="106">
        <v>48</v>
      </c>
      <c r="H533" s="107" t="s">
        <v>1190</v>
      </c>
      <c r="I533" s="107" t="s">
        <v>42</v>
      </c>
      <c r="J533" s="107" t="s">
        <v>28</v>
      </c>
      <c r="K533" s="108">
        <f t="shared" si="104"/>
        <v>46079</v>
      </c>
      <c r="L533" s="108">
        <f t="shared" si="105"/>
        <v>46139</v>
      </c>
      <c r="M533" s="111"/>
      <c r="N533" s="112">
        <f>E533-2</f>
        <v>0</v>
      </c>
      <c r="O533" s="113">
        <f t="shared" si="114"/>
        <v>0</v>
      </c>
      <c r="P533" s="112">
        <f t="shared" si="110"/>
        <v>0</v>
      </c>
      <c r="Q533" s="109"/>
      <c r="R533" s="107"/>
      <c r="S533" s="107" t="s">
        <v>1191</v>
      </c>
      <c r="T533" s="114">
        <v>100</v>
      </c>
      <c r="U533" s="107" t="s">
        <v>1192</v>
      </c>
      <c r="V533" s="270"/>
      <c r="W533" s="270"/>
      <c r="X533" s="106" t="s">
        <v>55</v>
      </c>
      <c r="Y533" s="63">
        <f t="shared" si="98"/>
        <v>8.57</v>
      </c>
      <c r="Z533" s="64">
        <f t="shared" si="115"/>
        <v>2</v>
      </c>
      <c r="AA533" s="64">
        <v>1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</row>
    <row r="534" spans="1:48" ht="15.75" customHeight="1">
      <c r="A534" s="106">
        <v>20260036</v>
      </c>
      <c r="B534" s="107" t="s">
        <v>990</v>
      </c>
      <c r="C534" s="108">
        <v>46052</v>
      </c>
      <c r="D534" s="108">
        <v>46071</v>
      </c>
      <c r="E534" s="106">
        <v>14</v>
      </c>
      <c r="F534" s="106">
        <v>246.4</v>
      </c>
      <c r="G534" s="106">
        <v>240</v>
      </c>
      <c r="H534" s="107" t="s">
        <v>1193</v>
      </c>
      <c r="I534" s="107" t="s">
        <v>449</v>
      </c>
      <c r="J534" s="107" t="s">
        <v>28</v>
      </c>
      <c r="K534" s="108">
        <f t="shared" si="104"/>
        <v>46079</v>
      </c>
      <c r="L534" s="108">
        <f t="shared" si="105"/>
        <v>46139</v>
      </c>
      <c r="M534" s="111"/>
      <c r="N534" s="112">
        <f>E534-9-5</f>
        <v>0</v>
      </c>
      <c r="O534" s="113">
        <f t="shared" si="114"/>
        <v>0</v>
      </c>
      <c r="P534" s="112">
        <f t="shared" si="110"/>
        <v>0</v>
      </c>
      <c r="Q534" s="109"/>
      <c r="R534" s="107"/>
      <c r="S534" s="107" t="s">
        <v>1194</v>
      </c>
      <c r="T534" s="114">
        <v>102</v>
      </c>
      <c r="U534" s="107" t="s">
        <v>1195</v>
      </c>
      <c r="V534" s="270"/>
      <c r="W534" s="270"/>
      <c r="X534" s="106" t="s">
        <v>55</v>
      </c>
      <c r="Y534" s="63">
        <f t="shared" ref="Y534:Y597" si="117">F534/E534</f>
        <v>17.600000000000001</v>
      </c>
      <c r="Z534" s="202"/>
      <c r="AA534" s="64">
        <v>1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</row>
    <row r="535" spans="1:48" ht="15.75" customHeight="1">
      <c r="A535" s="106">
        <v>20260036</v>
      </c>
      <c r="B535" s="107" t="s">
        <v>990</v>
      </c>
      <c r="C535" s="108">
        <v>46052</v>
      </c>
      <c r="D535" s="108">
        <v>46071</v>
      </c>
      <c r="E535" s="106">
        <v>2</v>
      </c>
      <c r="F535" s="106">
        <v>38</v>
      </c>
      <c r="G535" s="106">
        <v>48</v>
      </c>
      <c r="H535" s="107" t="s">
        <v>1032</v>
      </c>
      <c r="I535" s="107" t="s">
        <v>449</v>
      </c>
      <c r="J535" s="107" t="s">
        <v>28</v>
      </c>
      <c r="K535" s="108">
        <f t="shared" si="104"/>
        <v>46079</v>
      </c>
      <c r="L535" s="108">
        <f t="shared" si="105"/>
        <v>46139</v>
      </c>
      <c r="M535" s="111"/>
      <c r="N535" s="112">
        <f>E535-2</f>
        <v>0</v>
      </c>
      <c r="O535" s="113">
        <f t="shared" si="114"/>
        <v>0</v>
      </c>
      <c r="P535" s="112">
        <f t="shared" si="110"/>
        <v>0</v>
      </c>
      <c r="Q535" s="109"/>
      <c r="R535" s="107"/>
      <c r="S535" s="107" t="s">
        <v>1196</v>
      </c>
      <c r="T535" s="114">
        <v>104</v>
      </c>
      <c r="U535" s="107" t="s">
        <v>1197</v>
      </c>
      <c r="V535" s="107"/>
      <c r="W535" s="107"/>
      <c r="X535" s="106" t="s">
        <v>55</v>
      </c>
      <c r="Y535" s="63">
        <f t="shared" si="117"/>
        <v>19</v>
      </c>
      <c r="Z535" s="202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</row>
    <row r="536" spans="1:48" ht="15.75" customHeight="1">
      <c r="A536" s="106">
        <v>20260036</v>
      </c>
      <c r="B536" s="107" t="s">
        <v>990</v>
      </c>
      <c r="C536" s="108">
        <v>46052</v>
      </c>
      <c r="D536" s="108">
        <v>46071</v>
      </c>
      <c r="E536" s="106">
        <v>1</v>
      </c>
      <c r="F536" s="106">
        <v>19.5</v>
      </c>
      <c r="G536" s="106">
        <v>60</v>
      </c>
      <c r="H536" s="107" t="s">
        <v>1198</v>
      </c>
      <c r="I536" s="107" t="s">
        <v>1199</v>
      </c>
      <c r="J536" s="107" t="s">
        <v>26</v>
      </c>
      <c r="K536" s="108">
        <f t="shared" si="104"/>
        <v>46079</v>
      </c>
      <c r="L536" s="108">
        <f t="shared" si="105"/>
        <v>46139</v>
      </c>
      <c r="M536" s="107"/>
      <c r="N536" s="112">
        <f>E536-1</f>
        <v>0</v>
      </c>
      <c r="O536" s="113">
        <f t="shared" si="114"/>
        <v>0</v>
      </c>
      <c r="P536" s="112">
        <f t="shared" si="110"/>
        <v>0</v>
      </c>
      <c r="Q536" s="109"/>
      <c r="R536" s="107"/>
      <c r="S536" s="109" t="s">
        <v>1200</v>
      </c>
      <c r="T536" s="114">
        <v>124</v>
      </c>
      <c r="U536" s="109" t="s">
        <v>1201</v>
      </c>
      <c r="V536" s="106"/>
      <c r="W536" s="106"/>
      <c r="X536" s="106" t="s">
        <v>55</v>
      </c>
      <c r="Y536" s="63">
        <f t="shared" si="117"/>
        <v>19.5</v>
      </c>
      <c r="AA536" s="64">
        <v>1</v>
      </c>
    </row>
    <row r="537" spans="1:48" ht="15.75" customHeight="1">
      <c r="A537" s="106">
        <v>20260036</v>
      </c>
      <c r="B537" s="107" t="s">
        <v>990</v>
      </c>
      <c r="C537" s="108">
        <v>46052</v>
      </c>
      <c r="D537" s="108">
        <v>46071</v>
      </c>
      <c r="E537" s="106">
        <v>2</v>
      </c>
      <c r="F537" s="106">
        <v>13.6</v>
      </c>
      <c r="G537" s="106">
        <v>24</v>
      </c>
      <c r="H537" s="107" t="s">
        <v>1202</v>
      </c>
      <c r="I537" s="107" t="s">
        <v>42</v>
      </c>
      <c r="J537" s="107" t="s">
        <v>28</v>
      </c>
      <c r="K537" s="108">
        <f t="shared" si="104"/>
        <v>46079</v>
      </c>
      <c r="L537" s="108">
        <f t="shared" si="105"/>
        <v>46139</v>
      </c>
      <c r="M537" s="107"/>
      <c r="N537" s="112">
        <f>E537-2</f>
        <v>0</v>
      </c>
      <c r="O537" s="113">
        <f t="shared" si="114"/>
        <v>0</v>
      </c>
      <c r="P537" s="112">
        <f t="shared" si="110"/>
        <v>0</v>
      </c>
      <c r="Q537" s="109"/>
      <c r="R537" s="107"/>
      <c r="S537" s="109" t="s">
        <v>1203</v>
      </c>
      <c r="T537" s="114">
        <v>130</v>
      </c>
      <c r="U537" s="109" t="s">
        <v>1204</v>
      </c>
      <c r="V537" s="106"/>
      <c r="W537" s="106"/>
      <c r="X537" s="106" t="s">
        <v>55</v>
      </c>
      <c r="Y537" s="63">
        <f t="shared" si="117"/>
        <v>6.8</v>
      </c>
      <c r="Z537" s="64">
        <f t="shared" ref="Z537:Z544" si="118">E537-N537</f>
        <v>2</v>
      </c>
    </row>
    <row r="538" spans="1:48" ht="15.75" customHeight="1">
      <c r="A538" s="106">
        <v>20260052</v>
      </c>
      <c r="B538" s="107" t="s">
        <v>1205</v>
      </c>
      <c r="C538" s="108">
        <v>46064</v>
      </c>
      <c r="D538" s="108">
        <v>46071</v>
      </c>
      <c r="E538" s="106">
        <v>2</v>
      </c>
      <c r="F538" s="106">
        <v>61.9010769230769</v>
      </c>
      <c r="G538" s="106">
        <v>120</v>
      </c>
      <c r="H538" s="107" t="s">
        <v>1056</v>
      </c>
      <c r="I538" s="107" t="s">
        <v>138</v>
      </c>
      <c r="J538" s="107" t="s">
        <v>26</v>
      </c>
      <c r="K538" s="108">
        <f t="shared" si="104"/>
        <v>46079</v>
      </c>
      <c r="L538" s="108">
        <f t="shared" si="105"/>
        <v>46139</v>
      </c>
      <c r="M538" s="107"/>
      <c r="N538" s="112">
        <f>E538-2</f>
        <v>0</v>
      </c>
      <c r="O538" s="113">
        <f t="shared" si="114"/>
        <v>0</v>
      </c>
      <c r="P538" s="112">
        <f t="shared" si="110"/>
        <v>0</v>
      </c>
      <c r="Q538" s="109"/>
      <c r="R538" s="107"/>
      <c r="S538" s="109" t="s">
        <v>1206</v>
      </c>
      <c r="T538" s="114">
        <v>1</v>
      </c>
      <c r="U538" s="109" t="s">
        <v>1207</v>
      </c>
      <c r="V538" s="106"/>
      <c r="W538" s="106"/>
      <c r="X538" s="106" t="s">
        <v>55</v>
      </c>
      <c r="Y538" s="63">
        <f t="shared" si="117"/>
        <v>30.95053846153845</v>
      </c>
      <c r="Z538" s="64">
        <f t="shared" si="118"/>
        <v>2</v>
      </c>
    </row>
    <row r="539" spans="1:48" ht="15.75" customHeight="1">
      <c r="A539" s="206">
        <v>20260052</v>
      </c>
      <c r="B539" s="207" t="s">
        <v>1205</v>
      </c>
      <c r="C539" s="208">
        <v>46064</v>
      </c>
      <c r="D539" s="208">
        <v>46071</v>
      </c>
      <c r="E539" s="206">
        <v>4</v>
      </c>
      <c r="F539" s="210">
        <v>123.802153846154</v>
      </c>
      <c r="G539" s="211">
        <v>96</v>
      </c>
      <c r="H539" s="207" t="s">
        <v>1056</v>
      </c>
      <c r="I539" s="207" t="s">
        <v>1208</v>
      </c>
      <c r="J539" s="207" t="s">
        <v>26</v>
      </c>
      <c r="K539" s="213">
        <f t="shared" si="104"/>
        <v>46079</v>
      </c>
      <c r="L539" s="213">
        <f t="shared" si="105"/>
        <v>46139</v>
      </c>
      <c r="M539" s="207"/>
      <c r="N539" s="215">
        <f>E539-1-3</f>
        <v>0</v>
      </c>
      <c r="O539" s="216">
        <f t="shared" si="114"/>
        <v>0</v>
      </c>
      <c r="P539" s="218">
        <f t="shared" si="110"/>
        <v>0</v>
      </c>
      <c r="S539" s="200" t="s">
        <v>1206</v>
      </c>
      <c r="T539" s="201">
        <v>1</v>
      </c>
      <c r="U539" s="58" t="s">
        <v>1207</v>
      </c>
      <c r="V539" s="46"/>
      <c r="W539" s="46"/>
      <c r="X539" s="182" t="s">
        <v>55</v>
      </c>
      <c r="Y539" s="63">
        <f t="shared" si="117"/>
        <v>30.9505384615385</v>
      </c>
      <c r="Z539" s="64">
        <f t="shared" si="118"/>
        <v>4</v>
      </c>
      <c r="AA539" s="64">
        <v>2</v>
      </c>
    </row>
    <row r="540" spans="1:48" ht="15.75" customHeight="1">
      <c r="A540" s="106">
        <v>20260052</v>
      </c>
      <c r="B540" s="107" t="s">
        <v>1205</v>
      </c>
      <c r="C540" s="108">
        <v>46064</v>
      </c>
      <c r="D540" s="108">
        <v>46071</v>
      </c>
      <c r="E540" s="106">
        <v>7</v>
      </c>
      <c r="F540" s="106">
        <v>216.653769230769</v>
      </c>
      <c r="G540" s="106">
        <v>168</v>
      </c>
      <c r="H540" s="107" t="s">
        <v>1056</v>
      </c>
      <c r="I540" s="107" t="s">
        <v>194</v>
      </c>
      <c r="J540" s="107" t="s">
        <v>26</v>
      </c>
      <c r="K540" s="108">
        <f t="shared" si="104"/>
        <v>46079</v>
      </c>
      <c r="L540" s="108">
        <f t="shared" si="105"/>
        <v>46139</v>
      </c>
      <c r="M540" s="107"/>
      <c r="N540" s="112">
        <f>E540-7</f>
        <v>0</v>
      </c>
      <c r="O540" s="113">
        <f t="shared" si="114"/>
        <v>0</v>
      </c>
      <c r="P540" s="112">
        <f t="shared" si="110"/>
        <v>0</v>
      </c>
      <c r="Q540" s="109"/>
      <c r="R540" s="107"/>
      <c r="S540" s="109" t="s">
        <v>1206</v>
      </c>
      <c r="T540" s="114">
        <v>1</v>
      </c>
      <c r="U540" s="109" t="s">
        <v>1207</v>
      </c>
      <c r="V540" s="106"/>
      <c r="W540" s="106"/>
      <c r="X540" s="106" t="s">
        <v>55</v>
      </c>
      <c r="Y540" s="63">
        <f t="shared" si="117"/>
        <v>30.950538461538429</v>
      </c>
      <c r="Z540" s="64">
        <f t="shared" si="118"/>
        <v>7</v>
      </c>
      <c r="AA540" s="64">
        <v>2</v>
      </c>
    </row>
    <row r="541" spans="1:48" ht="15.75" customHeight="1">
      <c r="A541" s="206">
        <v>20260052</v>
      </c>
      <c r="B541" s="207" t="s">
        <v>1205</v>
      </c>
      <c r="C541" s="208">
        <v>46064</v>
      </c>
      <c r="D541" s="208">
        <v>46071</v>
      </c>
      <c r="E541" s="206">
        <v>69</v>
      </c>
      <c r="F541" s="210">
        <v>0</v>
      </c>
      <c r="G541" s="211">
        <v>345</v>
      </c>
      <c r="H541" s="207" t="s">
        <v>1056</v>
      </c>
      <c r="I541" s="207" t="s">
        <v>24</v>
      </c>
      <c r="J541" s="207" t="s">
        <v>24</v>
      </c>
      <c r="K541" s="213">
        <f t="shared" si="104"/>
        <v>46079</v>
      </c>
      <c r="L541" s="213">
        <f t="shared" si="105"/>
        <v>46139</v>
      </c>
      <c r="M541" s="207"/>
      <c r="N541" s="215">
        <f>E541-29-25-5-5</f>
        <v>5</v>
      </c>
      <c r="O541" s="216">
        <f t="shared" si="114"/>
        <v>0</v>
      </c>
      <c r="P541" s="218">
        <f t="shared" si="110"/>
        <v>25</v>
      </c>
      <c r="S541" s="200" t="s">
        <v>1206</v>
      </c>
      <c r="T541" s="201">
        <v>1</v>
      </c>
      <c r="U541" s="58" t="s">
        <v>1207</v>
      </c>
      <c r="V541" s="46"/>
      <c r="W541" s="46"/>
      <c r="X541" s="182" t="s">
        <v>76</v>
      </c>
      <c r="Y541" s="63">
        <f t="shared" si="117"/>
        <v>0</v>
      </c>
      <c r="Z541" s="64">
        <f t="shared" si="118"/>
        <v>64</v>
      </c>
      <c r="AA541" s="64">
        <v>1</v>
      </c>
    </row>
    <row r="542" spans="1:48" ht="15.75" customHeight="1">
      <c r="A542" s="206">
        <v>20260052</v>
      </c>
      <c r="B542" s="207" t="s">
        <v>1205</v>
      </c>
      <c r="C542" s="208">
        <v>46064</v>
      </c>
      <c r="D542" s="208">
        <v>46071</v>
      </c>
      <c r="E542" s="206">
        <v>520</v>
      </c>
      <c r="F542" s="210">
        <v>2510.96</v>
      </c>
      <c r="G542" s="211">
        <v>480</v>
      </c>
      <c r="H542" s="207" t="s">
        <v>1209</v>
      </c>
      <c r="I542" s="207" t="s">
        <v>52</v>
      </c>
      <c r="J542" s="207" t="s">
        <v>52</v>
      </c>
      <c r="K542" s="213">
        <f t="shared" si="104"/>
        <v>46079</v>
      </c>
      <c r="L542" s="213">
        <f t="shared" si="105"/>
        <v>46139</v>
      </c>
      <c r="M542" s="207"/>
      <c r="N542" s="215">
        <f>E542-114-100-89-285</f>
        <v>-68</v>
      </c>
      <c r="O542" s="216">
        <f t="shared" si="114"/>
        <v>-328.35630769230767</v>
      </c>
      <c r="P542" s="218">
        <f t="shared" si="110"/>
        <v>-62.769230769230774</v>
      </c>
      <c r="S542" s="200" t="s">
        <v>1210</v>
      </c>
      <c r="T542" s="201">
        <v>2</v>
      </c>
      <c r="U542" s="58" t="s">
        <v>1211</v>
      </c>
      <c r="V542" s="46"/>
      <c r="W542" s="46"/>
      <c r="X542" s="182" t="s">
        <v>76</v>
      </c>
      <c r="Y542" s="63">
        <f t="shared" si="117"/>
        <v>4.8287692307692307</v>
      </c>
      <c r="Z542" s="64">
        <f t="shared" si="118"/>
        <v>588</v>
      </c>
      <c r="AA542" s="64">
        <v>1</v>
      </c>
    </row>
    <row r="543" spans="1:48" ht="15.75" customHeight="1">
      <c r="A543" s="206">
        <v>20260052</v>
      </c>
      <c r="B543" s="207" t="s">
        <v>1205</v>
      </c>
      <c r="C543" s="208">
        <v>46064</v>
      </c>
      <c r="D543" s="208">
        <v>46071</v>
      </c>
      <c r="E543" s="206">
        <v>84</v>
      </c>
      <c r="F543" s="210">
        <v>291.83999999999997</v>
      </c>
      <c r="G543" s="211">
        <v>100</v>
      </c>
      <c r="H543" s="207" t="s">
        <v>1212</v>
      </c>
      <c r="I543" s="207" t="s">
        <v>52</v>
      </c>
      <c r="J543" s="207" t="s">
        <v>52</v>
      </c>
      <c r="K543" s="213">
        <f t="shared" si="104"/>
        <v>46079</v>
      </c>
      <c r="L543" s="213">
        <f t="shared" si="105"/>
        <v>46139</v>
      </c>
      <c r="M543" s="207"/>
      <c r="N543" s="215">
        <f>E543-31</f>
        <v>53</v>
      </c>
      <c r="O543" s="216">
        <f t="shared" si="114"/>
        <v>184.13714285714286</v>
      </c>
      <c r="P543" s="218">
        <f t="shared" si="110"/>
        <v>63.095238095238095</v>
      </c>
      <c r="S543" s="200" t="s">
        <v>1213</v>
      </c>
      <c r="T543" s="201">
        <v>7</v>
      </c>
      <c r="U543" s="58" t="s">
        <v>1214</v>
      </c>
      <c r="V543" s="46"/>
      <c r="W543" s="46"/>
      <c r="X543" s="99" t="s">
        <v>76</v>
      </c>
      <c r="Y543" s="63">
        <f t="shared" si="117"/>
        <v>3.4742857142857142</v>
      </c>
      <c r="Z543" s="64">
        <f t="shared" si="118"/>
        <v>31</v>
      </c>
    </row>
    <row r="544" spans="1:48" ht="15.75" customHeight="1">
      <c r="A544" s="206">
        <v>20260052</v>
      </c>
      <c r="B544" s="207" t="s">
        <v>1205</v>
      </c>
      <c r="C544" s="208">
        <v>46064</v>
      </c>
      <c r="D544" s="208">
        <v>46071</v>
      </c>
      <c r="E544" s="206">
        <v>1019</v>
      </c>
      <c r="F544" s="210">
        <v>2878.74</v>
      </c>
      <c r="G544" s="211">
        <v>770</v>
      </c>
      <c r="H544" s="207" t="s">
        <v>1215</v>
      </c>
      <c r="I544" s="207" t="s">
        <v>72</v>
      </c>
      <c r="J544" s="207" t="s">
        <v>72</v>
      </c>
      <c r="K544" s="213">
        <f t="shared" si="104"/>
        <v>46079</v>
      </c>
      <c r="L544" s="213">
        <f t="shared" si="105"/>
        <v>46139</v>
      </c>
      <c r="M544" s="207"/>
      <c r="N544" s="215">
        <f>E544-73</f>
        <v>946</v>
      </c>
      <c r="O544" s="216">
        <f t="shared" si="114"/>
        <v>2672.510343473994</v>
      </c>
      <c r="P544" s="218">
        <f t="shared" si="110"/>
        <v>714.83807654563293</v>
      </c>
      <c r="S544" s="200" t="s">
        <v>1216</v>
      </c>
      <c r="T544" s="201">
        <v>4</v>
      </c>
      <c r="U544" s="58" t="s">
        <v>1217</v>
      </c>
      <c r="V544" s="46"/>
      <c r="W544" s="46"/>
      <c r="X544" s="182" t="s">
        <v>76</v>
      </c>
      <c r="Y544" s="63">
        <f t="shared" si="117"/>
        <v>2.8250637880274776</v>
      </c>
      <c r="Z544" s="64">
        <f t="shared" si="118"/>
        <v>73</v>
      </c>
    </row>
    <row r="545" spans="1:27" ht="15.75" customHeight="1">
      <c r="A545" s="106">
        <v>20260052</v>
      </c>
      <c r="B545" s="107" t="s">
        <v>1205</v>
      </c>
      <c r="C545" s="108">
        <v>46064</v>
      </c>
      <c r="D545" s="108">
        <v>46071</v>
      </c>
      <c r="E545" s="106">
        <v>80</v>
      </c>
      <c r="F545" s="106">
        <v>501</v>
      </c>
      <c r="G545" s="106">
        <v>60</v>
      </c>
      <c r="H545" s="107" t="s">
        <v>1218</v>
      </c>
      <c r="I545" s="107" t="s">
        <v>72</v>
      </c>
      <c r="J545" s="107" t="s">
        <v>72</v>
      </c>
      <c r="K545" s="108">
        <f t="shared" si="104"/>
        <v>46079</v>
      </c>
      <c r="L545" s="108">
        <f t="shared" si="105"/>
        <v>46139</v>
      </c>
      <c r="M545" s="107"/>
      <c r="N545" s="112">
        <f>E545-6-52-22</f>
        <v>0</v>
      </c>
      <c r="O545" s="113">
        <f t="shared" si="114"/>
        <v>0</v>
      </c>
      <c r="P545" s="112">
        <f t="shared" si="110"/>
        <v>0</v>
      </c>
      <c r="Q545" s="109"/>
      <c r="R545" s="107"/>
      <c r="S545" s="109" t="s">
        <v>1219</v>
      </c>
      <c r="T545" s="114">
        <v>5</v>
      </c>
      <c r="U545" s="109" t="s">
        <v>1220</v>
      </c>
      <c r="V545" s="106"/>
      <c r="W545" s="106"/>
      <c r="X545" s="106" t="s">
        <v>55</v>
      </c>
      <c r="Y545" s="63">
        <f t="shared" si="117"/>
        <v>6.2625000000000002</v>
      </c>
    </row>
    <row r="546" spans="1:27" ht="15.75" customHeight="1">
      <c r="A546" s="106">
        <v>20260052</v>
      </c>
      <c r="B546" s="107" t="s">
        <v>1205</v>
      </c>
      <c r="C546" s="108">
        <v>46064</v>
      </c>
      <c r="D546" s="108">
        <v>46071</v>
      </c>
      <c r="E546" s="106">
        <v>48</v>
      </c>
      <c r="F546" s="106">
        <v>239.6</v>
      </c>
      <c r="G546" s="106">
        <v>40</v>
      </c>
      <c r="H546" s="107" t="s">
        <v>1221</v>
      </c>
      <c r="I546" s="107" t="s">
        <v>354</v>
      </c>
      <c r="J546" s="107" t="s">
        <v>354</v>
      </c>
      <c r="K546" s="108">
        <f t="shared" si="104"/>
        <v>46079</v>
      </c>
      <c r="L546" s="108">
        <f t="shared" si="105"/>
        <v>46139</v>
      </c>
      <c r="M546" s="107"/>
      <c r="N546" s="112">
        <f>E546-18-30</f>
        <v>0</v>
      </c>
      <c r="O546" s="113">
        <f t="shared" si="114"/>
        <v>0</v>
      </c>
      <c r="P546" s="112">
        <f t="shared" si="110"/>
        <v>0</v>
      </c>
      <c r="Q546" s="109"/>
      <c r="R546" s="107"/>
      <c r="S546" s="109" t="s">
        <v>1222</v>
      </c>
      <c r="T546" s="114">
        <v>6</v>
      </c>
      <c r="U546" s="109" t="s">
        <v>1223</v>
      </c>
      <c r="V546" s="106"/>
      <c r="W546" s="106"/>
      <c r="X546" s="106" t="s">
        <v>55</v>
      </c>
      <c r="Y546" s="63">
        <f t="shared" si="117"/>
        <v>4.9916666666666663</v>
      </c>
      <c r="Z546" s="64">
        <f t="shared" ref="Z546" si="119">E546-N546</f>
        <v>48</v>
      </c>
      <c r="AA546" s="64">
        <v>1</v>
      </c>
    </row>
    <row r="547" spans="1:27" ht="15.75" customHeight="1">
      <c r="A547" s="106">
        <v>20260052</v>
      </c>
      <c r="B547" s="107" t="s">
        <v>1205</v>
      </c>
      <c r="C547" s="108">
        <v>46064</v>
      </c>
      <c r="D547" s="108">
        <v>46071</v>
      </c>
      <c r="E547" s="106">
        <v>25</v>
      </c>
      <c r="F547" s="106">
        <v>142.07599999999999</v>
      </c>
      <c r="G547" s="106">
        <v>23</v>
      </c>
      <c r="H547" s="107" t="s">
        <v>1224</v>
      </c>
      <c r="I547" s="107" t="s">
        <v>354</v>
      </c>
      <c r="J547" s="107" t="s">
        <v>354</v>
      </c>
      <c r="K547" s="108">
        <f t="shared" si="104"/>
        <v>46079</v>
      </c>
      <c r="L547" s="108">
        <f t="shared" si="105"/>
        <v>46139</v>
      </c>
      <c r="M547" s="107"/>
      <c r="N547" s="112">
        <f>E547-21-4</f>
        <v>0</v>
      </c>
      <c r="O547" s="113">
        <f t="shared" si="114"/>
        <v>0</v>
      </c>
      <c r="P547" s="112">
        <f t="shared" si="110"/>
        <v>0</v>
      </c>
      <c r="Q547" s="109"/>
      <c r="R547" s="107"/>
      <c r="S547" s="109" t="s">
        <v>1225</v>
      </c>
      <c r="T547" s="114">
        <v>8</v>
      </c>
      <c r="U547" s="109" t="s">
        <v>1226</v>
      </c>
      <c r="V547" s="106"/>
      <c r="W547" s="106"/>
      <c r="X547" s="106" t="s">
        <v>55</v>
      </c>
      <c r="Y547" s="63">
        <f t="shared" si="117"/>
        <v>5.6830400000000001</v>
      </c>
      <c r="AA547" s="64">
        <v>1</v>
      </c>
    </row>
    <row r="548" spans="1:27" ht="15.75" customHeight="1">
      <c r="A548" s="206">
        <v>20260052</v>
      </c>
      <c r="B548" s="207" t="s">
        <v>1205</v>
      </c>
      <c r="C548" s="208">
        <v>46064</v>
      </c>
      <c r="D548" s="208">
        <v>46071</v>
      </c>
      <c r="E548" s="206">
        <v>424</v>
      </c>
      <c r="F548" s="210">
        <v>1149.268</v>
      </c>
      <c r="G548" s="211">
        <v>320</v>
      </c>
      <c r="H548" s="207" t="s">
        <v>532</v>
      </c>
      <c r="I548" s="207" t="s">
        <v>86</v>
      </c>
      <c r="J548" s="207" t="s">
        <v>86</v>
      </c>
      <c r="K548" s="213">
        <f t="shared" si="104"/>
        <v>46079</v>
      </c>
      <c r="L548" s="213">
        <f t="shared" si="105"/>
        <v>46139</v>
      </c>
      <c r="M548" s="207"/>
      <c r="N548" s="215">
        <f>E548-40-15-49-7</f>
        <v>313</v>
      </c>
      <c r="O548" s="216">
        <f t="shared" si="114"/>
        <v>848.39831132075471</v>
      </c>
      <c r="P548" s="218">
        <f t="shared" si="110"/>
        <v>236.22641509433964</v>
      </c>
      <c r="S548" s="200" t="s">
        <v>1227</v>
      </c>
      <c r="T548" s="201">
        <v>3</v>
      </c>
      <c r="U548" s="58" t="s">
        <v>1228</v>
      </c>
      <c r="V548" s="46"/>
      <c r="W548" s="46"/>
      <c r="X548" s="99" t="s">
        <v>76</v>
      </c>
      <c r="Y548" s="63">
        <f t="shared" si="117"/>
        <v>2.7105377358490568</v>
      </c>
      <c r="Z548" s="64">
        <f t="shared" ref="Z548" si="120">E548-N548</f>
        <v>111</v>
      </c>
      <c r="AA548" s="64">
        <v>1</v>
      </c>
    </row>
    <row r="549" spans="1:27" ht="15.75" customHeight="1">
      <c r="A549" s="106">
        <v>20260057</v>
      </c>
      <c r="B549" s="107" t="s">
        <v>1229</v>
      </c>
      <c r="C549" s="108">
        <v>46070</v>
      </c>
      <c r="D549" s="108">
        <v>46071</v>
      </c>
      <c r="E549" s="106">
        <v>2</v>
      </c>
      <c r="F549" s="106">
        <v>68.2</v>
      </c>
      <c r="G549" s="106">
        <v>48</v>
      </c>
      <c r="H549" s="107" t="s">
        <v>1230</v>
      </c>
      <c r="I549" s="107" t="s">
        <v>194</v>
      </c>
      <c r="J549" s="107" t="s">
        <v>26</v>
      </c>
      <c r="K549" s="108">
        <f t="shared" si="104"/>
        <v>46079</v>
      </c>
      <c r="L549" s="108">
        <f t="shared" si="105"/>
        <v>46139</v>
      </c>
      <c r="M549" s="107"/>
      <c r="N549" s="112">
        <f>E549-2</f>
        <v>0</v>
      </c>
      <c r="O549" s="113">
        <f t="shared" si="114"/>
        <v>0</v>
      </c>
      <c r="P549" s="112">
        <f t="shared" si="110"/>
        <v>0</v>
      </c>
      <c r="Q549" s="109"/>
      <c r="R549" s="107"/>
      <c r="S549" s="109" t="s">
        <v>1231</v>
      </c>
      <c r="T549" s="114">
        <v>2</v>
      </c>
      <c r="U549" s="109" t="s">
        <v>1232</v>
      </c>
      <c r="V549" s="106"/>
      <c r="W549" s="106"/>
      <c r="X549" s="106" t="s">
        <v>55</v>
      </c>
      <c r="Y549" s="63">
        <f t="shared" si="117"/>
        <v>34.1</v>
      </c>
      <c r="AA549" s="64">
        <v>1</v>
      </c>
    </row>
    <row r="550" spans="1:27" ht="15.75" customHeight="1">
      <c r="A550" s="106">
        <v>20260057</v>
      </c>
      <c r="B550" s="107" t="s">
        <v>1229</v>
      </c>
      <c r="C550" s="108">
        <v>46070</v>
      </c>
      <c r="D550" s="108">
        <v>46071</v>
      </c>
      <c r="E550" s="106">
        <v>2</v>
      </c>
      <c r="F550" s="106">
        <v>0</v>
      </c>
      <c r="G550" s="106">
        <v>10</v>
      </c>
      <c r="H550" s="107" t="s">
        <v>1230</v>
      </c>
      <c r="I550" s="107" t="s">
        <v>24</v>
      </c>
      <c r="J550" s="107" t="s">
        <v>24</v>
      </c>
      <c r="K550" s="108">
        <f t="shared" si="104"/>
        <v>46079</v>
      </c>
      <c r="L550" s="108">
        <f t="shared" si="105"/>
        <v>46139</v>
      </c>
      <c r="M550" s="107"/>
      <c r="N550" s="112">
        <f>E550-2</f>
        <v>0</v>
      </c>
      <c r="O550" s="113">
        <f t="shared" si="114"/>
        <v>0</v>
      </c>
      <c r="P550" s="112">
        <f t="shared" si="110"/>
        <v>0</v>
      </c>
      <c r="Q550" s="109"/>
      <c r="R550" s="107"/>
      <c r="S550" s="109" t="s">
        <v>1231</v>
      </c>
      <c r="T550" s="114">
        <v>2</v>
      </c>
      <c r="U550" s="109"/>
      <c r="V550" s="106"/>
      <c r="W550" s="106"/>
      <c r="X550" s="106" t="s">
        <v>55</v>
      </c>
      <c r="Y550" s="63">
        <f t="shared" si="117"/>
        <v>0</v>
      </c>
      <c r="AA550" s="64">
        <v>1</v>
      </c>
    </row>
    <row r="551" spans="1:27" ht="15.75" customHeight="1">
      <c r="A551" s="63">
        <v>20260057</v>
      </c>
      <c r="B551" s="65" t="s">
        <v>1229</v>
      </c>
      <c r="C551" s="66">
        <v>46070</v>
      </c>
      <c r="D551" s="66">
        <v>46071</v>
      </c>
      <c r="E551" s="63">
        <v>1</v>
      </c>
      <c r="F551" s="68">
        <v>7.5</v>
      </c>
      <c r="G551" s="69">
        <v>24</v>
      </c>
      <c r="H551" s="65" t="s">
        <v>1233</v>
      </c>
      <c r="I551" s="65" t="s">
        <v>42</v>
      </c>
      <c r="J551" s="65" t="s">
        <v>28</v>
      </c>
      <c r="K551" s="48">
        <f t="shared" si="104"/>
        <v>46079</v>
      </c>
      <c r="L551" s="48">
        <f t="shared" si="105"/>
        <v>46139</v>
      </c>
      <c r="N551" s="72">
        <f t="shared" ref="N551:N557" si="121">E551</f>
        <v>1</v>
      </c>
      <c r="O551" s="50">
        <f t="shared" si="114"/>
        <v>7.5</v>
      </c>
      <c r="P551" s="56">
        <f t="shared" si="110"/>
        <v>24</v>
      </c>
      <c r="S551" s="200" t="s">
        <v>1234</v>
      </c>
      <c r="T551" s="201">
        <v>3</v>
      </c>
      <c r="U551" s="58" t="s">
        <v>1235</v>
      </c>
      <c r="V551" s="46"/>
      <c r="W551" s="46"/>
      <c r="X551" s="62" t="s">
        <v>25</v>
      </c>
      <c r="Y551" s="63">
        <f t="shared" si="117"/>
        <v>7.5</v>
      </c>
      <c r="Z551" s="64">
        <f t="shared" ref="Z551:Z560" si="122">E551-N551</f>
        <v>0</v>
      </c>
      <c r="AA551" s="64">
        <v>1</v>
      </c>
    </row>
    <row r="552" spans="1:27" ht="15.75" customHeight="1">
      <c r="A552" s="63">
        <v>20260057</v>
      </c>
      <c r="B552" s="65" t="s">
        <v>1229</v>
      </c>
      <c r="C552" s="66">
        <v>46070</v>
      </c>
      <c r="D552" s="66">
        <v>46071</v>
      </c>
      <c r="E552" s="63">
        <v>1</v>
      </c>
      <c r="F552" s="68">
        <v>15</v>
      </c>
      <c r="G552" s="69">
        <v>24</v>
      </c>
      <c r="H552" s="65" t="s">
        <v>1236</v>
      </c>
      <c r="I552" s="65" t="s">
        <v>42</v>
      </c>
      <c r="J552" s="65" t="s">
        <v>28</v>
      </c>
      <c r="K552" s="48">
        <f t="shared" si="104"/>
        <v>46079</v>
      </c>
      <c r="L552" s="48">
        <f t="shared" si="105"/>
        <v>46139</v>
      </c>
      <c r="N552" s="72">
        <f t="shared" si="121"/>
        <v>1</v>
      </c>
      <c r="O552" s="50">
        <f t="shared" si="114"/>
        <v>15</v>
      </c>
      <c r="P552" s="56">
        <f t="shared" si="110"/>
        <v>24</v>
      </c>
      <c r="S552" s="200" t="s">
        <v>1237</v>
      </c>
      <c r="T552" s="201">
        <v>4</v>
      </c>
      <c r="U552" s="58" t="s">
        <v>1238</v>
      </c>
      <c r="V552" s="46"/>
      <c r="W552" s="46"/>
      <c r="X552" s="62" t="s">
        <v>25</v>
      </c>
      <c r="Y552" s="63">
        <f t="shared" si="117"/>
        <v>15</v>
      </c>
      <c r="Z552" s="64">
        <f t="shared" si="122"/>
        <v>0</v>
      </c>
      <c r="AA552" s="64">
        <v>1</v>
      </c>
    </row>
    <row r="553" spans="1:27" ht="15.75" customHeight="1">
      <c r="A553" s="63">
        <v>20260057</v>
      </c>
      <c r="B553" s="65" t="s">
        <v>1229</v>
      </c>
      <c r="C553" s="66">
        <v>46070</v>
      </c>
      <c r="D553" s="66">
        <v>46071</v>
      </c>
      <c r="E553" s="63">
        <v>1</v>
      </c>
      <c r="F553" s="68">
        <v>15</v>
      </c>
      <c r="G553" s="69">
        <v>24</v>
      </c>
      <c r="H553" s="65" t="s">
        <v>1239</v>
      </c>
      <c r="I553" s="65" t="s">
        <v>42</v>
      </c>
      <c r="J553" s="65" t="s">
        <v>28</v>
      </c>
      <c r="K553" s="48">
        <f t="shared" si="104"/>
        <v>46079</v>
      </c>
      <c r="L553" s="48">
        <f t="shared" si="105"/>
        <v>46139</v>
      </c>
      <c r="N553" s="72">
        <f t="shared" si="121"/>
        <v>1</v>
      </c>
      <c r="O553" s="50">
        <f t="shared" si="114"/>
        <v>15</v>
      </c>
      <c r="P553" s="56">
        <f t="shared" si="110"/>
        <v>24</v>
      </c>
      <c r="S553" s="200" t="s">
        <v>1240</v>
      </c>
      <c r="T553" s="201">
        <v>5</v>
      </c>
      <c r="U553" s="58" t="s">
        <v>1238</v>
      </c>
      <c r="V553" s="46"/>
      <c r="W553" s="46"/>
      <c r="X553" s="62" t="s">
        <v>25</v>
      </c>
      <c r="Y553" s="63">
        <f t="shared" si="117"/>
        <v>15</v>
      </c>
      <c r="Z553" s="64">
        <f t="shared" si="122"/>
        <v>0</v>
      </c>
      <c r="AA553" s="64">
        <v>1</v>
      </c>
    </row>
    <row r="554" spans="1:27" ht="15.75" customHeight="1">
      <c r="A554" s="106">
        <v>20260057</v>
      </c>
      <c r="B554" s="107" t="s">
        <v>1229</v>
      </c>
      <c r="C554" s="108">
        <v>46070</v>
      </c>
      <c r="D554" s="108">
        <v>46071</v>
      </c>
      <c r="E554" s="106">
        <v>1</v>
      </c>
      <c r="F554" s="106">
        <v>8.9</v>
      </c>
      <c r="G554" s="106">
        <v>24</v>
      </c>
      <c r="H554" s="107" t="s">
        <v>1241</v>
      </c>
      <c r="I554" s="107" t="s">
        <v>42</v>
      </c>
      <c r="J554" s="107" t="s">
        <v>28</v>
      </c>
      <c r="K554" s="108">
        <f t="shared" si="104"/>
        <v>46079</v>
      </c>
      <c r="L554" s="108">
        <f t="shared" si="105"/>
        <v>46139</v>
      </c>
      <c r="M554" s="107"/>
      <c r="N554" s="112">
        <f>E554-1</f>
        <v>0</v>
      </c>
      <c r="O554" s="113">
        <f t="shared" si="114"/>
        <v>0</v>
      </c>
      <c r="P554" s="112">
        <f t="shared" si="110"/>
        <v>0</v>
      </c>
      <c r="Q554" s="109"/>
      <c r="R554" s="107"/>
      <c r="S554" s="109" t="s">
        <v>1242</v>
      </c>
      <c r="T554" s="114">
        <v>6</v>
      </c>
      <c r="U554" s="109" t="s">
        <v>1243</v>
      </c>
      <c r="V554" s="106"/>
      <c r="W554" s="106"/>
      <c r="X554" s="106" t="s">
        <v>55</v>
      </c>
      <c r="Y554" s="63">
        <f t="shared" si="117"/>
        <v>8.9</v>
      </c>
      <c r="Z554" s="64">
        <f t="shared" si="122"/>
        <v>1</v>
      </c>
      <c r="AA554" s="64">
        <v>1</v>
      </c>
    </row>
    <row r="555" spans="1:27" ht="15.75" customHeight="1">
      <c r="A555" s="106">
        <v>20260057</v>
      </c>
      <c r="B555" s="107" t="s">
        <v>1229</v>
      </c>
      <c r="C555" s="108">
        <v>46070</v>
      </c>
      <c r="D555" s="108">
        <v>46071</v>
      </c>
      <c r="E555" s="106">
        <v>1</v>
      </c>
      <c r="F555" s="106">
        <v>8.9</v>
      </c>
      <c r="G555" s="106">
        <v>24</v>
      </c>
      <c r="H555" s="107" t="s">
        <v>1241</v>
      </c>
      <c r="I555" s="107" t="s">
        <v>63</v>
      </c>
      <c r="J555" s="107" t="s">
        <v>28</v>
      </c>
      <c r="K555" s="108">
        <f t="shared" si="104"/>
        <v>46079</v>
      </c>
      <c r="L555" s="108">
        <f t="shared" si="105"/>
        <v>46139</v>
      </c>
      <c r="M555" s="107"/>
      <c r="N555" s="112">
        <f>E555-1</f>
        <v>0</v>
      </c>
      <c r="O555" s="113">
        <f t="shared" si="114"/>
        <v>0</v>
      </c>
      <c r="P555" s="112">
        <f t="shared" si="110"/>
        <v>0</v>
      </c>
      <c r="Q555" s="109"/>
      <c r="R555" s="107"/>
      <c r="S555" s="109" t="s">
        <v>1242</v>
      </c>
      <c r="T555" s="114">
        <v>6</v>
      </c>
      <c r="U555" s="109"/>
      <c r="V555" s="106"/>
      <c r="W555" s="106"/>
      <c r="X555" s="106" t="s">
        <v>55</v>
      </c>
      <c r="Y555" s="63">
        <f t="shared" si="117"/>
        <v>8.9</v>
      </c>
      <c r="Z555" s="64">
        <f t="shared" si="122"/>
        <v>1</v>
      </c>
      <c r="AA555" s="64">
        <v>1</v>
      </c>
    </row>
    <row r="556" spans="1:27" ht="15.75" customHeight="1">
      <c r="A556" s="63">
        <v>20260057</v>
      </c>
      <c r="B556" s="65" t="s">
        <v>1229</v>
      </c>
      <c r="C556" s="66">
        <v>46070</v>
      </c>
      <c r="D556" s="66">
        <v>46071</v>
      </c>
      <c r="E556" s="63">
        <v>1</v>
      </c>
      <c r="F556" s="68">
        <v>41.933999999999997</v>
      </c>
      <c r="G556" s="69">
        <v>24</v>
      </c>
      <c r="H556" s="65" t="s">
        <v>1244</v>
      </c>
      <c r="I556" s="65" t="s">
        <v>194</v>
      </c>
      <c r="J556" s="65" t="s">
        <v>26</v>
      </c>
      <c r="K556" s="48">
        <f t="shared" si="104"/>
        <v>46079</v>
      </c>
      <c r="L556" s="48">
        <f t="shared" si="105"/>
        <v>46139</v>
      </c>
      <c r="N556" s="72">
        <f t="shared" si="121"/>
        <v>1</v>
      </c>
      <c r="O556" s="50">
        <f t="shared" si="114"/>
        <v>41.933999999999997</v>
      </c>
      <c r="P556" s="56">
        <f t="shared" si="110"/>
        <v>24</v>
      </c>
      <c r="S556" s="200" t="s">
        <v>1245</v>
      </c>
      <c r="T556" s="201">
        <v>7</v>
      </c>
      <c r="U556" s="58" t="s">
        <v>1246</v>
      </c>
      <c r="V556" s="46"/>
      <c r="W556" s="46"/>
      <c r="X556" s="62" t="s">
        <v>25</v>
      </c>
      <c r="Y556" s="63">
        <f t="shared" si="117"/>
        <v>41.933999999999997</v>
      </c>
      <c r="Z556" s="64">
        <f t="shared" si="122"/>
        <v>0</v>
      </c>
      <c r="AA556" s="64">
        <v>2</v>
      </c>
    </row>
    <row r="557" spans="1:27" ht="15.75" customHeight="1">
      <c r="A557" s="63">
        <v>20260057</v>
      </c>
      <c r="B557" s="65" t="s">
        <v>1229</v>
      </c>
      <c r="C557" s="66">
        <v>46070</v>
      </c>
      <c r="D557" s="66">
        <v>46071</v>
      </c>
      <c r="E557" s="63">
        <v>5</v>
      </c>
      <c r="F557" s="68">
        <v>0</v>
      </c>
      <c r="G557" s="69">
        <v>20</v>
      </c>
      <c r="H557" s="65" t="s">
        <v>1244</v>
      </c>
      <c r="I557" s="65" t="s">
        <v>24</v>
      </c>
      <c r="J557" s="65" t="s">
        <v>24</v>
      </c>
      <c r="K557" s="48">
        <f t="shared" ref="K557:K620" si="123">D557+8</f>
        <v>46079</v>
      </c>
      <c r="L557" s="48">
        <f t="shared" ref="L557:L620" si="124">K557+60</f>
        <v>46139</v>
      </c>
      <c r="N557" s="72">
        <f t="shared" si="121"/>
        <v>5</v>
      </c>
      <c r="O557" s="50">
        <f t="shared" si="114"/>
        <v>0</v>
      </c>
      <c r="P557" s="56">
        <f t="shared" si="110"/>
        <v>20</v>
      </c>
      <c r="S557" s="200" t="s">
        <v>1245</v>
      </c>
      <c r="T557" s="201">
        <v>7</v>
      </c>
      <c r="U557" s="58"/>
      <c r="V557" s="46"/>
      <c r="W557" s="46"/>
      <c r="X557" s="62" t="s">
        <v>25</v>
      </c>
      <c r="Y557" s="63">
        <f t="shared" si="117"/>
        <v>0</v>
      </c>
      <c r="Z557" s="64">
        <f t="shared" si="122"/>
        <v>0</v>
      </c>
      <c r="AA557" s="64">
        <v>1</v>
      </c>
    </row>
    <row r="558" spans="1:27" ht="15.75" customHeight="1">
      <c r="A558" s="206">
        <v>20260057</v>
      </c>
      <c r="B558" s="207" t="s">
        <v>1229</v>
      </c>
      <c r="C558" s="208">
        <v>46070</v>
      </c>
      <c r="D558" s="208">
        <v>46071</v>
      </c>
      <c r="E558" s="206">
        <v>2</v>
      </c>
      <c r="F558" s="210">
        <v>23.4</v>
      </c>
      <c r="G558" s="211">
        <v>48</v>
      </c>
      <c r="H558" s="207" t="s">
        <v>1247</v>
      </c>
      <c r="I558" s="207" t="s">
        <v>42</v>
      </c>
      <c r="J558" s="207" t="s">
        <v>28</v>
      </c>
      <c r="K558" s="213">
        <f t="shared" si="123"/>
        <v>46079</v>
      </c>
      <c r="L558" s="213">
        <f t="shared" si="124"/>
        <v>46139</v>
      </c>
      <c r="M558" s="207"/>
      <c r="N558" s="215">
        <f>E558-1</f>
        <v>1</v>
      </c>
      <c r="O558" s="216">
        <f t="shared" si="114"/>
        <v>11.7</v>
      </c>
      <c r="P558" s="218">
        <f t="shared" si="110"/>
        <v>24</v>
      </c>
      <c r="S558" s="200" t="s">
        <v>1248</v>
      </c>
      <c r="T558" s="201">
        <v>9</v>
      </c>
      <c r="U558" s="58" t="s">
        <v>1249</v>
      </c>
      <c r="V558" s="46"/>
      <c r="W558" s="46"/>
      <c r="X558" s="182" t="s">
        <v>76</v>
      </c>
      <c r="Y558" s="63">
        <f t="shared" si="117"/>
        <v>11.7</v>
      </c>
      <c r="Z558" s="64">
        <f t="shared" si="122"/>
        <v>1</v>
      </c>
      <c r="AA558" s="64">
        <v>1</v>
      </c>
    </row>
    <row r="559" spans="1:27" ht="15.75" customHeight="1">
      <c r="A559" s="106">
        <v>20260057</v>
      </c>
      <c r="B559" s="107" t="s">
        <v>1229</v>
      </c>
      <c r="C559" s="108">
        <v>46070</v>
      </c>
      <c r="D559" s="108">
        <v>46071</v>
      </c>
      <c r="E559" s="106">
        <v>2</v>
      </c>
      <c r="F559" s="106">
        <v>18</v>
      </c>
      <c r="G559" s="106">
        <v>48</v>
      </c>
      <c r="H559" s="107" t="s">
        <v>1250</v>
      </c>
      <c r="I559" s="107" t="s">
        <v>42</v>
      </c>
      <c r="J559" s="107" t="s">
        <v>28</v>
      </c>
      <c r="K559" s="108">
        <f t="shared" si="123"/>
        <v>46079</v>
      </c>
      <c r="L559" s="108">
        <f t="shared" si="124"/>
        <v>46139</v>
      </c>
      <c r="M559" s="107"/>
      <c r="N559" s="112">
        <f>E559-2</f>
        <v>0</v>
      </c>
      <c r="O559" s="113">
        <f t="shared" si="114"/>
        <v>0</v>
      </c>
      <c r="P559" s="112">
        <f t="shared" si="110"/>
        <v>0</v>
      </c>
      <c r="Q559" s="109"/>
      <c r="R559" s="107"/>
      <c r="S559" s="109" t="s">
        <v>1251</v>
      </c>
      <c r="T559" s="114">
        <v>10</v>
      </c>
      <c r="U559" s="109" t="s">
        <v>1252</v>
      </c>
      <c r="V559" s="106"/>
      <c r="W559" s="106"/>
      <c r="X559" s="106" t="s">
        <v>55</v>
      </c>
      <c r="Y559" s="63">
        <f t="shared" si="117"/>
        <v>9</v>
      </c>
      <c r="Z559" s="64">
        <f t="shared" si="122"/>
        <v>2</v>
      </c>
      <c r="AA559" s="64">
        <v>2</v>
      </c>
    </row>
    <row r="560" spans="1:27" ht="15.75" customHeight="1">
      <c r="A560" s="106">
        <v>20260057</v>
      </c>
      <c r="B560" s="107" t="s">
        <v>1229</v>
      </c>
      <c r="C560" s="108">
        <v>46070</v>
      </c>
      <c r="D560" s="108">
        <v>46071</v>
      </c>
      <c r="E560" s="106">
        <v>1</v>
      </c>
      <c r="F560" s="106">
        <v>16.579999999999998</v>
      </c>
      <c r="G560" s="106">
        <v>24</v>
      </c>
      <c r="H560" s="107" t="s">
        <v>1253</v>
      </c>
      <c r="I560" s="107" t="s">
        <v>42</v>
      </c>
      <c r="J560" s="107" t="s">
        <v>28</v>
      </c>
      <c r="K560" s="108">
        <f t="shared" si="123"/>
        <v>46079</v>
      </c>
      <c r="L560" s="108">
        <f t="shared" si="124"/>
        <v>46139</v>
      </c>
      <c r="M560" s="107"/>
      <c r="N560" s="112">
        <f t="shared" ref="N560:N565" si="125">E560-1</f>
        <v>0</v>
      </c>
      <c r="O560" s="113">
        <f t="shared" si="114"/>
        <v>0</v>
      </c>
      <c r="P560" s="112">
        <f t="shared" si="110"/>
        <v>0</v>
      </c>
      <c r="Q560" s="109"/>
      <c r="R560" s="107"/>
      <c r="S560" s="109" t="s">
        <v>1254</v>
      </c>
      <c r="T560" s="114">
        <v>11</v>
      </c>
      <c r="U560" s="109" t="s">
        <v>1255</v>
      </c>
      <c r="V560" s="106"/>
      <c r="W560" s="106"/>
      <c r="X560" s="106" t="s">
        <v>55</v>
      </c>
      <c r="Y560" s="63">
        <f t="shared" si="117"/>
        <v>16.579999999999998</v>
      </c>
      <c r="Z560" s="64">
        <f t="shared" si="122"/>
        <v>1</v>
      </c>
      <c r="AA560" s="64">
        <v>6</v>
      </c>
    </row>
    <row r="561" spans="1:27" ht="15.75" customHeight="1">
      <c r="A561" s="106">
        <v>20260057</v>
      </c>
      <c r="B561" s="107" t="s">
        <v>1229</v>
      </c>
      <c r="C561" s="108">
        <v>46070</v>
      </c>
      <c r="D561" s="108">
        <v>46071</v>
      </c>
      <c r="E561" s="106">
        <v>1</v>
      </c>
      <c r="F561" s="106">
        <v>16.600000000000001</v>
      </c>
      <c r="G561" s="106">
        <v>24</v>
      </c>
      <c r="H561" s="107" t="s">
        <v>1256</v>
      </c>
      <c r="I561" s="107" t="s">
        <v>42</v>
      </c>
      <c r="J561" s="107" t="s">
        <v>28</v>
      </c>
      <c r="K561" s="108">
        <f t="shared" si="123"/>
        <v>46079</v>
      </c>
      <c r="L561" s="108">
        <f t="shared" si="124"/>
        <v>46139</v>
      </c>
      <c r="M561" s="107"/>
      <c r="N561" s="112">
        <f t="shared" si="125"/>
        <v>0</v>
      </c>
      <c r="O561" s="113">
        <f t="shared" si="114"/>
        <v>0</v>
      </c>
      <c r="P561" s="112">
        <f t="shared" si="110"/>
        <v>0</v>
      </c>
      <c r="Q561" s="109"/>
      <c r="R561" s="107"/>
      <c r="S561" s="109" t="s">
        <v>1257</v>
      </c>
      <c r="T561" s="114">
        <v>12</v>
      </c>
      <c r="U561" s="109" t="s">
        <v>1258</v>
      </c>
      <c r="V561" s="106"/>
      <c r="W561" s="106"/>
      <c r="X561" s="106" t="s">
        <v>55</v>
      </c>
      <c r="Y561" s="63">
        <f t="shared" si="117"/>
        <v>16.600000000000001</v>
      </c>
      <c r="AA561" s="64">
        <v>1</v>
      </c>
    </row>
    <row r="562" spans="1:27" ht="15.75" customHeight="1">
      <c r="A562" s="106">
        <v>20260057</v>
      </c>
      <c r="B562" s="107" t="s">
        <v>1229</v>
      </c>
      <c r="C562" s="108">
        <v>46070</v>
      </c>
      <c r="D562" s="108">
        <v>46071</v>
      </c>
      <c r="E562" s="106">
        <v>1</v>
      </c>
      <c r="F562" s="106">
        <v>11.84</v>
      </c>
      <c r="G562" s="106">
        <v>24</v>
      </c>
      <c r="H562" s="107" t="s">
        <v>1259</v>
      </c>
      <c r="I562" s="107" t="s">
        <v>42</v>
      </c>
      <c r="J562" s="107" t="s">
        <v>28</v>
      </c>
      <c r="K562" s="108">
        <f t="shared" si="123"/>
        <v>46079</v>
      </c>
      <c r="L562" s="108">
        <f t="shared" si="124"/>
        <v>46139</v>
      </c>
      <c r="M562" s="107"/>
      <c r="N562" s="112">
        <f t="shared" si="125"/>
        <v>0</v>
      </c>
      <c r="O562" s="113">
        <f t="shared" si="114"/>
        <v>0</v>
      </c>
      <c r="P562" s="112">
        <f t="shared" si="110"/>
        <v>0</v>
      </c>
      <c r="Q562" s="109"/>
      <c r="R562" s="107"/>
      <c r="S562" s="109" t="s">
        <v>1260</v>
      </c>
      <c r="T562" s="114">
        <v>13</v>
      </c>
      <c r="U562" s="109" t="s">
        <v>1261</v>
      </c>
      <c r="V562" s="106"/>
      <c r="W562" s="106"/>
      <c r="X562" s="106" t="s">
        <v>55</v>
      </c>
      <c r="Y562" s="63">
        <f t="shared" si="117"/>
        <v>11.84</v>
      </c>
      <c r="Z562" s="64">
        <f t="shared" ref="Z562" si="126">E562-N562</f>
        <v>1</v>
      </c>
    </row>
    <row r="563" spans="1:27" ht="15.75" customHeight="1">
      <c r="A563" s="106">
        <v>20260057</v>
      </c>
      <c r="B563" s="107" t="s">
        <v>1229</v>
      </c>
      <c r="C563" s="108">
        <v>46070</v>
      </c>
      <c r="D563" s="108">
        <v>46071</v>
      </c>
      <c r="E563" s="106">
        <v>1</v>
      </c>
      <c r="F563" s="106">
        <v>15</v>
      </c>
      <c r="G563" s="106">
        <v>24</v>
      </c>
      <c r="H563" s="107" t="s">
        <v>1262</v>
      </c>
      <c r="I563" s="107" t="s">
        <v>42</v>
      </c>
      <c r="J563" s="107" t="s">
        <v>28</v>
      </c>
      <c r="K563" s="108">
        <f t="shared" si="123"/>
        <v>46079</v>
      </c>
      <c r="L563" s="108">
        <f t="shared" si="124"/>
        <v>46139</v>
      </c>
      <c r="M563" s="107"/>
      <c r="N563" s="112">
        <f t="shared" si="125"/>
        <v>0</v>
      </c>
      <c r="O563" s="113">
        <f t="shared" si="114"/>
        <v>0</v>
      </c>
      <c r="P563" s="112">
        <f t="shared" si="110"/>
        <v>0</v>
      </c>
      <c r="Q563" s="109"/>
      <c r="R563" s="107"/>
      <c r="S563" s="109" t="s">
        <v>1263</v>
      </c>
      <c r="T563" s="114">
        <v>14</v>
      </c>
      <c r="U563" s="109" t="s">
        <v>1238</v>
      </c>
      <c r="V563" s="106"/>
      <c r="W563" s="106"/>
      <c r="X563" s="106" t="s">
        <v>55</v>
      </c>
      <c r="Y563" s="63">
        <f t="shared" si="117"/>
        <v>15</v>
      </c>
      <c r="AA563" s="64">
        <v>1</v>
      </c>
    </row>
    <row r="564" spans="1:27" ht="15.75" customHeight="1">
      <c r="A564" s="106">
        <v>20260057</v>
      </c>
      <c r="B564" s="107" t="s">
        <v>1229</v>
      </c>
      <c r="C564" s="108">
        <v>46070</v>
      </c>
      <c r="D564" s="108">
        <v>46071</v>
      </c>
      <c r="E564" s="106">
        <v>1</v>
      </c>
      <c r="F564" s="106">
        <v>8.8000000000000007</v>
      </c>
      <c r="G564" s="106">
        <v>24</v>
      </c>
      <c r="H564" s="107" t="s">
        <v>1264</v>
      </c>
      <c r="I564" s="107" t="s">
        <v>42</v>
      </c>
      <c r="J564" s="107" t="s">
        <v>28</v>
      </c>
      <c r="K564" s="108">
        <f t="shared" si="123"/>
        <v>46079</v>
      </c>
      <c r="L564" s="108">
        <f t="shared" si="124"/>
        <v>46139</v>
      </c>
      <c r="M564" s="107"/>
      <c r="N564" s="112">
        <f t="shared" si="125"/>
        <v>0</v>
      </c>
      <c r="O564" s="113">
        <f t="shared" si="114"/>
        <v>0</v>
      </c>
      <c r="P564" s="112">
        <f t="shared" si="110"/>
        <v>0</v>
      </c>
      <c r="Q564" s="109"/>
      <c r="R564" s="107"/>
      <c r="S564" s="109" t="s">
        <v>1265</v>
      </c>
      <c r="T564" s="114">
        <v>15</v>
      </c>
      <c r="U564" s="109" t="s">
        <v>1266</v>
      </c>
      <c r="V564" s="106"/>
      <c r="W564" s="106"/>
      <c r="X564" s="106" t="s">
        <v>55</v>
      </c>
      <c r="Y564" s="63">
        <f t="shared" si="117"/>
        <v>8.8000000000000007</v>
      </c>
    </row>
    <row r="565" spans="1:27" ht="15.75" customHeight="1">
      <c r="A565" s="106">
        <v>20260057</v>
      </c>
      <c r="B565" s="107" t="s">
        <v>1229</v>
      </c>
      <c r="C565" s="108">
        <v>46070</v>
      </c>
      <c r="D565" s="108">
        <v>46071</v>
      </c>
      <c r="E565" s="106">
        <v>1</v>
      </c>
      <c r="F565" s="106">
        <v>8.8000000000000007</v>
      </c>
      <c r="G565" s="106">
        <v>24</v>
      </c>
      <c r="H565" s="107" t="s">
        <v>1267</v>
      </c>
      <c r="I565" s="107" t="s">
        <v>42</v>
      </c>
      <c r="J565" s="107" t="s">
        <v>28</v>
      </c>
      <c r="K565" s="108">
        <f t="shared" si="123"/>
        <v>46079</v>
      </c>
      <c r="L565" s="108">
        <f t="shared" si="124"/>
        <v>46139</v>
      </c>
      <c r="M565" s="107"/>
      <c r="N565" s="112">
        <f t="shared" si="125"/>
        <v>0</v>
      </c>
      <c r="O565" s="113">
        <f t="shared" si="114"/>
        <v>0</v>
      </c>
      <c r="P565" s="112">
        <f t="shared" si="110"/>
        <v>0</v>
      </c>
      <c r="Q565" s="109"/>
      <c r="R565" s="107"/>
      <c r="S565" s="109" t="s">
        <v>1268</v>
      </c>
      <c r="T565" s="114">
        <v>16</v>
      </c>
      <c r="U565" s="109" t="s">
        <v>1269</v>
      </c>
      <c r="V565" s="106"/>
      <c r="W565" s="106"/>
      <c r="X565" s="106" t="s">
        <v>55</v>
      </c>
      <c r="Y565" s="63">
        <f t="shared" si="117"/>
        <v>8.8000000000000007</v>
      </c>
      <c r="Z565" s="64">
        <f t="shared" ref="Z565:Z566" si="127">E565-N565</f>
        <v>1</v>
      </c>
      <c r="AA565" s="64">
        <v>1</v>
      </c>
    </row>
    <row r="566" spans="1:27" ht="15.75" customHeight="1">
      <c r="A566" s="63">
        <v>20260057</v>
      </c>
      <c r="B566" s="65" t="s">
        <v>1229</v>
      </c>
      <c r="C566" s="66">
        <v>46070</v>
      </c>
      <c r="D566" s="66">
        <v>46071</v>
      </c>
      <c r="E566" s="63">
        <v>1</v>
      </c>
      <c r="F566" s="68">
        <v>15</v>
      </c>
      <c r="G566" s="69">
        <v>24</v>
      </c>
      <c r="H566" s="65" t="s">
        <v>1270</v>
      </c>
      <c r="I566" s="65" t="s">
        <v>42</v>
      </c>
      <c r="J566" s="65" t="s">
        <v>28</v>
      </c>
      <c r="K566" s="48">
        <f t="shared" si="123"/>
        <v>46079</v>
      </c>
      <c r="L566" s="48">
        <f t="shared" si="124"/>
        <v>46139</v>
      </c>
      <c r="N566" s="72">
        <f>E566</f>
        <v>1</v>
      </c>
      <c r="O566" s="50">
        <f t="shared" si="114"/>
        <v>15</v>
      </c>
      <c r="P566" s="56">
        <f t="shared" ref="P566:P629" si="128">G566/E566*N566</f>
        <v>24</v>
      </c>
      <c r="S566" s="200" t="s">
        <v>1271</v>
      </c>
      <c r="T566" s="201">
        <v>17</v>
      </c>
      <c r="U566" s="58" t="s">
        <v>1238</v>
      </c>
      <c r="V566" s="46"/>
      <c r="W566" s="46"/>
      <c r="X566" s="62" t="s">
        <v>25</v>
      </c>
      <c r="Y566" s="63">
        <f t="shared" si="117"/>
        <v>15</v>
      </c>
      <c r="Z566" s="64">
        <f t="shared" si="127"/>
        <v>0</v>
      </c>
      <c r="AA566" s="64">
        <v>2</v>
      </c>
    </row>
    <row r="567" spans="1:27" ht="15.75" customHeight="1">
      <c r="A567" s="106">
        <v>20260057</v>
      </c>
      <c r="B567" s="107" t="s">
        <v>1229</v>
      </c>
      <c r="C567" s="108">
        <v>46070</v>
      </c>
      <c r="D567" s="108">
        <v>46071</v>
      </c>
      <c r="E567" s="106">
        <v>1</v>
      </c>
      <c r="F567" s="106">
        <v>8.8000000000000007</v>
      </c>
      <c r="G567" s="106">
        <v>24</v>
      </c>
      <c r="H567" s="107" t="s">
        <v>1272</v>
      </c>
      <c r="I567" s="107" t="s">
        <v>42</v>
      </c>
      <c r="J567" s="107" t="s">
        <v>28</v>
      </c>
      <c r="K567" s="108">
        <f t="shared" si="123"/>
        <v>46079</v>
      </c>
      <c r="L567" s="108">
        <f t="shared" si="124"/>
        <v>46139</v>
      </c>
      <c r="M567" s="107"/>
      <c r="N567" s="112">
        <f>E567-1</f>
        <v>0</v>
      </c>
      <c r="O567" s="113">
        <f t="shared" si="114"/>
        <v>0</v>
      </c>
      <c r="P567" s="112">
        <f t="shared" si="128"/>
        <v>0</v>
      </c>
      <c r="Q567" s="109"/>
      <c r="R567" s="107"/>
      <c r="S567" s="109" t="s">
        <v>1273</v>
      </c>
      <c r="T567" s="114">
        <v>18</v>
      </c>
      <c r="U567" s="109" t="s">
        <v>1274</v>
      </c>
      <c r="V567" s="106"/>
      <c r="W567" s="106"/>
      <c r="X567" s="106" t="s">
        <v>55</v>
      </c>
      <c r="Y567" s="63">
        <f t="shared" si="117"/>
        <v>8.8000000000000007</v>
      </c>
      <c r="AA567" s="64">
        <v>6</v>
      </c>
    </row>
    <row r="568" spans="1:27" ht="15.75" customHeight="1">
      <c r="A568" s="106">
        <v>20260057</v>
      </c>
      <c r="B568" s="107" t="s">
        <v>1229</v>
      </c>
      <c r="C568" s="108">
        <v>46070</v>
      </c>
      <c r="D568" s="108">
        <v>46071</v>
      </c>
      <c r="E568" s="106">
        <v>1</v>
      </c>
      <c r="F568" s="106">
        <v>15</v>
      </c>
      <c r="G568" s="106">
        <v>24</v>
      </c>
      <c r="H568" s="107" t="s">
        <v>1275</v>
      </c>
      <c r="I568" s="107" t="s">
        <v>42</v>
      </c>
      <c r="J568" s="107" t="s">
        <v>28</v>
      </c>
      <c r="K568" s="108">
        <f t="shared" si="123"/>
        <v>46079</v>
      </c>
      <c r="L568" s="108">
        <f t="shared" si="124"/>
        <v>46139</v>
      </c>
      <c r="M568" s="107"/>
      <c r="N568" s="112">
        <f>E568-1</f>
        <v>0</v>
      </c>
      <c r="O568" s="113">
        <f t="shared" si="114"/>
        <v>0</v>
      </c>
      <c r="P568" s="112">
        <f t="shared" si="128"/>
        <v>0</v>
      </c>
      <c r="Q568" s="109"/>
      <c r="R568" s="107"/>
      <c r="S568" s="109" t="s">
        <v>1276</v>
      </c>
      <c r="T568" s="114">
        <v>22</v>
      </c>
      <c r="U568" s="109" t="s">
        <v>1169</v>
      </c>
      <c r="V568" s="106"/>
      <c r="W568" s="106"/>
      <c r="X568" s="106" t="s">
        <v>55</v>
      </c>
      <c r="Y568" s="63">
        <f t="shared" si="117"/>
        <v>15</v>
      </c>
      <c r="AA568" s="64">
        <v>1</v>
      </c>
    </row>
    <row r="569" spans="1:27" ht="15.75" customHeight="1">
      <c r="A569" s="106">
        <v>20260057</v>
      </c>
      <c r="B569" s="107" t="s">
        <v>1229</v>
      </c>
      <c r="C569" s="108">
        <v>46070</v>
      </c>
      <c r="D569" s="108">
        <v>46071</v>
      </c>
      <c r="E569" s="106">
        <v>2</v>
      </c>
      <c r="F569" s="106">
        <v>35</v>
      </c>
      <c r="G569" s="106">
        <v>24</v>
      </c>
      <c r="H569" s="107" t="s">
        <v>1277</v>
      </c>
      <c r="I569" s="107" t="s">
        <v>42</v>
      </c>
      <c r="J569" s="107" t="s">
        <v>28</v>
      </c>
      <c r="K569" s="108">
        <f t="shared" si="123"/>
        <v>46079</v>
      </c>
      <c r="L569" s="108">
        <f t="shared" si="124"/>
        <v>46139</v>
      </c>
      <c r="M569" s="107"/>
      <c r="N569" s="112">
        <f>E569-2</f>
        <v>0</v>
      </c>
      <c r="O569" s="113">
        <f t="shared" si="114"/>
        <v>0</v>
      </c>
      <c r="P569" s="112">
        <f t="shared" si="128"/>
        <v>0</v>
      </c>
      <c r="Q569" s="109"/>
      <c r="R569" s="107"/>
      <c r="S569" s="109" t="s">
        <v>1278</v>
      </c>
      <c r="T569" s="114">
        <v>23</v>
      </c>
      <c r="U569" s="109" t="s">
        <v>1279</v>
      </c>
      <c r="V569" s="106"/>
      <c r="W569" s="106"/>
      <c r="X569" s="106" t="s">
        <v>55</v>
      </c>
      <c r="Y569" s="63">
        <f t="shared" si="117"/>
        <v>17.5</v>
      </c>
      <c r="AA569" s="64">
        <v>3</v>
      </c>
    </row>
    <row r="570" spans="1:27" ht="15.75" customHeight="1">
      <c r="A570" s="63">
        <v>20260057</v>
      </c>
      <c r="B570" s="65" t="s">
        <v>1229</v>
      </c>
      <c r="C570" s="66">
        <v>46070</v>
      </c>
      <c r="D570" s="66">
        <v>46071</v>
      </c>
      <c r="E570" s="63">
        <v>1</v>
      </c>
      <c r="F570" s="68">
        <v>10</v>
      </c>
      <c r="G570" s="69">
        <v>24</v>
      </c>
      <c r="H570" s="65" t="s">
        <v>1280</v>
      </c>
      <c r="I570" s="65" t="s">
        <v>42</v>
      </c>
      <c r="J570" s="65" t="s">
        <v>28</v>
      </c>
      <c r="K570" s="48">
        <f t="shared" si="123"/>
        <v>46079</v>
      </c>
      <c r="L570" s="48">
        <f t="shared" si="124"/>
        <v>46139</v>
      </c>
      <c r="N570" s="72">
        <f t="shared" ref="N570:N576" si="129">E570</f>
        <v>1</v>
      </c>
      <c r="O570" s="50">
        <f t="shared" si="114"/>
        <v>10</v>
      </c>
      <c r="P570" s="56">
        <f t="shared" si="128"/>
        <v>24</v>
      </c>
      <c r="S570" s="200" t="s">
        <v>1281</v>
      </c>
      <c r="T570" s="201">
        <v>24</v>
      </c>
      <c r="U570" s="58" t="s">
        <v>1282</v>
      </c>
      <c r="V570" s="46"/>
      <c r="W570" s="46"/>
      <c r="X570" s="62" t="s">
        <v>25</v>
      </c>
      <c r="Y570" s="63">
        <f t="shared" si="117"/>
        <v>10</v>
      </c>
      <c r="Z570" s="64">
        <f t="shared" ref="Z570:Z576" si="130">E570-N570</f>
        <v>0</v>
      </c>
      <c r="AA570" s="64">
        <v>2</v>
      </c>
    </row>
    <row r="571" spans="1:27" ht="15.75" customHeight="1">
      <c r="A571" s="63">
        <v>20260057</v>
      </c>
      <c r="B571" s="65" t="s">
        <v>1229</v>
      </c>
      <c r="C571" s="66">
        <v>46070</v>
      </c>
      <c r="D571" s="66">
        <v>46071</v>
      </c>
      <c r="E571" s="63">
        <v>2</v>
      </c>
      <c r="F571" s="68">
        <v>18.38</v>
      </c>
      <c r="G571" s="69">
        <v>48</v>
      </c>
      <c r="H571" s="65" t="s">
        <v>1280</v>
      </c>
      <c r="I571" s="65" t="s">
        <v>63</v>
      </c>
      <c r="J571" s="65" t="s">
        <v>28</v>
      </c>
      <c r="K571" s="48">
        <f t="shared" si="123"/>
        <v>46079</v>
      </c>
      <c r="L571" s="48">
        <f t="shared" si="124"/>
        <v>46139</v>
      </c>
      <c r="N571" s="72">
        <f t="shared" si="129"/>
        <v>2</v>
      </c>
      <c r="O571" s="50">
        <f t="shared" si="114"/>
        <v>18.38</v>
      </c>
      <c r="P571" s="56">
        <f t="shared" si="128"/>
        <v>48</v>
      </c>
      <c r="S571" s="200" t="s">
        <v>1281</v>
      </c>
      <c r="T571" s="201">
        <v>24</v>
      </c>
      <c r="U571" s="58"/>
      <c r="V571" s="46"/>
      <c r="W571" s="46"/>
      <c r="X571" s="62" t="s">
        <v>25</v>
      </c>
      <c r="Y571" s="63">
        <f t="shared" si="117"/>
        <v>9.19</v>
      </c>
      <c r="Z571" s="64">
        <f t="shared" si="130"/>
        <v>0</v>
      </c>
      <c r="AA571" s="64">
        <v>1</v>
      </c>
    </row>
    <row r="572" spans="1:27" ht="15.75" customHeight="1">
      <c r="A572" s="106">
        <v>20260057</v>
      </c>
      <c r="B572" s="107" t="s">
        <v>1229</v>
      </c>
      <c r="C572" s="108">
        <v>46070</v>
      </c>
      <c r="D572" s="108">
        <v>46071</v>
      </c>
      <c r="E572" s="106">
        <v>2</v>
      </c>
      <c r="F572" s="106">
        <v>20.149999999999999</v>
      </c>
      <c r="G572" s="106">
        <v>48</v>
      </c>
      <c r="H572" s="107" t="s">
        <v>1280</v>
      </c>
      <c r="I572" s="107" t="s">
        <v>42</v>
      </c>
      <c r="J572" s="107" t="s">
        <v>28</v>
      </c>
      <c r="K572" s="108">
        <f t="shared" si="123"/>
        <v>46079</v>
      </c>
      <c r="L572" s="108">
        <f t="shared" si="124"/>
        <v>46139</v>
      </c>
      <c r="M572" s="107"/>
      <c r="N572" s="112">
        <f>E572-2</f>
        <v>0</v>
      </c>
      <c r="O572" s="113">
        <f t="shared" si="114"/>
        <v>0</v>
      </c>
      <c r="P572" s="112">
        <f t="shared" si="128"/>
        <v>0</v>
      </c>
      <c r="Q572" s="109"/>
      <c r="R572" s="107"/>
      <c r="S572" s="109" t="s">
        <v>1283</v>
      </c>
      <c r="T572" s="114">
        <v>25</v>
      </c>
      <c r="U572" s="109" t="s">
        <v>1284</v>
      </c>
      <c r="V572" s="106"/>
      <c r="W572" s="106"/>
      <c r="X572" s="106" t="s">
        <v>55</v>
      </c>
      <c r="Y572" s="63">
        <f t="shared" si="117"/>
        <v>10.074999999999999</v>
      </c>
      <c r="Z572" s="64">
        <f t="shared" si="130"/>
        <v>2</v>
      </c>
      <c r="AA572" s="64">
        <v>2</v>
      </c>
    </row>
    <row r="573" spans="1:27" ht="15.75" customHeight="1">
      <c r="A573" s="106">
        <v>20260057</v>
      </c>
      <c r="B573" s="107" t="s">
        <v>1229</v>
      </c>
      <c r="C573" s="108">
        <v>46070</v>
      </c>
      <c r="D573" s="108">
        <v>46071</v>
      </c>
      <c r="E573" s="106">
        <v>1</v>
      </c>
      <c r="F573" s="106">
        <v>20</v>
      </c>
      <c r="G573" s="106">
        <v>24</v>
      </c>
      <c r="H573" s="107" t="s">
        <v>1280</v>
      </c>
      <c r="I573" s="107" t="s">
        <v>276</v>
      </c>
      <c r="J573" s="107" t="s">
        <v>26</v>
      </c>
      <c r="K573" s="108">
        <f t="shared" si="123"/>
        <v>46079</v>
      </c>
      <c r="L573" s="108">
        <f t="shared" si="124"/>
        <v>46139</v>
      </c>
      <c r="M573" s="107"/>
      <c r="N573" s="112">
        <f>E573-1</f>
        <v>0</v>
      </c>
      <c r="O573" s="113">
        <f t="shared" si="114"/>
        <v>0</v>
      </c>
      <c r="P573" s="112">
        <f t="shared" si="128"/>
        <v>0</v>
      </c>
      <c r="Q573" s="109"/>
      <c r="R573" s="107"/>
      <c r="S573" s="109" t="s">
        <v>1283</v>
      </c>
      <c r="T573" s="114">
        <v>25</v>
      </c>
      <c r="U573" s="109"/>
      <c r="V573" s="106"/>
      <c r="W573" s="106"/>
      <c r="X573" s="106" t="s">
        <v>55</v>
      </c>
      <c r="Y573" s="63">
        <f t="shared" si="117"/>
        <v>20</v>
      </c>
      <c r="Z573" s="64">
        <f t="shared" si="130"/>
        <v>1</v>
      </c>
    </row>
    <row r="574" spans="1:27" ht="15.75" customHeight="1">
      <c r="A574" s="106">
        <v>20260057</v>
      </c>
      <c r="B574" s="107" t="s">
        <v>1229</v>
      </c>
      <c r="C574" s="108">
        <v>46070</v>
      </c>
      <c r="D574" s="108">
        <v>46071</v>
      </c>
      <c r="E574" s="106">
        <v>1</v>
      </c>
      <c r="F574" s="106">
        <v>30</v>
      </c>
      <c r="G574" s="106">
        <v>60</v>
      </c>
      <c r="H574" s="107" t="s">
        <v>1280</v>
      </c>
      <c r="I574" s="107" t="s">
        <v>138</v>
      </c>
      <c r="J574" s="107" t="s">
        <v>26</v>
      </c>
      <c r="K574" s="108">
        <f t="shared" si="123"/>
        <v>46079</v>
      </c>
      <c r="L574" s="108">
        <f t="shared" si="124"/>
        <v>46139</v>
      </c>
      <c r="M574" s="107"/>
      <c r="N574" s="112">
        <f>E574-1</f>
        <v>0</v>
      </c>
      <c r="O574" s="113">
        <f t="shared" si="114"/>
        <v>0</v>
      </c>
      <c r="P574" s="112">
        <f t="shared" si="128"/>
        <v>0</v>
      </c>
      <c r="Q574" s="109"/>
      <c r="R574" s="107"/>
      <c r="S574" s="109" t="s">
        <v>1283</v>
      </c>
      <c r="T574" s="114">
        <v>25</v>
      </c>
      <c r="U574" s="109"/>
      <c r="V574" s="106"/>
      <c r="W574" s="106"/>
      <c r="X574" s="106" t="s">
        <v>55</v>
      </c>
      <c r="Y574" s="63">
        <f t="shared" si="117"/>
        <v>30</v>
      </c>
      <c r="Z574" s="64">
        <f t="shared" si="130"/>
        <v>1</v>
      </c>
    </row>
    <row r="575" spans="1:27" ht="15.75" customHeight="1">
      <c r="A575" s="63">
        <v>20260057</v>
      </c>
      <c r="B575" s="65" t="s">
        <v>1229</v>
      </c>
      <c r="C575" s="66">
        <v>46070</v>
      </c>
      <c r="D575" s="66">
        <v>46071</v>
      </c>
      <c r="E575" s="63">
        <v>1</v>
      </c>
      <c r="F575" s="68">
        <v>0</v>
      </c>
      <c r="G575" s="69">
        <v>60</v>
      </c>
      <c r="H575" s="65" t="s">
        <v>1280</v>
      </c>
      <c r="I575" s="65" t="s">
        <v>24</v>
      </c>
      <c r="J575" s="65" t="s">
        <v>24</v>
      </c>
      <c r="K575" s="48">
        <f t="shared" si="123"/>
        <v>46079</v>
      </c>
      <c r="L575" s="48">
        <f t="shared" si="124"/>
        <v>46139</v>
      </c>
      <c r="N575" s="72">
        <f t="shared" si="129"/>
        <v>1</v>
      </c>
      <c r="O575" s="50">
        <f t="shared" si="114"/>
        <v>0</v>
      </c>
      <c r="P575" s="56">
        <f t="shared" si="128"/>
        <v>60</v>
      </c>
      <c r="S575" s="200" t="s">
        <v>1283</v>
      </c>
      <c r="T575" s="201">
        <v>25</v>
      </c>
      <c r="U575" s="58"/>
      <c r="V575" s="46"/>
      <c r="W575" s="46"/>
      <c r="X575" s="62" t="s">
        <v>25</v>
      </c>
      <c r="Y575" s="63">
        <f t="shared" si="117"/>
        <v>0</v>
      </c>
      <c r="Z575" s="64">
        <f t="shared" si="130"/>
        <v>0</v>
      </c>
      <c r="AA575" s="64">
        <v>1</v>
      </c>
    </row>
    <row r="576" spans="1:27" ht="15.75" customHeight="1">
      <c r="A576" s="63">
        <v>20260057</v>
      </c>
      <c r="B576" s="65" t="s">
        <v>1229</v>
      </c>
      <c r="C576" s="66">
        <v>46070</v>
      </c>
      <c r="D576" s="66">
        <v>46071</v>
      </c>
      <c r="E576" s="63">
        <v>1</v>
      </c>
      <c r="F576" s="68">
        <v>15</v>
      </c>
      <c r="G576" s="69">
        <v>24</v>
      </c>
      <c r="H576" s="65" t="s">
        <v>1285</v>
      </c>
      <c r="I576" s="65" t="s">
        <v>42</v>
      </c>
      <c r="J576" s="65" t="s">
        <v>28</v>
      </c>
      <c r="K576" s="48">
        <f t="shared" si="123"/>
        <v>46079</v>
      </c>
      <c r="L576" s="48">
        <f t="shared" si="124"/>
        <v>46139</v>
      </c>
      <c r="N576" s="72">
        <f t="shared" si="129"/>
        <v>1</v>
      </c>
      <c r="O576" s="50">
        <f t="shared" si="114"/>
        <v>15</v>
      </c>
      <c r="P576" s="56">
        <f t="shared" si="128"/>
        <v>24</v>
      </c>
      <c r="S576" s="200" t="s">
        <v>1286</v>
      </c>
      <c r="T576" s="201">
        <v>26</v>
      </c>
      <c r="U576" s="58" t="s">
        <v>1287</v>
      </c>
      <c r="V576" s="46"/>
      <c r="W576" s="46"/>
      <c r="X576" s="62" t="s">
        <v>25</v>
      </c>
      <c r="Y576" s="63">
        <f t="shared" si="117"/>
        <v>15</v>
      </c>
      <c r="Z576" s="64">
        <f t="shared" si="130"/>
        <v>0</v>
      </c>
      <c r="AA576" s="64">
        <v>1</v>
      </c>
    </row>
    <row r="577" spans="1:48" ht="15.75" customHeight="1">
      <c r="A577" s="106">
        <v>20260057</v>
      </c>
      <c r="B577" s="107" t="s">
        <v>1229</v>
      </c>
      <c r="C577" s="108">
        <v>46070</v>
      </c>
      <c r="D577" s="108">
        <v>46071</v>
      </c>
      <c r="E577" s="106">
        <v>1</v>
      </c>
      <c r="F577" s="106">
        <v>17</v>
      </c>
      <c r="G577" s="106">
        <v>24</v>
      </c>
      <c r="H577" s="107" t="s">
        <v>1288</v>
      </c>
      <c r="I577" s="107" t="s">
        <v>42</v>
      </c>
      <c r="J577" s="107" t="s">
        <v>28</v>
      </c>
      <c r="K577" s="108">
        <f t="shared" si="123"/>
        <v>46079</v>
      </c>
      <c r="L577" s="108">
        <f t="shared" si="124"/>
        <v>46139</v>
      </c>
      <c r="M577" s="107"/>
      <c r="N577" s="112">
        <f>E577-1</f>
        <v>0</v>
      </c>
      <c r="O577" s="113">
        <f t="shared" si="114"/>
        <v>0</v>
      </c>
      <c r="P577" s="112">
        <f t="shared" si="128"/>
        <v>0</v>
      </c>
      <c r="Q577" s="109"/>
      <c r="R577" s="107"/>
      <c r="S577" s="109" t="s">
        <v>1289</v>
      </c>
      <c r="T577" s="114">
        <v>27</v>
      </c>
      <c r="U577" s="109" t="s">
        <v>1290</v>
      </c>
      <c r="V577" s="106"/>
      <c r="W577" s="106"/>
      <c r="X577" s="106" t="s">
        <v>55</v>
      </c>
      <c r="Y577" s="63">
        <f t="shared" si="117"/>
        <v>17</v>
      </c>
      <c r="AA577" s="64">
        <v>1</v>
      </c>
    </row>
    <row r="578" spans="1:48" ht="15.75" customHeight="1">
      <c r="A578" s="106">
        <v>20260057</v>
      </c>
      <c r="B578" s="107" t="s">
        <v>1229</v>
      </c>
      <c r="C578" s="108">
        <v>46070</v>
      </c>
      <c r="D578" s="108">
        <v>46071</v>
      </c>
      <c r="E578" s="106">
        <v>1</v>
      </c>
      <c r="F578" s="106">
        <v>15</v>
      </c>
      <c r="G578" s="106">
        <v>24</v>
      </c>
      <c r="H578" s="107" t="s">
        <v>1291</v>
      </c>
      <c r="I578" s="107" t="s">
        <v>42</v>
      </c>
      <c r="J578" s="107" t="s">
        <v>28</v>
      </c>
      <c r="K578" s="108">
        <f t="shared" si="123"/>
        <v>46079</v>
      </c>
      <c r="L578" s="108">
        <f t="shared" si="124"/>
        <v>46139</v>
      </c>
      <c r="M578" s="107"/>
      <c r="N578" s="112">
        <f>E578-1</f>
        <v>0</v>
      </c>
      <c r="O578" s="113">
        <f t="shared" si="114"/>
        <v>0</v>
      </c>
      <c r="P578" s="112">
        <f t="shared" si="128"/>
        <v>0</v>
      </c>
      <c r="Q578" s="109"/>
      <c r="R578" s="107"/>
      <c r="S578" s="109" t="s">
        <v>1292</v>
      </c>
      <c r="T578" s="114">
        <v>28</v>
      </c>
      <c r="U578" s="109" t="s">
        <v>1293</v>
      </c>
      <c r="V578" s="106"/>
      <c r="W578" s="106"/>
      <c r="X578" s="106" t="s">
        <v>55</v>
      </c>
      <c r="Y578" s="63">
        <f t="shared" si="117"/>
        <v>15</v>
      </c>
      <c r="Z578" s="64">
        <f t="shared" ref="Z578:Z579" si="131">E578-N578</f>
        <v>1</v>
      </c>
    </row>
    <row r="579" spans="1:48" ht="15.75" customHeight="1">
      <c r="A579" s="106">
        <v>20260057</v>
      </c>
      <c r="B579" s="107" t="s">
        <v>1229</v>
      </c>
      <c r="C579" s="108">
        <v>46070</v>
      </c>
      <c r="D579" s="108">
        <v>46071</v>
      </c>
      <c r="E579" s="106">
        <v>1</v>
      </c>
      <c r="F579" s="106">
        <v>15</v>
      </c>
      <c r="G579" s="106">
        <v>24</v>
      </c>
      <c r="H579" s="107" t="s">
        <v>1294</v>
      </c>
      <c r="I579" s="107" t="s">
        <v>42</v>
      </c>
      <c r="J579" s="107" t="s">
        <v>28</v>
      </c>
      <c r="K579" s="108">
        <f t="shared" si="123"/>
        <v>46079</v>
      </c>
      <c r="L579" s="108">
        <f t="shared" si="124"/>
        <v>46139</v>
      </c>
      <c r="M579" s="107"/>
      <c r="N579" s="112">
        <f>E579-1</f>
        <v>0</v>
      </c>
      <c r="O579" s="113">
        <f t="shared" si="114"/>
        <v>0</v>
      </c>
      <c r="P579" s="112">
        <f t="shared" si="128"/>
        <v>0</v>
      </c>
      <c r="Q579" s="109"/>
      <c r="R579" s="107"/>
      <c r="S579" s="109" t="s">
        <v>1295</v>
      </c>
      <c r="T579" s="114">
        <v>29</v>
      </c>
      <c r="U579" s="109" t="s">
        <v>1296</v>
      </c>
      <c r="V579" s="106"/>
      <c r="W579" s="106"/>
      <c r="X579" s="106" t="s">
        <v>55</v>
      </c>
      <c r="Y579" s="63">
        <f t="shared" si="117"/>
        <v>15</v>
      </c>
      <c r="Z579" s="64">
        <f t="shared" si="131"/>
        <v>1</v>
      </c>
      <c r="AA579" s="64">
        <v>10</v>
      </c>
    </row>
    <row r="580" spans="1:48" ht="15.75" customHeight="1">
      <c r="A580" s="106">
        <v>20260057</v>
      </c>
      <c r="B580" s="107" t="s">
        <v>1229</v>
      </c>
      <c r="C580" s="108">
        <v>46070</v>
      </c>
      <c r="D580" s="108">
        <v>46071</v>
      </c>
      <c r="E580" s="106">
        <v>1</v>
      </c>
      <c r="F580" s="106">
        <v>8.8000000000000007</v>
      </c>
      <c r="G580" s="106">
        <v>24</v>
      </c>
      <c r="H580" s="107" t="s">
        <v>1297</v>
      </c>
      <c r="I580" s="107" t="s">
        <v>42</v>
      </c>
      <c r="J580" s="107" t="s">
        <v>28</v>
      </c>
      <c r="K580" s="108">
        <f t="shared" si="123"/>
        <v>46079</v>
      </c>
      <c r="L580" s="108">
        <f t="shared" si="124"/>
        <v>46139</v>
      </c>
      <c r="M580" s="107"/>
      <c r="N580" s="112">
        <f>E580-1</f>
        <v>0</v>
      </c>
      <c r="O580" s="113">
        <f t="shared" si="114"/>
        <v>0</v>
      </c>
      <c r="P580" s="112">
        <f t="shared" si="128"/>
        <v>0</v>
      </c>
      <c r="Q580" s="109"/>
      <c r="R580" s="107"/>
      <c r="S580" s="109" t="s">
        <v>1298</v>
      </c>
      <c r="T580" s="114">
        <v>30</v>
      </c>
      <c r="U580" s="109" t="s">
        <v>1299</v>
      </c>
      <c r="V580" s="106"/>
      <c r="W580" s="106"/>
      <c r="X580" s="106" t="s">
        <v>55</v>
      </c>
      <c r="Y580" s="63">
        <f t="shared" si="117"/>
        <v>8.8000000000000007</v>
      </c>
      <c r="AA580" s="64">
        <v>60</v>
      </c>
    </row>
    <row r="581" spans="1:48" ht="15.75" customHeight="1">
      <c r="A581" s="106">
        <v>20260057</v>
      </c>
      <c r="B581" s="107" t="s">
        <v>1229</v>
      </c>
      <c r="C581" s="108">
        <v>46070</v>
      </c>
      <c r="D581" s="108">
        <v>46071</v>
      </c>
      <c r="E581" s="106">
        <v>2</v>
      </c>
      <c r="F581" s="106">
        <v>27</v>
      </c>
      <c r="G581" s="106">
        <v>48</v>
      </c>
      <c r="H581" s="107" t="s">
        <v>1300</v>
      </c>
      <c r="I581" s="107" t="s">
        <v>42</v>
      </c>
      <c r="J581" s="107" t="s">
        <v>28</v>
      </c>
      <c r="K581" s="108">
        <f t="shared" si="123"/>
        <v>46079</v>
      </c>
      <c r="L581" s="108">
        <f t="shared" si="124"/>
        <v>46139</v>
      </c>
      <c r="M581" s="107"/>
      <c r="N581" s="112">
        <f>E581-2</f>
        <v>0</v>
      </c>
      <c r="O581" s="113">
        <f t="shared" si="114"/>
        <v>0</v>
      </c>
      <c r="P581" s="112">
        <f t="shared" si="128"/>
        <v>0</v>
      </c>
      <c r="Q581" s="109"/>
      <c r="R581" s="107"/>
      <c r="S581" s="109" t="s">
        <v>1301</v>
      </c>
      <c r="T581" s="114">
        <v>31</v>
      </c>
      <c r="U581" s="109" t="s">
        <v>1302</v>
      </c>
      <c r="V581" s="106"/>
      <c r="W581" s="106"/>
      <c r="X581" s="106" t="s">
        <v>55</v>
      </c>
      <c r="Y581" s="63">
        <f t="shared" si="117"/>
        <v>13.5</v>
      </c>
      <c r="Z581" s="64">
        <f t="shared" ref="Z581:Z583" si="132">E581-N581</f>
        <v>2</v>
      </c>
      <c r="AA581" s="64">
        <v>130</v>
      </c>
    </row>
    <row r="582" spans="1:48" ht="15.75" customHeight="1">
      <c r="A582" s="106">
        <v>20260057</v>
      </c>
      <c r="B582" s="107" t="s">
        <v>1229</v>
      </c>
      <c r="C582" s="108">
        <v>46070</v>
      </c>
      <c r="D582" s="108">
        <v>46071</v>
      </c>
      <c r="E582" s="106">
        <v>2</v>
      </c>
      <c r="F582" s="106">
        <v>13.06</v>
      </c>
      <c r="G582" s="106">
        <v>48</v>
      </c>
      <c r="H582" s="107" t="s">
        <v>1300</v>
      </c>
      <c r="I582" s="107" t="s">
        <v>42</v>
      </c>
      <c r="J582" s="107" t="s">
        <v>28</v>
      </c>
      <c r="K582" s="108">
        <f t="shared" si="123"/>
        <v>46079</v>
      </c>
      <c r="L582" s="108">
        <f t="shared" si="124"/>
        <v>46139</v>
      </c>
      <c r="M582" s="107"/>
      <c r="N582" s="112">
        <f>E582-2</f>
        <v>0</v>
      </c>
      <c r="O582" s="113">
        <f t="shared" si="114"/>
        <v>0</v>
      </c>
      <c r="P582" s="112">
        <f t="shared" si="128"/>
        <v>0</v>
      </c>
      <c r="Q582" s="109"/>
      <c r="R582" s="107"/>
      <c r="S582" s="109" t="s">
        <v>1303</v>
      </c>
      <c r="T582" s="114">
        <v>32</v>
      </c>
      <c r="U582" s="109" t="s">
        <v>1304</v>
      </c>
      <c r="V582" s="106"/>
      <c r="W582" s="106"/>
      <c r="X582" s="106" t="s">
        <v>55</v>
      </c>
      <c r="Y582" s="63">
        <f t="shared" si="117"/>
        <v>6.53</v>
      </c>
      <c r="Z582" s="64">
        <f t="shared" si="132"/>
        <v>2</v>
      </c>
      <c r="AA582" s="64">
        <v>302</v>
      </c>
    </row>
    <row r="583" spans="1:48" ht="15.75" customHeight="1">
      <c r="A583" s="63">
        <v>20260057</v>
      </c>
      <c r="B583" s="65" t="s">
        <v>1229</v>
      </c>
      <c r="C583" s="66">
        <v>46070</v>
      </c>
      <c r="D583" s="66">
        <v>46071</v>
      </c>
      <c r="E583" s="63">
        <v>1</v>
      </c>
      <c r="F583" s="68">
        <v>15</v>
      </c>
      <c r="G583" s="69">
        <v>24</v>
      </c>
      <c r="H583" s="65" t="s">
        <v>1305</v>
      </c>
      <c r="I583" s="65" t="s">
        <v>42</v>
      </c>
      <c r="J583" s="65" t="s">
        <v>28</v>
      </c>
      <c r="K583" s="48">
        <f t="shared" si="123"/>
        <v>46079</v>
      </c>
      <c r="L583" s="48">
        <f t="shared" si="124"/>
        <v>46139</v>
      </c>
      <c r="N583" s="72">
        <f>E583</f>
        <v>1</v>
      </c>
      <c r="O583" s="50">
        <f t="shared" si="114"/>
        <v>15</v>
      </c>
      <c r="P583" s="56">
        <f t="shared" si="128"/>
        <v>24</v>
      </c>
      <c r="S583" s="200" t="s">
        <v>1306</v>
      </c>
      <c r="T583" s="201">
        <v>33</v>
      </c>
      <c r="U583" s="58" t="s">
        <v>1238</v>
      </c>
      <c r="V583" s="46"/>
      <c r="W583" s="46"/>
      <c r="X583" s="62" t="s">
        <v>25</v>
      </c>
      <c r="Y583" s="63">
        <f t="shared" si="117"/>
        <v>15</v>
      </c>
      <c r="Z583" s="64">
        <f t="shared" si="132"/>
        <v>0</v>
      </c>
      <c r="AA583" s="64">
        <v>117</v>
      </c>
    </row>
    <row r="584" spans="1:48" ht="15.75" customHeight="1">
      <c r="A584" s="106">
        <v>20260057</v>
      </c>
      <c r="B584" s="107" t="s">
        <v>1229</v>
      </c>
      <c r="C584" s="108">
        <v>46070</v>
      </c>
      <c r="D584" s="108">
        <v>46071</v>
      </c>
      <c r="E584" s="106">
        <v>2</v>
      </c>
      <c r="F584" s="106">
        <v>30</v>
      </c>
      <c r="G584" s="106">
        <v>48</v>
      </c>
      <c r="H584" s="107" t="s">
        <v>1300</v>
      </c>
      <c r="I584" s="107" t="s">
        <v>42</v>
      </c>
      <c r="J584" s="107" t="s">
        <v>28</v>
      </c>
      <c r="K584" s="108">
        <f t="shared" si="123"/>
        <v>46079</v>
      </c>
      <c r="L584" s="108">
        <f t="shared" si="124"/>
        <v>46139</v>
      </c>
      <c r="M584" s="107"/>
      <c r="N584" s="112">
        <f>E584-2</f>
        <v>0</v>
      </c>
      <c r="O584" s="113">
        <f t="shared" si="114"/>
        <v>0</v>
      </c>
      <c r="P584" s="112">
        <f t="shared" si="128"/>
        <v>0</v>
      </c>
      <c r="Q584" s="109"/>
      <c r="R584" s="107"/>
      <c r="S584" s="109" t="s">
        <v>1307</v>
      </c>
      <c r="T584" s="114">
        <v>34</v>
      </c>
      <c r="U584" s="109" t="s">
        <v>1308</v>
      </c>
      <c r="V584" s="106"/>
      <c r="W584" s="106"/>
      <c r="X584" s="106" t="s">
        <v>55</v>
      </c>
      <c r="Y584" s="63">
        <f t="shared" si="117"/>
        <v>15</v>
      </c>
      <c r="AA584" s="64">
        <v>100</v>
      </c>
    </row>
    <row r="585" spans="1:48" ht="15.75" customHeight="1">
      <c r="A585" s="106">
        <v>20260057</v>
      </c>
      <c r="B585" s="107" t="s">
        <v>1229</v>
      </c>
      <c r="C585" s="108">
        <v>46070</v>
      </c>
      <c r="D585" s="108">
        <v>46071</v>
      </c>
      <c r="E585" s="106">
        <v>1</v>
      </c>
      <c r="F585" s="106">
        <v>8.8000000000000007</v>
      </c>
      <c r="G585" s="106">
        <v>24</v>
      </c>
      <c r="H585" s="107" t="s">
        <v>1309</v>
      </c>
      <c r="I585" s="107" t="s">
        <v>42</v>
      </c>
      <c r="J585" s="107" t="s">
        <v>28</v>
      </c>
      <c r="K585" s="108">
        <f t="shared" si="123"/>
        <v>46079</v>
      </c>
      <c r="L585" s="108">
        <f t="shared" si="124"/>
        <v>46139</v>
      </c>
      <c r="M585" s="107"/>
      <c r="N585" s="112">
        <f>E585-1</f>
        <v>0</v>
      </c>
      <c r="O585" s="113">
        <f t="shared" ref="O585:O648" si="133">F585/E585*N585</f>
        <v>0</v>
      </c>
      <c r="P585" s="112">
        <f t="shared" si="128"/>
        <v>0</v>
      </c>
      <c r="Q585" s="109"/>
      <c r="R585" s="107"/>
      <c r="S585" s="109" t="s">
        <v>1310</v>
      </c>
      <c r="T585" s="114">
        <v>35</v>
      </c>
      <c r="U585" s="109" t="s">
        <v>1311</v>
      </c>
      <c r="V585" s="106"/>
      <c r="W585" s="106"/>
      <c r="X585" s="106" t="s">
        <v>55</v>
      </c>
      <c r="Y585" s="63">
        <f t="shared" si="117"/>
        <v>8.8000000000000007</v>
      </c>
      <c r="AA585" s="64">
        <v>3533</v>
      </c>
    </row>
    <row r="586" spans="1:48" ht="15.75" customHeight="1">
      <c r="A586" s="63">
        <v>20260057</v>
      </c>
      <c r="B586" s="65" t="s">
        <v>1229</v>
      </c>
      <c r="C586" s="66">
        <v>46070</v>
      </c>
      <c r="D586" s="66">
        <v>46071</v>
      </c>
      <c r="E586" s="63">
        <v>1</v>
      </c>
      <c r="F586" s="68">
        <v>17.5</v>
      </c>
      <c r="G586" s="69">
        <v>24</v>
      </c>
      <c r="H586" s="65" t="s">
        <v>1312</v>
      </c>
      <c r="I586" s="65" t="s">
        <v>42</v>
      </c>
      <c r="J586" s="65" t="s">
        <v>28</v>
      </c>
      <c r="K586" s="48">
        <f t="shared" si="123"/>
        <v>46079</v>
      </c>
      <c r="L586" s="48">
        <f t="shared" si="124"/>
        <v>46139</v>
      </c>
      <c r="N586" s="72">
        <f>E586</f>
        <v>1</v>
      </c>
      <c r="O586" s="50">
        <f t="shared" si="133"/>
        <v>17.5</v>
      </c>
      <c r="P586" s="56">
        <f t="shared" si="128"/>
        <v>24</v>
      </c>
      <c r="S586" s="200" t="s">
        <v>1313</v>
      </c>
      <c r="T586" s="201">
        <v>36</v>
      </c>
      <c r="U586" s="58" t="s">
        <v>1314</v>
      </c>
      <c r="V586" s="46"/>
      <c r="W586" s="46"/>
      <c r="X586" s="62" t="s">
        <v>25</v>
      </c>
      <c r="Y586" s="63">
        <f t="shared" si="117"/>
        <v>17.5</v>
      </c>
      <c r="Z586" s="64">
        <f t="shared" ref="Z586:Z587" si="134">E586-N586</f>
        <v>0</v>
      </c>
      <c r="AA586" s="64">
        <v>1</v>
      </c>
    </row>
    <row r="587" spans="1:48" ht="15.75" customHeight="1">
      <c r="A587" s="63">
        <v>20260057</v>
      </c>
      <c r="B587" s="65" t="s">
        <v>1229</v>
      </c>
      <c r="C587" s="66">
        <v>46070</v>
      </c>
      <c r="D587" s="66">
        <v>46071</v>
      </c>
      <c r="E587" s="63">
        <v>1</v>
      </c>
      <c r="F587" s="68">
        <v>15.5</v>
      </c>
      <c r="G587" s="69">
        <v>24</v>
      </c>
      <c r="H587" s="65" t="s">
        <v>1312</v>
      </c>
      <c r="I587" s="65" t="s">
        <v>42</v>
      </c>
      <c r="J587" s="65" t="s">
        <v>28</v>
      </c>
      <c r="K587" s="48">
        <f t="shared" si="123"/>
        <v>46079</v>
      </c>
      <c r="L587" s="48">
        <f t="shared" si="124"/>
        <v>46139</v>
      </c>
      <c r="N587" s="72">
        <f>E587</f>
        <v>1</v>
      </c>
      <c r="O587" s="50">
        <f t="shared" si="133"/>
        <v>15.5</v>
      </c>
      <c r="P587" s="56">
        <f t="shared" si="128"/>
        <v>24</v>
      </c>
      <c r="S587" s="200" t="s">
        <v>1315</v>
      </c>
      <c r="T587" s="201">
        <v>37</v>
      </c>
      <c r="U587" s="58" t="s">
        <v>1316</v>
      </c>
      <c r="V587" s="46"/>
      <c r="W587" s="46"/>
      <c r="X587" s="62" t="s">
        <v>25</v>
      </c>
      <c r="Y587" s="63">
        <f t="shared" si="117"/>
        <v>15.5</v>
      </c>
      <c r="Z587" s="64">
        <f t="shared" si="134"/>
        <v>0</v>
      </c>
      <c r="AA587" s="64">
        <v>132</v>
      </c>
    </row>
    <row r="588" spans="1:48" ht="15.75" customHeight="1">
      <c r="A588" s="106">
        <v>20260057</v>
      </c>
      <c r="B588" s="107" t="s">
        <v>1229</v>
      </c>
      <c r="C588" s="108">
        <v>46070</v>
      </c>
      <c r="D588" s="108">
        <v>46071</v>
      </c>
      <c r="E588" s="106">
        <v>1</v>
      </c>
      <c r="F588" s="106">
        <v>8.8000000000000007</v>
      </c>
      <c r="G588" s="106">
        <v>24</v>
      </c>
      <c r="H588" s="107" t="s">
        <v>1317</v>
      </c>
      <c r="I588" s="107" t="s">
        <v>42</v>
      </c>
      <c r="J588" s="107" t="s">
        <v>28</v>
      </c>
      <c r="K588" s="108">
        <f t="shared" si="123"/>
        <v>46079</v>
      </c>
      <c r="L588" s="108">
        <f t="shared" si="124"/>
        <v>46139</v>
      </c>
      <c r="M588" s="107"/>
      <c r="N588" s="112">
        <f>E588-1</f>
        <v>0</v>
      </c>
      <c r="O588" s="113">
        <f t="shared" si="133"/>
        <v>0</v>
      </c>
      <c r="P588" s="112">
        <f t="shared" si="128"/>
        <v>0</v>
      </c>
      <c r="Q588" s="109"/>
      <c r="R588" s="107"/>
      <c r="S588" s="109" t="s">
        <v>1318</v>
      </c>
      <c r="T588" s="114">
        <v>38</v>
      </c>
      <c r="U588" s="109" t="s">
        <v>1319</v>
      </c>
      <c r="V588" s="106"/>
      <c r="W588" s="106"/>
      <c r="X588" s="106" t="s">
        <v>55</v>
      </c>
      <c r="Y588" s="63">
        <f t="shared" si="117"/>
        <v>8.8000000000000007</v>
      </c>
    </row>
    <row r="589" spans="1:48" ht="15.75" customHeight="1">
      <c r="A589" s="106">
        <v>20260058</v>
      </c>
      <c r="B589" s="107" t="s">
        <v>1320</v>
      </c>
      <c r="C589" s="108">
        <v>46071</v>
      </c>
      <c r="D589" s="108">
        <v>46072</v>
      </c>
      <c r="E589" s="106">
        <v>97</v>
      </c>
      <c r="F589" s="106">
        <v>989</v>
      </c>
      <c r="G589" s="106">
        <v>3880</v>
      </c>
      <c r="H589" s="107" t="s">
        <v>1321</v>
      </c>
      <c r="I589" s="107" t="s">
        <v>106</v>
      </c>
      <c r="J589" s="107" t="s">
        <v>29</v>
      </c>
      <c r="K589" s="108">
        <f t="shared" si="123"/>
        <v>46080</v>
      </c>
      <c r="L589" s="108">
        <f t="shared" si="124"/>
        <v>46140</v>
      </c>
      <c r="M589" s="107"/>
      <c r="N589" s="112">
        <f>E589-48-40-9</f>
        <v>0</v>
      </c>
      <c r="O589" s="113">
        <f t="shared" si="133"/>
        <v>0</v>
      </c>
      <c r="P589" s="112">
        <f t="shared" si="128"/>
        <v>0</v>
      </c>
      <c r="Q589" s="109"/>
      <c r="R589" s="107"/>
      <c r="S589" s="109" t="s">
        <v>1322</v>
      </c>
      <c r="T589" s="114">
        <v>1</v>
      </c>
      <c r="U589" s="109" t="s">
        <v>1323</v>
      </c>
      <c r="V589" s="106"/>
      <c r="W589" s="106"/>
      <c r="X589" s="106" t="s">
        <v>55</v>
      </c>
      <c r="Y589" s="63">
        <f t="shared" si="117"/>
        <v>10.195876288659793</v>
      </c>
    </row>
    <row r="590" spans="1:48" ht="15.75" customHeight="1">
      <c r="A590" s="63">
        <v>20260058</v>
      </c>
      <c r="B590" s="65" t="s">
        <v>1320</v>
      </c>
      <c r="C590" s="66">
        <v>46071</v>
      </c>
      <c r="D590" s="66">
        <v>46072</v>
      </c>
      <c r="E590" s="63">
        <v>52</v>
      </c>
      <c r="F590" s="68">
        <v>5.2809999999999997</v>
      </c>
      <c r="G590" s="69">
        <v>0</v>
      </c>
      <c r="H590" s="65" t="s">
        <v>1321</v>
      </c>
      <c r="I590" s="65" t="s">
        <v>24</v>
      </c>
      <c r="J590" s="65" t="s">
        <v>29</v>
      </c>
      <c r="K590" s="48">
        <f t="shared" si="123"/>
        <v>46080</v>
      </c>
      <c r="L590" s="48">
        <f t="shared" si="124"/>
        <v>46140</v>
      </c>
      <c r="N590" s="72">
        <f>E590</f>
        <v>52</v>
      </c>
      <c r="O590" s="50">
        <f t="shared" si="133"/>
        <v>5.2809999999999997</v>
      </c>
      <c r="P590" s="56">
        <f t="shared" si="128"/>
        <v>0</v>
      </c>
      <c r="S590" s="200" t="s">
        <v>1324</v>
      </c>
      <c r="T590" s="201">
        <v>2</v>
      </c>
      <c r="U590" s="58" t="s">
        <v>527</v>
      </c>
      <c r="V590" s="46"/>
      <c r="W590" s="46"/>
      <c r="X590" s="62" t="s">
        <v>25</v>
      </c>
      <c r="Y590" s="63">
        <f t="shared" si="117"/>
        <v>0.10155769230769231</v>
      </c>
      <c r="Z590" s="64">
        <f t="shared" ref="Z590" si="135">E590-N590</f>
        <v>0</v>
      </c>
    </row>
    <row r="591" spans="1:48" ht="15.75" customHeight="1">
      <c r="A591" s="106">
        <v>20260061</v>
      </c>
      <c r="B591" s="107" t="s">
        <v>1325</v>
      </c>
      <c r="C591" s="108">
        <v>46072</v>
      </c>
      <c r="D591" s="108">
        <v>46073</v>
      </c>
      <c r="E591" s="106">
        <v>203</v>
      </c>
      <c r="F591" s="106">
        <v>809.976</v>
      </c>
      <c r="G591" s="106">
        <v>300</v>
      </c>
      <c r="H591" s="107" t="s">
        <v>862</v>
      </c>
      <c r="I591" s="107" t="s">
        <v>86</v>
      </c>
      <c r="J591" s="107" t="s">
        <v>86</v>
      </c>
      <c r="K591" s="108">
        <f t="shared" si="123"/>
        <v>46081</v>
      </c>
      <c r="L591" s="108">
        <f t="shared" si="124"/>
        <v>46141</v>
      </c>
      <c r="M591" s="107"/>
      <c r="N591" s="112">
        <f>+E591-99-104</f>
        <v>0</v>
      </c>
      <c r="O591" s="113">
        <f t="shared" si="133"/>
        <v>0</v>
      </c>
      <c r="P591" s="112">
        <f t="shared" si="128"/>
        <v>0</v>
      </c>
      <c r="Q591" s="109"/>
      <c r="R591" s="107"/>
      <c r="S591" s="109">
        <v>152451</v>
      </c>
      <c r="T591" s="114">
        <v>1</v>
      </c>
      <c r="U591" s="109" t="s">
        <v>1326</v>
      </c>
      <c r="V591" s="106"/>
      <c r="W591" s="106"/>
      <c r="X591" s="106" t="s">
        <v>55</v>
      </c>
      <c r="Y591" s="63">
        <f t="shared" si="117"/>
        <v>3.9900295566502462</v>
      </c>
    </row>
    <row r="592" spans="1:48" ht="18" customHeight="1">
      <c r="A592" s="87">
        <v>20260030</v>
      </c>
      <c r="B592" s="88" t="s">
        <v>1327</v>
      </c>
      <c r="C592" s="89">
        <v>46052</v>
      </c>
      <c r="D592" s="66">
        <v>46075</v>
      </c>
      <c r="E592" s="67">
        <v>2</v>
      </c>
      <c r="F592" s="68">
        <v>20</v>
      </c>
      <c r="G592" s="69">
        <v>48</v>
      </c>
      <c r="H592" s="65" t="s">
        <v>1328</v>
      </c>
      <c r="I592" s="70" t="s">
        <v>42</v>
      </c>
      <c r="J592" s="65" t="s">
        <v>28</v>
      </c>
      <c r="K592" s="48">
        <f t="shared" si="123"/>
        <v>46083</v>
      </c>
      <c r="L592" s="48">
        <f t="shared" si="124"/>
        <v>46143</v>
      </c>
      <c r="M592" s="71"/>
      <c r="N592" s="72">
        <f>E592</f>
        <v>2</v>
      </c>
      <c r="O592" s="50">
        <f t="shared" si="133"/>
        <v>20</v>
      </c>
      <c r="P592" s="56">
        <f t="shared" si="128"/>
        <v>48</v>
      </c>
      <c r="Q592" s="73"/>
      <c r="R592" s="58"/>
      <c r="S592" s="200" t="s">
        <v>1329</v>
      </c>
      <c r="T592" s="201">
        <v>2</v>
      </c>
      <c r="U592" s="58" t="s">
        <v>1330</v>
      </c>
      <c r="V592" s="46"/>
      <c r="W592" s="46"/>
      <c r="X592" s="62" t="s">
        <v>25</v>
      </c>
      <c r="Y592" s="63">
        <f t="shared" si="117"/>
        <v>10</v>
      </c>
      <c r="Z592" s="64">
        <f t="shared" ref="Z592:Z593" si="136">E592-N592</f>
        <v>0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</row>
    <row r="593" spans="1:48" ht="18" customHeight="1">
      <c r="A593" s="63">
        <v>20260030</v>
      </c>
      <c r="B593" s="65" t="s">
        <v>1327</v>
      </c>
      <c r="C593" s="66">
        <v>46052</v>
      </c>
      <c r="D593" s="66">
        <v>46075</v>
      </c>
      <c r="E593" s="67">
        <v>1</v>
      </c>
      <c r="F593" s="68">
        <v>18.309999999999999</v>
      </c>
      <c r="G593" s="69">
        <v>24</v>
      </c>
      <c r="H593" s="65" t="s">
        <v>1328</v>
      </c>
      <c r="I593" s="70" t="s">
        <v>194</v>
      </c>
      <c r="J593" s="65" t="s">
        <v>26</v>
      </c>
      <c r="K593" s="48">
        <f t="shared" si="123"/>
        <v>46083</v>
      </c>
      <c r="L593" s="48">
        <f t="shared" si="124"/>
        <v>46143</v>
      </c>
      <c r="M593" s="71"/>
      <c r="N593" s="72">
        <f>E593</f>
        <v>1</v>
      </c>
      <c r="O593" s="50">
        <f t="shared" si="133"/>
        <v>18.309999999999999</v>
      </c>
      <c r="P593" s="56">
        <f t="shared" si="128"/>
        <v>24</v>
      </c>
      <c r="Q593" s="73"/>
      <c r="R593" s="58"/>
      <c r="S593" s="200" t="s">
        <v>1329</v>
      </c>
      <c r="T593" s="201">
        <v>2</v>
      </c>
      <c r="U593" s="58"/>
      <c r="V593" s="46"/>
      <c r="W593" s="46"/>
      <c r="X593" s="62" t="s">
        <v>25</v>
      </c>
      <c r="Y593" s="63">
        <f t="shared" si="117"/>
        <v>18.309999999999999</v>
      </c>
      <c r="Z593" s="64">
        <f t="shared" si="136"/>
        <v>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</row>
    <row r="594" spans="1:48" ht="18" customHeight="1">
      <c r="A594" s="106">
        <v>20260030</v>
      </c>
      <c r="B594" s="107" t="s">
        <v>1327</v>
      </c>
      <c r="C594" s="108">
        <v>46052</v>
      </c>
      <c r="D594" s="108">
        <v>46075</v>
      </c>
      <c r="E594" s="106">
        <v>1</v>
      </c>
      <c r="F594" s="106">
        <v>4.3</v>
      </c>
      <c r="G594" s="106">
        <v>60</v>
      </c>
      <c r="H594" s="107" t="s">
        <v>1331</v>
      </c>
      <c r="I594" s="109" t="s">
        <v>138</v>
      </c>
      <c r="J594" s="107" t="s">
        <v>26</v>
      </c>
      <c r="K594" s="108">
        <f t="shared" si="123"/>
        <v>46083</v>
      </c>
      <c r="L594" s="108">
        <f t="shared" si="124"/>
        <v>46143</v>
      </c>
      <c r="M594" s="111"/>
      <c r="N594" s="112">
        <f>E594-1</f>
        <v>0</v>
      </c>
      <c r="O594" s="113">
        <f t="shared" si="133"/>
        <v>0</v>
      </c>
      <c r="P594" s="112">
        <f t="shared" si="128"/>
        <v>0</v>
      </c>
      <c r="Q594" s="109"/>
      <c r="R594" s="109"/>
      <c r="S594" s="109" t="s">
        <v>1332</v>
      </c>
      <c r="T594" s="114">
        <v>3</v>
      </c>
      <c r="U594" s="109" t="s">
        <v>1333</v>
      </c>
      <c r="V594" s="106"/>
      <c r="W594" s="106"/>
      <c r="X594" s="106" t="s">
        <v>55</v>
      </c>
      <c r="Y594" s="63">
        <f t="shared" si="117"/>
        <v>4.3</v>
      </c>
      <c r="Z594" s="30"/>
      <c r="AB594" s="202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</row>
    <row r="595" spans="1:48" ht="18" customHeight="1">
      <c r="A595" s="106">
        <v>20260030</v>
      </c>
      <c r="B595" s="107" t="s">
        <v>1327</v>
      </c>
      <c r="C595" s="108">
        <v>46052</v>
      </c>
      <c r="D595" s="108">
        <v>46075</v>
      </c>
      <c r="E595" s="106">
        <v>2</v>
      </c>
      <c r="F595" s="106">
        <v>0</v>
      </c>
      <c r="G595" s="106">
        <v>6</v>
      </c>
      <c r="H595" s="107" t="s">
        <v>1331</v>
      </c>
      <c r="I595" s="109" t="s">
        <v>24</v>
      </c>
      <c r="J595" s="107" t="s">
        <v>24</v>
      </c>
      <c r="K595" s="108">
        <f t="shared" si="123"/>
        <v>46083</v>
      </c>
      <c r="L595" s="108">
        <f t="shared" si="124"/>
        <v>46143</v>
      </c>
      <c r="M595" s="111"/>
      <c r="N595" s="112">
        <f>E595-2</f>
        <v>0</v>
      </c>
      <c r="O595" s="113">
        <f t="shared" si="133"/>
        <v>0</v>
      </c>
      <c r="P595" s="112">
        <f t="shared" si="128"/>
        <v>0</v>
      </c>
      <c r="Q595" s="109"/>
      <c r="R595" s="109"/>
      <c r="S595" s="109" t="s">
        <v>1332</v>
      </c>
      <c r="T595" s="114">
        <v>3</v>
      </c>
      <c r="U595" s="109"/>
      <c r="V595" s="106"/>
      <c r="W595" s="106"/>
      <c r="X595" s="106" t="s">
        <v>55</v>
      </c>
      <c r="Y595" s="63">
        <f t="shared" si="117"/>
        <v>0</v>
      </c>
      <c r="Z595" s="30"/>
      <c r="AB595" s="202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</row>
    <row r="596" spans="1:48" ht="18" customHeight="1">
      <c r="A596" s="106">
        <v>20260030</v>
      </c>
      <c r="B596" s="107" t="s">
        <v>1327</v>
      </c>
      <c r="C596" s="108">
        <v>46052</v>
      </c>
      <c r="D596" s="108">
        <v>46075</v>
      </c>
      <c r="E596" s="106">
        <v>1</v>
      </c>
      <c r="F596" s="106">
        <v>23.76</v>
      </c>
      <c r="G596" s="106">
        <v>24</v>
      </c>
      <c r="H596" s="107" t="s">
        <v>1334</v>
      </c>
      <c r="I596" s="109" t="s">
        <v>194</v>
      </c>
      <c r="J596" s="107" t="s">
        <v>26</v>
      </c>
      <c r="K596" s="108">
        <f t="shared" si="123"/>
        <v>46083</v>
      </c>
      <c r="L596" s="108">
        <f t="shared" si="124"/>
        <v>46143</v>
      </c>
      <c r="M596" s="111"/>
      <c r="N596" s="112">
        <f>E596-1</f>
        <v>0</v>
      </c>
      <c r="O596" s="113">
        <f t="shared" si="133"/>
        <v>0</v>
      </c>
      <c r="P596" s="112">
        <f t="shared" si="128"/>
        <v>0</v>
      </c>
      <c r="Q596" s="109"/>
      <c r="R596" s="109"/>
      <c r="S596" s="109" t="s">
        <v>1335</v>
      </c>
      <c r="T596" s="114">
        <v>4</v>
      </c>
      <c r="U596" s="109" t="s">
        <v>1336</v>
      </c>
      <c r="V596" s="106"/>
      <c r="W596" s="106"/>
      <c r="X596" s="106" t="s">
        <v>55</v>
      </c>
      <c r="Y596" s="63">
        <f t="shared" si="117"/>
        <v>23.76</v>
      </c>
      <c r="Z596" s="30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</row>
    <row r="597" spans="1:48" ht="18" customHeight="1">
      <c r="A597" s="63">
        <v>20260030</v>
      </c>
      <c r="B597" s="65" t="s">
        <v>1327</v>
      </c>
      <c r="C597" s="66">
        <v>46052</v>
      </c>
      <c r="D597" s="66">
        <v>46075</v>
      </c>
      <c r="E597" s="67">
        <v>1</v>
      </c>
      <c r="F597" s="68">
        <v>0</v>
      </c>
      <c r="G597" s="69">
        <v>3</v>
      </c>
      <c r="H597" s="65" t="s">
        <v>1334</v>
      </c>
      <c r="I597" s="70" t="s">
        <v>24</v>
      </c>
      <c r="J597" s="65" t="s">
        <v>24</v>
      </c>
      <c r="K597" s="48">
        <f t="shared" si="123"/>
        <v>46083</v>
      </c>
      <c r="L597" s="48">
        <f t="shared" si="124"/>
        <v>46143</v>
      </c>
      <c r="M597" s="71"/>
      <c r="N597" s="72">
        <f>E597</f>
        <v>1</v>
      </c>
      <c r="O597" s="50">
        <f t="shared" si="133"/>
        <v>0</v>
      </c>
      <c r="P597" s="56">
        <f t="shared" si="128"/>
        <v>3</v>
      </c>
      <c r="Q597" s="73"/>
      <c r="R597" s="58"/>
      <c r="S597" s="200" t="s">
        <v>1335</v>
      </c>
      <c r="T597" s="201">
        <v>4</v>
      </c>
      <c r="U597" s="58"/>
      <c r="V597" s="46"/>
      <c r="W597" s="46"/>
      <c r="X597" s="62" t="s">
        <v>25</v>
      </c>
      <c r="Y597" s="63">
        <f t="shared" si="117"/>
        <v>0</v>
      </c>
      <c r="Z597" s="64">
        <f t="shared" ref="Z597:Z598" si="137">E597-N597</f>
        <v>0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</row>
    <row r="598" spans="1:48" ht="18" customHeight="1">
      <c r="A598" s="63">
        <v>20260030</v>
      </c>
      <c r="B598" s="65" t="s">
        <v>1327</v>
      </c>
      <c r="C598" s="66">
        <v>46052</v>
      </c>
      <c r="D598" s="66">
        <v>46075</v>
      </c>
      <c r="E598" s="67">
        <v>1</v>
      </c>
      <c r="F598" s="68">
        <v>22</v>
      </c>
      <c r="G598" s="69">
        <v>24</v>
      </c>
      <c r="H598" s="65" t="s">
        <v>1337</v>
      </c>
      <c r="I598" s="70" t="s">
        <v>63</v>
      </c>
      <c r="J598" s="65" t="s">
        <v>28</v>
      </c>
      <c r="K598" s="48">
        <f t="shared" si="123"/>
        <v>46083</v>
      </c>
      <c r="L598" s="48">
        <f t="shared" si="124"/>
        <v>46143</v>
      </c>
      <c r="M598" s="71"/>
      <c r="N598" s="72">
        <f>E598</f>
        <v>1</v>
      </c>
      <c r="O598" s="50">
        <f t="shared" si="133"/>
        <v>22</v>
      </c>
      <c r="P598" s="56">
        <f t="shared" si="128"/>
        <v>24</v>
      </c>
      <c r="Q598" s="73"/>
      <c r="R598" s="58"/>
      <c r="S598" s="200" t="s">
        <v>1338</v>
      </c>
      <c r="T598" s="201">
        <v>7</v>
      </c>
      <c r="U598" s="58" t="s">
        <v>1339</v>
      </c>
      <c r="V598" s="46"/>
      <c r="W598" s="46"/>
      <c r="X598" s="62" t="s">
        <v>25</v>
      </c>
      <c r="Y598" s="63">
        <f t="shared" ref="Y598:Y661" si="138">F598/E598</f>
        <v>22</v>
      </c>
      <c r="Z598" s="64">
        <f t="shared" si="137"/>
        <v>0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</row>
    <row r="599" spans="1:48" ht="18" customHeight="1">
      <c r="A599" s="106">
        <v>20260030</v>
      </c>
      <c r="B599" s="107" t="s">
        <v>1327</v>
      </c>
      <c r="C599" s="108">
        <v>46052</v>
      </c>
      <c r="D599" s="108">
        <v>46075</v>
      </c>
      <c r="E599" s="106">
        <v>1</v>
      </c>
      <c r="F599" s="106">
        <v>12.33</v>
      </c>
      <c r="G599" s="106">
        <v>24</v>
      </c>
      <c r="H599" s="107" t="s">
        <v>1340</v>
      </c>
      <c r="I599" s="109" t="s">
        <v>42</v>
      </c>
      <c r="J599" s="107" t="s">
        <v>26</v>
      </c>
      <c r="K599" s="108">
        <f t="shared" si="123"/>
        <v>46083</v>
      </c>
      <c r="L599" s="108">
        <f t="shared" si="124"/>
        <v>46143</v>
      </c>
      <c r="M599" s="111"/>
      <c r="N599" s="112">
        <f>E599-1</f>
        <v>0</v>
      </c>
      <c r="O599" s="113">
        <f t="shared" si="133"/>
        <v>0</v>
      </c>
      <c r="P599" s="112">
        <f t="shared" si="128"/>
        <v>0</v>
      </c>
      <c r="Q599" s="109"/>
      <c r="R599" s="109"/>
      <c r="S599" s="109" t="s">
        <v>1341</v>
      </c>
      <c r="T599" s="114">
        <v>8</v>
      </c>
      <c r="U599" s="109" t="s">
        <v>1342</v>
      </c>
      <c r="V599" s="106"/>
      <c r="W599" s="106"/>
      <c r="X599" s="106" t="s">
        <v>55</v>
      </c>
      <c r="Y599" s="63">
        <f t="shared" si="138"/>
        <v>12.33</v>
      </c>
      <c r="Z599" s="30"/>
      <c r="AB599" s="202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</row>
    <row r="600" spans="1:48" ht="18" customHeight="1">
      <c r="A600" s="63">
        <v>20260030</v>
      </c>
      <c r="B600" s="65" t="s">
        <v>1327</v>
      </c>
      <c r="C600" s="66">
        <v>46052</v>
      </c>
      <c r="D600" s="66">
        <v>46075</v>
      </c>
      <c r="E600" s="67">
        <v>1</v>
      </c>
      <c r="F600" s="68">
        <v>32.369999999999997</v>
      </c>
      <c r="G600" s="69">
        <v>60</v>
      </c>
      <c r="H600" s="65" t="s">
        <v>1343</v>
      </c>
      <c r="I600" s="70" t="s">
        <v>138</v>
      </c>
      <c r="K600" s="48">
        <f t="shared" si="123"/>
        <v>46083</v>
      </c>
      <c r="L600" s="48">
        <f t="shared" si="124"/>
        <v>46143</v>
      </c>
      <c r="M600" s="71"/>
      <c r="N600" s="72">
        <f>E600</f>
        <v>1</v>
      </c>
      <c r="O600" s="50">
        <f t="shared" si="133"/>
        <v>32.369999999999997</v>
      </c>
      <c r="P600" s="56">
        <f t="shared" si="128"/>
        <v>60</v>
      </c>
      <c r="Q600" s="73"/>
      <c r="R600" s="58"/>
      <c r="S600" s="200" t="s">
        <v>1344</v>
      </c>
      <c r="T600" s="201">
        <v>9</v>
      </c>
      <c r="U600" s="58" t="s">
        <v>1345</v>
      </c>
      <c r="V600" s="46"/>
      <c r="W600" s="46"/>
      <c r="X600" s="62" t="s">
        <v>25</v>
      </c>
      <c r="Y600" s="63">
        <f t="shared" si="138"/>
        <v>32.369999999999997</v>
      </c>
      <c r="Z600" s="64">
        <f t="shared" ref="Z600:Z603" si="139">E600-N600</f>
        <v>0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</row>
    <row r="601" spans="1:48" ht="18" customHeight="1">
      <c r="A601" s="63">
        <v>20260030</v>
      </c>
      <c r="B601" s="65" t="s">
        <v>1327</v>
      </c>
      <c r="C601" s="66">
        <v>46052</v>
      </c>
      <c r="D601" s="66">
        <v>46075</v>
      </c>
      <c r="E601" s="67">
        <v>1</v>
      </c>
      <c r="F601" s="68">
        <v>0</v>
      </c>
      <c r="G601" s="69">
        <v>3</v>
      </c>
      <c r="H601" s="65" t="s">
        <v>1343</v>
      </c>
      <c r="I601" s="70" t="s">
        <v>24</v>
      </c>
      <c r="J601" s="65" t="s">
        <v>24</v>
      </c>
      <c r="K601" s="48">
        <f t="shared" si="123"/>
        <v>46083</v>
      </c>
      <c r="L601" s="48">
        <f t="shared" si="124"/>
        <v>46143</v>
      </c>
      <c r="M601" s="71"/>
      <c r="N601" s="72">
        <f>E601</f>
        <v>1</v>
      </c>
      <c r="O601" s="50">
        <f t="shared" si="133"/>
        <v>0</v>
      </c>
      <c r="P601" s="56">
        <f t="shared" si="128"/>
        <v>3</v>
      </c>
      <c r="Q601" s="73"/>
      <c r="R601" s="58"/>
      <c r="S601" s="200" t="s">
        <v>1344</v>
      </c>
      <c r="T601" s="201">
        <v>9</v>
      </c>
      <c r="U601" s="58"/>
      <c r="V601" s="46"/>
      <c r="W601" s="46"/>
      <c r="X601" s="62" t="s">
        <v>25</v>
      </c>
      <c r="Y601" s="63">
        <f t="shared" si="138"/>
        <v>0</v>
      </c>
      <c r="Z601" s="64">
        <f t="shared" si="139"/>
        <v>0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</row>
    <row r="602" spans="1:48" ht="18" customHeight="1">
      <c r="A602" s="63">
        <v>20260030</v>
      </c>
      <c r="B602" s="65" t="s">
        <v>1327</v>
      </c>
      <c r="C602" s="66">
        <v>46052</v>
      </c>
      <c r="D602" s="66">
        <v>46075</v>
      </c>
      <c r="E602" s="67">
        <v>11</v>
      </c>
      <c r="F602" s="68">
        <v>131.129166666667</v>
      </c>
      <c r="G602" s="69">
        <v>264</v>
      </c>
      <c r="H602" s="65" t="s">
        <v>643</v>
      </c>
      <c r="I602" s="70" t="s">
        <v>42</v>
      </c>
      <c r="J602" s="65" t="s">
        <v>28</v>
      </c>
      <c r="K602" s="48">
        <f t="shared" si="123"/>
        <v>46083</v>
      </c>
      <c r="L602" s="48">
        <f t="shared" si="124"/>
        <v>46143</v>
      </c>
      <c r="M602" s="71"/>
      <c r="N602" s="72">
        <f>E602</f>
        <v>11</v>
      </c>
      <c r="O602" s="50">
        <f t="shared" si="133"/>
        <v>131.129166666667</v>
      </c>
      <c r="P602" s="56">
        <f t="shared" si="128"/>
        <v>264</v>
      </c>
      <c r="Q602" s="73"/>
      <c r="R602" s="58"/>
      <c r="S602" s="200" t="s">
        <v>1346</v>
      </c>
      <c r="T602" s="201">
        <v>10</v>
      </c>
      <c r="U602" s="58" t="s">
        <v>1347</v>
      </c>
      <c r="V602" s="46"/>
      <c r="W602" s="46"/>
      <c r="X602" s="62" t="s">
        <v>25</v>
      </c>
      <c r="Y602" s="63">
        <f t="shared" si="138"/>
        <v>11.920833333333364</v>
      </c>
      <c r="Z602" s="64">
        <f t="shared" si="139"/>
        <v>0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</row>
    <row r="603" spans="1:48" ht="18" customHeight="1">
      <c r="A603" s="63">
        <v>20260030</v>
      </c>
      <c r="B603" s="65" t="s">
        <v>1327</v>
      </c>
      <c r="C603" s="66">
        <v>46052</v>
      </c>
      <c r="D603" s="66">
        <v>46075</v>
      </c>
      <c r="E603" s="67">
        <v>1</v>
      </c>
      <c r="F603" s="68">
        <v>11.920833333333301</v>
      </c>
      <c r="G603" s="69">
        <v>24</v>
      </c>
      <c r="H603" s="65" t="s">
        <v>643</v>
      </c>
      <c r="I603" s="70" t="s">
        <v>63</v>
      </c>
      <c r="J603" s="65" t="s">
        <v>28</v>
      </c>
      <c r="K603" s="48">
        <f t="shared" si="123"/>
        <v>46083</v>
      </c>
      <c r="L603" s="48">
        <f t="shared" si="124"/>
        <v>46143</v>
      </c>
      <c r="M603" s="71"/>
      <c r="N603" s="72">
        <f>E603</f>
        <v>1</v>
      </c>
      <c r="O603" s="50">
        <f t="shared" si="133"/>
        <v>11.920833333333301</v>
      </c>
      <c r="P603" s="56">
        <f t="shared" si="128"/>
        <v>24</v>
      </c>
      <c r="Q603" s="73"/>
      <c r="R603" s="58"/>
      <c r="S603" s="200" t="s">
        <v>1346</v>
      </c>
      <c r="T603" s="201">
        <v>10</v>
      </c>
      <c r="U603" s="58"/>
      <c r="V603" s="46"/>
      <c r="W603" s="46"/>
      <c r="X603" s="62" t="s">
        <v>25</v>
      </c>
      <c r="Y603" s="63">
        <f t="shared" si="138"/>
        <v>11.920833333333301</v>
      </c>
      <c r="Z603" s="64">
        <f t="shared" si="139"/>
        <v>0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</row>
    <row r="604" spans="1:48" ht="18" customHeight="1">
      <c r="A604" s="106">
        <v>20260030</v>
      </c>
      <c r="B604" s="107" t="s">
        <v>1327</v>
      </c>
      <c r="C604" s="108">
        <v>46052</v>
      </c>
      <c r="D604" s="108">
        <v>46075</v>
      </c>
      <c r="E604" s="106">
        <v>4</v>
      </c>
      <c r="F604" s="106">
        <v>49.52</v>
      </c>
      <c r="G604" s="106">
        <v>96</v>
      </c>
      <c r="H604" s="107" t="s">
        <v>1348</v>
      </c>
      <c r="I604" s="109" t="s">
        <v>42</v>
      </c>
      <c r="J604" s="107" t="s">
        <v>28</v>
      </c>
      <c r="K604" s="108">
        <f t="shared" si="123"/>
        <v>46083</v>
      </c>
      <c r="L604" s="108">
        <f t="shared" si="124"/>
        <v>46143</v>
      </c>
      <c r="M604" s="111"/>
      <c r="N604" s="112">
        <f>E604-4</f>
        <v>0</v>
      </c>
      <c r="O604" s="113">
        <f t="shared" si="133"/>
        <v>0</v>
      </c>
      <c r="P604" s="112">
        <f t="shared" si="128"/>
        <v>0</v>
      </c>
      <c r="Q604" s="109"/>
      <c r="R604" s="109"/>
      <c r="S604" s="109" t="s">
        <v>1349</v>
      </c>
      <c r="T604" s="114">
        <v>11</v>
      </c>
      <c r="U604" s="109" t="s">
        <v>1350</v>
      </c>
      <c r="V604" s="106"/>
      <c r="W604" s="106"/>
      <c r="X604" s="106" t="s">
        <v>55</v>
      </c>
      <c r="Y604" s="63">
        <f t="shared" si="138"/>
        <v>12.38</v>
      </c>
      <c r="Z604" s="30"/>
      <c r="AB604" s="202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</row>
    <row r="605" spans="1:48" ht="18" customHeight="1">
      <c r="A605" s="106">
        <v>20260030</v>
      </c>
      <c r="B605" s="107" t="s">
        <v>1327</v>
      </c>
      <c r="C605" s="108">
        <v>46052</v>
      </c>
      <c r="D605" s="108">
        <v>46075</v>
      </c>
      <c r="E605" s="106">
        <v>1</v>
      </c>
      <c r="F605" s="106">
        <v>34.155000000000001</v>
      </c>
      <c r="G605" s="106">
        <v>24</v>
      </c>
      <c r="H605" s="107" t="s">
        <v>1351</v>
      </c>
      <c r="I605" s="109" t="s">
        <v>194</v>
      </c>
      <c r="J605" s="107" t="s">
        <v>26</v>
      </c>
      <c r="K605" s="108">
        <f t="shared" si="123"/>
        <v>46083</v>
      </c>
      <c r="L605" s="108">
        <f t="shared" si="124"/>
        <v>46143</v>
      </c>
      <c r="M605" s="111"/>
      <c r="N605" s="112">
        <f>E605-1</f>
        <v>0</v>
      </c>
      <c r="O605" s="113">
        <f t="shared" si="133"/>
        <v>0</v>
      </c>
      <c r="P605" s="112">
        <f t="shared" si="128"/>
        <v>0</v>
      </c>
      <c r="Q605" s="109"/>
      <c r="R605" s="109"/>
      <c r="S605" s="109" t="s">
        <v>1352</v>
      </c>
      <c r="T605" s="114">
        <v>12</v>
      </c>
      <c r="U605" s="109" t="s">
        <v>1353</v>
      </c>
      <c r="V605" s="106"/>
      <c r="W605" s="106"/>
      <c r="X605" s="106" t="s">
        <v>55</v>
      </c>
      <c r="Y605" s="63">
        <f t="shared" si="138"/>
        <v>34.155000000000001</v>
      </c>
      <c r="Z605" s="30"/>
      <c r="AB605" s="202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</row>
    <row r="606" spans="1:48" ht="18" customHeight="1">
      <c r="A606" s="106">
        <v>20260030</v>
      </c>
      <c r="B606" s="107" t="s">
        <v>1327</v>
      </c>
      <c r="C606" s="108">
        <v>46052</v>
      </c>
      <c r="D606" s="108">
        <v>46075</v>
      </c>
      <c r="E606" s="106">
        <v>1</v>
      </c>
      <c r="F606" s="106">
        <v>0</v>
      </c>
      <c r="G606" s="106">
        <v>3</v>
      </c>
      <c r="H606" s="107" t="s">
        <v>1351</v>
      </c>
      <c r="I606" s="109" t="s">
        <v>24</v>
      </c>
      <c r="J606" s="107" t="s">
        <v>24</v>
      </c>
      <c r="K606" s="108">
        <f t="shared" si="123"/>
        <v>46083</v>
      </c>
      <c r="L606" s="108">
        <f t="shared" si="124"/>
        <v>46143</v>
      </c>
      <c r="M606" s="111"/>
      <c r="N606" s="112">
        <f>E606-1</f>
        <v>0</v>
      </c>
      <c r="O606" s="113">
        <f t="shared" si="133"/>
        <v>0</v>
      </c>
      <c r="P606" s="112">
        <f t="shared" si="128"/>
        <v>0</v>
      </c>
      <c r="Q606" s="109"/>
      <c r="R606" s="109"/>
      <c r="S606" s="109" t="s">
        <v>1352</v>
      </c>
      <c r="T606" s="114">
        <v>12</v>
      </c>
      <c r="U606" s="109"/>
      <c r="V606" s="106"/>
      <c r="W606" s="106"/>
      <c r="X606" s="106" t="s">
        <v>55</v>
      </c>
      <c r="Y606" s="63">
        <f t="shared" si="138"/>
        <v>0</v>
      </c>
      <c r="Z606" s="30"/>
      <c r="AB606" s="202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</row>
    <row r="607" spans="1:48" ht="18" customHeight="1">
      <c r="A607" s="106">
        <v>20260030</v>
      </c>
      <c r="B607" s="107" t="s">
        <v>1327</v>
      </c>
      <c r="C607" s="108">
        <v>46052</v>
      </c>
      <c r="D607" s="108">
        <v>46075</v>
      </c>
      <c r="E607" s="106">
        <v>1</v>
      </c>
      <c r="F607" s="106">
        <v>8.5</v>
      </c>
      <c r="G607" s="106">
        <v>18</v>
      </c>
      <c r="H607" s="107" t="s">
        <v>1354</v>
      </c>
      <c r="I607" s="109" t="s">
        <v>113</v>
      </c>
      <c r="J607" s="107" t="s">
        <v>28</v>
      </c>
      <c r="K607" s="108">
        <f t="shared" si="123"/>
        <v>46083</v>
      </c>
      <c r="L607" s="108">
        <f t="shared" si="124"/>
        <v>46143</v>
      </c>
      <c r="M607" s="111"/>
      <c r="N607" s="112">
        <f>E607-1</f>
        <v>0</v>
      </c>
      <c r="O607" s="113">
        <f t="shared" si="133"/>
        <v>0</v>
      </c>
      <c r="P607" s="112">
        <f t="shared" si="128"/>
        <v>0</v>
      </c>
      <c r="Q607" s="109"/>
      <c r="R607" s="109"/>
      <c r="S607" s="109" t="s">
        <v>1355</v>
      </c>
      <c r="T607" s="114">
        <v>13</v>
      </c>
      <c r="U607" s="109" t="s">
        <v>1356</v>
      </c>
      <c r="V607" s="106"/>
      <c r="W607" s="106"/>
      <c r="X607" s="106" t="s">
        <v>55</v>
      </c>
      <c r="Y607" s="63">
        <f t="shared" si="138"/>
        <v>8.5</v>
      </c>
      <c r="Z607" s="30"/>
      <c r="AB607" s="202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</row>
    <row r="608" spans="1:48" ht="18" customHeight="1">
      <c r="A608" s="106">
        <v>20260030</v>
      </c>
      <c r="B608" s="107" t="s">
        <v>1327</v>
      </c>
      <c r="C608" s="108">
        <v>46052</v>
      </c>
      <c r="D608" s="108">
        <v>46075</v>
      </c>
      <c r="E608" s="106">
        <v>1</v>
      </c>
      <c r="F608" s="106">
        <v>17.46</v>
      </c>
      <c r="G608" s="106">
        <v>40</v>
      </c>
      <c r="H608" s="109" t="s">
        <v>1357</v>
      </c>
      <c r="I608" s="109" t="s">
        <v>206</v>
      </c>
      <c r="J608" s="107" t="s">
        <v>26</v>
      </c>
      <c r="K608" s="108">
        <f t="shared" si="123"/>
        <v>46083</v>
      </c>
      <c r="L608" s="108">
        <f t="shared" si="124"/>
        <v>46143</v>
      </c>
      <c r="M608" s="111"/>
      <c r="N608" s="112">
        <f>E608-1</f>
        <v>0</v>
      </c>
      <c r="O608" s="113">
        <f t="shared" si="133"/>
        <v>0</v>
      </c>
      <c r="P608" s="112">
        <f t="shared" si="128"/>
        <v>0</v>
      </c>
      <c r="Q608" s="109"/>
      <c r="R608" s="109"/>
      <c r="S608" s="109" t="s">
        <v>1358</v>
      </c>
      <c r="T608" s="114">
        <v>15</v>
      </c>
      <c r="U608" s="109" t="s">
        <v>1359</v>
      </c>
      <c r="V608" s="106"/>
      <c r="W608" s="106"/>
      <c r="X608" s="106" t="s">
        <v>55</v>
      </c>
      <c r="Y608" s="63">
        <f t="shared" si="138"/>
        <v>17.46</v>
      </c>
      <c r="Z608" s="30"/>
      <c r="AB608" s="202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</row>
    <row r="609" spans="1:48" ht="18" customHeight="1">
      <c r="A609" s="106">
        <v>20260030</v>
      </c>
      <c r="B609" s="107" t="s">
        <v>1327</v>
      </c>
      <c r="C609" s="108">
        <v>46052</v>
      </c>
      <c r="D609" s="108">
        <v>46075</v>
      </c>
      <c r="E609" s="106">
        <v>2</v>
      </c>
      <c r="F609" s="106">
        <v>0</v>
      </c>
      <c r="G609" s="106">
        <v>6</v>
      </c>
      <c r="H609" s="109" t="s">
        <v>1357</v>
      </c>
      <c r="I609" s="109" t="s">
        <v>24</v>
      </c>
      <c r="J609" s="107" t="s">
        <v>24</v>
      </c>
      <c r="K609" s="108">
        <f t="shared" si="123"/>
        <v>46083</v>
      </c>
      <c r="L609" s="108">
        <f t="shared" si="124"/>
        <v>46143</v>
      </c>
      <c r="M609" s="111"/>
      <c r="N609" s="112">
        <f>E609-1-1</f>
        <v>0</v>
      </c>
      <c r="O609" s="113">
        <f t="shared" si="133"/>
        <v>0</v>
      </c>
      <c r="P609" s="112">
        <f t="shared" si="128"/>
        <v>0</v>
      </c>
      <c r="Q609" s="109"/>
      <c r="R609" s="109"/>
      <c r="S609" s="109" t="s">
        <v>1358</v>
      </c>
      <c r="T609" s="114">
        <v>15</v>
      </c>
      <c r="U609" s="109"/>
      <c r="V609" s="106"/>
      <c r="W609" s="106"/>
      <c r="X609" s="106" t="s">
        <v>55</v>
      </c>
      <c r="Y609" s="63">
        <f t="shared" si="138"/>
        <v>0</v>
      </c>
      <c r="Z609" s="30"/>
      <c r="AB609" s="202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</row>
    <row r="610" spans="1:48" ht="18" customHeight="1">
      <c r="A610" s="106">
        <v>20260030</v>
      </c>
      <c r="B610" s="107" t="s">
        <v>1327</v>
      </c>
      <c r="C610" s="108">
        <v>46052</v>
      </c>
      <c r="D610" s="108">
        <v>46075</v>
      </c>
      <c r="E610" s="106">
        <v>1</v>
      </c>
      <c r="F610" s="106">
        <v>14</v>
      </c>
      <c r="G610" s="106">
        <v>24</v>
      </c>
      <c r="H610" s="109" t="s">
        <v>1357</v>
      </c>
      <c r="I610" s="109" t="s">
        <v>208</v>
      </c>
      <c r="J610" s="107" t="s">
        <v>26</v>
      </c>
      <c r="K610" s="108">
        <f t="shared" si="123"/>
        <v>46083</v>
      </c>
      <c r="L610" s="108">
        <f t="shared" si="124"/>
        <v>46143</v>
      </c>
      <c r="M610" s="111"/>
      <c r="N610" s="112">
        <f>E610-1</f>
        <v>0</v>
      </c>
      <c r="O610" s="113">
        <f t="shared" si="133"/>
        <v>0</v>
      </c>
      <c r="P610" s="112">
        <f t="shared" si="128"/>
        <v>0</v>
      </c>
      <c r="Q610" s="109"/>
      <c r="R610" s="109"/>
      <c r="S610" s="109" t="s">
        <v>1360</v>
      </c>
      <c r="T610" s="114">
        <v>92</v>
      </c>
      <c r="U610" s="109" t="s">
        <v>1361</v>
      </c>
      <c r="V610" s="106"/>
      <c r="W610" s="106"/>
      <c r="X610" s="106" t="s">
        <v>55</v>
      </c>
      <c r="Y610" s="63">
        <f t="shared" si="138"/>
        <v>14</v>
      </c>
      <c r="Z610" s="30"/>
      <c r="AB610" s="202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</row>
    <row r="611" spans="1:48" ht="18" customHeight="1">
      <c r="A611" s="76">
        <v>20260030</v>
      </c>
      <c r="B611" s="77" t="s">
        <v>1327</v>
      </c>
      <c r="C611" s="78">
        <v>46052</v>
      </c>
      <c r="D611" s="78">
        <v>46075</v>
      </c>
      <c r="E611" s="76">
        <v>1</v>
      </c>
      <c r="F611" s="76">
        <v>34.155000000000001</v>
      </c>
      <c r="G611" s="76">
        <v>24</v>
      </c>
      <c r="H611" s="80" t="s">
        <v>1362</v>
      </c>
      <c r="I611" s="80" t="s">
        <v>194</v>
      </c>
      <c r="J611" s="77" t="s">
        <v>26</v>
      </c>
      <c r="K611" s="78">
        <f t="shared" si="123"/>
        <v>46083</v>
      </c>
      <c r="L611" s="78">
        <f t="shared" si="124"/>
        <v>46143</v>
      </c>
      <c r="M611" s="82"/>
      <c r="N611" s="83">
        <f t="shared" ref="N611:N621" si="140">E611</f>
        <v>1</v>
      </c>
      <c r="O611" s="84">
        <f t="shared" si="133"/>
        <v>34.155000000000001</v>
      </c>
      <c r="P611" s="83">
        <f t="shared" si="128"/>
        <v>24</v>
      </c>
      <c r="Q611" s="80"/>
      <c r="R611" s="80"/>
      <c r="S611" s="80" t="s">
        <v>1363</v>
      </c>
      <c r="T611" s="86">
        <v>16</v>
      </c>
      <c r="U611" s="80" t="s">
        <v>1364</v>
      </c>
      <c r="V611" s="76"/>
      <c r="W611" s="76"/>
      <c r="X611" s="76" t="s">
        <v>55</v>
      </c>
      <c r="Y611" s="63">
        <f t="shared" si="138"/>
        <v>34.155000000000001</v>
      </c>
      <c r="Z611" s="30"/>
      <c r="AB611" s="202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</row>
    <row r="612" spans="1:48" ht="18" customHeight="1">
      <c r="A612" s="76">
        <v>20260030</v>
      </c>
      <c r="B612" s="77" t="s">
        <v>1327</v>
      </c>
      <c r="C612" s="78">
        <v>46052</v>
      </c>
      <c r="D612" s="78">
        <v>46075</v>
      </c>
      <c r="E612" s="76">
        <v>1</v>
      </c>
      <c r="F612" s="76">
        <v>0</v>
      </c>
      <c r="G612" s="76">
        <v>3</v>
      </c>
      <c r="H612" s="80" t="s">
        <v>1362</v>
      </c>
      <c r="I612" s="80" t="s">
        <v>24</v>
      </c>
      <c r="J612" s="77" t="s">
        <v>24</v>
      </c>
      <c r="K612" s="78">
        <f t="shared" si="123"/>
        <v>46083</v>
      </c>
      <c r="L612" s="78">
        <f t="shared" si="124"/>
        <v>46143</v>
      </c>
      <c r="M612" s="82"/>
      <c r="N612" s="83">
        <f t="shared" si="140"/>
        <v>1</v>
      </c>
      <c r="O612" s="84">
        <f t="shared" si="133"/>
        <v>0</v>
      </c>
      <c r="P612" s="83">
        <f t="shared" si="128"/>
        <v>3</v>
      </c>
      <c r="Q612" s="80"/>
      <c r="R612" s="80"/>
      <c r="S612" s="80" t="s">
        <v>1363</v>
      </c>
      <c r="T612" s="86">
        <v>16</v>
      </c>
      <c r="U612" s="80"/>
      <c r="V612" s="76"/>
      <c r="W612" s="76"/>
      <c r="X612" s="76" t="s">
        <v>55</v>
      </c>
      <c r="Y612" s="63">
        <f t="shared" si="138"/>
        <v>0</v>
      </c>
      <c r="Z612" s="30"/>
      <c r="AB612" s="20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</row>
    <row r="613" spans="1:48" ht="18" customHeight="1">
      <c r="A613" s="106">
        <v>20260030</v>
      </c>
      <c r="B613" s="107" t="s">
        <v>1327</v>
      </c>
      <c r="C613" s="108">
        <v>46052</v>
      </c>
      <c r="D613" s="108">
        <v>46075</v>
      </c>
      <c r="E613" s="106">
        <v>2</v>
      </c>
      <c r="F613" s="106">
        <v>30</v>
      </c>
      <c r="G613" s="106">
        <v>48</v>
      </c>
      <c r="H613" s="109" t="s">
        <v>1365</v>
      </c>
      <c r="I613" s="109" t="s">
        <v>42</v>
      </c>
      <c r="J613" s="107" t="s">
        <v>28</v>
      </c>
      <c r="K613" s="108">
        <f t="shared" si="123"/>
        <v>46083</v>
      </c>
      <c r="L613" s="108">
        <f t="shared" si="124"/>
        <v>46143</v>
      </c>
      <c r="M613" s="111"/>
      <c r="N613" s="112">
        <f>E613-2</f>
        <v>0</v>
      </c>
      <c r="O613" s="113">
        <f t="shared" si="133"/>
        <v>0</v>
      </c>
      <c r="P613" s="112">
        <f t="shared" si="128"/>
        <v>0</v>
      </c>
      <c r="Q613" s="109"/>
      <c r="R613" s="109"/>
      <c r="S613" s="109" t="s">
        <v>1366</v>
      </c>
      <c r="T613" s="114">
        <v>17</v>
      </c>
      <c r="U613" s="109" t="s">
        <v>1367</v>
      </c>
      <c r="V613" s="106"/>
      <c r="W613" s="106"/>
      <c r="X613" s="106" t="s">
        <v>55</v>
      </c>
      <c r="Y613" s="63">
        <f t="shared" si="138"/>
        <v>15</v>
      </c>
      <c r="Z613" s="64">
        <f t="shared" ref="Z613:Z621" si="141">E613-N613</f>
        <v>2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</row>
    <row r="614" spans="1:48" ht="18" customHeight="1">
      <c r="A614" s="106">
        <v>20260030</v>
      </c>
      <c r="B614" s="107" t="s">
        <v>1327</v>
      </c>
      <c r="C614" s="108">
        <v>46052</v>
      </c>
      <c r="D614" s="108">
        <v>46075</v>
      </c>
      <c r="E614" s="106">
        <v>1</v>
      </c>
      <c r="F614" s="106">
        <v>56.420999999999999</v>
      </c>
      <c r="G614" s="106">
        <v>40</v>
      </c>
      <c r="H614" s="109" t="s">
        <v>1365</v>
      </c>
      <c r="I614" s="109" t="s">
        <v>147</v>
      </c>
      <c r="J614" s="107" t="s">
        <v>26</v>
      </c>
      <c r="K614" s="108">
        <f t="shared" si="123"/>
        <v>46083</v>
      </c>
      <c r="L614" s="108">
        <f t="shared" si="124"/>
        <v>46143</v>
      </c>
      <c r="M614" s="111"/>
      <c r="N614" s="112">
        <f>E614-1</f>
        <v>0</v>
      </c>
      <c r="O614" s="113">
        <f t="shared" si="133"/>
        <v>0</v>
      </c>
      <c r="P614" s="112">
        <f t="shared" si="128"/>
        <v>0</v>
      </c>
      <c r="Q614" s="109"/>
      <c r="R614" s="109"/>
      <c r="S614" s="109" t="s">
        <v>1366</v>
      </c>
      <c r="T614" s="114">
        <v>17</v>
      </c>
      <c r="U614" s="109"/>
      <c r="V614" s="106"/>
      <c r="W614" s="106"/>
      <c r="X614" s="106" t="s">
        <v>55</v>
      </c>
      <c r="Y614" s="63">
        <f t="shared" si="138"/>
        <v>56.420999999999999</v>
      </c>
      <c r="Z614" s="64">
        <f t="shared" si="141"/>
        <v>1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</row>
    <row r="615" spans="1:48" ht="18" customHeight="1">
      <c r="A615" s="106">
        <v>20260030</v>
      </c>
      <c r="B615" s="107" t="s">
        <v>1327</v>
      </c>
      <c r="C615" s="108">
        <v>46052</v>
      </c>
      <c r="D615" s="108">
        <v>46075</v>
      </c>
      <c r="E615" s="106">
        <v>7</v>
      </c>
      <c r="F615" s="106">
        <v>0</v>
      </c>
      <c r="G615" s="106">
        <v>25</v>
      </c>
      <c r="H615" s="109" t="s">
        <v>1365</v>
      </c>
      <c r="I615" s="109" t="s">
        <v>24</v>
      </c>
      <c r="J615" s="107" t="s">
        <v>24</v>
      </c>
      <c r="K615" s="108">
        <f t="shared" si="123"/>
        <v>46083</v>
      </c>
      <c r="L615" s="108">
        <f t="shared" si="124"/>
        <v>46143</v>
      </c>
      <c r="M615" s="111"/>
      <c r="N615" s="112">
        <f>E615-7</f>
        <v>0</v>
      </c>
      <c r="O615" s="113">
        <f t="shared" si="133"/>
        <v>0</v>
      </c>
      <c r="P615" s="112">
        <f t="shared" si="128"/>
        <v>0</v>
      </c>
      <c r="Q615" s="109"/>
      <c r="R615" s="109"/>
      <c r="S615" s="109" t="s">
        <v>1366</v>
      </c>
      <c r="T615" s="114">
        <v>17</v>
      </c>
      <c r="U615" s="109"/>
      <c r="V615" s="106"/>
      <c r="W615" s="106"/>
      <c r="X615" s="106" t="s">
        <v>55</v>
      </c>
      <c r="Y615" s="63">
        <f t="shared" si="138"/>
        <v>0</v>
      </c>
      <c r="Z615" s="64">
        <f t="shared" si="141"/>
        <v>7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</row>
    <row r="616" spans="1:48" ht="18" customHeight="1">
      <c r="A616" s="106">
        <v>20260030</v>
      </c>
      <c r="B616" s="107" t="s">
        <v>1327</v>
      </c>
      <c r="C616" s="108">
        <v>46052</v>
      </c>
      <c r="D616" s="108">
        <v>46075</v>
      </c>
      <c r="E616" s="106">
        <v>1</v>
      </c>
      <c r="F616" s="106">
        <v>59.17</v>
      </c>
      <c r="G616" s="106">
        <v>40</v>
      </c>
      <c r="H616" s="109" t="s">
        <v>1365</v>
      </c>
      <c r="I616" s="109" t="s">
        <v>147</v>
      </c>
      <c r="J616" s="107" t="s">
        <v>26</v>
      </c>
      <c r="K616" s="108">
        <f t="shared" si="123"/>
        <v>46083</v>
      </c>
      <c r="L616" s="108">
        <f t="shared" si="124"/>
        <v>46143</v>
      </c>
      <c r="M616" s="111"/>
      <c r="N616" s="112">
        <f>E616-1</f>
        <v>0</v>
      </c>
      <c r="O616" s="113">
        <f t="shared" si="133"/>
        <v>0</v>
      </c>
      <c r="P616" s="112">
        <f t="shared" si="128"/>
        <v>0</v>
      </c>
      <c r="Q616" s="109"/>
      <c r="R616" s="109"/>
      <c r="S616" s="109" t="s">
        <v>1368</v>
      </c>
      <c r="T616" s="114">
        <v>28</v>
      </c>
      <c r="U616" s="109" t="s">
        <v>1369</v>
      </c>
      <c r="V616" s="106"/>
      <c r="W616" s="106"/>
      <c r="X616" s="106" t="s">
        <v>55</v>
      </c>
      <c r="Y616" s="63">
        <f t="shared" si="138"/>
        <v>59.17</v>
      </c>
      <c r="Z616" s="64">
        <f t="shared" si="141"/>
        <v>1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</row>
    <row r="617" spans="1:48" ht="18" customHeight="1">
      <c r="A617" s="106">
        <v>20260030</v>
      </c>
      <c r="B617" s="107" t="s">
        <v>1327</v>
      </c>
      <c r="C617" s="108">
        <v>46052</v>
      </c>
      <c r="D617" s="108">
        <v>46075</v>
      </c>
      <c r="E617" s="106">
        <v>9</v>
      </c>
      <c r="F617" s="106">
        <v>0</v>
      </c>
      <c r="G617" s="106">
        <v>30</v>
      </c>
      <c r="H617" s="109" t="s">
        <v>1365</v>
      </c>
      <c r="I617" s="109" t="s">
        <v>24</v>
      </c>
      <c r="J617" s="107" t="s">
        <v>24</v>
      </c>
      <c r="K617" s="108">
        <f t="shared" si="123"/>
        <v>46083</v>
      </c>
      <c r="L617" s="108">
        <f t="shared" si="124"/>
        <v>46143</v>
      </c>
      <c r="M617" s="111"/>
      <c r="N617" s="112">
        <f>E617-9</f>
        <v>0</v>
      </c>
      <c r="O617" s="113">
        <f t="shared" si="133"/>
        <v>0</v>
      </c>
      <c r="P617" s="112">
        <f t="shared" si="128"/>
        <v>0</v>
      </c>
      <c r="Q617" s="109"/>
      <c r="R617" s="109"/>
      <c r="S617" s="109" t="s">
        <v>1368</v>
      </c>
      <c r="T617" s="114">
        <v>28</v>
      </c>
      <c r="U617" s="109"/>
      <c r="V617" s="106"/>
      <c r="W617" s="106"/>
      <c r="X617" s="106" t="s">
        <v>55</v>
      </c>
      <c r="Y617" s="63">
        <f t="shared" si="138"/>
        <v>0</v>
      </c>
      <c r="Z617" s="64">
        <f t="shared" si="141"/>
        <v>9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</row>
    <row r="618" spans="1:48" ht="18" customHeight="1">
      <c r="A618" s="63">
        <v>20260030</v>
      </c>
      <c r="B618" s="65" t="s">
        <v>1327</v>
      </c>
      <c r="C618" s="66">
        <v>46052</v>
      </c>
      <c r="D618" s="66">
        <v>46075</v>
      </c>
      <c r="E618" s="67">
        <v>1</v>
      </c>
      <c r="F618" s="68">
        <v>10</v>
      </c>
      <c r="G618" s="69">
        <v>24</v>
      </c>
      <c r="H618" s="70" t="s">
        <v>1370</v>
      </c>
      <c r="I618" s="70" t="s">
        <v>276</v>
      </c>
      <c r="J618" s="65" t="s">
        <v>26</v>
      </c>
      <c r="K618" s="48">
        <f t="shared" si="123"/>
        <v>46083</v>
      </c>
      <c r="L618" s="48">
        <f t="shared" si="124"/>
        <v>46143</v>
      </c>
      <c r="M618" s="71"/>
      <c r="N618" s="72">
        <f t="shared" si="140"/>
        <v>1</v>
      </c>
      <c r="O618" s="50">
        <f t="shared" si="133"/>
        <v>10</v>
      </c>
      <c r="P618" s="56">
        <f t="shared" si="128"/>
        <v>24</v>
      </c>
      <c r="Q618" s="73"/>
      <c r="R618" s="58"/>
      <c r="S618" s="200" t="s">
        <v>1371</v>
      </c>
      <c r="T618" s="201">
        <v>19</v>
      </c>
      <c r="U618" s="58" t="s">
        <v>1372</v>
      </c>
      <c r="V618" s="46"/>
      <c r="W618" s="46"/>
      <c r="X618" s="62" t="s">
        <v>25</v>
      </c>
      <c r="Y618" s="63">
        <f t="shared" si="138"/>
        <v>10</v>
      </c>
      <c r="Z618" s="64">
        <f t="shared" si="141"/>
        <v>0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</row>
    <row r="619" spans="1:48" ht="18" customHeight="1">
      <c r="A619" s="63">
        <v>20260030</v>
      </c>
      <c r="B619" s="65" t="s">
        <v>1327</v>
      </c>
      <c r="C619" s="66">
        <v>46052</v>
      </c>
      <c r="D619" s="66">
        <v>46075</v>
      </c>
      <c r="E619" s="67">
        <v>1</v>
      </c>
      <c r="F619" s="68">
        <v>10</v>
      </c>
      <c r="G619" s="69">
        <v>24</v>
      </c>
      <c r="H619" s="70" t="s">
        <v>1370</v>
      </c>
      <c r="I619" s="70" t="s">
        <v>42</v>
      </c>
      <c r="J619" s="65" t="s">
        <v>28</v>
      </c>
      <c r="K619" s="48">
        <f t="shared" si="123"/>
        <v>46083</v>
      </c>
      <c r="L619" s="48">
        <f t="shared" si="124"/>
        <v>46143</v>
      </c>
      <c r="M619" s="71"/>
      <c r="N619" s="72">
        <f t="shared" si="140"/>
        <v>1</v>
      </c>
      <c r="O619" s="50">
        <f t="shared" si="133"/>
        <v>10</v>
      </c>
      <c r="P619" s="56">
        <f t="shared" si="128"/>
        <v>24</v>
      </c>
      <c r="Q619" s="73"/>
      <c r="R619" s="58"/>
      <c r="S619" s="200" t="s">
        <v>1371</v>
      </c>
      <c r="T619" s="201">
        <v>19</v>
      </c>
      <c r="U619" s="58"/>
      <c r="V619" s="46"/>
      <c r="W619" s="46"/>
      <c r="X619" s="62" t="s">
        <v>25</v>
      </c>
      <c r="Y619" s="63">
        <f t="shared" si="138"/>
        <v>10</v>
      </c>
      <c r="Z619" s="64">
        <f t="shared" si="141"/>
        <v>0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</row>
    <row r="620" spans="1:48" ht="18" customHeight="1">
      <c r="A620" s="63">
        <v>20260030</v>
      </c>
      <c r="B620" s="65" t="s">
        <v>1327</v>
      </c>
      <c r="C620" s="66">
        <v>46052</v>
      </c>
      <c r="D620" s="66">
        <v>46075</v>
      </c>
      <c r="E620" s="67">
        <v>1</v>
      </c>
      <c r="F620" s="68">
        <v>9.4</v>
      </c>
      <c r="G620" s="69">
        <v>24</v>
      </c>
      <c r="H620" s="70" t="s">
        <v>1370</v>
      </c>
      <c r="I620" s="70" t="s">
        <v>446</v>
      </c>
      <c r="J620" s="65" t="s">
        <v>26</v>
      </c>
      <c r="K620" s="48">
        <f t="shared" si="123"/>
        <v>46083</v>
      </c>
      <c r="L620" s="48">
        <f t="shared" si="124"/>
        <v>46143</v>
      </c>
      <c r="M620" s="71"/>
      <c r="N620" s="72">
        <f t="shared" si="140"/>
        <v>1</v>
      </c>
      <c r="O620" s="50">
        <f t="shared" si="133"/>
        <v>9.4</v>
      </c>
      <c r="P620" s="56">
        <f t="shared" si="128"/>
        <v>24</v>
      </c>
      <c r="Q620" s="73"/>
      <c r="R620" s="58"/>
      <c r="S620" s="200" t="s">
        <v>1371</v>
      </c>
      <c r="T620" s="201">
        <v>19</v>
      </c>
      <c r="U620" s="58"/>
      <c r="V620" s="46"/>
      <c r="W620" s="46"/>
      <c r="X620" s="62" t="s">
        <v>25</v>
      </c>
      <c r="Y620" s="63">
        <f t="shared" si="138"/>
        <v>9.4</v>
      </c>
      <c r="Z620" s="64">
        <f t="shared" si="141"/>
        <v>0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</row>
    <row r="621" spans="1:48" ht="18" customHeight="1">
      <c r="A621" s="63">
        <v>20260030</v>
      </c>
      <c r="B621" s="65" t="s">
        <v>1327</v>
      </c>
      <c r="C621" s="66">
        <v>46052</v>
      </c>
      <c r="D621" s="66">
        <v>46075</v>
      </c>
      <c r="E621" s="67">
        <v>2</v>
      </c>
      <c r="F621" s="68">
        <v>0</v>
      </c>
      <c r="G621" s="69">
        <v>6</v>
      </c>
      <c r="H621" s="70" t="s">
        <v>1370</v>
      </c>
      <c r="I621" s="70" t="s">
        <v>24</v>
      </c>
      <c r="J621" s="65" t="s">
        <v>24</v>
      </c>
      <c r="K621" s="48">
        <f t="shared" ref="K621:K684" si="142">D621+8</f>
        <v>46083</v>
      </c>
      <c r="L621" s="48">
        <f t="shared" ref="L621:L684" si="143">K621+60</f>
        <v>46143</v>
      </c>
      <c r="M621" s="71"/>
      <c r="N621" s="72">
        <f t="shared" si="140"/>
        <v>2</v>
      </c>
      <c r="O621" s="50">
        <f t="shared" si="133"/>
        <v>0</v>
      </c>
      <c r="P621" s="56">
        <f t="shared" si="128"/>
        <v>6</v>
      </c>
      <c r="Q621" s="73"/>
      <c r="R621" s="58"/>
      <c r="S621" s="200" t="s">
        <v>1371</v>
      </c>
      <c r="T621" s="201">
        <v>19</v>
      </c>
      <c r="U621" s="58"/>
      <c r="V621" s="46"/>
      <c r="W621" s="46"/>
      <c r="X621" s="62" t="s">
        <v>25</v>
      </c>
      <c r="Y621" s="63">
        <f t="shared" si="138"/>
        <v>0</v>
      </c>
      <c r="Z621" s="64">
        <f t="shared" si="141"/>
        <v>0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</row>
    <row r="622" spans="1:48" ht="18" customHeight="1">
      <c r="A622" s="106">
        <v>20260030</v>
      </c>
      <c r="B622" s="107" t="s">
        <v>1327</v>
      </c>
      <c r="C622" s="108">
        <v>46052</v>
      </c>
      <c r="D622" s="108">
        <v>46075</v>
      </c>
      <c r="E622" s="106">
        <v>1</v>
      </c>
      <c r="F622" s="106">
        <v>36.299999999999997</v>
      </c>
      <c r="G622" s="106">
        <v>24</v>
      </c>
      <c r="H622" s="109" t="s">
        <v>1373</v>
      </c>
      <c r="I622" s="109" t="s">
        <v>194</v>
      </c>
      <c r="J622" s="107" t="s">
        <v>26</v>
      </c>
      <c r="K622" s="108">
        <f t="shared" si="142"/>
        <v>46083</v>
      </c>
      <c r="L622" s="108">
        <f t="shared" si="143"/>
        <v>46143</v>
      </c>
      <c r="M622" s="111"/>
      <c r="N622" s="112">
        <f>E622-1</f>
        <v>0</v>
      </c>
      <c r="O622" s="113">
        <f t="shared" si="133"/>
        <v>0</v>
      </c>
      <c r="P622" s="112">
        <f t="shared" si="128"/>
        <v>0</v>
      </c>
      <c r="Q622" s="109"/>
      <c r="R622" s="109"/>
      <c r="S622" s="109" t="s">
        <v>1374</v>
      </c>
      <c r="T622" s="114">
        <v>21</v>
      </c>
      <c r="U622" s="109" t="s">
        <v>1375</v>
      </c>
      <c r="V622" s="106"/>
      <c r="W622" s="106"/>
      <c r="X622" s="106" t="s">
        <v>55</v>
      </c>
      <c r="Y622" s="63">
        <f t="shared" si="138"/>
        <v>36.299999999999997</v>
      </c>
      <c r="Z622" s="30"/>
      <c r="AB622" s="20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</row>
    <row r="623" spans="1:48" ht="18" customHeight="1">
      <c r="A623" s="106">
        <v>20260030</v>
      </c>
      <c r="B623" s="107" t="s">
        <v>1327</v>
      </c>
      <c r="C623" s="108">
        <v>46052</v>
      </c>
      <c r="D623" s="108">
        <v>46075</v>
      </c>
      <c r="E623" s="106">
        <v>2</v>
      </c>
      <c r="F623" s="106">
        <v>0</v>
      </c>
      <c r="G623" s="106">
        <v>6</v>
      </c>
      <c r="H623" s="109" t="s">
        <v>1373</v>
      </c>
      <c r="I623" s="109" t="s">
        <v>24</v>
      </c>
      <c r="J623" s="107" t="s">
        <v>24</v>
      </c>
      <c r="K623" s="108">
        <f t="shared" si="142"/>
        <v>46083</v>
      </c>
      <c r="L623" s="108">
        <f t="shared" si="143"/>
        <v>46143</v>
      </c>
      <c r="M623" s="111"/>
      <c r="N623" s="112">
        <f>E623-2</f>
        <v>0</v>
      </c>
      <c r="O623" s="113">
        <f t="shared" si="133"/>
        <v>0</v>
      </c>
      <c r="P623" s="112">
        <f t="shared" si="128"/>
        <v>0</v>
      </c>
      <c r="Q623" s="109"/>
      <c r="R623" s="109"/>
      <c r="S623" s="109" t="s">
        <v>1374</v>
      </c>
      <c r="T623" s="114">
        <v>21</v>
      </c>
      <c r="U623" s="109"/>
      <c r="V623" s="106"/>
      <c r="W623" s="106"/>
      <c r="X623" s="106" t="s">
        <v>55</v>
      </c>
      <c r="Y623" s="63">
        <f t="shared" si="138"/>
        <v>0</v>
      </c>
      <c r="Z623" s="30"/>
      <c r="AB623" s="202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</row>
    <row r="624" spans="1:48" ht="18" customHeight="1">
      <c r="A624" s="106">
        <v>20260030</v>
      </c>
      <c r="B624" s="107" t="s">
        <v>1327</v>
      </c>
      <c r="C624" s="108">
        <v>46052</v>
      </c>
      <c r="D624" s="108">
        <v>46075</v>
      </c>
      <c r="E624" s="106">
        <v>1</v>
      </c>
      <c r="F624" s="106">
        <v>20.3</v>
      </c>
      <c r="G624" s="106">
        <v>24</v>
      </c>
      <c r="H624" s="109" t="s">
        <v>652</v>
      </c>
      <c r="I624" s="109" t="s">
        <v>208</v>
      </c>
      <c r="J624" s="107" t="s">
        <v>26</v>
      </c>
      <c r="K624" s="108">
        <f t="shared" si="142"/>
        <v>46083</v>
      </c>
      <c r="L624" s="108">
        <f t="shared" si="143"/>
        <v>46143</v>
      </c>
      <c r="M624" s="111"/>
      <c r="N624" s="112">
        <f>E624-1</f>
        <v>0</v>
      </c>
      <c r="O624" s="113">
        <f t="shared" si="133"/>
        <v>0</v>
      </c>
      <c r="P624" s="112">
        <f t="shared" si="128"/>
        <v>0</v>
      </c>
      <c r="Q624" s="109"/>
      <c r="R624" s="109"/>
      <c r="S624" s="109" t="s">
        <v>1376</v>
      </c>
      <c r="T624" s="114">
        <v>22</v>
      </c>
      <c r="U624" s="109" t="s">
        <v>1377</v>
      </c>
      <c r="V624" s="106"/>
      <c r="W624" s="106"/>
      <c r="X624" s="106" t="s">
        <v>55</v>
      </c>
      <c r="Y624" s="63">
        <f t="shared" si="138"/>
        <v>20.3</v>
      </c>
      <c r="Z624" s="30"/>
      <c r="AB624" s="202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</row>
    <row r="625" spans="1:48" ht="18" customHeight="1">
      <c r="A625" s="106">
        <v>20260030</v>
      </c>
      <c r="B625" s="107" t="s">
        <v>1327</v>
      </c>
      <c r="C625" s="108">
        <v>46052</v>
      </c>
      <c r="D625" s="108">
        <v>46075</v>
      </c>
      <c r="E625" s="106">
        <v>1</v>
      </c>
      <c r="F625" s="106">
        <v>36.299999999999997</v>
      </c>
      <c r="G625" s="106">
        <v>24</v>
      </c>
      <c r="H625" s="109" t="s">
        <v>842</v>
      </c>
      <c r="I625" s="109" t="s">
        <v>194</v>
      </c>
      <c r="J625" s="107" t="s">
        <v>26</v>
      </c>
      <c r="K625" s="108">
        <f t="shared" si="142"/>
        <v>46083</v>
      </c>
      <c r="L625" s="108">
        <f t="shared" si="143"/>
        <v>46143</v>
      </c>
      <c r="M625" s="111"/>
      <c r="N625" s="112">
        <f>E625-1</f>
        <v>0</v>
      </c>
      <c r="O625" s="113">
        <f t="shared" si="133"/>
        <v>0</v>
      </c>
      <c r="P625" s="112">
        <f t="shared" si="128"/>
        <v>0</v>
      </c>
      <c r="Q625" s="109"/>
      <c r="R625" s="109"/>
      <c r="S625" s="109" t="s">
        <v>1378</v>
      </c>
      <c r="T625" s="114">
        <v>23</v>
      </c>
      <c r="U625" s="109" t="s">
        <v>1375</v>
      </c>
      <c r="V625" s="106"/>
      <c r="W625" s="106"/>
      <c r="X625" s="106" t="s">
        <v>55</v>
      </c>
      <c r="Y625" s="63">
        <f t="shared" si="138"/>
        <v>36.299999999999997</v>
      </c>
      <c r="Z625" s="30"/>
      <c r="AB625" s="202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</row>
    <row r="626" spans="1:48" ht="18" customHeight="1">
      <c r="A626" s="106">
        <v>20260030</v>
      </c>
      <c r="B626" s="107" t="s">
        <v>1327</v>
      </c>
      <c r="C626" s="108">
        <v>46052</v>
      </c>
      <c r="D626" s="108">
        <v>46075</v>
      </c>
      <c r="E626" s="106">
        <v>2</v>
      </c>
      <c r="F626" s="106">
        <v>0</v>
      </c>
      <c r="G626" s="106">
        <v>6</v>
      </c>
      <c r="H626" s="109" t="s">
        <v>842</v>
      </c>
      <c r="I626" s="109" t="s">
        <v>24</v>
      </c>
      <c r="J626" s="107" t="s">
        <v>24</v>
      </c>
      <c r="K626" s="108">
        <f t="shared" si="142"/>
        <v>46083</v>
      </c>
      <c r="L626" s="108">
        <f t="shared" si="143"/>
        <v>46143</v>
      </c>
      <c r="M626" s="111"/>
      <c r="N626" s="112">
        <f>E626-2</f>
        <v>0</v>
      </c>
      <c r="O626" s="113">
        <f t="shared" si="133"/>
        <v>0</v>
      </c>
      <c r="P626" s="112">
        <f t="shared" si="128"/>
        <v>0</v>
      </c>
      <c r="Q626" s="109"/>
      <c r="R626" s="109"/>
      <c r="S626" s="109" t="s">
        <v>1378</v>
      </c>
      <c r="T626" s="114">
        <v>23</v>
      </c>
      <c r="U626" s="109"/>
      <c r="V626" s="106"/>
      <c r="W626" s="106"/>
      <c r="X626" s="106" t="s">
        <v>55</v>
      </c>
      <c r="Y626" s="63">
        <f t="shared" si="138"/>
        <v>0</v>
      </c>
      <c r="Z626" s="30"/>
      <c r="AB626" s="202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</row>
    <row r="627" spans="1:48" ht="18" customHeight="1">
      <c r="A627" s="106">
        <v>20260030</v>
      </c>
      <c r="B627" s="107" t="s">
        <v>1327</v>
      </c>
      <c r="C627" s="108">
        <v>46052</v>
      </c>
      <c r="D627" s="108">
        <v>46075</v>
      </c>
      <c r="E627" s="106">
        <v>1</v>
      </c>
      <c r="F627" s="106">
        <v>12.33</v>
      </c>
      <c r="G627" s="106">
        <v>24</v>
      </c>
      <c r="H627" s="109" t="s">
        <v>1379</v>
      </c>
      <c r="I627" s="109" t="s">
        <v>42</v>
      </c>
      <c r="J627" s="107" t="s">
        <v>28</v>
      </c>
      <c r="K627" s="108">
        <f t="shared" si="142"/>
        <v>46083</v>
      </c>
      <c r="L627" s="108">
        <f t="shared" si="143"/>
        <v>46143</v>
      </c>
      <c r="M627" s="111"/>
      <c r="N627" s="112">
        <f>E627-1</f>
        <v>0</v>
      </c>
      <c r="O627" s="113">
        <f t="shared" si="133"/>
        <v>0</v>
      </c>
      <c r="P627" s="112">
        <f t="shared" si="128"/>
        <v>0</v>
      </c>
      <c r="Q627" s="109"/>
      <c r="R627" s="109"/>
      <c r="S627" s="109" t="s">
        <v>1380</v>
      </c>
      <c r="T627" s="114">
        <v>24</v>
      </c>
      <c r="U627" s="109" t="s">
        <v>1381</v>
      </c>
      <c r="V627" s="106"/>
      <c r="W627" s="106"/>
      <c r="X627" s="106" t="s">
        <v>55</v>
      </c>
      <c r="Y627" s="63">
        <f t="shared" si="138"/>
        <v>12.33</v>
      </c>
      <c r="Z627" s="30"/>
      <c r="AB627" s="202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</row>
    <row r="628" spans="1:48" ht="18" customHeight="1">
      <c r="A628" s="106">
        <v>20260030</v>
      </c>
      <c r="B628" s="107" t="s">
        <v>1327</v>
      </c>
      <c r="C628" s="108">
        <v>46052</v>
      </c>
      <c r="D628" s="108">
        <v>46075</v>
      </c>
      <c r="E628" s="106">
        <v>1</v>
      </c>
      <c r="F628" s="106">
        <v>12.33</v>
      </c>
      <c r="G628" s="106">
        <v>24</v>
      </c>
      <c r="H628" s="109" t="s">
        <v>1382</v>
      </c>
      <c r="I628" s="109" t="s">
        <v>42</v>
      </c>
      <c r="J628" s="107" t="s">
        <v>28</v>
      </c>
      <c r="K628" s="108">
        <f t="shared" si="142"/>
        <v>46083</v>
      </c>
      <c r="L628" s="108">
        <f t="shared" si="143"/>
        <v>46143</v>
      </c>
      <c r="M628" s="111"/>
      <c r="N628" s="112">
        <f>E628-1</f>
        <v>0</v>
      </c>
      <c r="O628" s="113">
        <f t="shared" si="133"/>
        <v>0</v>
      </c>
      <c r="P628" s="112">
        <f t="shared" si="128"/>
        <v>0</v>
      </c>
      <c r="Q628" s="109"/>
      <c r="R628" s="109"/>
      <c r="S628" s="109" t="s">
        <v>1383</v>
      </c>
      <c r="T628" s="114">
        <v>25</v>
      </c>
      <c r="U628" s="109" t="s">
        <v>1384</v>
      </c>
      <c r="V628" s="106"/>
      <c r="W628" s="106"/>
      <c r="X628" s="106" t="s">
        <v>55</v>
      </c>
      <c r="Y628" s="63">
        <f t="shared" si="138"/>
        <v>12.33</v>
      </c>
      <c r="Z628" s="30"/>
      <c r="AB628" s="202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</row>
    <row r="629" spans="1:48" ht="18" customHeight="1">
      <c r="A629" s="63">
        <v>20260030</v>
      </c>
      <c r="B629" s="65" t="s">
        <v>1327</v>
      </c>
      <c r="C629" s="66">
        <v>46052</v>
      </c>
      <c r="D629" s="66">
        <v>46075</v>
      </c>
      <c r="E629" s="67">
        <v>1</v>
      </c>
      <c r="F629" s="68">
        <v>13.164999999999999</v>
      </c>
      <c r="G629" s="69">
        <v>24</v>
      </c>
      <c r="H629" s="70" t="s">
        <v>518</v>
      </c>
      <c r="I629" s="70" t="s">
        <v>42</v>
      </c>
      <c r="J629" s="65" t="s">
        <v>28</v>
      </c>
      <c r="K629" s="48">
        <f t="shared" si="142"/>
        <v>46083</v>
      </c>
      <c r="L629" s="48">
        <f t="shared" si="143"/>
        <v>46143</v>
      </c>
      <c r="M629" s="71"/>
      <c r="N629" s="72">
        <f>E629</f>
        <v>1</v>
      </c>
      <c r="O629" s="50">
        <f t="shared" si="133"/>
        <v>13.164999999999999</v>
      </c>
      <c r="P629" s="56">
        <f t="shared" si="128"/>
        <v>24</v>
      </c>
      <c r="Q629" s="73"/>
      <c r="R629" s="58"/>
      <c r="S629" s="200" t="s">
        <v>1385</v>
      </c>
      <c r="T629" s="201">
        <v>26</v>
      </c>
      <c r="U629" s="58" t="s">
        <v>1386</v>
      </c>
      <c r="V629" s="46"/>
      <c r="W629" s="46"/>
      <c r="X629" s="62" t="s">
        <v>25</v>
      </c>
      <c r="Y629" s="63">
        <f t="shared" si="138"/>
        <v>13.164999999999999</v>
      </c>
      <c r="Z629" s="64">
        <f t="shared" ref="Z629:Z632" si="144">E629-N629</f>
        <v>0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</row>
    <row r="630" spans="1:48" ht="18" customHeight="1">
      <c r="A630" s="63">
        <v>20260030</v>
      </c>
      <c r="B630" s="65" t="s">
        <v>1327</v>
      </c>
      <c r="C630" s="66">
        <v>46052</v>
      </c>
      <c r="D630" s="66">
        <v>46075</v>
      </c>
      <c r="E630" s="67">
        <v>1</v>
      </c>
      <c r="F630" s="68">
        <v>13.164999999999999</v>
      </c>
      <c r="G630" s="69">
        <v>24</v>
      </c>
      <c r="H630" s="70" t="s">
        <v>518</v>
      </c>
      <c r="I630" s="70" t="s">
        <v>208</v>
      </c>
      <c r="J630" s="65" t="s">
        <v>26</v>
      </c>
      <c r="K630" s="48">
        <f t="shared" si="142"/>
        <v>46083</v>
      </c>
      <c r="L630" s="48">
        <f t="shared" si="143"/>
        <v>46143</v>
      </c>
      <c r="M630" s="71"/>
      <c r="N630" s="72">
        <f>E630</f>
        <v>1</v>
      </c>
      <c r="O630" s="50">
        <f t="shared" si="133"/>
        <v>13.164999999999999</v>
      </c>
      <c r="P630" s="56">
        <f t="shared" ref="P630:P693" si="145">G630/E630*N630</f>
        <v>24</v>
      </c>
      <c r="Q630" s="73"/>
      <c r="R630" s="58"/>
      <c r="S630" s="200" t="s">
        <v>1385</v>
      </c>
      <c r="T630" s="201">
        <v>26</v>
      </c>
      <c r="U630" s="58"/>
      <c r="V630" s="46"/>
      <c r="W630" s="46"/>
      <c r="X630" s="62" t="s">
        <v>25</v>
      </c>
      <c r="Y630" s="63">
        <f t="shared" si="138"/>
        <v>13.164999999999999</v>
      </c>
      <c r="Z630" s="64">
        <f t="shared" si="144"/>
        <v>0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</row>
    <row r="631" spans="1:48" ht="18" customHeight="1">
      <c r="A631" s="206">
        <v>20260030</v>
      </c>
      <c r="B631" s="207" t="s">
        <v>1327</v>
      </c>
      <c r="C631" s="208">
        <v>46052</v>
      </c>
      <c r="D631" s="208">
        <v>46075</v>
      </c>
      <c r="E631" s="209">
        <v>7</v>
      </c>
      <c r="F631" s="210">
        <v>414.68</v>
      </c>
      <c r="G631" s="211">
        <v>420</v>
      </c>
      <c r="H631" s="212" t="s">
        <v>1387</v>
      </c>
      <c r="I631" s="212" t="s">
        <v>138</v>
      </c>
      <c r="J631" s="207" t="s">
        <v>26</v>
      </c>
      <c r="K631" s="213">
        <f t="shared" si="142"/>
        <v>46083</v>
      </c>
      <c r="L631" s="213">
        <f t="shared" si="143"/>
        <v>46143</v>
      </c>
      <c r="M631" s="214"/>
      <c r="N631" s="215">
        <f>E631-1-1-2</f>
        <v>3</v>
      </c>
      <c r="O631" s="216">
        <f t="shared" si="133"/>
        <v>177.72</v>
      </c>
      <c r="P631" s="218">
        <f t="shared" si="145"/>
        <v>180</v>
      </c>
      <c r="Q631" s="73"/>
      <c r="R631" s="58"/>
      <c r="S631" s="200" t="s">
        <v>1388</v>
      </c>
      <c r="T631" s="201">
        <v>27</v>
      </c>
      <c r="U631" s="58" t="s">
        <v>1389</v>
      </c>
      <c r="V631" s="46"/>
      <c r="W631" s="46"/>
      <c r="X631" s="182" t="s">
        <v>76</v>
      </c>
      <c r="Y631" s="63">
        <f t="shared" si="138"/>
        <v>59.24</v>
      </c>
      <c r="Z631" s="64">
        <f t="shared" si="144"/>
        <v>4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</row>
    <row r="632" spans="1:48" ht="18" customHeight="1">
      <c r="A632" s="63">
        <v>20260030</v>
      </c>
      <c r="B632" s="65" t="s">
        <v>1327</v>
      </c>
      <c r="C632" s="66">
        <v>46052</v>
      </c>
      <c r="D632" s="66">
        <v>46075</v>
      </c>
      <c r="E632" s="67">
        <v>21</v>
      </c>
      <c r="F632" s="68">
        <v>0</v>
      </c>
      <c r="G632" s="69">
        <v>65</v>
      </c>
      <c r="H632" s="70" t="s">
        <v>1387</v>
      </c>
      <c r="I632" s="70" t="s">
        <v>24</v>
      </c>
      <c r="J632" s="65" t="s">
        <v>24</v>
      </c>
      <c r="K632" s="48">
        <f t="shared" si="142"/>
        <v>46083</v>
      </c>
      <c r="L632" s="48">
        <f t="shared" si="143"/>
        <v>46143</v>
      </c>
      <c r="M632" s="71"/>
      <c r="N632" s="72">
        <f>E632</f>
        <v>21</v>
      </c>
      <c r="O632" s="50">
        <f t="shared" si="133"/>
        <v>0</v>
      </c>
      <c r="P632" s="56">
        <f t="shared" si="145"/>
        <v>65</v>
      </c>
      <c r="Q632" s="73"/>
      <c r="R632" s="58"/>
      <c r="S632" s="200" t="s">
        <v>1388</v>
      </c>
      <c r="T632" s="201">
        <v>27</v>
      </c>
      <c r="U632" s="58"/>
      <c r="V632" s="46"/>
      <c r="W632" s="46"/>
      <c r="X632" s="62" t="s">
        <v>25</v>
      </c>
      <c r="Y632" s="63">
        <f t="shared" si="138"/>
        <v>0</v>
      </c>
      <c r="Z632" s="64">
        <f t="shared" si="144"/>
        <v>0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</row>
    <row r="633" spans="1:48" ht="18" customHeight="1">
      <c r="A633" s="106">
        <v>20260030</v>
      </c>
      <c r="B633" s="107" t="s">
        <v>1327</v>
      </c>
      <c r="C633" s="108">
        <v>46052</v>
      </c>
      <c r="D633" s="108">
        <v>46075</v>
      </c>
      <c r="E633" s="106">
        <v>1</v>
      </c>
      <c r="F633" s="106">
        <v>37.1</v>
      </c>
      <c r="G633" s="106">
        <v>24</v>
      </c>
      <c r="H633" s="109" t="s">
        <v>1390</v>
      </c>
      <c r="I633" s="109" t="s">
        <v>194</v>
      </c>
      <c r="J633" s="107" t="s">
        <v>26</v>
      </c>
      <c r="K633" s="108">
        <f t="shared" si="142"/>
        <v>46083</v>
      </c>
      <c r="L633" s="108">
        <f t="shared" si="143"/>
        <v>46143</v>
      </c>
      <c r="M633" s="111"/>
      <c r="N633" s="112">
        <f>E633-1</f>
        <v>0</v>
      </c>
      <c r="O633" s="113">
        <f t="shared" si="133"/>
        <v>0</v>
      </c>
      <c r="P633" s="112">
        <f t="shared" si="145"/>
        <v>0</v>
      </c>
      <c r="Q633" s="109"/>
      <c r="R633" s="109"/>
      <c r="S633" s="109" t="s">
        <v>1391</v>
      </c>
      <c r="T633" s="114">
        <v>30</v>
      </c>
      <c r="U633" s="109" t="s">
        <v>682</v>
      </c>
      <c r="V633" s="106"/>
      <c r="W633" s="106"/>
      <c r="X633" s="106" t="s">
        <v>55</v>
      </c>
      <c r="Y633" s="63">
        <f t="shared" si="138"/>
        <v>37.1</v>
      </c>
      <c r="Z633" s="30"/>
      <c r="AB633" s="202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</row>
    <row r="634" spans="1:48" ht="18" customHeight="1">
      <c r="A634" s="106">
        <v>20260030</v>
      </c>
      <c r="B634" s="107" t="s">
        <v>1327</v>
      </c>
      <c r="C634" s="108">
        <v>46052</v>
      </c>
      <c r="D634" s="108">
        <v>46075</v>
      </c>
      <c r="E634" s="106">
        <v>2</v>
      </c>
      <c r="F634" s="106">
        <v>0</v>
      </c>
      <c r="G634" s="106">
        <v>6</v>
      </c>
      <c r="H634" s="109" t="s">
        <v>1390</v>
      </c>
      <c r="I634" s="109" t="s">
        <v>24</v>
      </c>
      <c r="J634" s="107" t="s">
        <v>24</v>
      </c>
      <c r="K634" s="108">
        <f t="shared" si="142"/>
        <v>46083</v>
      </c>
      <c r="L634" s="108">
        <f t="shared" si="143"/>
        <v>46143</v>
      </c>
      <c r="M634" s="111"/>
      <c r="N634" s="112">
        <f>E634-2</f>
        <v>0</v>
      </c>
      <c r="O634" s="113">
        <f t="shared" si="133"/>
        <v>0</v>
      </c>
      <c r="P634" s="112">
        <f t="shared" si="145"/>
        <v>0</v>
      </c>
      <c r="Q634" s="109"/>
      <c r="R634" s="109"/>
      <c r="S634" s="109" t="s">
        <v>1391</v>
      </c>
      <c r="T634" s="114">
        <v>30</v>
      </c>
      <c r="U634" s="109"/>
      <c r="V634" s="106"/>
      <c r="W634" s="106"/>
      <c r="X634" s="106" t="s">
        <v>55</v>
      </c>
      <c r="Y634" s="63">
        <f t="shared" si="138"/>
        <v>0</v>
      </c>
      <c r="Z634" s="30"/>
      <c r="AB634" s="202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</row>
    <row r="635" spans="1:48" ht="18" customHeight="1">
      <c r="A635" s="106">
        <v>20260030</v>
      </c>
      <c r="B635" s="107" t="s">
        <v>1327</v>
      </c>
      <c r="C635" s="108">
        <v>46052</v>
      </c>
      <c r="D635" s="108">
        <v>46075</v>
      </c>
      <c r="E635" s="106">
        <v>3</v>
      </c>
      <c r="F635" s="106">
        <v>17.84</v>
      </c>
      <c r="G635" s="106">
        <v>72</v>
      </c>
      <c r="H635" s="109" t="s">
        <v>1392</v>
      </c>
      <c r="I635" s="109" t="s">
        <v>42</v>
      </c>
      <c r="J635" s="107" t="s">
        <v>28</v>
      </c>
      <c r="K635" s="108">
        <f t="shared" si="142"/>
        <v>46083</v>
      </c>
      <c r="L635" s="108">
        <f t="shared" si="143"/>
        <v>46143</v>
      </c>
      <c r="M635" s="111"/>
      <c r="N635" s="112">
        <f>E635-3</f>
        <v>0</v>
      </c>
      <c r="O635" s="113">
        <f t="shared" si="133"/>
        <v>0</v>
      </c>
      <c r="P635" s="112">
        <f t="shared" si="145"/>
        <v>0</v>
      </c>
      <c r="Q635" s="109"/>
      <c r="R635" s="109"/>
      <c r="S635" s="109" t="s">
        <v>1393</v>
      </c>
      <c r="T635" s="114">
        <v>31</v>
      </c>
      <c r="U635" s="109" t="s">
        <v>1394</v>
      </c>
      <c r="V635" s="106"/>
      <c r="W635" s="106"/>
      <c r="X635" s="106" t="s">
        <v>55</v>
      </c>
      <c r="Y635" s="63">
        <f t="shared" si="138"/>
        <v>5.9466666666666663</v>
      </c>
      <c r="Z635" s="30"/>
      <c r="AB635" s="202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</row>
    <row r="636" spans="1:48" ht="18" customHeight="1">
      <c r="A636" s="106">
        <v>20260030</v>
      </c>
      <c r="B636" s="107" t="s">
        <v>1327</v>
      </c>
      <c r="C636" s="108">
        <v>46052</v>
      </c>
      <c r="D636" s="108">
        <v>46075</v>
      </c>
      <c r="E636" s="106">
        <v>1</v>
      </c>
      <c r="F636" s="106">
        <v>24.8</v>
      </c>
      <c r="G636" s="106">
        <v>24</v>
      </c>
      <c r="H636" s="109" t="s">
        <v>1395</v>
      </c>
      <c r="I636" s="109" t="s">
        <v>194</v>
      </c>
      <c r="J636" s="107" t="s">
        <v>26</v>
      </c>
      <c r="K636" s="108">
        <f t="shared" si="142"/>
        <v>46083</v>
      </c>
      <c r="L636" s="108">
        <f t="shared" si="143"/>
        <v>46143</v>
      </c>
      <c r="M636" s="111"/>
      <c r="N636" s="112">
        <f>E636-1</f>
        <v>0</v>
      </c>
      <c r="O636" s="113">
        <f t="shared" si="133"/>
        <v>0</v>
      </c>
      <c r="P636" s="112">
        <f t="shared" si="145"/>
        <v>0</v>
      </c>
      <c r="Q636" s="109"/>
      <c r="R636" s="109"/>
      <c r="S636" s="109" t="s">
        <v>1396</v>
      </c>
      <c r="T636" s="114">
        <v>32</v>
      </c>
      <c r="U636" s="109" t="s">
        <v>1397</v>
      </c>
      <c r="V636" s="106"/>
      <c r="W636" s="106"/>
      <c r="X636" s="106" t="s">
        <v>55</v>
      </c>
      <c r="Y636" s="63">
        <f t="shared" si="138"/>
        <v>24.8</v>
      </c>
      <c r="Z636" s="30"/>
      <c r="AB636" s="202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</row>
    <row r="637" spans="1:48" ht="18" customHeight="1">
      <c r="A637" s="106">
        <v>20260030</v>
      </c>
      <c r="B637" s="107" t="s">
        <v>1327</v>
      </c>
      <c r="C637" s="108">
        <v>46052</v>
      </c>
      <c r="D637" s="108">
        <v>46075</v>
      </c>
      <c r="E637" s="106">
        <v>2</v>
      </c>
      <c r="F637" s="106">
        <v>0</v>
      </c>
      <c r="G637" s="106">
        <v>6</v>
      </c>
      <c r="H637" s="109" t="s">
        <v>1395</v>
      </c>
      <c r="I637" s="109" t="s">
        <v>24</v>
      </c>
      <c r="J637" s="107" t="s">
        <v>24</v>
      </c>
      <c r="K637" s="108">
        <f t="shared" si="142"/>
        <v>46083</v>
      </c>
      <c r="L637" s="108">
        <f t="shared" si="143"/>
        <v>46143</v>
      </c>
      <c r="M637" s="111"/>
      <c r="N637" s="112">
        <f>E637-2</f>
        <v>0</v>
      </c>
      <c r="O637" s="113">
        <f t="shared" si="133"/>
        <v>0</v>
      </c>
      <c r="P637" s="112">
        <f t="shared" si="145"/>
        <v>0</v>
      </c>
      <c r="Q637" s="109"/>
      <c r="R637" s="109"/>
      <c r="S637" s="109" t="s">
        <v>1396</v>
      </c>
      <c r="T637" s="114">
        <v>32</v>
      </c>
      <c r="U637" s="109"/>
      <c r="V637" s="106"/>
      <c r="W637" s="106"/>
      <c r="X637" s="106" t="s">
        <v>55</v>
      </c>
      <c r="Y637" s="63">
        <f t="shared" si="138"/>
        <v>0</v>
      </c>
      <c r="Z637" s="30"/>
      <c r="AB637" s="202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</row>
    <row r="638" spans="1:48" ht="18" customHeight="1">
      <c r="A638" s="106">
        <v>20260030</v>
      </c>
      <c r="B638" s="107" t="s">
        <v>1327</v>
      </c>
      <c r="C638" s="108">
        <v>46052</v>
      </c>
      <c r="D638" s="108">
        <v>46075</v>
      </c>
      <c r="E638" s="106">
        <v>2</v>
      </c>
      <c r="F638" s="106">
        <v>16</v>
      </c>
      <c r="G638" s="106">
        <v>48</v>
      </c>
      <c r="H638" s="109" t="s">
        <v>1398</v>
      </c>
      <c r="I638" s="109" t="s">
        <v>42</v>
      </c>
      <c r="J638" s="107" t="s">
        <v>28</v>
      </c>
      <c r="K638" s="108">
        <f t="shared" si="142"/>
        <v>46083</v>
      </c>
      <c r="L638" s="108">
        <f t="shared" si="143"/>
        <v>46143</v>
      </c>
      <c r="M638" s="111"/>
      <c r="N638" s="112">
        <f>E638-2</f>
        <v>0</v>
      </c>
      <c r="O638" s="113">
        <f t="shared" si="133"/>
        <v>0</v>
      </c>
      <c r="P638" s="112">
        <f t="shared" si="145"/>
        <v>0</v>
      </c>
      <c r="Q638" s="109"/>
      <c r="R638" s="109"/>
      <c r="S638" s="109" t="s">
        <v>1399</v>
      </c>
      <c r="T638" s="114">
        <v>33</v>
      </c>
      <c r="U638" s="109" t="s">
        <v>1400</v>
      </c>
      <c r="V638" s="106"/>
      <c r="W638" s="106"/>
      <c r="X638" s="106" t="s">
        <v>55</v>
      </c>
      <c r="Y638" s="63">
        <f t="shared" si="138"/>
        <v>8</v>
      </c>
      <c r="Z638" s="30"/>
      <c r="AB638" s="202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</row>
    <row r="639" spans="1:48" ht="18" customHeight="1">
      <c r="A639" s="106">
        <v>20260030</v>
      </c>
      <c r="B639" s="107" t="s">
        <v>1327</v>
      </c>
      <c r="C639" s="108">
        <v>46052</v>
      </c>
      <c r="D639" s="108">
        <v>46075</v>
      </c>
      <c r="E639" s="106">
        <v>1</v>
      </c>
      <c r="F639" s="106">
        <v>12.05</v>
      </c>
      <c r="G639" s="106">
        <v>24</v>
      </c>
      <c r="H639" s="109" t="s">
        <v>1398</v>
      </c>
      <c r="I639" s="109" t="s">
        <v>194</v>
      </c>
      <c r="J639" s="107" t="s">
        <v>26</v>
      </c>
      <c r="K639" s="108">
        <f t="shared" si="142"/>
        <v>46083</v>
      </c>
      <c r="L639" s="108">
        <f t="shared" si="143"/>
        <v>46143</v>
      </c>
      <c r="M639" s="111"/>
      <c r="N639" s="112">
        <f>E639-1</f>
        <v>0</v>
      </c>
      <c r="O639" s="113">
        <f t="shared" si="133"/>
        <v>0</v>
      </c>
      <c r="P639" s="112">
        <f t="shared" si="145"/>
        <v>0</v>
      </c>
      <c r="Q639" s="109"/>
      <c r="R639" s="109"/>
      <c r="S639" s="109" t="s">
        <v>1399</v>
      </c>
      <c r="T639" s="114">
        <v>33</v>
      </c>
      <c r="U639" s="109"/>
      <c r="V639" s="106"/>
      <c r="W639" s="106"/>
      <c r="X639" s="106" t="s">
        <v>55</v>
      </c>
      <c r="Y639" s="63">
        <f t="shared" si="138"/>
        <v>12.05</v>
      </c>
      <c r="Z639" s="30"/>
      <c r="AB639" s="202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</row>
    <row r="640" spans="1:48" ht="18" customHeight="1">
      <c r="A640" s="106">
        <v>20260030</v>
      </c>
      <c r="B640" s="107" t="s">
        <v>1327</v>
      </c>
      <c r="C640" s="108">
        <v>46052</v>
      </c>
      <c r="D640" s="108">
        <v>46075</v>
      </c>
      <c r="E640" s="106">
        <v>1</v>
      </c>
      <c r="F640" s="106">
        <v>0</v>
      </c>
      <c r="G640" s="106">
        <v>3</v>
      </c>
      <c r="H640" s="109" t="s">
        <v>1398</v>
      </c>
      <c r="I640" s="109" t="s">
        <v>24</v>
      </c>
      <c r="J640" s="107" t="s">
        <v>24</v>
      </c>
      <c r="K640" s="108">
        <f t="shared" si="142"/>
        <v>46083</v>
      </c>
      <c r="L640" s="108">
        <f t="shared" si="143"/>
        <v>46143</v>
      </c>
      <c r="M640" s="111"/>
      <c r="N640" s="112">
        <f>E640-1</f>
        <v>0</v>
      </c>
      <c r="O640" s="113">
        <f t="shared" si="133"/>
        <v>0</v>
      </c>
      <c r="P640" s="112">
        <f t="shared" si="145"/>
        <v>0</v>
      </c>
      <c r="Q640" s="109"/>
      <c r="R640" s="109"/>
      <c r="S640" s="109" t="s">
        <v>1399</v>
      </c>
      <c r="T640" s="114">
        <v>33</v>
      </c>
      <c r="U640" s="109"/>
      <c r="V640" s="106"/>
      <c r="W640" s="106"/>
      <c r="X640" s="106" t="s">
        <v>55</v>
      </c>
      <c r="Y640" s="63">
        <f t="shared" si="138"/>
        <v>0</v>
      </c>
      <c r="Z640" s="30"/>
      <c r="AB640" s="202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</row>
    <row r="641" spans="1:48" ht="18" customHeight="1">
      <c r="A641" s="106">
        <v>20260030</v>
      </c>
      <c r="B641" s="107" t="s">
        <v>1327</v>
      </c>
      <c r="C641" s="108">
        <v>46052</v>
      </c>
      <c r="D641" s="108">
        <v>46075</v>
      </c>
      <c r="E641" s="106">
        <v>2</v>
      </c>
      <c r="F641" s="106">
        <v>25.34</v>
      </c>
      <c r="G641" s="106">
        <v>48</v>
      </c>
      <c r="H641" s="109" t="s">
        <v>1401</v>
      </c>
      <c r="I641" s="109" t="s">
        <v>42</v>
      </c>
      <c r="J641" s="107" t="s">
        <v>28</v>
      </c>
      <c r="K641" s="108">
        <f t="shared" si="142"/>
        <v>46083</v>
      </c>
      <c r="L641" s="108">
        <f t="shared" si="143"/>
        <v>46143</v>
      </c>
      <c r="M641" s="111"/>
      <c r="N641" s="112">
        <f>E641-2</f>
        <v>0</v>
      </c>
      <c r="O641" s="113">
        <f t="shared" si="133"/>
        <v>0</v>
      </c>
      <c r="P641" s="112">
        <f t="shared" si="145"/>
        <v>0</v>
      </c>
      <c r="Q641" s="109"/>
      <c r="R641" s="109"/>
      <c r="S641" s="109" t="s">
        <v>1402</v>
      </c>
      <c r="T641" s="114">
        <v>34</v>
      </c>
      <c r="U641" s="109" t="s">
        <v>1403</v>
      </c>
      <c r="V641" s="106"/>
      <c r="W641" s="106"/>
      <c r="X641" s="106" t="s">
        <v>55</v>
      </c>
      <c r="Y641" s="63">
        <f t="shared" si="138"/>
        <v>12.67</v>
      </c>
      <c r="Z641" s="30"/>
      <c r="AB641" s="202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</row>
    <row r="642" spans="1:48" ht="18" customHeight="1">
      <c r="A642" s="63">
        <v>20260030</v>
      </c>
      <c r="B642" s="65" t="s">
        <v>1327</v>
      </c>
      <c r="C642" s="66">
        <v>46052</v>
      </c>
      <c r="D642" s="66">
        <v>46075</v>
      </c>
      <c r="E642" s="67">
        <v>1</v>
      </c>
      <c r="F642" s="68">
        <v>10</v>
      </c>
      <c r="G642" s="69">
        <v>24</v>
      </c>
      <c r="H642" s="70" t="s">
        <v>1404</v>
      </c>
      <c r="I642" s="70" t="s">
        <v>194</v>
      </c>
      <c r="J642" s="65" t="s">
        <v>26</v>
      </c>
      <c r="K642" s="48">
        <f t="shared" si="142"/>
        <v>46083</v>
      </c>
      <c r="L642" s="48">
        <f t="shared" si="143"/>
        <v>46143</v>
      </c>
      <c r="M642" s="71"/>
      <c r="N642" s="72">
        <f>E642</f>
        <v>1</v>
      </c>
      <c r="O642" s="50">
        <f t="shared" si="133"/>
        <v>10</v>
      </c>
      <c r="P642" s="56">
        <f t="shared" si="145"/>
        <v>24</v>
      </c>
      <c r="Q642" s="73"/>
      <c r="R642" s="58"/>
      <c r="S642" s="200" t="s">
        <v>1405</v>
      </c>
      <c r="T642" s="201">
        <v>35</v>
      </c>
      <c r="U642" s="58" t="s">
        <v>1406</v>
      </c>
      <c r="V642" s="46"/>
      <c r="W642" s="46"/>
      <c r="X642" s="62" t="s">
        <v>25</v>
      </c>
      <c r="Y642" s="63">
        <f t="shared" si="138"/>
        <v>10</v>
      </c>
      <c r="Z642" s="64">
        <f t="shared" ref="Z642" si="146">E642-N642</f>
        <v>0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</row>
    <row r="643" spans="1:48" ht="18" customHeight="1">
      <c r="A643" s="106">
        <v>20260030</v>
      </c>
      <c r="B643" s="107" t="s">
        <v>1327</v>
      </c>
      <c r="C643" s="108">
        <v>46052</v>
      </c>
      <c r="D643" s="108">
        <v>46075</v>
      </c>
      <c r="E643" s="106">
        <v>1</v>
      </c>
      <c r="F643" s="106">
        <v>36.82</v>
      </c>
      <c r="G643" s="106">
        <v>24</v>
      </c>
      <c r="H643" s="109" t="s">
        <v>1404</v>
      </c>
      <c r="I643" s="109" t="s">
        <v>42</v>
      </c>
      <c r="J643" s="107" t="s">
        <v>28</v>
      </c>
      <c r="K643" s="108">
        <f t="shared" si="142"/>
        <v>46083</v>
      </c>
      <c r="L643" s="108">
        <f t="shared" si="143"/>
        <v>46143</v>
      </c>
      <c r="M643" s="111"/>
      <c r="N643" s="112">
        <f>E643-1</f>
        <v>0</v>
      </c>
      <c r="O643" s="113">
        <f t="shared" si="133"/>
        <v>0</v>
      </c>
      <c r="P643" s="112">
        <f t="shared" si="145"/>
        <v>0</v>
      </c>
      <c r="Q643" s="109"/>
      <c r="R643" s="109"/>
      <c r="S643" s="109" t="s">
        <v>1405</v>
      </c>
      <c r="T643" s="114">
        <v>35</v>
      </c>
      <c r="U643" s="109"/>
      <c r="V643" s="106"/>
      <c r="W643" s="106"/>
      <c r="X643" s="106" t="s">
        <v>55</v>
      </c>
      <c r="Y643" s="63">
        <f t="shared" si="138"/>
        <v>36.82</v>
      </c>
      <c r="Z643" s="30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</row>
    <row r="644" spans="1:48" ht="18" customHeight="1">
      <c r="A644" s="106">
        <v>20260030</v>
      </c>
      <c r="B644" s="107" t="s">
        <v>1327</v>
      </c>
      <c r="C644" s="108">
        <v>46052</v>
      </c>
      <c r="D644" s="108">
        <v>46075</v>
      </c>
      <c r="E644" s="106">
        <v>2</v>
      </c>
      <c r="F644" s="106">
        <v>0</v>
      </c>
      <c r="G644" s="106">
        <v>6</v>
      </c>
      <c r="H644" s="109" t="s">
        <v>1404</v>
      </c>
      <c r="I644" s="109" t="s">
        <v>24</v>
      </c>
      <c r="J644" s="107" t="s">
        <v>24</v>
      </c>
      <c r="K644" s="108">
        <f t="shared" si="142"/>
        <v>46083</v>
      </c>
      <c r="L644" s="108">
        <f t="shared" si="143"/>
        <v>46143</v>
      </c>
      <c r="M644" s="111"/>
      <c r="N644" s="112">
        <f>E644-2</f>
        <v>0</v>
      </c>
      <c r="O644" s="113">
        <f t="shared" si="133"/>
        <v>0</v>
      </c>
      <c r="P644" s="112">
        <f t="shared" si="145"/>
        <v>0</v>
      </c>
      <c r="Q644" s="109"/>
      <c r="R644" s="109"/>
      <c r="S644" s="109" t="s">
        <v>1405</v>
      </c>
      <c r="T644" s="114">
        <v>35</v>
      </c>
      <c r="U644" s="109"/>
      <c r="V644" s="106"/>
      <c r="W644" s="106"/>
      <c r="X644" s="106" t="s">
        <v>55</v>
      </c>
      <c r="Y644" s="63">
        <f t="shared" si="138"/>
        <v>0</v>
      </c>
      <c r="Z644" s="30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</row>
    <row r="645" spans="1:48" ht="18" customHeight="1">
      <c r="A645" s="106">
        <v>20260030</v>
      </c>
      <c r="B645" s="107" t="s">
        <v>1327</v>
      </c>
      <c r="C645" s="108">
        <v>46052</v>
      </c>
      <c r="D645" s="108">
        <v>46075</v>
      </c>
      <c r="E645" s="106">
        <v>2</v>
      </c>
      <c r="F645" s="106">
        <v>30</v>
      </c>
      <c r="G645" s="106">
        <v>48</v>
      </c>
      <c r="H645" s="109" t="s">
        <v>1407</v>
      </c>
      <c r="I645" s="109" t="s">
        <v>42</v>
      </c>
      <c r="J645" s="107" t="s">
        <v>28</v>
      </c>
      <c r="K645" s="108">
        <f t="shared" si="142"/>
        <v>46083</v>
      </c>
      <c r="L645" s="108">
        <f t="shared" si="143"/>
        <v>46143</v>
      </c>
      <c r="M645" s="111"/>
      <c r="N645" s="112">
        <f>E645-2</f>
        <v>0</v>
      </c>
      <c r="O645" s="113">
        <f t="shared" si="133"/>
        <v>0</v>
      </c>
      <c r="P645" s="112">
        <f t="shared" si="145"/>
        <v>0</v>
      </c>
      <c r="Q645" s="109"/>
      <c r="R645" s="109"/>
      <c r="S645" s="109" t="s">
        <v>1408</v>
      </c>
      <c r="T645" s="114">
        <v>36</v>
      </c>
      <c r="U645" s="109" t="s">
        <v>1409</v>
      </c>
      <c r="V645" s="106"/>
      <c r="W645" s="106"/>
      <c r="X645" s="106" t="s">
        <v>55</v>
      </c>
      <c r="Y645" s="63">
        <f t="shared" si="138"/>
        <v>15</v>
      </c>
      <c r="Z645" s="30"/>
      <c r="AB645" s="202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</row>
    <row r="646" spans="1:48" ht="18" customHeight="1">
      <c r="A646" s="63">
        <v>20260030</v>
      </c>
      <c r="B646" s="65" t="s">
        <v>1327</v>
      </c>
      <c r="C646" s="66">
        <v>46052</v>
      </c>
      <c r="D646" s="66">
        <v>46075</v>
      </c>
      <c r="E646" s="67">
        <v>1</v>
      </c>
      <c r="F646" s="68">
        <v>13</v>
      </c>
      <c r="G646" s="69">
        <v>24</v>
      </c>
      <c r="H646" s="70" t="s">
        <v>1407</v>
      </c>
      <c r="I646" s="70" t="s">
        <v>63</v>
      </c>
      <c r="J646" s="65" t="s">
        <v>28</v>
      </c>
      <c r="K646" s="48">
        <f t="shared" si="142"/>
        <v>46083</v>
      </c>
      <c r="L646" s="48">
        <f t="shared" si="143"/>
        <v>46143</v>
      </c>
      <c r="M646" s="71"/>
      <c r="N646" s="72">
        <f>E646</f>
        <v>1</v>
      </c>
      <c r="O646" s="50">
        <f t="shared" si="133"/>
        <v>13</v>
      </c>
      <c r="P646" s="56">
        <f t="shared" si="145"/>
        <v>24</v>
      </c>
      <c r="Q646" s="73"/>
      <c r="R646" s="58"/>
      <c r="S646" s="200" t="s">
        <v>1410</v>
      </c>
      <c r="T646" s="201">
        <v>83</v>
      </c>
      <c r="U646" s="58" t="s">
        <v>1411</v>
      </c>
      <c r="V646" s="46"/>
      <c r="W646" s="46"/>
      <c r="X646" s="62" t="s">
        <v>25</v>
      </c>
      <c r="Y646" s="63">
        <f t="shared" si="138"/>
        <v>13</v>
      </c>
      <c r="Z646" s="64">
        <f t="shared" ref="Z646" si="147">E646-N646</f>
        <v>0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</row>
    <row r="647" spans="1:48" ht="18" customHeight="1">
      <c r="A647" s="106">
        <v>20260030</v>
      </c>
      <c r="B647" s="107" t="s">
        <v>1327</v>
      </c>
      <c r="C647" s="108">
        <v>46052</v>
      </c>
      <c r="D647" s="108">
        <v>46075</v>
      </c>
      <c r="E647" s="106">
        <v>1</v>
      </c>
      <c r="F647" s="106">
        <v>34.15</v>
      </c>
      <c r="G647" s="106">
        <v>24</v>
      </c>
      <c r="H647" s="109" t="s">
        <v>1412</v>
      </c>
      <c r="I647" s="109" t="s">
        <v>194</v>
      </c>
      <c r="J647" s="107" t="s">
        <v>26</v>
      </c>
      <c r="K647" s="108">
        <f t="shared" si="142"/>
        <v>46083</v>
      </c>
      <c r="L647" s="108">
        <f t="shared" si="143"/>
        <v>46143</v>
      </c>
      <c r="M647" s="111"/>
      <c r="N647" s="112">
        <f>E647-1</f>
        <v>0</v>
      </c>
      <c r="O647" s="113">
        <f t="shared" si="133"/>
        <v>0</v>
      </c>
      <c r="P647" s="112">
        <f t="shared" si="145"/>
        <v>0</v>
      </c>
      <c r="Q647" s="109"/>
      <c r="R647" s="109"/>
      <c r="S647" s="109" t="s">
        <v>1413</v>
      </c>
      <c r="T647" s="114">
        <v>38</v>
      </c>
      <c r="U647" s="109" t="s">
        <v>577</v>
      </c>
      <c r="V647" s="106"/>
      <c r="W647" s="106"/>
      <c r="X647" s="106" t="s">
        <v>55</v>
      </c>
      <c r="Y647" s="63">
        <f t="shared" si="138"/>
        <v>34.15</v>
      </c>
      <c r="Z647" s="30"/>
      <c r="AB647" s="202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</row>
    <row r="648" spans="1:48" ht="18" customHeight="1">
      <c r="A648" s="63">
        <v>20260030</v>
      </c>
      <c r="B648" s="65" t="s">
        <v>1327</v>
      </c>
      <c r="C648" s="66">
        <v>46052</v>
      </c>
      <c r="D648" s="66">
        <v>46075</v>
      </c>
      <c r="E648" s="67">
        <v>1</v>
      </c>
      <c r="F648" s="68">
        <v>0</v>
      </c>
      <c r="G648" s="69">
        <v>3</v>
      </c>
      <c r="H648" s="70" t="s">
        <v>1412</v>
      </c>
      <c r="I648" s="70" t="s">
        <v>24</v>
      </c>
      <c r="J648" s="65" t="s">
        <v>24</v>
      </c>
      <c r="K648" s="48">
        <f t="shared" si="142"/>
        <v>46083</v>
      </c>
      <c r="L648" s="48">
        <f t="shared" si="143"/>
        <v>46143</v>
      </c>
      <c r="M648" s="71"/>
      <c r="N648" s="72">
        <f>E648</f>
        <v>1</v>
      </c>
      <c r="O648" s="50">
        <f t="shared" si="133"/>
        <v>0</v>
      </c>
      <c r="P648" s="56">
        <f t="shared" si="145"/>
        <v>3</v>
      </c>
      <c r="Q648" s="73"/>
      <c r="R648" s="58"/>
      <c r="S648" s="200" t="s">
        <v>1413</v>
      </c>
      <c r="T648" s="201">
        <v>38</v>
      </c>
      <c r="U648" s="58"/>
      <c r="V648" s="46"/>
      <c r="W648" s="46"/>
      <c r="X648" s="62" t="s">
        <v>25</v>
      </c>
      <c r="Y648" s="63">
        <f t="shared" si="138"/>
        <v>0</v>
      </c>
      <c r="Z648" s="64">
        <f t="shared" ref="Z648" si="148">E648-N648</f>
        <v>0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</row>
    <row r="649" spans="1:48" ht="18" customHeight="1">
      <c r="A649" s="106">
        <v>20260030</v>
      </c>
      <c r="B649" s="107" t="s">
        <v>1327</v>
      </c>
      <c r="C649" s="108">
        <v>46052</v>
      </c>
      <c r="D649" s="108">
        <v>46075</v>
      </c>
      <c r="E649" s="106">
        <v>1</v>
      </c>
      <c r="F649" s="106">
        <v>22.8</v>
      </c>
      <c r="G649" s="106">
        <v>24</v>
      </c>
      <c r="H649" s="109" t="s">
        <v>1414</v>
      </c>
      <c r="I649" s="109" t="s">
        <v>194</v>
      </c>
      <c r="J649" s="107" t="s">
        <v>26</v>
      </c>
      <c r="K649" s="108">
        <f t="shared" si="142"/>
        <v>46083</v>
      </c>
      <c r="L649" s="108">
        <f t="shared" si="143"/>
        <v>46143</v>
      </c>
      <c r="M649" s="111"/>
      <c r="N649" s="112">
        <f>E649-1</f>
        <v>0</v>
      </c>
      <c r="O649" s="113">
        <f t="shared" ref="O649:O712" si="149">F649/E649*N649</f>
        <v>0</v>
      </c>
      <c r="P649" s="112">
        <f t="shared" si="145"/>
        <v>0</v>
      </c>
      <c r="Q649" s="109"/>
      <c r="R649" s="109"/>
      <c r="S649" s="109" t="s">
        <v>1415</v>
      </c>
      <c r="T649" s="114">
        <v>40</v>
      </c>
      <c r="U649" s="109" t="s">
        <v>1416</v>
      </c>
      <c r="V649" s="106"/>
      <c r="W649" s="106"/>
      <c r="X649" s="106" t="s">
        <v>55</v>
      </c>
      <c r="Y649" s="63">
        <f t="shared" si="138"/>
        <v>22.8</v>
      </c>
      <c r="Z649" s="30"/>
      <c r="AB649" s="202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</row>
    <row r="650" spans="1:48" ht="18" customHeight="1">
      <c r="A650" s="106">
        <v>20260030</v>
      </c>
      <c r="B650" s="107" t="s">
        <v>1327</v>
      </c>
      <c r="C650" s="108">
        <v>46052</v>
      </c>
      <c r="D650" s="108">
        <v>46075</v>
      </c>
      <c r="E650" s="106">
        <v>1</v>
      </c>
      <c r="F650" s="106">
        <v>0</v>
      </c>
      <c r="G650" s="106">
        <v>3</v>
      </c>
      <c r="H650" s="109" t="s">
        <v>1414</v>
      </c>
      <c r="I650" s="109" t="s">
        <v>24</v>
      </c>
      <c r="J650" s="107" t="s">
        <v>24</v>
      </c>
      <c r="K650" s="108">
        <f t="shared" si="142"/>
        <v>46083</v>
      </c>
      <c r="L650" s="108">
        <f t="shared" si="143"/>
        <v>46143</v>
      </c>
      <c r="M650" s="111"/>
      <c r="N650" s="112">
        <f>E650-1</f>
        <v>0</v>
      </c>
      <c r="O650" s="113">
        <f t="shared" si="149"/>
        <v>0</v>
      </c>
      <c r="P650" s="112">
        <f t="shared" si="145"/>
        <v>0</v>
      </c>
      <c r="Q650" s="109"/>
      <c r="R650" s="109"/>
      <c r="S650" s="109" t="s">
        <v>1415</v>
      </c>
      <c r="T650" s="114">
        <v>40</v>
      </c>
      <c r="U650" s="109"/>
      <c r="V650" s="106"/>
      <c r="W650" s="106"/>
      <c r="X650" s="106" t="s">
        <v>55</v>
      </c>
      <c r="Y650" s="63">
        <f t="shared" si="138"/>
        <v>0</v>
      </c>
      <c r="Z650" s="30"/>
      <c r="AB650" s="202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</row>
    <row r="651" spans="1:48" ht="18" customHeight="1">
      <c r="A651" s="106">
        <v>20260030</v>
      </c>
      <c r="B651" s="107" t="s">
        <v>1327</v>
      </c>
      <c r="C651" s="108">
        <v>46052</v>
      </c>
      <c r="D651" s="108">
        <v>46075</v>
      </c>
      <c r="E651" s="106">
        <v>2</v>
      </c>
      <c r="F651" s="106">
        <v>68.36</v>
      </c>
      <c r="G651" s="106">
        <v>48</v>
      </c>
      <c r="H651" s="109" t="s">
        <v>1417</v>
      </c>
      <c r="I651" s="109" t="s">
        <v>194</v>
      </c>
      <c r="J651" s="107" t="s">
        <v>26</v>
      </c>
      <c r="K651" s="108">
        <f t="shared" si="142"/>
        <v>46083</v>
      </c>
      <c r="L651" s="108">
        <f t="shared" si="143"/>
        <v>46143</v>
      </c>
      <c r="M651" s="111"/>
      <c r="N651" s="112">
        <f>E651-2</f>
        <v>0</v>
      </c>
      <c r="O651" s="113">
        <f t="shared" si="149"/>
        <v>0</v>
      </c>
      <c r="P651" s="112">
        <f t="shared" si="145"/>
        <v>0</v>
      </c>
      <c r="Q651" s="109"/>
      <c r="R651" s="109"/>
      <c r="S651" s="109" t="s">
        <v>1418</v>
      </c>
      <c r="T651" s="114">
        <v>41</v>
      </c>
      <c r="U651" s="109" t="s">
        <v>1419</v>
      </c>
      <c r="V651" s="106"/>
      <c r="W651" s="106"/>
      <c r="X651" s="106" t="s">
        <v>55</v>
      </c>
      <c r="Y651" s="63">
        <f t="shared" si="138"/>
        <v>34.18</v>
      </c>
      <c r="Z651" s="30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</row>
    <row r="652" spans="1:48" ht="18" customHeight="1">
      <c r="A652" s="106">
        <v>20260030</v>
      </c>
      <c r="B652" s="107" t="s">
        <v>1327</v>
      </c>
      <c r="C652" s="108">
        <v>46052</v>
      </c>
      <c r="D652" s="108">
        <v>46075</v>
      </c>
      <c r="E652" s="106">
        <v>6</v>
      </c>
      <c r="F652" s="106">
        <v>0</v>
      </c>
      <c r="G652" s="106">
        <v>18</v>
      </c>
      <c r="H652" s="109" t="s">
        <v>1417</v>
      </c>
      <c r="I652" s="109" t="s">
        <v>24</v>
      </c>
      <c r="J652" s="107" t="s">
        <v>24</v>
      </c>
      <c r="K652" s="108">
        <f t="shared" si="142"/>
        <v>46083</v>
      </c>
      <c r="L652" s="108">
        <f t="shared" si="143"/>
        <v>46143</v>
      </c>
      <c r="M652" s="111"/>
      <c r="N652" s="112">
        <f>E652-6</f>
        <v>0</v>
      </c>
      <c r="O652" s="113">
        <f t="shared" si="149"/>
        <v>0</v>
      </c>
      <c r="P652" s="112">
        <f t="shared" si="145"/>
        <v>0</v>
      </c>
      <c r="Q652" s="109"/>
      <c r="R652" s="109"/>
      <c r="S652" s="109" t="s">
        <v>1418</v>
      </c>
      <c r="T652" s="114">
        <v>41</v>
      </c>
      <c r="U652" s="109"/>
      <c r="V652" s="106"/>
      <c r="W652" s="106"/>
      <c r="X652" s="106" t="s">
        <v>55</v>
      </c>
      <c r="Y652" s="63">
        <f t="shared" si="138"/>
        <v>0</v>
      </c>
      <c r="Z652" s="30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</row>
    <row r="653" spans="1:48" ht="18" customHeight="1">
      <c r="A653" s="63">
        <v>20260030</v>
      </c>
      <c r="B653" s="65" t="s">
        <v>1327</v>
      </c>
      <c r="C653" s="66">
        <v>46052</v>
      </c>
      <c r="D653" s="66">
        <v>46075</v>
      </c>
      <c r="E653" s="67">
        <v>1</v>
      </c>
      <c r="F653" s="68">
        <v>3.0350000000000001</v>
      </c>
      <c r="G653" s="69">
        <v>24</v>
      </c>
      <c r="H653" s="70" t="s">
        <v>1420</v>
      </c>
      <c r="I653" s="70" t="s">
        <v>42</v>
      </c>
      <c r="J653" s="65" t="s">
        <v>28</v>
      </c>
      <c r="K653" s="48">
        <f t="shared" si="142"/>
        <v>46083</v>
      </c>
      <c r="L653" s="48">
        <f t="shared" si="143"/>
        <v>46143</v>
      </c>
      <c r="M653" s="71"/>
      <c r="N653" s="72">
        <f>E653</f>
        <v>1</v>
      </c>
      <c r="O653" s="50">
        <f t="shared" si="149"/>
        <v>3.0350000000000001</v>
      </c>
      <c r="P653" s="56">
        <f t="shared" si="145"/>
        <v>24</v>
      </c>
      <c r="Q653" s="73"/>
      <c r="R653" s="58"/>
      <c r="S653" s="200" t="s">
        <v>1421</v>
      </c>
      <c r="T653" s="201">
        <v>42</v>
      </c>
      <c r="U653" s="58" t="s">
        <v>1422</v>
      </c>
      <c r="V653" s="46"/>
      <c r="W653" s="46"/>
      <c r="X653" s="62" t="s">
        <v>25</v>
      </c>
      <c r="Y653" s="63">
        <f t="shared" si="138"/>
        <v>3.0350000000000001</v>
      </c>
      <c r="Z653" s="64">
        <f t="shared" ref="Z653" si="150">E653-N653</f>
        <v>0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</row>
    <row r="654" spans="1:48" ht="18" customHeight="1">
      <c r="A654" s="106">
        <v>20260030</v>
      </c>
      <c r="B654" s="107" t="s">
        <v>1327</v>
      </c>
      <c r="C654" s="108">
        <v>46052</v>
      </c>
      <c r="D654" s="108">
        <v>46075</v>
      </c>
      <c r="E654" s="106">
        <v>1</v>
      </c>
      <c r="F654" s="106">
        <v>36</v>
      </c>
      <c r="G654" s="106">
        <v>24</v>
      </c>
      <c r="H654" s="109" t="s">
        <v>1423</v>
      </c>
      <c r="I654" s="109" t="s">
        <v>194</v>
      </c>
      <c r="J654" s="107" t="s">
        <v>26</v>
      </c>
      <c r="K654" s="108">
        <f t="shared" si="142"/>
        <v>46083</v>
      </c>
      <c r="L654" s="108">
        <f t="shared" si="143"/>
        <v>46143</v>
      </c>
      <c r="M654" s="111"/>
      <c r="N654" s="112">
        <f>E654-1</f>
        <v>0</v>
      </c>
      <c r="O654" s="113">
        <f t="shared" si="149"/>
        <v>0</v>
      </c>
      <c r="P654" s="112">
        <f t="shared" si="145"/>
        <v>0</v>
      </c>
      <c r="Q654" s="109"/>
      <c r="R654" s="109"/>
      <c r="S654" s="109" t="s">
        <v>1424</v>
      </c>
      <c r="T654" s="114">
        <v>48</v>
      </c>
      <c r="U654" s="109" t="s">
        <v>1425</v>
      </c>
      <c r="V654" s="106"/>
      <c r="W654" s="106"/>
      <c r="X654" s="106" t="s">
        <v>55</v>
      </c>
      <c r="Y654" s="63">
        <f t="shared" si="138"/>
        <v>36</v>
      </c>
      <c r="Z654" s="30"/>
      <c r="AB654" s="202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</row>
    <row r="655" spans="1:48" ht="18" customHeight="1">
      <c r="A655" s="106">
        <v>20260030</v>
      </c>
      <c r="B655" s="107" t="s">
        <v>1327</v>
      </c>
      <c r="C655" s="108">
        <v>46052</v>
      </c>
      <c r="D655" s="108">
        <v>46075</v>
      </c>
      <c r="E655" s="106">
        <v>2</v>
      </c>
      <c r="F655" s="106">
        <v>0</v>
      </c>
      <c r="G655" s="106">
        <v>6</v>
      </c>
      <c r="H655" s="109" t="s">
        <v>1423</v>
      </c>
      <c r="I655" s="109" t="s">
        <v>24</v>
      </c>
      <c r="J655" s="107" t="s">
        <v>24</v>
      </c>
      <c r="K655" s="108">
        <f t="shared" si="142"/>
        <v>46083</v>
      </c>
      <c r="L655" s="108">
        <f t="shared" si="143"/>
        <v>46143</v>
      </c>
      <c r="M655" s="111"/>
      <c r="N655" s="112">
        <f>E655-1-1</f>
        <v>0</v>
      </c>
      <c r="O655" s="113">
        <f t="shared" si="149"/>
        <v>0</v>
      </c>
      <c r="P655" s="112">
        <f t="shared" si="145"/>
        <v>0</v>
      </c>
      <c r="Q655" s="109"/>
      <c r="R655" s="109"/>
      <c r="S655" s="109" t="s">
        <v>1424</v>
      </c>
      <c r="T655" s="114">
        <v>48</v>
      </c>
      <c r="U655" s="109"/>
      <c r="V655" s="106"/>
      <c r="W655" s="106"/>
      <c r="X655" s="106" t="s">
        <v>55</v>
      </c>
      <c r="Y655" s="63">
        <f t="shared" si="138"/>
        <v>0</v>
      </c>
      <c r="Z655" s="30"/>
      <c r="AB655" s="202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</row>
    <row r="656" spans="1:48" ht="18" customHeight="1">
      <c r="A656" s="63">
        <v>20260030</v>
      </c>
      <c r="B656" s="65" t="s">
        <v>1327</v>
      </c>
      <c r="C656" s="66">
        <v>46052</v>
      </c>
      <c r="D656" s="66">
        <v>46075</v>
      </c>
      <c r="E656" s="67">
        <v>1</v>
      </c>
      <c r="F656" s="68">
        <v>36</v>
      </c>
      <c r="G656" s="69">
        <v>24</v>
      </c>
      <c r="H656" s="70" t="s">
        <v>193</v>
      </c>
      <c r="I656" s="70" t="s">
        <v>194</v>
      </c>
      <c r="J656" s="65" t="s">
        <v>26</v>
      </c>
      <c r="K656" s="48">
        <f t="shared" si="142"/>
        <v>46083</v>
      </c>
      <c r="L656" s="48">
        <f t="shared" si="143"/>
        <v>46143</v>
      </c>
      <c r="M656" s="71"/>
      <c r="N656" s="72">
        <f>E656</f>
        <v>1</v>
      </c>
      <c r="O656" s="50">
        <f t="shared" si="149"/>
        <v>36</v>
      </c>
      <c r="P656" s="56">
        <f t="shared" si="145"/>
        <v>24</v>
      </c>
      <c r="Q656" s="73"/>
      <c r="R656" s="58"/>
      <c r="S656" s="200" t="s">
        <v>1426</v>
      </c>
      <c r="T656" s="201">
        <v>49</v>
      </c>
      <c r="U656" s="58" t="s">
        <v>1425</v>
      </c>
      <c r="V656" s="46"/>
      <c r="W656" s="46"/>
      <c r="X656" s="62" t="s">
        <v>25</v>
      </c>
      <c r="Y656" s="63">
        <f t="shared" si="138"/>
        <v>36</v>
      </c>
      <c r="Z656" s="64">
        <f t="shared" ref="Z656:Z657" si="151">E656-N656</f>
        <v>0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</row>
    <row r="657" spans="1:48" ht="18" customHeight="1">
      <c r="A657" s="63">
        <v>20260030</v>
      </c>
      <c r="B657" s="65" t="s">
        <v>1327</v>
      </c>
      <c r="C657" s="66">
        <v>46052</v>
      </c>
      <c r="D657" s="66">
        <v>46075</v>
      </c>
      <c r="E657" s="67">
        <v>2</v>
      </c>
      <c r="F657" s="68">
        <v>0</v>
      </c>
      <c r="G657" s="69">
        <v>6</v>
      </c>
      <c r="H657" s="70" t="s">
        <v>193</v>
      </c>
      <c r="I657" s="70" t="s">
        <v>24</v>
      </c>
      <c r="J657" s="65" t="s">
        <v>24</v>
      </c>
      <c r="K657" s="48">
        <f t="shared" si="142"/>
        <v>46083</v>
      </c>
      <c r="L657" s="48">
        <f t="shared" si="143"/>
        <v>46143</v>
      </c>
      <c r="M657" s="71"/>
      <c r="N657" s="72">
        <f>E657</f>
        <v>2</v>
      </c>
      <c r="O657" s="50">
        <f t="shared" si="149"/>
        <v>0</v>
      </c>
      <c r="P657" s="56">
        <f t="shared" si="145"/>
        <v>6</v>
      </c>
      <c r="Q657" s="73"/>
      <c r="R657" s="58"/>
      <c r="S657" s="200" t="s">
        <v>1426</v>
      </c>
      <c r="T657" s="201">
        <v>49</v>
      </c>
      <c r="U657" s="58"/>
      <c r="V657" s="46"/>
      <c r="W657" s="46"/>
      <c r="X657" s="62" t="s">
        <v>25</v>
      </c>
      <c r="Y657" s="63">
        <f t="shared" si="138"/>
        <v>0</v>
      </c>
      <c r="Z657" s="64">
        <f t="shared" si="151"/>
        <v>0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</row>
    <row r="658" spans="1:48" ht="18" customHeight="1">
      <c r="A658" s="106">
        <v>20260030</v>
      </c>
      <c r="B658" s="107" t="s">
        <v>1327</v>
      </c>
      <c r="C658" s="108">
        <v>46052</v>
      </c>
      <c r="D658" s="108">
        <v>46075</v>
      </c>
      <c r="E658" s="106">
        <v>1</v>
      </c>
      <c r="F658" s="106">
        <v>35</v>
      </c>
      <c r="G658" s="106">
        <v>24</v>
      </c>
      <c r="H658" s="109" t="s">
        <v>1427</v>
      </c>
      <c r="I658" s="109" t="s">
        <v>194</v>
      </c>
      <c r="J658" s="107" t="s">
        <v>26</v>
      </c>
      <c r="K658" s="108">
        <f t="shared" si="142"/>
        <v>46083</v>
      </c>
      <c r="L658" s="108">
        <f t="shared" si="143"/>
        <v>46143</v>
      </c>
      <c r="M658" s="111"/>
      <c r="N658" s="112">
        <f>E658-1</f>
        <v>0</v>
      </c>
      <c r="O658" s="113">
        <f t="shared" si="149"/>
        <v>0</v>
      </c>
      <c r="P658" s="112">
        <f t="shared" si="145"/>
        <v>0</v>
      </c>
      <c r="Q658" s="109"/>
      <c r="R658" s="109"/>
      <c r="S658" s="109" t="s">
        <v>1428</v>
      </c>
      <c r="T658" s="114">
        <v>50</v>
      </c>
      <c r="U658" s="109" t="s">
        <v>1429</v>
      </c>
      <c r="V658" s="106"/>
      <c r="W658" s="106"/>
      <c r="X658" s="106" t="s">
        <v>55</v>
      </c>
      <c r="Y658" s="63">
        <f t="shared" si="138"/>
        <v>35</v>
      </c>
      <c r="Z658" s="30"/>
      <c r="AB658" s="202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</row>
    <row r="659" spans="1:48" ht="18" customHeight="1">
      <c r="A659" s="106">
        <v>20260030</v>
      </c>
      <c r="B659" s="107" t="s">
        <v>1327</v>
      </c>
      <c r="C659" s="108">
        <v>46052</v>
      </c>
      <c r="D659" s="108">
        <v>46075</v>
      </c>
      <c r="E659" s="106">
        <v>2</v>
      </c>
      <c r="F659" s="106">
        <v>0</v>
      </c>
      <c r="G659" s="106">
        <v>6</v>
      </c>
      <c r="H659" s="109" t="s">
        <v>1427</v>
      </c>
      <c r="I659" s="109" t="s">
        <v>24</v>
      </c>
      <c r="J659" s="107" t="s">
        <v>24</v>
      </c>
      <c r="K659" s="108">
        <f t="shared" si="142"/>
        <v>46083</v>
      </c>
      <c r="L659" s="108">
        <f t="shared" si="143"/>
        <v>46143</v>
      </c>
      <c r="M659" s="111"/>
      <c r="N659" s="112">
        <f>E659-2</f>
        <v>0</v>
      </c>
      <c r="O659" s="113">
        <f t="shared" si="149"/>
        <v>0</v>
      </c>
      <c r="P659" s="112">
        <f t="shared" si="145"/>
        <v>0</v>
      </c>
      <c r="Q659" s="109"/>
      <c r="R659" s="109"/>
      <c r="S659" s="109" t="s">
        <v>1428</v>
      </c>
      <c r="T659" s="114">
        <v>50</v>
      </c>
      <c r="U659" s="109"/>
      <c r="V659" s="106"/>
      <c r="W659" s="106"/>
      <c r="X659" s="106" t="s">
        <v>55</v>
      </c>
      <c r="Y659" s="63">
        <f t="shared" si="138"/>
        <v>0</v>
      </c>
      <c r="Z659" s="30"/>
      <c r="AB659" s="202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</row>
    <row r="660" spans="1:48" ht="18" customHeight="1">
      <c r="A660" s="106">
        <v>20260030</v>
      </c>
      <c r="B660" s="107" t="s">
        <v>1327</v>
      </c>
      <c r="C660" s="108">
        <v>46052</v>
      </c>
      <c r="D660" s="108">
        <v>46075</v>
      </c>
      <c r="E660" s="106">
        <v>1</v>
      </c>
      <c r="F660" s="106">
        <v>18.649999999999999</v>
      </c>
      <c r="G660" s="106">
        <v>24</v>
      </c>
      <c r="H660" s="109" t="s">
        <v>1430</v>
      </c>
      <c r="I660" s="109" t="s">
        <v>194</v>
      </c>
      <c r="J660" s="107" t="s">
        <v>26</v>
      </c>
      <c r="K660" s="108">
        <f t="shared" si="142"/>
        <v>46083</v>
      </c>
      <c r="L660" s="108">
        <f t="shared" si="143"/>
        <v>46143</v>
      </c>
      <c r="M660" s="111"/>
      <c r="N660" s="112">
        <f t="shared" ref="N660:N665" si="152">E660-1</f>
        <v>0</v>
      </c>
      <c r="O660" s="113">
        <f t="shared" si="149"/>
        <v>0</v>
      </c>
      <c r="P660" s="112">
        <f t="shared" si="145"/>
        <v>0</v>
      </c>
      <c r="Q660" s="109"/>
      <c r="R660" s="109"/>
      <c r="S660" s="109" t="s">
        <v>1431</v>
      </c>
      <c r="T660" s="114">
        <v>51</v>
      </c>
      <c r="U660" s="109" t="s">
        <v>1432</v>
      </c>
      <c r="V660" s="106"/>
      <c r="W660" s="106"/>
      <c r="X660" s="106" t="s">
        <v>55</v>
      </c>
      <c r="Y660" s="63">
        <f t="shared" si="138"/>
        <v>18.649999999999999</v>
      </c>
      <c r="Z660" s="30"/>
      <c r="AB660" s="202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</row>
    <row r="661" spans="1:48" ht="18" customHeight="1">
      <c r="A661" s="106">
        <v>20260030</v>
      </c>
      <c r="B661" s="107" t="s">
        <v>1327</v>
      </c>
      <c r="C661" s="108">
        <v>46052</v>
      </c>
      <c r="D661" s="108">
        <v>46075</v>
      </c>
      <c r="E661" s="106">
        <v>1</v>
      </c>
      <c r="F661" s="106">
        <v>10</v>
      </c>
      <c r="G661" s="106">
        <v>24</v>
      </c>
      <c r="H661" s="109" t="s">
        <v>1430</v>
      </c>
      <c r="I661" s="109" t="s">
        <v>63</v>
      </c>
      <c r="J661" s="107" t="s">
        <v>28</v>
      </c>
      <c r="K661" s="108">
        <f t="shared" si="142"/>
        <v>46083</v>
      </c>
      <c r="L661" s="108">
        <f t="shared" si="143"/>
        <v>46143</v>
      </c>
      <c r="M661" s="111"/>
      <c r="N661" s="112">
        <f t="shared" si="152"/>
        <v>0</v>
      </c>
      <c r="O661" s="113">
        <f t="shared" si="149"/>
        <v>0</v>
      </c>
      <c r="P661" s="112">
        <f t="shared" si="145"/>
        <v>0</v>
      </c>
      <c r="Q661" s="109"/>
      <c r="R661" s="109"/>
      <c r="S661" s="109" t="s">
        <v>1431</v>
      </c>
      <c r="T661" s="114">
        <v>51</v>
      </c>
      <c r="U661" s="109"/>
      <c r="V661" s="106"/>
      <c r="W661" s="106"/>
      <c r="X661" s="106" t="s">
        <v>55</v>
      </c>
      <c r="Y661" s="63">
        <f t="shared" si="138"/>
        <v>10</v>
      </c>
      <c r="Z661" s="30"/>
      <c r="AB661" s="202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</row>
    <row r="662" spans="1:48" ht="18" customHeight="1">
      <c r="A662" s="106">
        <v>20260030</v>
      </c>
      <c r="B662" s="107" t="s">
        <v>1327</v>
      </c>
      <c r="C662" s="108">
        <v>46052</v>
      </c>
      <c r="D662" s="108">
        <v>46075</v>
      </c>
      <c r="E662" s="106">
        <v>1</v>
      </c>
      <c r="F662" s="106">
        <v>10</v>
      </c>
      <c r="G662" s="106">
        <v>24</v>
      </c>
      <c r="H662" s="109" t="s">
        <v>1430</v>
      </c>
      <c r="I662" s="109" t="s">
        <v>42</v>
      </c>
      <c r="J662" s="107" t="s">
        <v>28</v>
      </c>
      <c r="K662" s="108">
        <f t="shared" si="142"/>
        <v>46083</v>
      </c>
      <c r="L662" s="108">
        <f t="shared" si="143"/>
        <v>46143</v>
      </c>
      <c r="M662" s="111"/>
      <c r="N662" s="112">
        <f t="shared" si="152"/>
        <v>0</v>
      </c>
      <c r="O662" s="113">
        <f t="shared" si="149"/>
        <v>0</v>
      </c>
      <c r="P662" s="112">
        <f t="shared" si="145"/>
        <v>0</v>
      </c>
      <c r="Q662" s="109"/>
      <c r="R662" s="109"/>
      <c r="S662" s="109" t="s">
        <v>1431</v>
      </c>
      <c r="T662" s="114">
        <v>51</v>
      </c>
      <c r="U662" s="109"/>
      <c r="V662" s="106"/>
      <c r="W662" s="106"/>
      <c r="X662" s="106" t="s">
        <v>55</v>
      </c>
      <c r="Y662" s="63">
        <f t="shared" ref="Y662:Y725" si="153">F662/E662</f>
        <v>10</v>
      </c>
      <c r="Z662" s="30"/>
      <c r="AB662" s="20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</row>
    <row r="663" spans="1:48" ht="18" customHeight="1">
      <c r="A663" s="106">
        <v>20260030</v>
      </c>
      <c r="B663" s="107" t="s">
        <v>1327</v>
      </c>
      <c r="C663" s="108">
        <v>46052</v>
      </c>
      <c r="D663" s="108">
        <v>46075</v>
      </c>
      <c r="E663" s="106">
        <v>1</v>
      </c>
      <c r="F663" s="106">
        <v>0</v>
      </c>
      <c r="G663" s="106">
        <v>3</v>
      </c>
      <c r="H663" s="109" t="s">
        <v>1430</v>
      </c>
      <c r="I663" s="109" t="s">
        <v>24</v>
      </c>
      <c r="J663" s="107" t="s">
        <v>24</v>
      </c>
      <c r="K663" s="108">
        <f t="shared" si="142"/>
        <v>46083</v>
      </c>
      <c r="L663" s="108">
        <f t="shared" si="143"/>
        <v>46143</v>
      </c>
      <c r="M663" s="111"/>
      <c r="N663" s="112">
        <f t="shared" si="152"/>
        <v>0</v>
      </c>
      <c r="O663" s="113">
        <f t="shared" si="149"/>
        <v>0</v>
      </c>
      <c r="P663" s="112">
        <f t="shared" si="145"/>
        <v>0</v>
      </c>
      <c r="Q663" s="109"/>
      <c r="R663" s="109"/>
      <c r="S663" s="109" t="s">
        <v>1431</v>
      </c>
      <c r="T663" s="114">
        <v>51</v>
      </c>
      <c r="U663" s="109"/>
      <c r="V663" s="106"/>
      <c r="W663" s="106"/>
      <c r="X663" s="106" t="s">
        <v>55</v>
      </c>
      <c r="Y663" s="63">
        <f t="shared" si="153"/>
        <v>0</v>
      </c>
      <c r="Z663" s="30"/>
      <c r="AB663" s="202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</row>
    <row r="664" spans="1:48" ht="18" customHeight="1">
      <c r="A664" s="106">
        <v>20260030</v>
      </c>
      <c r="B664" s="107" t="s">
        <v>1327</v>
      </c>
      <c r="C664" s="108">
        <v>46052</v>
      </c>
      <c r="D664" s="108">
        <v>46075</v>
      </c>
      <c r="E664" s="106">
        <v>1</v>
      </c>
      <c r="F664" s="106">
        <v>2.9049999999999998</v>
      </c>
      <c r="G664" s="106">
        <v>24</v>
      </c>
      <c r="H664" s="109" t="s">
        <v>1433</v>
      </c>
      <c r="I664" s="109" t="s">
        <v>42</v>
      </c>
      <c r="J664" s="107" t="s">
        <v>28</v>
      </c>
      <c r="K664" s="108">
        <f t="shared" si="142"/>
        <v>46083</v>
      </c>
      <c r="L664" s="108">
        <f t="shared" si="143"/>
        <v>46143</v>
      </c>
      <c r="M664" s="111"/>
      <c r="N664" s="112">
        <f t="shared" si="152"/>
        <v>0</v>
      </c>
      <c r="O664" s="113">
        <f t="shared" si="149"/>
        <v>0</v>
      </c>
      <c r="P664" s="112">
        <f t="shared" si="145"/>
        <v>0</v>
      </c>
      <c r="Q664" s="109"/>
      <c r="R664" s="109"/>
      <c r="S664" s="109" t="s">
        <v>1434</v>
      </c>
      <c r="T664" s="114">
        <v>52</v>
      </c>
      <c r="U664" s="109" t="s">
        <v>1435</v>
      </c>
      <c r="V664" s="106"/>
      <c r="W664" s="106"/>
      <c r="X664" s="106" t="s">
        <v>55</v>
      </c>
      <c r="Y664" s="63">
        <f t="shared" si="153"/>
        <v>2.9049999999999998</v>
      </c>
      <c r="Z664" s="30"/>
      <c r="AB664" s="202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</row>
    <row r="665" spans="1:48" ht="18" customHeight="1">
      <c r="A665" s="106">
        <v>20260030</v>
      </c>
      <c r="B665" s="107" t="s">
        <v>1327</v>
      </c>
      <c r="C665" s="108">
        <v>46052</v>
      </c>
      <c r="D665" s="108">
        <v>46075</v>
      </c>
      <c r="E665" s="106">
        <v>1</v>
      </c>
      <c r="F665" s="106">
        <v>12.33</v>
      </c>
      <c r="G665" s="106">
        <v>24</v>
      </c>
      <c r="H665" s="109" t="s">
        <v>979</v>
      </c>
      <c r="I665" s="109" t="s">
        <v>42</v>
      </c>
      <c r="J665" s="107" t="s">
        <v>28</v>
      </c>
      <c r="K665" s="108">
        <f t="shared" si="142"/>
        <v>46083</v>
      </c>
      <c r="L665" s="108">
        <f t="shared" si="143"/>
        <v>46143</v>
      </c>
      <c r="M665" s="111"/>
      <c r="N665" s="112">
        <f t="shared" si="152"/>
        <v>0</v>
      </c>
      <c r="O665" s="113">
        <f t="shared" si="149"/>
        <v>0</v>
      </c>
      <c r="P665" s="112">
        <f t="shared" si="145"/>
        <v>0</v>
      </c>
      <c r="Q665" s="109"/>
      <c r="R665" s="109"/>
      <c r="S665" s="109" t="s">
        <v>1436</v>
      </c>
      <c r="T665" s="114">
        <v>53</v>
      </c>
      <c r="U665" s="109" t="s">
        <v>1437</v>
      </c>
      <c r="V665" s="106"/>
      <c r="W665" s="106"/>
      <c r="X665" s="106" t="s">
        <v>55</v>
      </c>
      <c r="Y665" s="63">
        <f t="shared" si="153"/>
        <v>12.33</v>
      </c>
      <c r="Z665" s="30"/>
      <c r="AB665" s="202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</row>
    <row r="666" spans="1:48" ht="18" customHeight="1">
      <c r="A666" s="63">
        <v>20260030</v>
      </c>
      <c r="B666" s="65" t="s">
        <v>1327</v>
      </c>
      <c r="C666" s="66">
        <v>46052</v>
      </c>
      <c r="D666" s="66">
        <v>46075</v>
      </c>
      <c r="E666" s="67">
        <v>1</v>
      </c>
      <c r="F666" s="68">
        <v>0.3</v>
      </c>
      <c r="G666" s="69">
        <v>24</v>
      </c>
      <c r="H666" s="70" t="s">
        <v>979</v>
      </c>
      <c r="I666" s="70" t="s">
        <v>42</v>
      </c>
      <c r="J666" s="65" t="s">
        <v>28</v>
      </c>
      <c r="K666" s="48">
        <f t="shared" si="142"/>
        <v>46083</v>
      </c>
      <c r="L666" s="48">
        <f t="shared" si="143"/>
        <v>46143</v>
      </c>
      <c r="M666" s="71"/>
      <c r="N666" s="72">
        <f>E666</f>
        <v>1</v>
      </c>
      <c r="O666" s="50">
        <f t="shared" si="149"/>
        <v>0.3</v>
      </c>
      <c r="P666" s="56">
        <f t="shared" si="145"/>
        <v>24</v>
      </c>
      <c r="Q666" s="73"/>
      <c r="R666" s="58"/>
      <c r="S666" s="200" t="s">
        <v>1438</v>
      </c>
      <c r="T666" s="201">
        <v>54</v>
      </c>
      <c r="U666" s="58" t="s">
        <v>1439</v>
      </c>
      <c r="V666" s="46"/>
      <c r="W666" s="46"/>
      <c r="X666" s="62" t="s">
        <v>25</v>
      </c>
      <c r="Y666" s="63">
        <f t="shared" si="153"/>
        <v>0.3</v>
      </c>
      <c r="Z666" s="64">
        <f t="shared" ref="Z666:Z668" si="154">E666-N666</f>
        <v>0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</row>
    <row r="667" spans="1:48" ht="18" customHeight="1">
      <c r="A667" s="63">
        <v>20260030</v>
      </c>
      <c r="B667" s="65" t="s">
        <v>1327</v>
      </c>
      <c r="C667" s="66">
        <v>46052</v>
      </c>
      <c r="D667" s="66">
        <v>46075</v>
      </c>
      <c r="E667" s="67">
        <v>1</v>
      </c>
      <c r="F667" s="68">
        <v>23.3</v>
      </c>
      <c r="G667" s="69">
        <v>24</v>
      </c>
      <c r="H667" s="70" t="s">
        <v>1440</v>
      </c>
      <c r="I667" s="70" t="s">
        <v>194</v>
      </c>
      <c r="J667" s="65" t="s">
        <v>26</v>
      </c>
      <c r="K667" s="48">
        <f t="shared" si="142"/>
        <v>46083</v>
      </c>
      <c r="L667" s="48">
        <f t="shared" si="143"/>
        <v>46143</v>
      </c>
      <c r="M667" s="71"/>
      <c r="N667" s="72">
        <f>E667</f>
        <v>1</v>
      </c>
      <c r="O667" s="50">
        <f t="shared" si="149"/>
        <v>23.3</v>
      </c>
      <c r="P667" s="56">
        <f t="shared" si="145"/>
        <v>24</v>
      </c>
      <c r="Q667" s="73"/>
      <c r="R667" s="58"/>
      <c r="S667" s="200" t="s">
        <v>1441</v>
      </c>
      <c r="T667" s="201">
        <v>55</v>
      </c>
      <c r="U667" s="58" t="s">
        <v>1442</v>
      </c>
      <c r="V667" s="46"/>
      <c r="W667" s="46"/>
      <c r="X667" s="62" t="s">
        <v>25</v>
      </c>
      <c r="Y667" s="63">
        <f t="shared" si="153"/>
        <v>23.3</v>
      </c>
      <c r="Z667" s="64">
        <f t="shared" si="154"/>
        <v>0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</row>
    <row r="668" spans="1:48" ht="18" customHeight="1">
      <c r="A668" s="63">
        <v>20260030</v>
      </c>
      <c r="B668" s="65" t="s">
        <v>1327</v>
      </c>
      <c r="C668" s="66">
        <v>46052</v>
      </c>
      <c r="D668" s="66">
        <v>46075</v>
      </c>
      <c r="E668" s="67">
        <v>1</v>
      </c>
      <c r="F668" s="68">
        <v>0</v>
      </c>
      <c r="G668" s="69">
        <v>3</v>
      </c>
      <c r="H668" s="70" t="s">
        <v>1440</v>
      </c>
      <c r="I668" s="70" t="s">
        <v>24</v>
      </c>
      <c r="J668" s="65" t="s">
        <v>24</v>
      </c>
      <c r="K668" s="48">
        <f t="shared" si="142"/>
        <v>46083</v>
      </c>
      <c r="L668" s="48">
        <f t="shared" si="143"/>
        <v>46143</v>
      </c>
      <c r="M668" s="71"/>
      <c r="N668" s="72">
        <f>E668</f>
        <v>1</v>
      </c>
      <c r="O668" s="50">
        <f t="shared" si="149"/>
        <v>0</v>
      </c>
      <c r="P668" s="56">
        <f t="shared" si="145"/>
        <v>3</v>
      </c>
      <c r="Q668" s="73"/>
      <c r="R668" s="58"/>
      <c r="S668" s="200" t="s">
        <v>1441</v>
      </c>
      <c r="T668" s="201">
        <v>55</v>
      </c>
      <c r="U668" s="58"/>
      <c r="V668" s="46"/>
      <c r="W668" s="46"/>
      <c r="X668" s="62" t="s">
        <v>25</v>
      </c>
      <c r="Y668" s="63">
        <f t="shared" si="153"/>
        <v>0</v>
      </c>
      <c r="Z668" s="64">
        <f t="shared" si="154"/>
        <v>0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</row>
    <row r="669" spans="1:48" ht="18" customHeight="1">
      <c r="A669" s="106">
        <v>20260030</v>
      </c>
      <c r="B669" s="107" t="s">
        <v>1327</v>
      </c>
      <c r="C669" s="108">
        <v>46052</v>
      </c>
      <c r="D669" s="108">
        <v>46075</v>
      </c>
      <c r="E669" s="106">
        <v>2</v>
      </c>
      <c r="F669" s="106">
        <v>29</v>
      </c>
      <c r="G669" s="106">
        <v>48</v>
      </c>
      <c r="H669" s="109" t="s">
        <v>1056</v>
      </c>
      <c r="I669" s="109" t="s">
        <v>63</v>
      </c>
      <c r="J669" s="107" t="s">
        <v>28</v>
      </c>
      <c r="K669" s="108">
        <f t="shared" si="142"/>
        <v>46083</v>
      </c>
      <c r="L669" s="108">
        <f t="shared" si="143"/>
        <v>46143</v>
      </c>
      <c r="M669" s="111"/>
      <c r="N669" s="112">
        <f>E669-2</f>
        <v>0</v>
      </c>
      <c r="O669" s="113">
        <f t="shared" si="149"/>
        <v>0</v>
      </c>
      <c r="P669" s="112">
        <f t="shared" si="145"/>
        <v>0</v>
      </c>
      <c r="Q669" s="109"/>
      <c r="R669" s="109"/>
      <c r="S669" s="109" t="s">
        <v>1443</v>
      </c>
      <c r="T669" s="114">
        <v>57</v>
      </c>
      <c r="U669" s="109" t="s">
        <v>1444</v>
      </c>
      <c r="V669" s="106"/>
      <c r="W669" s="106"/>
      <c r="X669" s="106" t="s">
        <v>55</v>
      </c>
      <c r="Y669" s="63">
        <f t="shared" si="153"/>
        <v>14.5</v>
      </c>
      <c r="Z669" s="30"/>
      <c r="AB669" s="202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</row>
    <row r="670" spans="1:48" ht="18" customHeight="1">
      <c r="A670" s="63">
        <v>20260030</v>
      </c>
      <c r="B670" s="65" t="s">
        <v>1327</v>
      </c>
      <c r="C670" s="66">
        <v>46052</v>
      </c>
      <c r="D670" s="66">
        <v>46075</v>
      </c>
      <c r="E670" s="67">
        <v>1</v>
      </c>
      <c r="F670" s="68">
        <v>27.25</v>
      </c>
      <c r="G670" s="69">
        <v>24</v>
      </c>
      <c r="H670" s="70" t="s">
        <v>1445</v>
      </c>
      <c r="I670" s="70" t="s">
        <v>194</v>
      </c>
      <c r="J670" s="65" t="s">
        <v>26</v>
      </c>
      <c r="K670" s="48">
        <f t="shared" si="142"/>
        <v>46083</v>
      </c>
      <c r="L670" s="48">
        <f t="shared" si="143"/>
        <v>46143</v>
      </c>
      <c r="M670" s="71"/>
      <c r="N670" s="72">
        <f t="shared" ref="N670:N674" si="155">E670</f>
        <v>1</v>
      </c>
      <c r="O670" s="50">
        <f t="shared" si="149"/>
        <v>27.25</v>
      </c>
      <c r="P670" s="56">
        <f t="shared" si="145"/>
        <v>24</v>
      </c>
      <c r="Q670" s="73"/>
      <c r="R670" s="58"/>
      <c r="S670" s="200" t="s">
        <v>1446</v>
      </c>
      <c r="T670" s="201">
        <v>58</v>
      </c>
      <c r="U670" s="58" t="s">
        <v>1447</v>
      </c>
      <c r="V670" s="46"/>
      <c r="W670" s="46"/>
      <c r="X670" s="62" t="s">
        <v>25</v>
      </c>
      <c r="Y670" s="63">
        <f t="shared" si="153"/>
        <v>27.25</v>
      </c>
      <c r="Z670" s="64">
        <f t="shared" ref="Z670:Z676" si="156">E670-N670</f>
        <v>0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</row>
    <row r="671" spans="1:48" ht="18" customHeight="1">
      <c r="A671" s="63">
        <v>20260030</v>
      </c>
      <c r="B671" s="65" t="s">
        <v>1327</v>
      </c>
      <c r="C671" s="66">
        <v>46052</v>
      </c>
      <c r="D671" s="66">
        <v>46075</v>
      </c>
      <c r="E671" s="67">
        <v>1</v>
      </c>
      <c r="F671" s="68">
        <v>27.25</v>
      </c>
      <c r="G671" s="69">
        <v>24</v>
      </c>
      <c r="H671" s="70" t="s">
        <v>1445</v>
      </c>
      <c r="I671" s="70" t="s">
        <v>276</v>
      </c>
      <c r="J671" s="65" t="s">
        <v>26</v>
      </c>
      <c r="K671" s="48">
        <f t="shared" si="142"/>
        <v>46083</v>
      </c>
      <c r="L671" s="48">
        <f t="shared" si="143"/>
        <v>46143</v>
      </c>
      <c r="M671" s="71"/>
      <c r="N671" s="72">
        <f t="shared" si="155"/>
        <v>1</v>
      </c>
      <c r="O671" s="50">
        <f t="shared" si="149"/>
        <v>27.25</v>
      </c>
      <c r="P671" s="56">
        <f t="shared" si="145"/>
        <v>24</v>
      </c>
      <c r="Q671" s="73"/>
      <c r="R671" s="58"/>
      <c r="S671" s="200" t="s">
        <v>1446</v>
      </c>
      <c r="T671" s="201">
        <v>58</v>
      </c>
      <c r="U671" s="58"/>
      <c r="V671" s="46"/>
      <c r="W671" s="46"/>
      <c r="X671" s="62" t="s">
        <v>25</v>
      </c>
      <c r="Y671" s="63">
        <f t="shared" si="153"/>
        <v>27.25</v>
      </c>
      <c r="Z671" s="64">
        <f t="shared" si="156"/>
        <v>0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</row>
    <row r="672" spans="1:48" ht="18" customHeight="1">
      <c r="A672" s="63">
        <v>20260030</v>
      </c>
      <c r="B672" s="65" t="s">
        <v>1327</v>
      </c>
      <c r="C672" s="66">
        <v>46052</v>
      </c>
      <c r="D672" s="66">
        <v>46075</v>
      </c>
      <c r="E672" s="67">
        <v>4</v>
      </c>
      <c r="F672" s="68">
        <v>0</v>
      </c>
      <c r="G672" s="69">
        <v>12</v>
      </c>
      <c r="H672" s="70" t="s">
        <v>1445</v>
      </c>
      <c r="I672" s="70" t="s">
        <v>24</v>
      </c>
      <c r="J672" s="65" t="s">
        <v>24</v>
      </c>
      <c r="K672" s="48">
        <f t="shared" si="142"/>
        <v>46083</v>
      </c>
      <c r="L672" s="48">
        <f t="shared" si="143"/>
        <v>46143</v>
      </c>
      <c r="M672" s="71"/>
      <c r="N672" s="72">
        <f t="shared" si="155"/>
        <v>4</v>
      </c>
      <c r="O672" s="50">
        <f t="shared" si="149"/>
        <v>0</v>
      </c>
      <c r="P672" s="56">
        <f t="shared" si="145"/>
        <v>12</v>
      </c>
      <c r="Q672" s="73"/>
      <c r="R672" s="58"/>
      <c r="S672" s="200" t="s">
        <v>1446</v>
      </c>
      <c r="T672" s="201">
        <v>58</v>
      </c>
      <c r="U672" s="58"/>
      <c r="V672" s="46"/>
      <c r="W672" s="46"/>
      <c r="X672" s="62" t="s">
        <v>25</v>
      </c>
      <c r="Y672" s="63">
        <f t="shared" si="153"/>
        <v>0</v>
      </c>
      <c r="Z672" s="64">
        <f t="shared" si="156"/>
        <v>0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</row>
    <row r="673" spans="1:48" ht="18" customHeight="1">
      <c r="A673" s="63">
        <v>20260030</v>
      </c>
      <c r="B673" s="65" t="s">
        <v>1327</v>
      </c>
      <c r="C673" s="66">
        <v>46052</v>
      </c>
      <c r="D673" s="66">
        <v>46075</v>
      </c>
      <c r="E673" s="67">
        <v>2</v>
      </c>
      <c r="F673" s="68">
        <v>30</v>
      </c>
      <c r="G673" s="69">
        <v>48</v>
      </c>
      <c r="H673" s="70" t="s">
        <v>1448</v>
      </c>
      <c r="I673" s="70" t="s">
        <v>208</v>
      </c>
      <c r="J673" s="65" t="s">
        <v>26</v>
      </c>
      <c r="K673" s="48">
        <f t="shared" si="142"/>
        <v>46083</v>
      </c>
      <c r="L673" s="48">
        <f t="shared" si="143"/>
        <v>46143</v>
      </c>
      <c r="M673" s="71"/>
      <c r="N673" s="72">
        <f t="shared" si="155"/>
        <v>2</v>
      </c>
      <c r="O673" s="50">
        <f t="shared" si="149"/>
        <v>30</v>
      </c>
      <c r="P673" s="56">
        <f t="shared" si="145"/>
        <v>48</v>
      </c>
      <c r="Q673" s="73"/>
      <c r="R673" s="58"/>
      <c r="S673" s="200" t="s">
        <v>1449</v>
      </c>
      <c r="T673" s="201">
        <v>59</v>
      </c>
      <c r="U673" s="58" t="s">
        <v>1450</v>
      </c>
      <c r="V673" s="46"/>
      <c r="W673" s="46"/>
      <c r="X673" s="62" t="s">
        <v>25</v>
      </c>
      <c r="Y673" s="63">
        <f t="shared" si="153"/>
        <v>15</v>
      </c>
      <c r="Z673" s="64">
        <f t="shared" si="156"/>
        <v>0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</row>
    <row r="674" spans="1:48" ht="18" customHeight="1">
      <c r="A674" s="63">
        <v>20260030</v>
      </c>
      <c r="B674" s="65" t="s">
        <v>1327</v>
      </c>
      <c r="C674" s="66">
        <v>46052</v>
      </c>
      <c r="D674" s="66">
        <v>46075</v>
      </c>
      <c r="E674" s="67">
        <v>1</v>
      </c>
      <c r="F674" s="68">
        <v>32.799999999999997</v>
      </c>
      <c r="G674" s="69">
        <v>40</v>
      </c>
      <c r="H674" s="70" t="s">
        <v>1448</v>
      </c>
      <c r="I674" s="70" t="s">
        <v>206</v>
      </c>
      <c r="J674" s="65" t="s">
        <v>26</v>
      </c>
      <c r="K674" s="48">
        <f t="shared" si="142"/>
        <v>46083</v>
      </c>
      <c r="L674" s="48">
        <f t="shared" si="143"/>
        <v>46143</v>
      </c>
      <c r="M674" s="71"/>
      <c r="N674" s="72">
        <f t="shared" si="155"/>
        <v>1</v>
      </c>
      <c r="O674" s="50">
        <f t="shared" si="149"/>
        <v>32.799999999999997</v>
      </c>
      <c r="P674" s="56">
        <f t="shared" si="145"/>
        <v>40</v>
      </c>
      <c r="Q674" s="73"/>
      <c r="R674" s="58"/>
      <c r="S674" s="200" t="s">
        <v>1449</v>
      </c>
      <c r="T674" s="201">
        <v>59</v>
      </c>
      <c r="U674" s="58"/>
      <c r="V674" s="46"/>
      <c r="W674" s="46"/>
      <c r="X674" s="62" t="s">
        <v>25</v>
      </c>
      <c r="Y674" s="63">
        <f t="shared" si="153"/>
        <v>32.799999999999997</v>
      </c>
      <c r="Z674" s="64">
        <f t="shared" si="156"/>
        <v>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</row>
    <row r="675" spans="1:48" ht="18" customHeight="1">
      <c r="A675" s="106">
        <v>20260030</v>
      </c>
      <c r="B675" s="107" t="s">
        <v>1327</v>
      </c>
      <c r="C675" s="108">
        <v>46052</v>
      </c>
      <c r="D675" s="108">
        <v>46075</v>
      </c>
      <c r="E675" s="106">
        <v>3</v>
      </c>
      <c r="F675" s="106">
        <v>75.150000000000006</v>
      </c>
      <c r="G675" s="106">
        <v>72</v>
      </c>
      <c r="H675" s="109" t="s">
        <v>1451</v>
      </c>
      <c r="I675" s="109" t="s">
        <v>276</v>
      </c>
      <c r="J675" s="107" t="s">
        <v>26</v>
      </c>
      <c r="K675" s="108">
        <f t="shared" si="142"/>
        <v>46083</v>
      </c>
      <c r="L675" s="108">
        <f t="shared" si="143"/>
        <v>46143</v>
      </c>
      <c r="M675" s="111"/>
      <c r="N675" s="112">
        <f>E675-3</f>
        <v>0</v>
      </c>
      <c r="O675" s="113">
        <f t="shared" si="149"/>
        <v>0</v>
      </c>
      <c r="P675" s="112">
        <f t="shared" si="145"/>
        <v>0</v>
      </c>
      <c r="Q675" s="109"/>
      <c r="R675" s="109"/>
      <c r="S675" s="109" t="s">
        <v>1452</v>
      </c>
      <c r="T675" s="114">
        <v>60</v>
      </c>
      <c r="U675" s="109" t="s">
        <v>1453</v>
      </c>
      <c r="V675" s="106"/>
      <c r="W675" s="106"/>
      <c r="X675" s="106" t="s">
        <v>55</v>
      </c>
      <c r="Y675" s="63">
        <f t="shared" si="153"/>
        <v>25.05</v>
      </c>
      <c r="Z675" s="64">
        <f t="shared" si="156"/>
        <v>3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</row>
    <row r="676" spans="1:48" ht="18" customHeight="1">
      <c r="A676" s="106">
        <v>20260030</v>
      </c>
      <c r="B676" s="107" t="s">
        <v>1327</v>
      </c>
      <c r="C676" s="108">
        <v>46052</v>
      </c>
      <c r="D676" s="108">
        <v>46075</v>
      </c>
      <c r="E676" s="106">
        <v>3</v>
      </c>
      <c r="F676" s="106">
        <v>0</v>
      </c>
      <c r="G676" s="106">
        <v>9</v>
      </c>
      <c r="H676" s="109" t="s">
        <v>1451</v>
      </c>
      <c r="I676" s="109" t="s">
        <v>24</v>
      </c>
      <c r="J676" s="107" t="s">
        <v>24</v>
      </c>
      <c r="K676" s="108">
        <f t="shared" si="142"/>
        <v>46083</v>
      </c>
      <c r="L676" s="108">
        <f t="shared" si="143"/>
        <v>46143</v>
      </c>
      <c r="M676" s="111"/>
      <c r="N676" s="112">
        <f>E676-3</f>
        <v>0</v>
      </c>
      <c r="O676" s="113">
        <f t="shared" si="149"/>
        <v>0</v>
      </c>
      <c r="P676" s="112">
        <f t="shared" si="145"/>
        <v>0</v>
      </c>
      <c r="Q676" s="109"/>
      <c r="R676" s="109"/>
      <c r="S676" s="109" t="s">
        <v>1452</v>
      </c>
      <c r="T676" s="114">
        <v>60</v>
      </c>
      <c r="U676" s="109"/>
      <c r="V676" s="106"/>
      <c r="W676" s="106"/>
      <c r="X676" s="106" t="s">
        <v>55</v>
      </c>
      <c r="Y676" s="63">
        <f t="shared" si="153"/>
        <v>0</v>
      </c>
      <c r="Z676" s="64">
        <f t="shared" si="156"/>
        <v>3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</row>
    <row r="677" spans="1:48" ht="18" customHeight="1">
      <c r="A677" s="106">
        <v>20260030</v>
      </c>
      <c r="B677" s="107" t="s">
        <v>1327</v>
      </c>
      <c r="C677" s="108">
        <v>46052</v>
      </c>
      <c r="D677" s="108">
        <v>46075</v>
      </c>
      <c r="E677" s="106">
        <v>1</v>
      </c>
      <c r="F677" s="106">
        <v>16.5</v>
      </c>
      <c r="G677" s="106">
        <v>24</v>
      </c>
      <c r="H677" s="109" t="s">
        <v>1454</v>
      </c>
      <c r="I677" s="109" t="s">
        <v>42</v>
      </c>
      <c r="J677" s="107" t="s">
        <v>28</v>
      </c>
      <c r="K677" s="108">
        <f t="shared" si="142"/>
        <v>46083</v>
      </c>
      <c r="L677" s="108">
        <f t="shared" si="143"/>
        <v>46143</v>
      </c>
      <c r="M677" s="111"/>
      <c r="N677" s="112">
        <f>E677-1</f>
        <v>0</v>
      </c>
      <c r="O677" s="113">
        <f t="shared" si="149"/>
        <v>0</v>
      </c>
      <c r="P677" s="112">
        <f t="shared" si="145"/>
        <v>0</v>
      </c>
      <c r="Q677" s="109"/>
      <c r="R677" s="109"/>
      <c r="S677" s="109" t="s">
        <v>1455</v>
      </c>
      <c r="T677" s="114">
        <v>61</v>
      </c>
      <c r="U677" s="109" t="s">
        <v>1456</v>
      </c>
      <c r="V677" s="106"/>
      <c r="W677" s="106"/>
      <c r="X677" s="106" t="s">
        <v>55</v>
      </c>
      <c r="Y677" s="63">
        <f t="shared" si="153"/>
        <v>16.5</v>
      </c>
      <c r="Z677" s="30"/>
      <c r="AB677" s="202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</row>
    <row r="678" spans="1:48" ht="18" customHeight="1">
      <c r="A678" s="106">
        <v>20260030</v>
      </c>
      <c r="B678" s="107" t="s">
        <v>1327</v>
      </c>
      <c r="C678" s="108">
        <v>46052</v>
      </c>
      <c r="D678" s="108">
        <v>46075</v>
      </c>
      <c r="E678" s="106">
        <v>1</v>
      </c>
      <c r="F678" s="106">
        <v>13.8</v>
      </c>
      <c r="G678" s="106">
        <v>24</v>
      </c>
      <c r="H678" s="109" t="s">
        <v>1457</v>
      </c>
      <c r="I678" s="109" t="s">
        <v>446</v>
      </c>
      <c r="J678" s="107" t="s">
        <v>26</v>
      </c>
      <c r="K678" s="108">
        <f t="shared" si="142"/>
        <v>46083</v>
      </c>
      <c r="L678" s="108">
        <f t="shared" si="143"/>
        <v>46143</v>
      </c>
      <c r="M678" s="111"/>
      <c r="N678" s="112">
        <f>E678-1</f>
        <v>0</v>
      </c>
      <c r="O678" s="113">
        <f t="shared" si="149"/>
        <v>0</v>
      </c>
      <c r="P678" s="112">
        <f t="shared" si="145"/>
        <v>0</v>
      </c>
      <c r="Q678" s="109"/>
      <c r="R678" s="109"/>
      <c r="S678" s="109" t="s">
        <v>1458</v>
      </c>
      <c r="T678" s="114">
        <v>71</v>
      </c>
      <c r="U678" s="109" t="s">
        <v>1459</v>
      </c>
      <c r="V678" s="106"/>
      <c r="W678" s="106"/>
      <c r="X678" s="106" t="s">
        <v>55</v>
      </c>
      <c r="Y678" s="63">
        <f t="shared" si="153"/>
        <v>13.8</v>
      </c>
      <c r="Z678" s="30"/>
      <c r="AB678" s="202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</row>
    <row r="679" spans="1:48" ht="18" customHeight="1">
      <c r="A679" s="106">
        <v>20260030</v>
      </c>
      <c r="B679" s="107" t="s">
        <v>1327</v>
      </c>
      <c r="C679" s="108">
        <v>46052</v>
      </c>
      <c r="D679" s="108">
        <v>46075</v>
      </c>
      <c r="E679" s="106">
        <v>1</v>
      </c>
      <c r="F679" s="106">
        <v>12.67</v>
      </c>
      <c r="G679" s="106">
        <v>24</v>
      </c>
      <c r="H679" s="109" t="s">
        <v>1460</v>
      </c>
      <c r="I679" s="109" t="s">
        <v>42</v>
      </c>
      <c r="J679" s="107" t="s">
        <v>28</v>
      </c>
      <c r="K679" s="108">
        <f t="shared" si="142"/>
        <v>46083</v>
      </c>
      <c r="L679" s="108">
        <f t="shared" si="143"/>
        <v>46143</v>
      </c>
      <c r="M679" s="111"/>
      <c r="N679" s="112">
        <f>E679-1</f>
        <v>0</v>
      </c>
      <c r="O679" s="113">
        <f t="shared" si="149"/>
        <v>0</v>
      </c>
      <c r="P679" s="112">
        <f t="shared" si="145"/>
        <v>0</v>
      </c>
      <c r="Q679" s="109"/>
      <c r="R679" s="109"/>
      <c r="S679" s="109" t="s">
        <v>1461</v>
      </c>
      <c r="T679" s="114">
        <v>72</v>
      </c>
      <c r="U679" s="109" t="s">
        <v>1462</v>
      </c>
      <c r="V679" s="106"/>
      <c r="W679" s="106"/>
      <c r="X679" s="106" t="s">
        <v>55</v>
      </c>
      <c r="Y679" s="63">
        <f t="shared" si="153"/>
        <v>12.67</v>
      </c>
      <c r="Z679" s="30"/>
      <c r="AB679" s="202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</row>
    <row r="680" spans="1:48" ht="18" customHeight="1">
      <c r="A680" s="106">
        <v>20260030</v>
      </c>
      <c r="B680" s="107" t="s">
        <v>1327</v>
      </c>
      <c r="C680" s="108">
        <v>46052</v>
      </c>
      <c r="D680" s="108">
        <v>46075</v>
      </c>
      <c r="E680" s="106">
        <v>1</v>
      </c>
      <c r="F680" s="106">
        <v>12.67</v>
      </c>
      <c r="G680" s="106">
        <v>24</v>
      </c>
      <c r="H680" s="109" t="s">
        <v>1463</v>
      </c>
      <c r="I680" s="109" t="s">
        <v>42</v>
      </c>
      <c r="J680" s="107" t="s">
        <v>28</v>
      </c>
      <c r="K680" s="108">
        <f t="shared" si="142"/>
        <v>46083</v>
      </c>
      <c r="L680" s="108">
        <f t="shared" si="143"/>
        <v>46143</v>
      </c>
      <c r="M680" s="111"/>
      <c r="N680" s="112">
        <f>E680-1</f>
        <v>0</v>
      </c>
      <c r="O680" s="113">
        <f t="shared" si="149"/>
        <v>0</v>
      </c>
      <c r="P680" s="112">
        <f t="shared" si="145"/>
        <v>0</v>
      </c>
      <c r="Q680" s="109"/>
      <c r="R680" s="109"/>
      <c r="S680" s="109" t="s">
        <v>1464</v>
      </c>
      <c r="T680" s="114">
        <v>74</v>
      </c>
      <c r="U680" s="109" t="s">
        <v>1465</v>
      </c>
      <c r="V680" s="106"/>
      <c r="W680" s="106"/>
      <c r="X680" s="106" t="s">
        <v>55</v>
      </c>
      <c r="Y680" s="63">
        <f t="shared" si="153"/>
        <v>12.67</v>
      </c>
      <c r="Z680" s="3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</row>
    <row r="681" spans="1:48" ht="18" customHeight="1">
      <c r="A681" s="63">
        <v>20260030</v>
      </c>
      <c r="B681" s="65" t="s">
        <v>1327</v>
      </c>
      <c r="C681" s="66">
        <v>46052</v>
      </c>
      <c r="D681" s="66">
        <v>46075</v>
      </c>
      <c r="E681" s="67">
        <v>6</v>
      </c>
      <c r="F681" s="68">
        <v>66.2</v>
      </c>
      <c r="G681" s="69">
        <v>144</v>
      </c>
      <c r="H681" s="70" t="s">
        <v>1466</v>
      </c>
      <c r="I681" s="70" t="s">
        <v>42</v>
      </c>
      <c r="J681" s="65" t="s">
        <v>28</v>
      </c>
      <c r="K681" s="48">
        <f t="shared" si="142"/>
        <v>46083</v>
      </c>
      <c r="L681" s="48">
        <f t="shared" si="143"/>
        <v>46143</v>
      </c>
      <c r="M681" s="71"/>
      <c r="N681" s="72">
        <f>E681</f>
        <v>6</v>
      </c>
      <c r="O681" s="50">
        <f t="shared" si="149"/>
        <v>66.2</v>
      </c>
      <c r="P681" s="56">
        <f t="shared" si="145"/>
        <v>144</v>
      </c>
      <c r="Q681" s="73"/>
      <c r="R681" s="58"/>
      <c r="S681" s="200" t="s">
        <v>1467</v>
      </c>
      <c r="T681" s="201">
        <v>76</v>
      </c>
      <c r="U681" s="58" t="s">
        <v>1468</v>
      </c>
      <c r="V681" s="46"/>
      <c r="W681" s="46"/>
      <c r="X681" s="62" t="s">
        <v>25</v>
      </c>
      <c r="Y681" s="63">
        <f t="shared" si="153"/>
        <v>11.033333333333333</v>
      </c>
      <c r="Z681" s="64">
        <f t="shared" ref="Z681" si="157">E681-N681</f>
        <v>0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</row>
    <row r="682" spans="1:48" ht="18" customHeight="1">
      <c r="A682" s="106">
        <v>20260030</v>
      </c>
      <c r="B682" s="107" t="s">
        <v>1327</v>
      </c>
      <c r="C682" s="108">
        <v>46052</v>
      </c>
      <c r="D682" s="108">
        <v>46075</v>
      </c>
      <c r="E682" s="106">
        <v>1</v>
      </c>
      <c r="F682" s="106">
        <v>12.3</v>
      </c>
      <c r="G682" s="106">
        <v>24</v>
      </c>
      <c r="H682" s="109" t="s">
        <v>763</v>
      </c>
      <c r="I682" s="109" t="s">
        <v>208</v>
      </c>
      <c r="J682" s="107" t="s">
        <v>26</v>
      </c>
      <c r="K682" s="108">
        <f t="shared" si="142"/>
        <v>46083</v>
      </c>
      <c r="L682" s="108">
        <f t="shared" si="143"/>
        <v>46143</v>
      </c>
      <c r="M682" s="111"/>
      <c r="N682" s="112">
        <f>E682-1</f>
        <v>0</v>
      </c>
      <c r="O682" s="113">
        <f t="shared" si="149"/>
        <v>0</v>
      </c>
      <c r="P682" s="112">
        <f t="shared" si="145"/>
        <v>0</v>
      </c>
      <c r="Q682" s="109"/>
      <c r="R682" s="109"/>
      <c r="S682" s="109" t="s">
        <v>1469</v>
      </c>
      <c r="T682" s="114">
        <v>78</v>
      </c>
      <c r="U682" s="109" t="s">
        <v>1470</v>
      </c>
      <c r="V682" s="106"/>
      <c r="W682" s="106"/>
      <c r="X682" s="106" t="s">
        <v>55</v>
      </c>
      <c r="Y682" s="63">
        <f t="shared" si="153"/>
        <v>12.3</v>
      </c>
      <c r="Z682" s="30"/>
      <c r="AB682" s="20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</row>
    <row r="683" spans="1:48" ht="18" customHeight="1">
      <c r="A683" s="106">
        <v>20260030</v>
      </c>
      <c r="B683" s="107" t="s">
        <v>1327</v>
      </c>
      <c r="C683" s="108">
        <v>46052</v>
      </c>
      <c r="D683" s="108">
        <v>46075</v>
      </c>
      <c r="E683" s="106">
        <v>4</v>
      </c>
      <c r="F683" s="106">
        <v>50.68</v>
      </c>
      <c r="G683" s="106">
        <v>96</v>
      </c>
      <c r="H683" s="109" t="s">
        <v>1471</v>
      </c>
      <c r="I683" s="109" t="s">
        <v>42</v>
      </c>
      <c r="J683" s="107" t="s">
        <v>28</v>
      </c>
      <c r="K683" s="108">
        <f t="shared" si="142"/>
        <v>46083</v>
      </c>
      <c r="L683" s="108">
        <f t="shared" si="143"/>
        <v>46143</v>
      </c>
      <c r="M683" s="111"/>
      <c r="N683" s="112">
        <f>E683-4</f>
        <v>0</v>
      </c>
      <c r="O683" s="113">
        <f t="shared" si="149"/>
        <v>0</v>
      </c>
      <c r="P683" s="112">
        <f t="shared" si="145"/>
        <v>0</v>
      </c>
      <c r="Q683" s="109"/>
      <c r="R683" s="109"/>
      <c r="S683" s="109" t="s">
        <v>1472</v>
      </c>
      <c r="T683" s="114">
        <v>79</v>
      </c>
      <c r="U683" s="109" t="s">
        <v>1473</v>
      </c>
      <c r="V683" s="106"/>
      <c r="W683" s="106"/>
      <c r="X683" s="106" t="s">
        <v>55</v>
      </c>
      <c r="Y683" s="63">
        <f t="shared" si="153"/>
        <v>12.67</v>
      </c>
      <c r="Z683" s="30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</row>
    <row r="684" spans="1:48" ht="18" customHeight="1">
      <c r="A684" s="106">
        <v>20260030</v>
      </c>
      <c r="B684" s="107" t="s">
        <v>1327</v>
      </c>
      <c r="C684" s="108">
        <v>46052</v>
      </c>
      <c r="D684" s="108">
        <v>46075</v>
      </c>
      <c r="E684" s="106">
        <v>1</v>
      </c>
      <c r="F684" s="106">
        <v>6</v>
      </c>
      <c r="G684" s="106">
        <v>24</v>
      </c>
      <c r="H684" s="109" t="s">
        <v>1132</v>
      </c>
      <c r="I684" s="109" t="s">
        <v>42</v>
      </c>
      <c r="J684" s="107" t="s">
        <v>28</v>
      </c>
      <c r="K684" s="108">
        <f t="shared" si="142"/>
        <v>46083</v>
      </c>
      <c r="L684" s="108">
        <f t="shared" si="143"/>
        <v>46143</v>
      </c>
      <c r="M684" s="111"/>
      <c r="N684" s="112">
        <f>E684-1</f>
        <v>0</v>
      </c>
      <c r="O684" s="113">
        <f t="shared" si="149"/>
        <v>0</v>
      </c>
      <c r="P684" s="112">
        <f t="shared" si="145"/>
        <v>0</v>
      </c>
      <c r="Q684" s="109"/>
      <c r="R684" s="109"/>
      <c r="S684" s="109" t="s">
        <v>1474</v>
      </c>
      <c r="T684" s="114">
        <v>80</v>
      </c>
      <c r="U684" s="109" t="s">
        <v>1475</v>
      </c>
      <c r="V684" s="106"/>
      <c r="W684" s="106"/>
      <c r="X684" s="106" t="s">
        <v>55</v>
      </c>
      <c r="Y684" s="63">
        <f t="shared" si="153"/>
        <v>6</v>
      </c>
      <c r="Z684" s="30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</row>
    <row r="685" spans="1:48" ht="18" customHeight="1">
      <c r="A685" s="106">
        <v>20260030</v>
      </c>
      <c r="B685" s="107" t="s">
        <v>1327</v>
      </c>
      <c r="C685" s="108">
        <v>46052</v>
      </c>
      <c r="D685" s="108">
        <v>46075</v>
      </c>
      <c r="E685" s="106">
        <v>5</v>
      </c>
      <c r="F685" s="106">
        <v>63.35</v>
      </c>
      <c r="G685" s="106">
        <v>120</v>
      </c>
      <c r="H685" s="109" t="s">
        <v>1476</v>
      </c>
      <c r="I685" s="109" t="s">
        <v>42</v>
      </c>
      <c r="J685" s="107" t="s">
        <v>28</v>
      </c>
      <c r="K685" s="108">
        <f t="shared" ref="K685:K748" si="158">D685+8</f>
        <v>46083</v>
      </c>
      <c r="L685" s="108">
        <f t="shared" ref="L685:L748" si="159">K685+60</f>
        <v>46143</v>
      </c>
      <c r="M685" s="111"/>
      <c r="N685" s="112">
        <f>E685-5</f>
        <v>0</v>
      </c>
      <c r="O685" s="113">
        <f t="shared" si="149"/>
        <v>0</v>
      </c>
      <c r="P685" s="112">
        <f t="shared" si="145"/>
        <v>0</v>
      </c>
      <c r="Q685" s="109"/>
      <c r="R685" s="109"/>
      <c r="S685" s="109" t="s">
        <v>1477</v>
      </c>
      <c r="T685" s="114">
        <v>81</v>
      </c>
      <c r="U685" s="109" t="s">
        <v>1478</v>
      </c>
      <c r="V685" s="106"/>
      <c r="W685" s="106"/>
      <c r="X685" s="106" t="s">
        <v>55</v>
      </c>
      <c r="Y685" s="63">
        <f t="shared" si="153"/>
        <v>12.67</v>
      </c>
      <c r="Z685" s="30"/>
      <c r="AB685" s="202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</row>
    <row r="686" spans="1:48" ht="18" customHeight="1">
      <c r="A686" s="106">
        <v>20260030</v>
      </c>
      <c r="B686" s="107" t="s">
        <v>1327</v>
      </c>
      <c r="C686" s="108">
        <v>46052</v>
      </c>
      <c r="D686" s="108">
        <v>46075</v>
      </c>
      <c r="E686" s="106">
        <v>2</v>
      </c>
      <c r="F686" s="106">
        <v>19</v>
      </c>
      <c r="G686" s="106"/>
      <c r="H686" s="109" t="s">
        <v>1132</v>
      </c>
      <c r="I686" s="109" t="s">
        <v>42</v>
      </c>
      <c r="J686" s="107" t="s">
        <v>28</v>
      </c>
      <c r="K686" s="108">
        <f t="shared" si="158"/>
        <v>46083</v>
      </c>
      <c r="L686" s="108">
        <f t="shared" si="159"/>
        <v>46143</v>
      </c>
      <c r="M686" s="111"/>
      <c r="N686" s="112">
        <f>E686-2</f>
        <v>0</v>
      </c>
      <c r="O686" s="113">
        <f t="shared" si="149"/>
        <v>0</v>
      </c>
      <c r="P686" s="112">
        <f t="shared" si="145"/>
        <v>0</v>
      </c>
      <c r="Q686" s="109"/>
      <c r="R686" s="109"/>
      <c r="S686" s="109" t="s">
        <v>1479</v>
      </c>
      <c r="T686" s="114">
        <v>82</v>
      </c>
      <c r="U686" s="109" t="s">
        <v>1480</v>
      </c>
      <c r="V686" s="106"/>
      <c r="W686" s="106"/>
      <c r="X686" s="106" t="s">
        <v>55</v>
      </c>
      <c r="Y686" s="63">
        <f t="shared" si="153"/>
        <v>9.5</v>
      </c>
      <c r="Z686" s="30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</row>
    <row r="687" spans="1:48" ht="18" customHeight="1">
      <c r="A687" s="106">
        <v>20260030</v>
      </c>
      <c r="B687" s="107" t="s">
        <v>1327</v>
      </c>
      <c r="C687" s="108">
        <v>46052</v>
      </c>
      <c r="D687" s="108">
        <v>46075</v>
      </c>
      <c r="E687" s="106">
        <v>1</v>
      </c>
      <c r="F687" s="106">
        <v>12.67</v>
      </c>
      <c r="G687" s="106">
        <v>24</v>
      </c>
      <c r="H687" s="109" t="s">
        <v>1481</v>
      </c>
      <c r="I687" s="109" t="s">
        <v>42</v>
      </c>
      <c r="J687" s="107" t="s">
        <v>28</v>
      </c>
      <c r="K687" s="108">
        <f t="shared" si="158"/>
        <v>46083</v>
      </c>
      <c r="L687" s="108">
        <f t="shared" si="159"/>
        <v>46143</v>
      </c>
      <c r="M687" s="111"/>
      <c r="N687" s="112">
        <f>E687-1</f>
        <v>0</v>
      </c>
      <c r="O687" s="113">
        <f t="shared" si="149"/>
        <v>0</v>
      </c>
      <c r="P687" s="112">
        <f t="shared" si="145"/>
        <v>0</v>
      </c>
      <c r="Q687" s="109"/>
      <c r="R687" s="109"/>
      <c r="S687" s="109" t="s">
        <v>1482</v>
      </c>
      <c r="T687" s="114">
        <v>85</v>
      </c>
      <c r="U687" s="109" t="s">
        <v>1483</v>
      </c>
      <c r="V687" s="106"/>
      <c r="W687" s="106"/>
      <c r="X687" s="106" t="s">
        <v>55</v>
      </c>
      <c r="Y687" s="63">
        <f t="shared" si="153"/>
        <v>12.67</v>
      </c>
      <c r="Z687" s="30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</row>
    <row r="688" spans="1:48" ht="18" customHeight="1">
      <c r="A688" s="63">
        <v>20260030</v>
      </c>
      <c r="B688" s="65" t="s">
        <v>1327</v>
      </c>
      <c r="C688" s="66">
        <v>46052</v>
      </c>
      <c r="D688" s="66">
        <v>46075</v>
      </c>
      <c r="E688" s="67">
        <v>1</v>
      </c>
      <c r="F688" s="68">
        <v>17</v>
      </c>
      <c r="G688" s="69">
        <v>24</v>
      </c>
      <c r="H688" s="70" t="s">
        <v>1484</v>
      </c>
      <c r="I688" s="70" t="s">
        <v>63</v>
      </c>
      <c r="J688" s="65" t="s">
        <v>28</v>
      </c>
      <c r="K688" s="48">
        <f t="shared" si="158"/>
        <v>46083</v>
      </c>
      <c r="L688" s="48">
        <f t="shared" si="159"/>
        <v>46143</v>
      </c>
      <c r="M688" s="71"/>
      <c r="N688" s="72">
        <f>E688</f>
        <v>1</v>
      </c>
      <c r="O688" s="50">
        <f t="shared" si="149"/>
        <v>17</v>
      </c>
      <c r="P688" s="56">
        <f t="shared" si="145"/>
        <v>24</v>
      </c>
      <c r="Q688" s="73"/>
      <c r="R688" s="58"/>
      <c r="S688" s="200" t="s">
        <v>1485</v>
      </c>
      <c r="T688" s="201">
        <v>86</v>
      </c>
      <c r="U688" s="58" t="s">
        <v>1486</v>
      </c>
      <c r="V688" s="46"/>
      <c r="W688" s="46"/>
      <c r="X688" s="62" t="s">
        <v>25</v>
      </c>
      <c r="Y688" s="63">
        <f t="shared" si="153"/>
        <v>17</v>
      </c>
      <c r="Z688" s="64">
        <f t="shared" ref="Z688" si="160">E688-N688</f>
        <v>0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</row>
    <row r="689" spans="1:48" ht="18" customHeight="1">
      <c r="A689" s="106">
        <v>20260030</v>
      </c>
      <c r="B689" s="107" t="s">
        <v>1327</v>
      </c>
      <c r="C689" s="108">
        <v>46052</v>
      </c>
      <c r="D689" s="108">
        <v>46075</v>
      </c>
      <c r="E689" s="106">
        <v>1</v>
      </c>
      <c r="F689" s="106">
        <v>2.9</v>
      </c>
      <c r="G689" s="106">
        <v>24</v>
      </c>
      <c r="H689" s="109" t="s">
        <v>1487</v>
      </c>
      <c r="I689" s="109" t="s">
        <v>42</v>
      </c>
      <c r="J689" s="107" t="s">
        <v>28</v>
      </c>
      <c r="K689" s="108">
        <f t="shared" si="158"/>
        <v>46083</v>
      </c>
      <c r="L689" s="108">
        <f t="shared" si="159"/>
        <v>46143</v>
      </c>
      <c r="M689" s="111"/>
      <c r="N689" s="112">
        <f>E689-1</f>
        <v>0</v>
      </c>
      <c r="O689" s="113">
        <f t="shared" si="149"/>
        <v>0</v>
      </c>
      <c r="P689" s="112">
        <f t="shared" si="145"/>
        <v>0</v>
      </c>
      <c r="Q689" s="109"/>
      <c r="R689" s="109"/>
      <c r="S689" s="109" t="s">
        <v>1488</v>
      </c>
      <c r="T689" s="114">
        <v>90</v>
      </c>
      <c r="U689" s="109" t="s">
        <v>1489</v>
      </c>
      <c r="V689" s="106"/>
      <c r="W689" s="106"/>
      <c r="X689" s="106" t="s">
        <v>55</v>
      </c>
      <c r="Y689" s="63">
        <f t="shared" si="153"/>
        <v>2.9</v>
      </c>
      <c r="Z689" s="30"/>
      <c r="AB689" s="202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</row>
    <row r="690" spans="1:48" ht="18" customHeight="1">
      <c r="A690" s="63">
        <v>20260030</v>
      </c>
      <c r="B690" s="65" t="s">
        <v>1327</v>
      </c>
      <c r="C690" s="66">
        <v>46052</v>
      </c>
      <c r="D690" s="66">
        <v>46075</v>
      </c>
      <c r="E690" s="67">
        <v>124</v>
      </c>
      <c r="F690" s="68">
        <v>708.12699999999995</v>
      </c>
      <c r="G690" s="69">
        <v>300</v>
      </c>
      <c r="H690" s="70" t="s">
        <v>1490</v>
      </c>
      <c r="I690" s="70" t="s">
        <v>24</v>
      </c>
      <c r="J690" s="65" t="s">
        <v>24</v>
      </c>
      <c r="K690" s="48">
        <f t="shared" si="158"/>
        <v>46083</v>
      </c>
      <c r="L690" s="48">
        <f t="shared" si="159"/>
        <v>46143</v>
      </c>
      <c r="M690" s="71"/>
      <c r="N690" s="72">
        <f>E690</f>
        <v>124</v>
      </c>
      <c r="O690" s="50">
        <f t="shared" si="149"/>
        <v>708.12699999999995</v>
      </c>
      <c r="P690" s="56">
        <f t="shared" si="145"/>
        <v>300</v>
      </c>
      <c r="Q690" s="73"/>
      <c r="R690" s="58"/>
      <c r="S690" s="200" t="s">
        <v>1491</v>
      </c>
      <c r="T690" s="201">
        <v>91</v>
      </c>
      <c r="U690" s="58" t="s">
        <v>1492</v>
      </c>
      <c r="V690" s="46"/>
      <c r="W690" s="46"/>
      <c r="X690" s="62" t="s">
        <v>25</v>
      </c>
      <c r="Y690" s="63">
        <f t="shared" si="153"/>
        <v>5.7107016129032253</v>
      </c>
      <c r="Z690" s="64">
        <f t="shared" ref="Z690:Z691" si="161">E690-N690</f>
        <v>0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</row>
    <row r="691" spans="1:48" ht="18" customHeight="1">
      <c r="A691" s="106">
        <v>20260030</v>
      </c>
      <c r="B691" s="107" t="s">
        <v>1327</v>
      </c>
      <c r="C691" s="108">
        <v>46052</v>
      </c>
      <c r="D691" s="108">
        <v>46075</v>
      </c>
      <c r="E691" s="106">
        <v>4</v>
      </c>
      <c r="F691" s="106">
        <v>14.244999999999999</v>
      </c>
      <c r="G691" s="106">
        <v>25</v>
      </c>
      <c r="H691" s="109" t="s">
        <v>1490</v>
      </c>
      <c r="I691" s="109" t="s">
        <v>24</v>
      </c>
      <c r="J691" s="107" t="s">
        <v>24</v>
      </c>
      <c r="K691" s="108">
        <f t="shared" si="158"/>
        <v>46083</v>
      </c>
      <c r="L691" s="108">
        <f t="shared" si="159"/>
        <v>46143</v>
      </c>
      <c r="M691" s="111"/>
      <c r="N691" s="112">
        <f>E691-4</f>
        <v>0</v>
      </c>
      <c r="O691" s="113">
        <f t="shared" si="149"/>
        <v>0</v>
      </c>
      <c r="P691" s="112">
        <f t="shared" si="145"/>
        <v>0</v>
      </c>
      <c r="Q691" s="109"/>
      <c r="R691" s="109"/>
      <c r="S691" s="109" t="s">
        <v>1493</v>
      </c>
      <c r="T691" s="114">
        <v>69</v>
      </c>
      <c r="U691" s="109" t="s">
        <v>1494</v>
      </c>
      <c r="V691" s="106"/>
      <c r="W691" s="106"/>
      <c r="X691" s="106" t="s">
        <v>55</v>
      </c>
      <c r="Y691" s="63">
        <f t="shared" si="153"/>
        <v>3.5612499999999998</v>
      </c>
      <c r="Z691" s="64">
        <f t="shared" si="161"/>
        <v>4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</row>
    <row r="692" spans="1:48" ht="18" customHeight="1">
      <c r="A692" s="106">
        <v>20260030</v>
      </c>
      <c r="B692" s="107" t="s">
        <v>1327</v>
      </c>
      <c r="C692" s="108">
        <v>46052</v>
      </c>
      <c r="D692" s="108">
        <v>46075</v>
      </c>
      <c r="E692" s="106">
        <v>15</v>
      </c>
      <c r="F692" s="106">
        <v>144.19999999999999</v>
      </c>
      <c r="G692" s="106">
        <v>80</v>
      </c>
      <c r="H692" s="109" t="s">
        <v>1490</v>
      </c>
      <c r="I692" s="109" t="s">
        <v>24</v>
      </c>
      <c r="J692" s="107" t="s">
        <v>24</v>
      </c>
      <c r="K692" s="108">
        <f t="shared" si="158"/>
        <v>46083</v>
      </c>
      <c r="L692" s="108">
        <f t="shared" si="159"/>
        <v>46143</v>
      </c>
      <c r="M692" s="111"/>
      <c r="N692" s="112">
        <f>E692-15</f>
        <v>0</v>
      </c>
      <c r="O692" s="113">
        <f t="shared" si="149"/>
        <v>0</v>
      </c>
      <c r="P692" s="112">
        <f t="shared" si="145"/>
        <v>0</v>
      </c>
      <c r="Q692" s="109"/>
      <c r="R692" s="109"/>
      <c r="S692" s="109" t="s">
        <v>1495</v>
      </c>
      <c r="T692" s="114">
        <v>67</v>
      </c>
      <c r="U692" s="109" t="s">
        <v>1496</v>
      </c>
      <c r="V692" s="106"/>
      <c r="W692" s="106"/>
      <c r="X692" s="106" t="s">
        <v>55</v>
      </c>
      <c r="Y692" s="63">
        <f t="shared" si="153"/>
        <v>9.6133333333333333</v>
      </c>
      <c r="Z692" s="30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</row>
    <row r="693" spans="1:48" ht="18" customHeight="1">
      <c r="A693" s="206">
        <v>20260030</v>
      </c>
      <c r="B693" s="207" t="s">
        <v>1327</v>
      </c>
      <c r="C693" s="208">
        <v>46052</v>
      </c>
      <c r="D693" s="208">
        <v>46075</v>
      </c>
      <c r="E693" s="209">
        <v>7</v>
      </c>
      <c r="F693" s="210">
        <v>79.125630000000001</v>
      </c>
      <c r="G693" s="211">
        <v>25</v>
      </c>
      <c r="H693" s="212" t="s">
        <v>1490</v>
      </c>
      <c r="I693" s="212" t="s">
        <v>24</v>
      </c>
      <c r="J693" s="207" t="s">
        <v>24</v>
      </c>
      <c r="K693" s="213">
        <f t="shared" si="158"/>
        <v>46083</v>
      </c>
      <c r="L693" s="213">
        <f t="shared" si="159"/>
        <v>46143</v>
      </c>
      <c r="M693" s="214"/>
      <c r="N693" s="215">
        <f>E693-6</f>
        <v>1</v>
      </c>
      <c r="O693" s="216">
        <f t="shared" si="149"/>
        <v>11.303661428571429</v>
      </c>
      <c r="P693" s="218">
        <f t="shared" si="145"/>
        <v>3.5714285714285716</v>
      </c>
      <c r="Q693" s="73"/>
      <c r="R693" s="58"/>
      <c r="S693" s="200" t="s">
        <v>1497</v>
      </c>
      <c r="T693" s="201">
        <v>66</v>
      </c>
      <c r="U693" s="58" t="s">
        <v>1498</v>
      </c>
      <c r="V693" s="46"/>
      <c r="W693" s="46"/>
      <c r="X693" s="99" t="s">
        <v>76</v>
      </c>
      <c r="Y693" s="63">
        <f t="shared" si="153"/>
        <v>11.303661428571429</v>
      </c>
      <c r="Z693" s="64">
        <f t="shared" ref="Z693" si="162">E693-N693</f>
        <v>6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</row>
    <row r="694" spans="1:48" ht="18" customHeight="1">
      <c r="A694" s="106">
        <v>20260030</v>
      </c>
      <c r="B694" s="107" t="s">
        <v>1327</v>
      </c>
      <c r="C694" s="108">
        <v>46052</v>
      </c>
      <c r="D694" s="108">
        <v>46075</v>
      </c>
      <c r="E694" s="106">
        <v>1</v>
      </c>
      <c r="F694" s="106">
        <v>37.43</v>
      </c>
      <c r="G694" s="106">
        <v>24</v>
      </c>
      <c r="H694" s="109" t="s">
        <v>1499</v>
      </c>
      <c r="I694" s="109" t="s">
        <v>194</v>
      </c>
      <c r="J694" s="107" t="s">
        <v>26</v>
      </c>
      <c r="K694" s="108">
        <f t="shared" si="158"/>
        <v>46083</v>
      </c>
      <c r="L694" s="108">
        <f t="shared" si="159"/>
        <v>46143</v>
      </c>
      <c r="M694" s="111"/>
      <c r="N694" s="112">
        <f>E694-1</f>
        <v>0</v>
      </c>
      <c r="O694" s="113">
        <f t="shared" si="149"/>
        <v>0</v>
      </c>
      <c r="P694" s="112">
        <f t="shared" ref="P694:P755" si="163">G694/E694*N694</f>
        <v>0</v>
      </c>
      <c r="Q694" s="109"/>
      <c r="R694" s="109"/>
      <c r="S694" s="109" t="s">
        <v>1500</v>
      </c>
      <c r="T694" s="114">
        <v>93</v>
      </c>
      <c r="U694" s="109" t="s">
        <v>1501</v>
      </c>
      <c r="V694" s="106"/>
      <c r="W694" s="106"/>
      <c r="X694" s="106" t="s">
        <v>55</v>
      </c>
      <c r="Y694" s="63">
        <f t="shared" si="153"/>
        <v>37.43</v>
      </c>
      <c r="Z694" s="30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</row>
    <row r="695" spans="1:48" ht="18" customHeight="1">
      <c r="A695" s="106">
        <v>20260030</v>
      </c>
      <c r="B695" s="107" t="s">
        <v>1327</v>
      </c>
      <c r="C695" s="108">
        <v>46052</v>
      </c>
      <c r="D695" s="108">
        <v>46075</v>
      </c>
      <c r="E695" s="106">
        <v>2</v>
      </c>
      <c r="F695" s="106">
        <v>0</v>
      </c>
      <c r="G695" s="106">
        <v>6</v>
      </c>
      <c r="H695" s="109" t="s">
        <v>1499</v>
      </c>
      <c r="I695" s="109" t="s">
        <v>24</v>
      </c>
      <c r="J695" s="107" t="s">
        <v>24</v>
      </c>
      <c r="K695" s="108">
        <f t="shared" si="158"/>
        <v>46083</v>
      </c>
      <c r="L695" s="108">
        <f t="shared" si="159"/>
        <v>46143</v>
      </c>
      <c r="M695" s="111"/>
      <c r="N695" s="112">
        <f>E695-2</f>
        <v>0</v>
      </c>
      <c r="O695" s="113">
        <f t="shared" si="149"/>
        <v>0</v>
      </c>
      <c r="P695" s="112">
        <f t="shared" si="163"/>
        <v>0</v>
      </c>
      <c r="Q695" s="109"/>
      <c r="R695" s="109"/>
      <c r="S695" s="109" t="s">
        <v>1500</v>
      </c>
      <c r="T695" s="114">
        <v>93</v>
      </c>
      <c r="U695" s="109"/>
      <c r="V695" s="106"/>
      <c r="W695" s="106"/>
      <c r="X695" s="106" t="s">
        <v>55</v>
      </c>
      <c r="Y695" s="63">
        <f t="shared" si="153"/>
        <v>0</v>
      </c>
      <c r="Z695" s="30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</row>
    <row r="696" spans="1:48" ht="18" customHeight="1">
      <c r="A696" s="106">
        <v>20260030</v>
      </c>
      <c r="B696" s="107" t="s">
        <v>1327</v>
      </c>
      <c r="C696" s="108">
        <v>46052</v>
      </c>
      <c r="D696" s="108">
        <v>46075</v>
      </c>
      <c r="E696" s="106">
        <v>1</v>
      </c>
      <c r="F696" s="106">
        <v>12.67</v>
      </c>
      <c r="G696" s="106">
        <v>24</v>
      </c>
      <c r="H696" s="109" t="s">
        <v>1502</v>
      </c>
      <c r="I696" s="109" t="s">
        <v>42</v>
      </c>
      <c r="J696" s="107" t="s">
        <v>28</v>
      </c>
      <c r="K696" s="108">
        <f t="shared" si="158"/>
        <v>46083</v>
      </c>
      <c r="L696" s="108">
        <f t="shared" si="159"/>
        <v>46143</v>
      </c>
      <c r="M696" s="111"/>
      <c r="N696" s="112">
        <f>E696-1</f>
        <v>0</v>
      </c>
      <c r="O696" s="113">
        <f t="shared" si="149"/>
        <v>0</v>
      </c>
      <c r="P696" s="112">
        <f t="shared" si="163"/>
        <v>0</v>
      </c>
      <c r="Q696" s="109"/>
      <c r="R696" s="109"/>
      <c r="S696" s="109" t="s">
        <v>1503</v>
      </c>
      <c r="T696" s="114">
        <v>96</v>
      </c>
      <c r="U696" s="109" t="s">
        <v>1504</v>
      </c>
      <c r="V696" s="106"/>
      <c r="W696" s="106"/>
      <c r="X696" s="106" t="s">
        <v>55</v>
      </c>
      <c r="Y696" s="63">
        <f t="shared" si="153"/>
        <v>12.67</v>
      </c>
      <c r="Z696" s="30"/>
      <c r="AB696" s="202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</row>
    <row r="697" spans="1:48" ht="18" customHeight="1">
      <c r="A697" s="106">
        <v>20260030</v>
      </c>
      <c r="B697" s="107" t="s">
        <v>1327</v>
      </c>
      <c r="C697" s="108">
        <v>46052</v>
      </c>
      <c r="D697" s="108">
        <v>46075</v>
      </c>
      <c r="E697" s="106">
        <v>3</v>
      </c>
      <c r="F697" s="106">
        <v>102</v>
      </c>
      <c r="G697" s="106">
        <v>72</v>
      </c>
      <c r="H697" s="109" t="s">
        <v>1505</v>
      </c>
      <c r="I697" s="109" t="s">
        <v>194</v>
      </c>
      <c r="J697" s="107" t="s">
        <v>26</v>
      </c>
      <c r="K697" s="108">
        <f t="shared" si="158"/>
        <v>46083</v>
      </c>
      <c r="L697" s="108">
        <f t="shared" si="159"/>
        <v>46143</v>
      </c>
      <c r="M697" s="111"/>
      <c r="N697" s="112">
        <f>E697-3</f>
        <v>0</v>
      </c>
      <c r="O697" s="113">
        <f t="shared" si="149"/>
        <v>0</v>
      </c>
      <c r="P697" s="112">
        <f t="shared" si="163"/>
        <v>0</v>
      </c>
      <c r="Q697" s="109"/>
      <c r="R697" s="109"/>
      <c r="S697" s="109" t="s">
        <v>1506</v>
      </c>
      <c r="T697" s="114">
        <v>97</v>
      </c>
      <c r="U697" s="109" t="s">
        <v>1507</v>
      </c>
      <c r="V697" s="106"/>
      <c r="W697" s="106"/>
      <c r="X697" s="106" t="s">
        <v>55</v>
      </c>
      <c r="Y697" s="63">
        <f t="shared" si="153"/>
        <v>34</v>
      </c>
      <c r="Z697" s="30"/>
      <c r="AB697" s="202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</row>
    <row r="698" spans="1:48" ht="18" customHeight="1">
      <c r="A698" s="106">
        <v>20260030</v>
      </c>
      <c r="B698" s="107" t="s">
        <v>1327</v>
      </c>
      <c r="C698" s="108">
        <v>46052</v>
      </c>
      <c r="D698" s="108">
        <v>46075</v>
      </c>
      <c r="E698" s="106">
        <v>3</v>
      </c>
      <c r="F698" s="106">
        <v>0</v>
      </c>
      <c r="G698" s="106">
        <v>9</v>
      </c>
      <c r="H698" s="109" t="s">
        <v>1505</v>
      </c>
      <c r="I698" s="109" t="s">
        <v>24</v>
      </c>
      <c r="J698" s="107" t="s">
        <v>24</v>
      </c>
      <c r="K698" s="108">
        <f t="shared" si="158"/>
        <v>46083</v>
      </c>
      <c r="L698" s="108">
        <f t="shared" si="159"/>
        <v>46143</v>
      </c>
      <c r="M698" s="111"/>
      <c r="N698" s="112">
        <f>E698-3</f>
        <v>0</v>
      </c>
      <c r="O698" s="113">
        <f t="shared" si="149"/>
        <v>0</v>
      </c>
      <c r="P698" s="112">
        <f t="shared" si="163"/>
        <v>0</v>
      </c>
      <c r="Q698" s="109"/>
      <c r="R698" s="109"/>
      <c r="S698" s="109" t="s">
        <v>1506</v>
      </c>
      <c r="T698" s="114">
        <v>97</v>
      </c>
      <c r="U698" s="109"/>
      <c r="V698" s="106"/>
      <c r="W698" s="106"/>
      <c r="X698" s="106" t="s">
        <v>55</v>
      </c>
      <c r="Y698" s="63">
        <f t="shared" si="153"/>
        <v>0</v>
      </c>
      <c r="Z698" s="30"/>
      <c r="AB698" s="202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</row>
    <row r="699" spans="1:48" ht="18" customHeight="1">
      <c r="A699" s="106">
        <v>20260030</v>
      </c>
      <c r="B699" s="107" t="s">
        <v>1327</v>
      </c>
      <c r="C699" s="108">
        <v>46052</v>
      </c>
      <c r="D699" s="108">
        <v>46075</v>
      </c>
      <c r="E699" s="106">
        <v>1</v>
      </c>
      <c r="F699" s="106">
        <v>12.33</v>
      </c>
      <c r="G699" s="106">
        <v>24</v>
      </c>
      <c r="H699" s="109" t="s">
        <v>1508</v>
      </c>
      <c r="I699" s="109" t="s">
        <v>42</v>
      </c>
      <c r="J699" s="107" t="s">
        <v>28</v>
      </c>
      <c r="K699" s="108">
        <f t="shared" si="158"/>
        <v>46083</v>
      </c>
      <c r="L699" s="108">
        <f t="shared" si="159"/>
        <v>46143</v>
      </c>
      <c r="M699" s="111"/>
      <c r="N699" s="112">
        <f>E699-1</f>
        <v>0</v>
      </c>
      <c r="O699" s="113">
        <f t="shared" si="149"/>
        <v>0</v>
      </c>
      <c r="P699" s="112">
        <f t="shared" si="163"/>
        <v>0</v>
      </c>
      <c r="Q699" s="109"/>
      <c r="R699" s="109"/>
      <c r="S699" s="109" t="s">
        <v>1509</v>
      </c>
      <c r="T699" s="114">
        <v>98</v>
      </c>
      <c r="U699" s="109" t="s">
        <v>1384</v>
      </c>
      <c r="V699" s="106"/>
      <c r="W699" s="106"/>
      <c r="X699" s="106" t="s">
        <v>55</v>
      </c>
      <c r="Y699" s="63">
        <f t="shared" si="153"/>
        <v>12.33</v>
      </c>
      <c r="Z699" s="64">
        <f t="shared" ref="Z699" si="164">E699-N699</f>
        <v>1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</row>
    <row r="700" spans="1:48" ht="18" customHeight="1">
      <c r="A700" s="106">
        <v>20260030</v>
      </c>
      <c r="B700" s="107" t="s">
        <v>1327</v>
      </c>
      <c r="C700" s="108">
        <v>46052</v>
      </c>
      <c r="D700" s="108">
        <v>46075</v>
      </c>
      <c r="E700" s="106">
        <v>1</v>
      </c>
      <c r="F700" s="106">
        <v>12.33</v>
      </c>
      <c r="G700" s="106">
        <v>24</v>
      </c>
      <c r="H700" s="109" t="s">
        <v>1510</v>
      </c>
      <c r="I700" s="109" t="s">
        <v>42</v>
      </c>
      <c r="J700" s="107" t="s">
        <v>28</v>
      </c>
      <c r="K700" s="108">
        <f t="shared" si="158"/>
        <v>46083</v>
      </c>
      <c r="L700" s="108">
        <f t="shared" si="159"/>
        <v>46143</v>
      </c>
      <c r="M700" s="111"/>
      <c r="N700" s="112">
        <f>E700-1</f>
        <v>0</v>
      </c>
      <c r="O700" s="113">
        <f t="shared" si="149"/>
        <v>0</v>
      </c>
      <c r="P700" s="112">
        <f t="shared" si="163"/>
        <v>0</v>
      </c>
      <c r="Q700" s="109"/>
      <c r="R700" s="109"/>
      <c r="S700" s="109" t="s">
        <v>1511</v>
      </c>
      <c r="T700" s="114">
        <v>108</v>
      </c>
      <c r="U700" s="109" t="s">
        <v>1512</v>
      </c>
      <c r="V700" s="106"/>
      <c r="W700" s="106"/>
      <c r="X700" s="106" t="s">
        <v>55</v>
      </c>
      <c r="Y700" s="63">
        <f t="shared" si="153"/>
        <v>12.33</v>
      </c>
      <c r="Z700" s="30"/>
      <c r="AB700" s="202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</row>
    <row r="701" spans="1:48" ht="18" customHeight="1">
      <c r="A701" s="106">
        <v>20260030</v>
      </c>
      <c r="B701" s="107" t="s">
        <v>1327</v>
      </c>
      <c r="C701" s="108">
        <v>46052</v>
      </c>
      <c r="D701" s="108">
        <v>46075</v>
      </c>
      <c r="E701" s="106">
        <v>2</v>
      </c>
      <c r="F701" s="106">
        <v>24.6</v>
      </c>
      <c r="G701" s="106">
        <v>80</v>
      </c>
      <c r="H701" s="109" t="s">
        <v>1513</v>
      </c>
      <c r="I701" s="109" t="s">
        <v>106</v>
      </c>
      <c r="J701" s="107" t="s">
        <v>29</v>
      </c>
      <c r="K701" s="108">
        <f t="shared" si="158"/>
        <v>46083</v>
      </c>
      <c r="L701" s="108">
        <f t="shared" si="159"/>
        <v>46143</v>
      </c>
      <c r="M701" s="111"/>
      <c r="N701" s="112">
        <f>E701-2</f>
        <v>0</v>
      </c>
      <c r="O701" s="113">
        <f t="shared" si="149"/>
        <v>0</v>
      </c>
      <c r="P701" s="112">
        <f t="shared" si="163"/>
        <v>0</v>
      </c>
      <c r="Q701" s="109"/>
      <c r="R701" s="109"/>
      <c r="S701" s="109" t="s">
        <v>1514</v>
      </c>
      <c r="T701" s="114">
        <v>110</v>
      </c>
      <c r="U701" s="109" t="s">
        <v>1515</v>
      </c>
      <c r="V701" s="106"/>
      <c r="W701" s="106"/>
      <c r="X701" s="106" t="s">
        <v>55</v>
      </c>
      <c r="Y701" s="63">
        <f t="shared" si="153"/>
        <v>12.3</v>
      </c>
      <c r="Z701" s="30"/>
      <c r="AB701" s="202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</row>
    <row r="702" spans="1:48" ht="18" customHeight="1">
      <c r="A702" s="106">
        <v>20260030</v>
      </c>
      <c r="B702" s="107" t="s">
        <v>1327</v>
      </c>
      <c r="C702" s="108">
        <v>46052</v>
      </c>
      <c r="D702" s="108">
        <v>46075</v>
      </c>
      <c r="E702" s="106">
        <v>10</v>
      </c>
      <c r="F702" s="106">
        <v>0.14199999999999999</v>
      </c>
      <c r="G702" s="106">
        <v>0</v>
      </c>
      <c r="H702" s="109" t="s">
        <v>1513</v>
      </c>
      <c r="I702" s="109" t="s">
        <v>24</v>
      </c>
      <c r="J702" s="107" t="s">
        <v>24</v>
      </c>
      <c r="K702" s="108">
        <f t="shared" si="158"/>
        <v>46083</v>
      </c>
      <c r="L702" s="108">
        <f t="shared" si="159"/>
        <v>46143</v>
      </c>
      <c r="M702" s="111"/>
      <c r="N702" s="112">
        <f>E702-10</f>
        <v>0</v>
      </c>
      <c r="O702" s="113">
        <f t="shared" si="149"/>
        <v>0</v>
      </c>
      <c r="P702" s="112">
        <f t="shared" si="163"/>
        <v>0</v>
      </c>
      <c r="Q702" s="109"/>
      <c r="R702" s="109"/>
      <c r="S702" s="109" t="s">
        <v>1516</v>
      </c>
      <c r="T702" s="114">
        <v>117</v>
      </c>
      <c r="U702" s="109" t="s">
        <v>527</v>
      </c>
      <c r="V702" s="106"/>
      <c r="W702" s="106"/>
      <c r="X702" s="106" t="s">
        <v>55</v>
      </c>
      <c r="Y702" s="63">
        <f t="shared" si="153"/>
        <v>1.4199999999999999E-2</v>
      </c>
      <c r="Z702" s="30"/>
      <c r="AB702" s="2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</row>
    <row r="703" spans="1:48" ht="18" customHeight="1">
      <c r="A703" s="106">
        <v>20260030</v>
      </c>
      <c r="B703" s="107" t="s">
        <v>1327</v>
      </c>
      <c r="C703" s="108">
        <v>46052</v>
      </c>
      <c r="D703" s="108">
        <v>46075</v>
      </c>
      <c r="E703" s="106">
        <v>2</v>
      </c>
      <c r="F703" s="106">
        <v>5.0999999999999996</v>
      </c>
      <c r="G703" s="106">
        <v>48</v>
      </c>
      <c r="H703" s="109" t="s">
        <v>1517</v>
      </c>
      <c r="I703" s="109" t="s">
        <v>1518</v>
      </c>
      <c r="J703" s="107" t="s">
        <v>29</v>
      </c>
      <c r="K703" s="108">
        <f t="shared" si="158"/>
        <v>46083</v>
      </c>
      <c r="L703" s="108">
        <f t="shared" si="159"/>
        <v>46143</v>
      </c>
      <c r="M703" s="111"/>
      <c r="N703" s="112">
        <f>E703-2</f>
        <v>0</v>
      </c>
      <c r="O703" s="113">
        <f t="shared" si="149"/>
        <v>0</v>
      </c>
      <c r="P703" s="112">
        <f t="shared" si="163"/>
        <v>0</v>
      </c>
      <c r="Q703" s="109"/>
      <c r="R703" s="109"/>
      <c r="S703" s="109" t="s">
        <v>1519</v>
      </c>
      <c r="T703" s="114">
        <v>113</v>
      </c>
      <c r="U703" s="109" t="s">
        <v>1520</v>
      </c>
      <c r="V703" s="106"/>
      <c r="W703" s="106"/>
      <c r="X703" s="106" t="s">
        <v>55</v>
      </c>
      <c r="Y703" s="63">
        <f t="shared" si="153"/>
        <v>2.5499999999999998</v>
      </c>
      <c r="Z703" s="30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</row>
    <row r="704" spans="1:48" ht="18" customHeight="1">
      <c r="A704" s="106">
        <v>20260030</v>
      </c>
      <c r="B704" s="107" t="s">
        <v>1327</v>
      </c>
      <c r="C704" s="108">
        <v>46052</v>
      </c>
      <c r="D704" s="108">
        <v>46075</v>
      </c>
      <c r="E704" s="106">
        <v>1</v>
      </c>
      <c r="F704" s="106">
        <v>10.3</v>
      </c>
      <c r="G704" s="106">
        <v>40</v>
      </c>
      <c r="H704" s="109" t="s">
        <v>1521</v>
      </c>
      <c r="I704" s="109" t="s">
        <v>106</v>
      </c>
      <c r="J704" s="107" t="s">
        <v>29</v>
      </c>
      <c r="K704" s="108">
        <f t="shared" si="158"/>
        <v>46083</v>
      </c>
      <c r="L704" s="108">
        <f t="shared" si="159"/>
        <v>46143</v>
      </c>
      <c r="M704" s="111"/>
      <c r="N704" s="112">
        <f>E704-1</f>
        <v>0</v>
      </c>
      <c r="O704" s="113">
        <f t="shared" si="149"/>
        <v>0</v>
      </c>
      <c r="P704" s="112">
        <f t="shared" si="163"/>
        <v>0</v>
      </c>
      <c r="Q704" s="109"/>
      <c r="R704" s="109"/>
      <c r="S704" s="109" t="s">
        <v>1522</v>
      </c>
      <c r="T704" s="114">
        <v>115</v>
      </c>
      <c r="U704" s="109" t="s">
        <v>1523</v>
      </c>
      <c r="V704" s="106"/>
      <c r="W704" s="106"/>
      <c r="X704" s="106" t="s">
        <v>55</v>
      </c>
      <c r="Y704" s="63">
        <f t="shared" si="153"/>
        <v>10.3</v>
      </c>
      <c r="Z704" s="30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</row>
    <row r="705" spans="1:48" ht="18" customHeight="1">
      <c r="A705" s="106">
        <v>20260030</v>
      </c>
      <c r="B705" s="107" t="s">
        <v>1327</v>
      </c>
      <c r="C705" s="108">
        <v>46052</v>
      </c>
      <c r="D705" s="108">
        <v>46075</v>
      </c>
      <c r="E705" s="106">
        <v>1</v>
      </c>
      <c r="F705" s="106">
        <v>26.41</v>
      </c>
      <c r="G705" s="106">
        <v>24</v>
      </c>
      <c r="H705" s="109" t="s">
        <v>1524</v>
      </c>
      <c r="I705" s="109" t="s">
        <v>194</v>
      </c>
      <c r="J705" s="107" t="s">
        <v>26</v>
      </c>
      <c r="K705" s="108">
        <f t="shared" si="158"/>
        <v>46083</v>
      </c>
      <c r="L705" s="108">
        <f t="shared" si="159"/>
        <v>46143</v>
      </c>
      <c r="M705" s="111"/>
      <c r="N705" s="112">
        <f>E705-1</f>
        <v>0</v>
      </c>
      <c r="O705" s="113">
        <f t="shared" si="149"/>
        <v>0</v>
      </c>
      <c r="P705" s="112">
        <f t="shared" si="163"/>
        <v>0</v>
      </c>
      <c r="Q705" s="109"/>
      <c r="R705" s="109"/>
      <c r="S705" s="109" t="s">
        <v>1525</v>
      </c>
      <c r="T705" s="114">
        <v>120</v>
      </c>
      <c r="U705" s="109" t="s">
        <v>1526</v>
      </c>
      <c r="V705" s="106"/>
      <c r="W705" s="106"/>
      <c r="X705" s="106" t="s">
        <v>55</v>
      </c>
      <c r="Y705" s="63">
        <f t="shared" si="153"/>
        <v>26.41</v>
      </c>
      <c r="Z705" s="64">
        <f t="shared" ref="Z705:Z708" si="165">E705-N705</f>
        <v>1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</row>
    <row r="706" spans="1:48" ht="18" customHeight="1">
      <c r="A706" s="106">
        <v>20260030</v>
      </c>
      <c r="B706" s="107" t="s">
        <v>1327</v>
      </c>
      <c r="C706" s="108">
        <v>46052</v>
      </c>
      <c r="D706" s="108">
        <v>46075</v>
      </c>
      <c r="E706" s="106">
        <v>1</v>
      </c>
      <c r="F706" s="106">
        <v>0</v>
      </c>
      <c r="G706" s="106">
        <v>3</v>
      </c>
      <c r="H706" s="109" t="s">
        <v>1524</v>
      </c>
      <c r="I706" s="109" t="s">
        <v>24</v>
      </c>
      <c r="J706" s="107" t="s">
        <v>24</v>
      </c>
      <c r="K706" s="108">
        <f t="shared" si="158"/>
        <v>46083</v>
      </c>
      <c r="L706" s="108">
        <f t="shared" si="159"/>
        <v>46143</v>
      </c>
      <c r="M706" s="111"/>
      <c r="N706" s="112">
        <f>E706-1</f>
        <v>0</v>
      </c>
      <c r="O706" s="113">
        <f t="shared" si="149"/>
        <v>0</v>
      </c>
      <c r="P706" s="112">
        <f t="shared" si="163"/>
        <v>0</v>
      </c>
      <c r="Q706" s="109"/>
      <c r="R706" s="109"/>
      <c r="S706" s="109" t="s">
        <v>1525</v>
      </c>
      <c r="T706" s="114">
        <v>120</v>
      </c>
      <c r="U706" s="109"/>
      <c r="V706" s="106"/>
      <c r="W706" s="106"/>
      <c r="X706" s="106" t="s">
        <v>55</v>
      </c>
      <c r="Y706" s="63">
        <f t="shared" si="153"/>
        <v>0</v>
      </c>
      <c r="Z706" s="64">
        <f t="shared" si="165"/>
        <v>1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</row>
    <row r="707" spans="1:48" ht="18" customHeight="1">
      <c r="A707" s="106">
        <v>20260030</v>
      </c>
      <c r="B707" s="107" t="s">
        <v>1327</v>
      </c>
      <c r="C707" s="108">
        <v>46052</v>
      </c>
      <c r="D707" s="108">
        <v>46075</v>
      </c>
      <c r="E707" s="106">
        <v>31</v>
      </c>
      <c r="F707" s="106">
        <v>123.845</v>
      </c>
      <c r="G707" s="106">
        <v>150</v>
      </c>
      <c r="H707" s="109" t="s">
        <v>1527</v>
      </c>
      <c r="I707" s="109" t="s">
        <v>24</v>
      </c>
      <c r="J707" s="107" t="s">
        <v>24</v>
      </c>
      <c r="K707" s="108">
        <f t="shared" si="158"/>
        <v>46083</v>
      </c>
      <c r="L707" s="108">
        <f t="shared" si="159"/>
        <v>46143</v>
      </c>
      <c r="M707" s="111"/>
      <c r="N707" s="112">
        <f>E707-30-1</f>
        <v>0</v>
      </c>
      <c r="O707" s="113">
        <f t="shared" si="149"/>
        <v>0</v>
      </c>
      <c r="P707" s="112">
        <f t="shared" si="163"/>
        <v>0</v>
      </c>
      <c r="Q707" s="109"/>
      <c r="R707" s="109"/>
      <c r="S707" s="109" t="s">
        <v>1528</v>
      </c>
      <c r="T707" s="114">
        <v>63</v>
      </c>
      <c r="U707" s="109" t="s">
        <v>1529</v>
      </c>
      <c r="V707" s="106"/>
      <c r="W707" s="106"/>
      <c r="X707" s="106" t="s">
        <v>55</v>
      </c>
      <c r="Y707" s="63">
        <f t="shared" si="153"/>
        <v>3.9950000000000001</v>
      </c>
      <c r="Z707" s="64">
        <f t="shared" si="165"/>
        <v>31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</row>
    <row r="708" spans="1:48" ht="18" customHeight="1">
      <c r="A708" s="63">
        <v>20260030</v>
      </c>
      <c r="B708" s="65" t="s">
        <v>1327</v>
      </c>
      <c r="C708" s="66">
        <v>46052</v>
      </c>
      <c r="D708" s="66">
        <v>46075</v>
      </c>
      <c r="E708" s="67">
        <v>7</v>
      </c>
      <c r="F708" s="68">
        <v>40.270000000000003</v>
      </c>
      <c r="G708" s="69">
        <v>24</v>
      </c>
      <c r="H708" s="70" t="s">
        <v>1527</v>
      </c>
      <c r="I708" s="70" t="s">
        <v>24</v>
      </c>
      <c r="J708" s="65" t="s">
        <v>24</v>
      </c>
      <c r="K708" s="48">
        <f t="shared" si="158"/>
        <v>46083</v>
      </c>
      <c r="L708" s="48">
        <f t="shared" si="159"/>
        <v>46143</v>
      </c>
      <c r="M708" s="71"/>
      <c r="N708" s="72">
        <f t="shared" ref="N708:N710" si="166">E708</f>
        <v>7</v>
      </c>
      <c r="O708" s="50">
        <f t="shared" si="149"/>
        <v>40.270000000000003</v>
      </c>
      <c r="P708" s="56">
        <f t="shared" si="163"/>
        <v>24</v>
      </c>
      <c r="Q708" s="73"/>
      <c r="R708" s="58"/>
      <c r="S708" s="200" t="s">
        <v>1530</v>
      </c>
      <c r="T708" s="201">
        <v>64</v>
      </c>
      <c r="U708" s="58" t="s">
        <v>609</v>
      </c>
      <c r="V708" s="46"/>
      <c r="W708" s="46"/>
      <c r="X708" s="62" t="s">
        <v>25</v>
      </c>
      <c r="Y708" s="63">
        <f t="shared" si="153"/>
        <v>5.7528571428571436</v>
      </c>
      <c r="Z708" s="64">
        <f t="shared" si="165"/>
        <v>0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</row>
    <row r="709" spans="1:48" ht="18" customHeight="1">
      <c r="A709" s="106">
        <v>20260030</v>
      </c>
      <c r="B709" s="107" t="s">
        <v>1327</v>
      </c>
      <c r="C709" s="108">
        <v>46052</v>
      </c>
      <c r="D709" s="108">
        <v>46075</v>
      </c>
      <c r="E709" s="106">
        <v>3</v>
      </c>
      <c r="F709" s="106">
        <v>18.445</v>
      </c>
      <c r="G709" s="106">
        <v>15</v>
      </c>
      <c r="H709" s="109" t="s">
        <v>1527</v>
      </c>
      <c r="I709" s="109" t="s">
        <v>24</v>
      </c>
      <c r="J709" s="107" t="s">
        <v>24</v>
      </c>
      <c r="K709" s="108">
        <f t="shared" si="158"/>
        <v>46083</v>
      </c>
      <c r="L709" s="108">
        <f t="shared" si="159"/>
        <v>46143</v>
      </c>
      <c r="M709" s="111"/>
      <c r="N709" s="112">
        <f>E709-3</f>
        <v>0</v>
      </c>
      <c r="O709" s="113">
        <f t="shared" si="149"/>
        <v>0</v>
      </c>
      <c r="P709" s="112">
        <f t="shared" si="163"/>
        <v>0</v>
      </c>
      <c r="Q709" s="109"/>
      <c r="R709" s="109"/>
      <c r="S709" s="109" t="s">
        <v>1531</v>
      </c>
      <c r="T709" s="114">
        <v>65</v>
      </c>
      <c r="U709" s="109" t="s">
        <v>1532</v>
      </c>
      <c r="V709" s="106"/>
      <c r="W709" s="106"/>
      <c r="X709" s="106" t="s">
        <v>55</v>
      </c>
      <c r="Y709" s="63">
        <f t="shared" si="153"/>
        <v>6.1483333333333334</v>
      </c>
      <c r="Z709" s="30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</row>
    <row r="710" spans="1:48" ht="18" customHeight="1">
      <c r="A710" s="63">
        <v>20260030</v>
      </c>
      <c r="B710" s="65" t="s">
        <v>1327</v>
      </c>
      <c r="C710" s="66">
        <v>46052</v>
      </c>
      <c r="D710" s="66">
        <v>46075</v>
      </c>
      <c r="E710" s="67">
        <v>44</v>
      </c>
      <c r="F710" s="68">
        <v>281.99340000000001</v>
      </c>
      <c r="G710" s="69">
        <v>200</v>
      </c>
      <c r="H710" s="70" t="s">
        <v>1527</v>
      </c>
      <c r="I710" s="70" t="s">
        <v>24</v>
      </c>
      <c r="J710" s="65" t="s">
        <v>24</v>
      </c>
      <c r="K710" s="48">
        <f t="shared" si="158"/>
        <v>46083</v>
      </c>
      <c r="L710" s="48">
        <f t="shared" si="159"/>
        <v>46143</v>
      </c>
      <c r="M710" s="71"/>
      <c r="N710" s="72">
        <f t="shared" si="166"/>
        <v>44</v>
      </c>
      <c r="O710" s="50">
        <f t="shared" si="149"/>
        <v>281.99340000000001</v>
      </c>
      <c r="P710" s="56">
        <f t="shared" si="163"/>
        <v>200.00000000000003</v>
      </c>
      <c r="Q710" s="73"/>
      <c r="R710" s="58"/>
      <c r="S710" s="200" t="s">
        <v>1533</v>
      </c>
      <c r="T710" s="201">
        <v>68</v>
      </c>
      <c r="U710" s="58" t="s">
        <v>609</v>
      </c>
      <c r="V710" s="46"/>
      <c r="W710" s="46"/>
      <c r="X710" s="62" t="s">
        <v>25</v>
      </c>
      <c r="Y710" s="63">
        <f t="shared" si="153"/>
        <v>6.4089409090909095</v>
      </c>
      <c r="Z710" s="64">
        <f t="shared" ref="Z710:Z711" si="167">E710-N710</f>
        <v>0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</row>
    <row r="711" spans="1:48" ht="18" customHeight="1">
      <c r="A711" s="206">
        <v>20260030</v>
      </c>
      <c r="B711" s="207" t="s">
        <v>1327</v>
      </c>
      <c r="C711" s="208">
        <v>46052</v>
      </c>
      <c r="D711" s="208">
        <v>46075</v>
      </c>
      <c r="E711" s="209">
        <v>3640</v>
      </c>
      <c r="F711" s="210">
        <v>4013.1</v>
      </c>
      <c r="G711" s="211">
        <v>3167</v>
      </c>
      <c r="H711" s="212" t="s">
        <v>144</v>
      </c>
      <c r="I711" s="212" t="s">
        <v>271</v>
      </c>
      <c r="J711" s="207" t="s">
        <v>92</v>
      </c>
      <c r="K711" s="213">
        <f t="shared" si="158"/>
        <v>46083</v>
      </c>
      <c r="L711" s="213">
        <f t="shared" si="159"/>
        <v>46143</v>
      </c>
      <c r="M711" s="214"/>
      <c r="N711" s="215">
        <f>E711-3636</f>
        <v>4</v>
      </c>
      <c r="O711" s="216">
        <f t="shared" si="149"/>
        <v>4.41</v>
      </c>
      <c r="P711" s="218">
        <f t="shared" si="163"/>
        <v>3.4802197802197803</v>
      </c>
      <c r="Q711" s="73"/>
      <c r="R711" s="58"/>
      <c r="S711" s="200" t="s">
        <v>1534</v>
      </c>
      <c r="T711" s="201">
        <v>5</v>
      </c>
      <c r="U711" s="58" t="s">
        <v>1535</v>
      </c>
      <c r="V711" s="46"/>
      <c r="W711" s="46"/>
      <c r="X711" s="99" t="s">
        <v>76</v>
      </c>
      <c r="Y711" s="63">
        <f t="shared" si="153"/>
        <v>1.1025</v>
      </c>
      <c r="Z711" s="64">
        <f t="shared" si="167"/>
        <v>3636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</row>
    <row r="712" spans="1:48" ht="18" customHeight="1">
      <c r="A712" s="106">
        <v>20260030</v>
      </c>
      <c r="B712" s="107" t="s">
        <v>1327</v>
      </c>
      <c r="C712" s="108">
        <v>46052</v>
      </c>
      <c r="D712" s="108">
        <v>46075</v>
      </c>
      <c r="E712" s="106">
        <v>910</v>
      </c>
      <c r="F712" s="106">
        <v>1003.275</v>
      </c>
      <c r="G712" s="106">
        <v>792</v>
      </c>
      <c r="H712" s="109" t="s">
        <v>996</v>
      </c>
      <c r="I712" s="109" t="s">
        <v>271</v>
      </c>
      <c r="J712" s="107" t="s">
        <v>92</v>
      </c>
      <c r="K712" s="108">
        <f t="shared" si="158"/>
        <v>46083</v>
      </c>
      <c r="L712" s="108">
        <f t="shared" si="159"/>
        <v>46143</v>
      </c>
      <c r="M712" s="111"/>
      <c r="N712" s="112">
        <f>E712-782-78-50</f>
        <v>0</v>
      </c>
      <c r="O712" s="113">
        <f t="shared" si="149"/>
        <v>0</v>
      </c>
      <c r="P712" s="112">
        <f t="shared" si="163"/>
        <v>0</v>
      </c>
      <c r="Q712" s="109"/>
      <c r="R712" s="109"/>
      <c r="S712" s="109" t="s">
        <v>1536</v>
      </c>
      <c r="T712" s="114">
        <v>6</v>
      </c>
      <c r="U712" s="109" t="s">
        <v>1537</v>
      </c>
      <c r="V712" s="106"/>
      <c r="W712" s="106"/>
      <c r="X712" s="106" t="s">
        <v>55</v>
      </c>
      <c r="Y712" s="63">
        <f t="shared" si="153"/>
        <v>1.1025</v>
      </c>
      <c r="Z712" s="30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</row>
    <row r="713" spans="1:48" ht="18" customHeight="1">
      <c r="A713" s="206">
        <v>20260030</v>
      </c>
      <c r="B713" s="207" t="s">
        <v>1327</v>
      </c>
      <c r="C713" s="208">
        <v>46052</v>
      </c>
      <c r="D713" s="208">
        <v>46075</v>
      </c>
      <c r="E713" s="209">
        <v>460</v>
      </c>
      <c r="F713" s="210">
        <v>507.38</v>
      </c>
      <c r="G713" s="211">
        <v>400</v>
      </c>
      <c r="H713" s="212" t="s">
        <v>1538</v>
      </c>
      <c r="I713" s="212" t="s">
        <v>271</v>
      </c>
      <c r="J713" s="207" t="s">
        <v>92</v>
      </c>
      <c r="K713" s="213">
        <f t="shared" si="158"/>
        <v>46083</v>
      </c>
      <c r="L713" s="213">
        <f t="shared" si="159"/>
        <v>46143</v>
      </c>
      <c r="M713" s="214"/>
      <c r="N713" s="215">
        <f>E713-87-209-116</f>
        <v>48</v>
      </c>
      <c r="O713" s="216">
        <f t="shared" ref="O713:O776" si="168">F713/E713*N713</f>
        <v>52.944000000000003</v>
      </c>
      <c r="P713" s="218">
        <f t="shared" si="163"/>
        <v>41.739130434782609</v>
      </c>
      <c r="Q713" s="73"/>
      <c r="R713" s="58"/>
      <c r="S713" s="200" t="s">
        <v>1539</v>
      </c>
      <c r="T713" s="201">
        <v>119</v>
      </c>
      <c r="U713" s="58" t="s">
        <v>1540</v>
      </c>
      <c r="V713" s="46"/>
      <c r="W713" s="46"/>
      <c r="X713" s="99" t="s">
        <v>76</v>
      </c>
      <c r="Y713" s="63">
        <f t="shared" si="153"/>
        <v>1.103</v>
      </c>
      <c r="Z713" s="64">
        <f t="shared" ref="Z713" si="169">E713-N713</f>
        <v>412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</row>
    <row r="714" spans="1:48" ht="18" customHeight="1">
      <c r="A714" s="106">
        <v>20260030</v>
      </c>
      <c r="B714" s="107" t="s">
        <v>1327</v>
      </c>
      <c r="C714" s="108">
        <v>46052</v>
      </c>
      <c r="D714" s="108">
        <v>46075</v>
      </c>
      <c r="E714" s="106">
        <v>250</v>
      </c>
      <c r="F714" s="106">
        <v>426.15</v>
      </c>
      <c r="G714" s="106">
        <v>108</v>
      </c>
      <c r="H714" s="109" t="s">
        <v>1541</v>
      </c>
      <c r="I714" s="109" t="s">
        <v>402</v>
      </c>
      <c r="J714" s="107" t="s">
        <v>123</v>
      </c>
      <c r="K714" s="108">
        <f t="shared" si="158"/>
        <v>46083</v>
      </c>
      <c r="L714" s="108">
        <f t="shared" si="159"/>
        <v>46143</v>
      </c>
      <c r="M714" s="111"/>
      <c r="N714" s="112">
        <f>E714-136-114</f>
        <v>0</v>
      </c>
      <c r="O714" s="113">
        <f t="shared" si="168"/>
        <v>0</v>
      </c>
      <c r="P714" s="112">
        <f t="shared" si="163"/>
        <v>0</v>
      </c>
      <c r="Q714" s="109"/>
      <c r="R714" s="109"/>
      <c r="S714" s="109" t="s">
        <v>1542</v>
      </c>
      <c r="T714" s="114">
        <v>99</v>
      </c>
      <c r="U714" s="109" t="s">
        <v>1543</v>
      </c>
      <c r="V714" s="106"/>
      <c r="W714" s="106"/>
      <c r="X714" s="106" t="s">
        <v>55</v>
      </c>
      <c r="Y714" s="63">
        <f t="shared" si="153"/>
        <v>1.7045999999999999</v>
      </c>
      <c r="Z714" s="30"/>
      <c r="AB714" s="202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</row>
    <row r="715" spans="1:48" ht="18" customHeight="1">
      <c r="A715" s="206">
        <v>20260030</v>
      </c>
      <c r="B715" s="207" t="s">
        <v>1327</v>
      </c>
      <c r="C715" s="208">
        <v>46052</v>
      </c>
      <c r="D715" s="208">
        <v>46075</v>
      </c>
      <c r="E715" s="209">
        <v>230</v>
      </c>
      <c r="F715" s="210">
        <v>542.75</v>
      </c>
      <c r="G715" s="211">
        <v>99</v>
      </c>
      <c r="H715" s="212" t="s">
        <v>906</v>
      </c>
      <c r="I715" s="212" t="s">
        <v>402</v>
      </c>
      <c r="J715" s="207" t="s">
        <v>123</v>
      </c>
      <c r="K715" s="213">
        <f t="shared" si="158"/>
        <v>46083</v>
      </c>
      <c r="L715" s="213">
        <f t="shared" si="159"/>
        <v>46143</v>
      </c>
      <c r="M715" s="214"/>
      <c r="N715" s="215">
        <f>E715-20-40-72-60-20</f>
        <v>18</v>
      </c>
      <c r="O715" s="216">
        <f t="shared" si="168"/>
        <v>42.47608695652174</v>
      </c>
      <c r="P715" s="218">
        <f t="shared" si="163"/>
        <v>7.7478260869565219</v>
      </c>
      <c r="Q715" s="73"/>
      <c r="R715" s="58"/>
      <c r="S715" s="200" t="s">
        <v>1544</v>
      </c>
      <c r="T715" s="201">
        <v>100</v>
      </c>
      <c r="U715" s="58" t="s">
        <v>1543</v>
      </c>
      <c r="V715" s="46"/>
      <c r="W715" s="46"/>
      <c r="X715" s="99" t="s">
        <v>76</v>
      </c>
      <c r="Y715" s="63">
        <f t="shared" si="153"/>
        <v>2.3597826086956522</v>
      </c>
      <c r="Z715" s="64">
        <f t="shared" ref="Z715:Z716" si="170">E715-N715</f>
        <v>212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</row>
    <row r="716" spans="1:48" ht="18" customHeight="1">
      <c r="A716" s="206">
        <v>20260030</v>
      </c>
      <c r="B716" s="207" t="s">
        <v>1327</v>
      </c>
      <c r="C716" s="208">
        <v>46052</v>
      </c>
      <c r="D716" s="208">
        <v>46075</v>
      </c>
      <c r="E716" s="209">
        <v>410</v>
      </c>
      <c r="F716" s="210">
        <v>895.25</v>
      </c>
      <c r="G716" s="211">
        <v>177</v>
      </c>
      <c r="H716" s="212" t="s">
        <v>1545</v>
      </c>
      <c r="I716" s="212" t="s">
        <v>402</v>
      </c>
      <c r="J716" s="207" t="s">
        <v>123</v>
      </c>
      <c r="K716" s="213">
        <f t="shared" si="158"/>
        <v>46083</v>
      </c>
      <c r="L716" s="213">
        <f t="shared" si="159"/>
        <v>46143</v>
      </c>
      <c r="M716" s="214"/>
      <c r="N716" s="215">
        <f>E716-60-40-100-100-40-20-38</f>
        <v>12</v>
      </c>
      <c r="O716" s="216">
        <f t="shared" si="168"/>
        <v>26.202439024390245</v>
      </c>
      <c r="P716" s="218">
        <f t="shared" si="163"/>
        <v>5.1804878048780489</v>
      </c>
      <c r="Q716" s="73"/>
      <c r="R716" s="58"/>
      <c r="S716" s="200" t="s">
        <v>1546</v>
      </c>
      <c r="T716" s="201">
        <v>101</v>
      </c>
      <c r="U716" s="58" t="s">
        <v>1543</v>
      </c>
      <c r="V716" s="46"/>
      <c r="W716" s="46"/>
      <c r="X716" s="99" t="s">
        <v>76</v>
      </c>
      <c r="Y716" s="63">
        <f t="shared" si="153"/>
        <v>2.1835365853658537</v>
      </c>
      <c r="Z716" s="64">
        <f t="shared" si="170"/>
        <v>398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</row>
    <row r="717" spans="1:48" ht="18" customHeight="1">
      <c r="A717" s="106">
        <v>20260030</v>
      </c>
      <c r="B717" s="107" t="s">
        <v>1327</v>
      </c>
      <c r="C717" s="108">
        <v>46052</v>
      </c>
      <c r="D717" s="108">
        <v>46075</v>
      </c>
      <c r="E717" s="106">
        <v>80</v>
      </c>
      <c r="F717" s="106">
        <v>168.4</v>
      </c>
      <c r="G717" s="106">
        <v>35</v>
      </c>
      <c r="H717" s="109" t="s">
        <v>1545</v>
      </c>
      <c r="I717" s="109" t="s">
        <v>402</v>
      </c>
      <c r="J717" s="107" t="s">
        <v>123</v>
      </c>
      <c r="K717" s="108">
        <f t="shared" si="158"/>
        <v>46083</v>
      </c>
      <c r="L717" s="108">
        <f t="shared" si="159"/>
        <v>46143</v>
      </c>
      <c r="M717" s="111"/>
      <c r="N717" s="112">
        <f>E717-80</f>
        <v>0</v>
      </c>
      <c r="O717" s="113">
        <f t="shared" si="168"/>
        <v>0</v>
      </c>
      <c r="P717" s="112">
        <f t="shared" si="163"/>
        <v>0</v>
      </c>
      <c r="Q717" s="109"/>
      <c r="R717" s="109"/>
      <c r="S717" s="109" t="s">
        <v>1547</v>
      </c>
      <c r="T717" s="114">
        <v>106</v>
      </c>
      <c r="U717" s="109" t="s">
        <v>1548</v>
      </c>
      <c r="V717" s="106"/>
      <c r="W717" s="106"/>
      <c r="X717" s="106" t="s">
        <v>55</v>
      </c>
      <c r="Y717" s="63">
        <f t="shared" si="153"/>
        <v>2.105</v>
      </c>
      <c r="Z717" s="30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</row>
    <row r="718" spans="1:48" ht="18" customHeight="1">
      <c r="A718" s="206">
        <v>20260030</v>
      </c>
      <c r="B718" s="207" t="s">
        <v>1327</v>
      </c>
      <c r="C718" s="208">
        <v>46052</v>
      </c>
      <c r="D718" s="208">
        <v>46075</v>
      </c>
      <c r="E718" s="209">
        <v>247</v>
      </c>
      <c r="F718" s="210">
        <v>248.25</v>
      </c>
      <c r="G718" s="211">
        <v>107</v>
      </c>
      <c r="H718" s="212" t="s">
        <v>1549</v>
      </c>
      <c r="I718" s="212" t="s">
        <v>402</v>
      </c>
      <c r="J718" s="207" t="s">
        <v>123</v>
      </c>
      <c r="K718" s="213">
        <f t="shared" si="158"/>
        <v>46083</v>
      </c>
      <c r="L718" s="213">
        <f t="shared" si="159"/>
        <v>46143</v>
      </c>
      <c r="M718" s="214"/>
      <c r="N718" s="215">
        <f>E718-120-80-40</f>
        <v>7</v>
      </c>
      <c r="O718" s="216">
        <f t="shared" si="168"/>
        <v>7.0354251012145754</v>
      </c>
      <c r="P718" s="218">
        <f t="shared" si="163"/>
        <v>3.0323886639676112</v>
      </c>
      <c r="Q718" s="73"/>
      <c r="R718" s="58"/>
      <c r="S718" s="200" t="s">
        <v>1550</v>
      </c>
      <c r="T718" s="201">
        <v>103</v>
      </c>
      <c r="U718" s="58" t="s">
        <v>910</v>
      </c>
      <c r="V718" s="46"/>
      <c r="W718" s="46"/>
      <c r="X718" s="99" t="s">
        <v>76</v>
      </c>
      <c r="Y718" s="63">
        <f t="shared" si="153"/>
        <v>1.0050607287449393</v>
      </c>
      <c r="Z718" s="64">
        <f t="shared" ref="Z718:Z721" si="171">E718-N718</f>
        <v>240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</row>
    <row r="719" spans="1:48" ht="18" customHeight="1">
      <c r="A719" s="206">
        <v>20260030</v>
      </c>
      <c r="B719" s="207" t="s">
        <v>1327</v>
      </c>
      <c r="C719" s="208">
        <v>46052</v>
      </c>
      <c r="D719" s="208">
        <v>46075</v>
      </c>
      <c r="E719" s="209">
        <v>247</v>
      </c>
      <c r="F719" s="210">
        <v>248.25</v>
      </c>
      <c r="G719" s="211">
        <v>107</v>
      </c>
      <c r="H719" s="212" t="s">
        <v>1549</v>
      </c>
      <c r="I719" s="212" t="s">
        <v>402</v>
      </c>
      <c r="J719" s="207" t="s">
        <v>123</v>
      </c>
      <c r="K719" s="213">
        <f t="shared" si="158"/>
        <v>46083</v>
      </c>
      <c r="L719" s="213">
        <f t="shared" si="159"/>
        <v>46143</v>
      </c>
      <c r="M719" s="214"/>
      <c r="N719" s="215">
        <f>E719-240</f>
        <v>7</v>
      </c>
      <c r="O719" s="216">
        <f t="shared" si="168"/>
        <v>7.0354251012145754</v>
      </c>
      <c r="P719" s="218">
        <f t="shared" si="163"/>
        <v>3.0323886639676112</v>
      </c>
      <c r="Q719" s="73"/>
      <c r="R719" s="58"/>
      <c r="S719" s="200" t="s">
        <v>1551</v>
      </c>
      <c r="T719" s="201">
        <v>103</v>
      </c>
      <c r="U719" s="58" t="s">
        <v>910</v>
      </c>
      <c r="V719" s="46"/>
      <c r="W719" s="46"/>
      <c r="X719" s="99" t="s">
        <v>76</v>
      </c>
      <c r="Y719" s="63">
        <f t="shared" si="153"/>
        <v>1.0050607287449393</v>
      </c>
      <c r="Z719" s="64">
        <f t="shared" si="171"/>
        <v>240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</row>
    <row r="720" spans="1:48" ht="18" customHeight="1">
      <c r="A720" s="63">
        <v>20260030</v>
      </c>
      <c r="B720" s="65" t="s">
        <v>1327</v>
      </c>
      <c r="C720" s="66">
        <v>46052</v>
      </c>
      <c r="D720" s="66">
        <v>46075</v>
      </c>
      <c r="E720" s="67">
        <v>120</v>
      </c>
      <c r="F720" s="68">
        <v>188.46</v>
      </c>
      <c r="G720" s="69">
        <v>52</v>
      </c>
      <c r="H720" s="70" t="s">
        <v>1552</v>
      </c>
      <c r="I720" s="70" t="s">
        <v>402</v>
      </c>
      <c r="J720" s="65" t="s">
        <v>123</v>
      </c>
      <c r="K720" s="48">
        <f t="shared" si="158"/>
        <v>46083</v>
      </c>
      <c r="L720" s="48">
        <f t="shared" si="159"/>
        <v>46143</v>
      </c>
      <c r="M720" s="71"/>
      <c r="N720" s="72">
        <f>E720</f>
        <v>120</v>
      </c>
      <c r="O720" s="50">
        <f t="shared" si="168"/>
        <v>188.46</v>
      </c>
      <c r="P720" s="56">
        <f t="shared" si="163"/>
        <v>52</v>
      </c>
      <c r="Q720" s="73"/>
      <c r="R720" s="58"/>
      <c r="S720" s="200" t="s">
        <v>1553</v>
      </c>
      <c r="T720" s="201">
        <v>104</v>
      </c>
      <c r="U720" s="58" t="s">
        <v>910</v>
      </c>
      <c r="V720" s="46"/>
      <c r="W720" s="46"/>
      <c r="X720" s="62" t="s">
        <v>25</v>
      </c>
      <c r="Y720" s="63">
        <f t="shared" si="153"/>
        <v>1.5705</v>
      </c>
      <c r="Z720" s="64">
        <f t="shared" si="171"/>
        <v>0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</row>
    <row r="721" spans="1:48" ht="18" customHeight="1">
      <c r="A721" s="206">
        <v>20260030</v>
      </c>
      <c r="B721" s="207" t="s">
        <v>1327</v>
      </c>
      <c r="C721" s="208">
        <v>46052</v>
      </c>
      <c r="D721" s="208">
        <v>46075</v>
      </c>
      <c r="E721" s="209">
        <v>68</v>
      </c>
      <c r="F721" s="210">
        <v>107.38500000000001</v>
      </c>
      <c r="G721" s="211">
        <v>29</v>
      </c>
      <c r="H721" s="212" t="s">
        <v>1554</v>
      </c>
      <c r="I721" s="212" t="s">
        <v>402</v>
      </c>
      <c r="J721" s="207" t="s">
        <v>123</v>
      </c>
      <c r="K721" s="213">
        <f t="shared" si="158"/>
        <v>46083</v>
      </c>
      <c r="L721" s="213">
        <f t="shared" si="159"/>
        <v>46143</v>
      </c>
      <c r="M721" s="214"/>
      <c r="N721" s="215">
        <f>E721-40-20</f>
        <v>8</v>
      </c>
      <c r="O721" s="216">
        <f t="shared" si="168"/>
        <v>12.633529411764707</v>
      </c>
      <c r="P721" s="218">
        <f t="shared" si="163"/>
        <v>3.4117647058823528</v>
      </c>
      <c r="Q721" s="73"/>
      <c r="R721" s="58"/>
      <c r="S721" s="200" t="s">
        <v>1555</v>
      </c>
      <c r="T721" s="201">
        <v>105</v>
      </c>
      <c r="U721" s="58" t="s">
        <v>910</v>
      </c>
      <c r="V721" s="46"/>
      <c r="W721" s="46"/>
      <c r="X721" s="99" t="s">
        <v>76</v>
      </c>
      <c r="Y721" s="63">
        <f t="shared" si="153"/>
        <v>1.5791911764705884</v>
      </c>
      <c r="Z721" s="64">
        <f t="shared" si="171"/>
        <v>60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</row>
    <row r="722" spans="1:48" ht="18" customHeight="1">
      <c r="A722" s="106">
        <v>20260030</v>
      </c>
      <c r="B722" s="107" t="s">
        <v>1327</v>
      </c>
      <c r="C722" s="108">
        <v>46052</v>
      </c>
      <c r="D722" s="108">
        <v>46075</v>
      </c>
      <c r="E722" s="106">
        <v>75</v>
      </c>
      <c r="F722" s="106">
        <v>159.375</v>
      </c>
      <c r="G722" s="106">
        <v>32</v>
      </c>
      <c r="H722" s="109" t="s">
        <v>1556</v>
      </c>
      <c r="I722" s="109" t="s">
        <v>402</v>
      </c>
      <c r="J722" s="107" t="s">
        <v>123</v>
      </c>
      <c r="K722" s="108">
        <f t="shared" si="158"/>
        <v>46083</v>
      </c>
      <c r="L722" s="108">
        <f t="shared" si="159"/>
        <v>46143</v>
      </c>
      <c r="M722" s="111"/>
      <c r="N722" s="112">
        <f>E722-40-35</f>
        <v>0</v>
      </c>
      <c r="O722" s="113">
        <f t="shared" si="168"/>
        <v>0</v>
      </c>
      <c r="P722" s="112">
        <f t="shared" si="163"/>
        <v>0</v>
      </c>
      <c r="Q722" s="109"/>
      <c r="R722" s="109"/>
      <c r="S722" s="109" t="s">
        <v>1557</v>
      </c>
      <c r="T722" s="114">
        <v>107</v>
      </c>
      <c r="U722" s="109" t="s">
        <v>1543</v>
      </c>
      <c r="V722" s="106"/>
      <c r="W722" s="106"/>
      <c r="X722" s="106" t="s">
        <v>55</v>
      </c>
      <c r="Y722" s="63">
        <f t="shared" si="153"/>
        <v>2.125</v>
      </c>
      <c r="Z722" s="30"/>
      <c r="AB722" s="20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</row>
    <row r="723" spans="1:48" ht="18" customHeight="1">
      <c r="A723" s="106">
        <v>20260030</v>
      </c>
      <c r="B723" s="107" t="s">
        <v>1327</v>
      </c>
      <c r="C723" s="108">
        <v>46052</v>
      </c>
      <c r="D723" s="108">
        <v>46075</v>
      </c>
      <c r="E723" s="106">
        <v>18</v>
      </c>
      <c r="F723" s="106">
        <v>231.28</v>
      </c>
      <c r="G723" s="106">
        <v>16</v>
      </c>
      <c r="H723" s="109" t="s">
        <v>1558</v>
      </c>
      <c r="I723" s="109" t="s">
        <v>72</v>
      </c>
      <c r="J723" s="107" t="s">
        <v>72</v>
      </c>
      <c r="K723" s="108">
        <f t="shared" si="158"/>
        <v>46083</v>
      </c>
      <c r="L723" s="108">
        <f t="shared" si="159"/>
        <v>46143</v>
      </c>
      <c r="M723" s="111"/>
      <c r="N723" s="112">
        <f>E723-8-4-4-2</f>
        <v>0</v>
      </c>
      <c r="O723" s="113">
        <f t="shared" si="168"/>
        <v>0</v>
      </c>
      <c r="P723" s="112">
        <f t="shared" si="163"/>
        <v>0</v>
      </c>
      <c r="Q723" s="109"/>
      <c r="R723" s="109"/>
      <c r="S723" s="109" t="s">
        <v>1559</v>
      </c>
      <c r="T723" s="114">
        <v>122</v>
      </c>
      <c r="U723" s="109" t="s">
        <v>666</v>
      </c>
      <c r="V723" s="106"/>
      <c r="W723" s="106"/>
      <c r="X723" s="106" t="s">
        <v>55</v>
      </c>
      <c r="Y723" s="63">
        <f t="shared" si="153"/>
        <v>12.848888888888888</v>
      </c>
      <c r="Z723" s="30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</row>
    <row r="724" spans="1:48" ht="18" customHeight="1">
      <c r="A724" s="206">
        <v>20260030</v>
      </c>
      <c r="B724" s="207" t="s">
        <v>1327</v>
      </c>
      <c r="C724" s="208">
        <v>46052</v>
      </c>
      <c r="D724" s="208">
        <v>46075</v>
      </c>
      <c r="E724" s="209">
        <v>208</v>
      </c>
      <c r="F724" s="210">
        <v>2172.4349999999999</v>
      </c>
      <c r="G724" s="211">
        <v>181</v>
      </c>
      <c r="H724" s="212" t="s">
        <v>1558</v>
      </c>
      <c r="I724" s="212" t="s">
        <v>72</v>
      </c>
      <c r="J724" s="207" t="s">
        <v>72</v>
      </c>
      <c r="K724" s="213">
        <f t="shared" si="158"/>
        <v>46083</v>
      </c>
      <c r="L724" s="213">
        <f t="shared" si="159"/>
        <v>46143</v>
      </c>
      <c r="M724" s="214"/>
      <c r="N724" s="215">
        <f>E724-20-20-10-13-14-18-18-18-8-13-48</f>
        <v>8</v>
      </c>
      <c r="O724" s="216">
        <f t="shared" si="168"/>
        <v>83.555192307692309</v>
      </c>
      <c r="P724" s="218">
        <f t="shared" si="163"/>
        <v>6.9615384615384617</v>
      </c>
      <c r="Q724" s="73"/>
      <c r="R724" s="58"/>
      <c r="S724" s="200" t="s">
        <v>1560</v>
      </c>
      <c r="T724" s="201">
        <v>123</v>
      </c>
      <c r="U724" s="58" t="s">
        <v>666</v>
      </c>
      <c r="V724" s="46"/>
      <c r="W724" s="46"/>
      <c r="X724" s="99" t="s">
        <v>76</v>
      </c>
      <c r="Y724" s="63">
        <f t="shared" si="153"/>
        <v>10.444399038461539</v>
      </c>
      <c r="Z724" s="64">
        <f t="shared" ref="Z724:Z727" si="172">E724-N724</f>
        <v>200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</row>
    <row r="725" spans="1:48" ht="18" customHeight="1">
      <c r="A725" s="206">
        <v>20260030</v>
      </c>
      <c r="B725" s="207" t="s">
        <v>1327</v>
      </c>
      <c r="C725" s="208">
        <v>46052</v>
      </c>
      <c r="D725" s="208">
        <v>46075</v>
      </c>
      <c r="E725" s="209">
        <v>307</v>
      </c>
      <c r="F725" s="210">
        <v>3708.75</v>
      </c>
      <c r="G725" s="211">
        <v>267</v>
      </c>
      <c r="H725" s="212" t="s">
        <v>1561</v>
      </c>
      <c r="I725" s="212" t="s">
        <v>72</v>
      </c>
      <c r="J725" s="207" t="s">
        <v>72</v>
      </c>
      <c r="K725" s="213">
        <f t="shared" si="158"/>
        <v>46083</v>
      </c>
      <c r="L725" s="213">
        <f t="shared" si="159"/>
        <v>46143</v>
      </c>
      <c r="M725" s="214"/>
      <c r="N725" s="215">
        <f>E725-20-20-20-28-8-16-4-28-32-24-8</f>
        <v>99</v>
      </c>
      <c r="O725" s="216">
        <f t="shared" si="168"/>
        <v>1195.9812703583061</v>
      </c>
      <c r="P725" s="218">
        <f t="shared" si="163"/>
        <v>86.10097719869708</v>
      </c>
      <c r="Q725" s="73"/>
      <c r="R725" s="58"/>
      <c r="S725" s="200" t="s">
        <v>1562</v>
      </c>
      <c r="T725" s="201">
        <v>124</v>
      </c>
      <c r="U725" s="58" t="s">
        <v>538</v>
      </c>
      <c r="V725" s="46"/>
      <c r="W725" s="46"/>
      <c r="X725" s="99" t="s">
        <v>76</v>
      </c>
      <c r="Y725" s="63">
        <f t="shared" si="153"/>
        <v>12.080618892508143</v>
      </c>
      <c r="Z725" s="64">
        <f t="shared" si="172"/>
        <v>208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</row>
    <row r="726" spans="1:48" ht="18" customHeight="1">
      <c r="A726" s="206">
        <v>20260030</v>
      </c>
      <c r="B726" s="207" t="s">
        <v>1327</v>
      </c>
      <c r="C726" s="208">
        <v>46052</v>
      </c>
      <c r="D726" s="208">
        <v>46075</v>
      </c>
      <c r="E726" s="209">
        <v>242</v>
      </c>
      <c r="F726" s="210">
        <v>2970.5</v>
      </c>
      <c r="G726" s="211">
        <v>211</v>
      </c>
      <c r="H726" s="212" t="s">
        <v>664</v>
      </c>
      <c r="I726" s="212" t="s">
        <v>72</v>
      </c>
      <c r="J726" s="207" t="s">
        <v>72</v>
      </c>
      <c r="K726" s="213">
        <f t="shared" si="158"/>
        <v>46083</v>
      </c>
      <c r="L726" s="213">
        <f t="shared" si="159"/>
        <v>46143</v>
      </c>
      <c r="M726" s="214"/>
      <c r="N726" s="215">
        <f>E726-16-12-16</f>
        <v>198</v>
      </c>
      <c r="O726" s="216">
        <f t="shared" si="168"/>
        <v>2430.4090909090905</v>
      </c>
      <c r="P726" s="218">
        <f t="shared" si="163"/>
        <v>172.63636363636363</v>
      </c>
      <c r="Q726" s="73"/>
      <c r="R726" s="58"/>
      <c r="S726" s="200" t="s">
        <v>1563</v>
      </c>
      <c r="T726" s="201">
        <v>125</v>
      </c>
      <c r="U726" s="58" t="s">
        <v>1564</v>
      </c>
      <c r="V726" s="46"/>
      <c r="W726" s="46"/>
      <c r="X726" s="182" t="s">
        <v>76</v>
      </c>
      <c r="Y726" s="63">
        <f t="shared" ref="Y726:Y789" si="173">F726/E726</f>
        <v>12.274793388429751</v>
      </c>
      <c r="Z726" s="64">
        <f t="shared" si="172"/>
        <v>44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</row>
    <row r="727" spans="1:48" ht="18" customHeight="1">
      <c r="A727" s="206">
        <v>20260030</v>
      </c>
      <c r="B727" s="207" t="s">
        <v>1327</v>
      </c>
      <c r="C727" s="208">
        <v>46052</v>
      </c>
      <c r="D727" s="208">
        <v>46075</v>
      </c>
      <c r="E727" s="209">
        <v>250</v>
      </c>
      <c r="F727" s="210">
        <v>2993.3249999999998</v>
      </c>
      <c r="G727" s="211">
        <v>218</v>
      </c>
      <c r="H727" s="212" t="s">
        <v>1565</v>
      </c>
      <c r="I727" s="212" t="s">
        <v>72</v>
      </c>
      <c r="J727" s="207" t="s">
        <v>72</v>
      </c>
      <c r="K727" s="213">
        <f t="shared" si="158"/>
        <v>46083</v>
      </c>
      <c r="L727" s="213">
        <f t="shared" si="159"/>
        <v>46143</v>
      </c>
      <c r="M727" s="214"/>
      <c r="N727" s="215">
        <f>E727-12-16-28-12-28-16-20-20-72-20</f>
        <v>6</v>
      </c>
      <c r="O727" s="216">
        <f t="shared" si="168"/>
        <v>71.839799999999997</v>
      </c>
      <c r="P727" s="218">
        <f t="shared" si="163"/>
        <v>5.2320000000000002</v>
      </c>
      <c r="Q727" s="73"/>
      <c r="R727" s="58"/>
      <c r="S727" s="200" t="s">
        <v>1566</v>
      </c>
      <c r="T727" s="201">
        <v>126</v>
      </c>
      <c r="U727" s="58" t="s">
        <v>538</v>
      </c>
      <c r="V727" s="46"/>
      <c r="W727" s="46"/>
      <c r="X727" s="99" t="s">
        <v>76</v>
      </c>
      <c r="Y727" s="63">
        <f t="shared" si="173"/>
        <v>11.9733</v>
      </c>
      <c r="Z727" s="64">
        <f t="shared" si="172"/>
        <v>244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</row>
    <row r="728" spans="1:48" ht="18" customHeight="1">
      <c r="A728" s="106">
        <v>20260030</v>
      </c>
      <c r="B728" s="107" t="s">
        <v>1327</v>
      </c>
      <c r="C728" s="108">
        <v>46052</v>
      </c>
      <c r="D728" s="108">
        <v>46075</v>
      </c>
      <c r="E728" s="106">
        <v>39</v>
      </c>
      <c r="F728" s="106">
        <v>253.40799999999999</v>
      </c>
      <c r="G728" s="106">
        <v>34</v>
      </c>
      <c r="H728" s="109" t="s">
        <v>1567</v>
      </c>
      <c r="I728" s="109" t="s">
        <v>72</v>
      </c>
      <c r="J728" s="107" t="s">
        <v>72</v>
      </c>
      <c r="K728" s="108">
        <f t="shared" si="158"/>
        <v>46083</v>
      </c>
      <c r="L728" s="108">
        <f t="shared" si="159"/>
        <v>46143</v>
      </c>
      <c r="M728" s="111"/>
      <c r="N728" s="112">
        <f>E728-16-16-7</f>
        <v>0</v>
      </c>
      <c r="O728" s="113">
        <f t="shared" si="168"/>
        <v>0</v>
      </c>
      <c r="P728" s="112">
        <f t="shared" si="163"/>
        <v>0</v>
      </c>
      <c r="Q728" s="109"/>
      <c r="R728" s="109"/>
      <c r="S728" s="109" t="s">
        <v>1568</v>
      </c>
      <c r="T728" s="114">
        <v>127</v>
      </c>
      <c r="U728" s="109" t="s">
        <v>1569</v>
      </c>
      <c r="V728" s="106"/>
      <c r="W728" s="106"/>
      <c r="X728" s="106" t="s">
        <v>55</v>
      </c>
      <c r="Y728" s="63">
        <f t="shared" si="173"/>
        <v>6.4976410256410251</v>
      </c>
      <c r="Z728" s="30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</row>
    <row r="729" spans="1:48" ht="18" customHeight="1">
      <c r="A729" s="106">
        <v>20260030</v>
      </c>
      <c r="B729" s="107" t="s">
        <v>1327</v>
      </c>
      <c r="C729" s="108">
        <v>46052</v>
      </c>
      <c r="D729" s="108">
        <v>46075</v>
      </c>
      <c r="E729" s="106">
        <v>39</v>
      </c>
      <c r="F729" s="106">
        <v>252.72</v>
      </c>
      <c r="G729" s="106">
        <v>34</v>
      </c>
      <c r="H729" s="109" t="s">
        <v>1567</v>
      </c>
      <c r="I729" s="109" t="s">
        <v>72</v>
      </c>
      <c r="J729" s="107" t="s">
        <v>72</v>
      </c>
      <c r="K729" s="108">
        <f t="shared" si="158"/>
        <v>46083</v>
      </c>
      <c r="L729" s="108">
        <f t="shared" si="159"/>
        <v>46143</v>
      </c>
      <c r="M729" s="111"/>
      <c r="N729" s="112">
        <f>E729-24-7-8</f>
        <v>0</v>
      </c>
      <c r="O729" s="113">
        <f t="shared" si="168"/>
        <v>0</v>
      </c>
      <c r="P729" s="112">
        <f t="shared" si="163"/>
        <v>0</v>
      </c>
      <c r="Q729" s="109"/>
      <c r="R729" s="109"/>
      <c r="S729" s="109" t="s">
        <v>1570</v>
      </c>
      <c r="T729" s="114">
        <v>128</v>
      </c>
      <c r="U729" s="109" t="s">
        <v>1569</v>
      </c>
      <c r="V729" s="106"/>
      <c r="W729" s="106"/>
      <c r="X729" s="106" t="s">
        <v>55</v>
      </c>
      <c r="Y729" s="63">
        <f t="shared" si="173"/>
        <v>6.4799999999999995</v>
      </c>
      <c r="Z729" s="30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</row>
    <row r="730" spans="1:48" ht="18" customHeight="1">
      <c r="A730" s="106">
        <v>20260030</v>
      </c>
      <c r="B730" s="107" t="s">
        <v>1327</v>
      </c>
      <c r="C730" s="108">
        <v>46052</v>
      </c>
      <c r="D730" s="108">
        <v>46075</v>
      </c>
      <c r="E730" s="106">
        <v>34</v>
      </c>
      <c r="F730" s="106">
        <v>207.322</v>
      </c>
      <c r="G730" s="106">
        <v>30</v>
      </c>
      <c r="H730" s="109" t="s">
        <v>1571</v>
      </c>
      <c r="I730" s="109" t="s">
        <v>72</v>
      </c>
      <c r="J730" s="107" t="s">
        <v>72</v>
      </c>
      <c r="K730" s="108">
        <f t="shared" si="158"/>
        <v>46083</v>
      </c>
      <c r="L730" s="108">
        <f t="shared" si="159"/>
        <v>46143</v>
      </c>
      <c r="M730" s="111"/>
      <c r="N730" s="112">
        <f>E730-32-2</f>
        <v>0</v>
      </c>
      <c r="O730" s="113">
        <f t="shared" si="168"/>
        <v>0</v>
      </c>
      <c r="P730" s="112">
        <f t="shared" si="163"/>
        <v>0</v>
      </c>
      <c r="Q730" s="109"/>
      <c r="R730" s="109"/>
      <c r="S730" s="109" t="s">
        <v>1572</v>
      </c>
      <c r="T730" s="114">
        <v>129</v>
      </c>
      <c r="U730" s="109" t="s">
        <v>1573</v>
      </c>
      <c r="V730" s="106"/>
      <c r="W730" s="106"/>
      <c r="X730" s="106" t="s">
        <v>55</v>
      </c>
      <c r="Y730" s="63">
        <f t="shared" si="173"/>
        <v>6.0977058823529413</v>
      </c>
      <c r="Z730" s="64">
        <f t="shared" ref="Z730" si="174">E730-N730</f>
        <v>34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</row>
    <row r="731" spans="1:48" ht="18" customHeight="1">
      <c r="A731" s="106">
        <v>20260030</v>
      </c>
      <c r="B731" s="107" t="s">
        <v>1327</v>
      </c>
      <c r="C731" s="108">
        <v>46052</v>
      </c>
      <c r="D731" s="108">
        <v>46075</v>
      </c>
      <c r="E731" s="106">
        <v>38</v>
      </c>
      <c r="F731" s="106">
        <v>234.10400000000001</v>
      </c>
      <c r="G731" s="106">
        <v>33</v>
      </c>
      <c r="H731" s="109" t="s">
        <v>1571</v>
      </c>
      <c r="I731" s="109" t="s">
        <v>72</v>
      </c>
      <c r="J731" s="107" t="s">
        <v>72</v>
      </c>
      <c r="K731" s="108">
        <f t="shared" si="158"/>
        <v>46083</v>
      </c>
      <c r="L731" s="108">
        <f t="shared" si="159"/>
        <v>46143</v>
      </c>
      <c r="M731" s="111"/>
      <c r="N731" s="112">
        <f>E731-32-6</f>
        <v>0</v>
      </c>
      <c r="O731" s="113">
        <f t="shared" si="168"/>
        <v>0</v>
      </c>
      <c r="P731" s="112">
        <f t="shared" si="163"/>
        <v>0</v>
      </c>
      <c r="Q731" s="109"/>
      <c r="R731" s="109"/>
      <c r="S731" s="109" t="s">
        <v>1574</v>
      </c>
      <c r="T731" s="114">
        <v>130</v>
      </c>
      <c r="U731" s="109" t="s">
        <v>1573</v>
      </c>
      <c r="V731" s="106"/>
      <c r="W731" s="106"/>
      <c r="X731" s="106" t="s">
        <v>55</v>
      </c>
      <c r="Y731" s="63">
        <f t="shared" si="173"/>
        <v>6.1606315789473687</v>
      </c>
      <c r="Z731" s="30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</row>
    <row r="732" spans="1:48" ht="18" customHeight="1">
      <c r="A732" s="206">
        <v>20260030</v>
      </c>
      <c r="B732" s="207" t="s">
        <v>1327</v>
      </c>
      <c r="C732" s="208">
        <v>46052</v>
      </c>
      <c r="D732" s="208">
        <v>46075</v>
      </c>
      <c r="E732" s="209">
        <v>63</v>
      </c>
      <c r="F732" s="210">
        <v>513.85199999999998</v>
      </c>
      <c r="G732" s="211">
        <v>55</v>
      </c>
      <c r="H732" s="212" t="s">
        <v>924</v>
      </c>
      <c r="I732" s="212" t="s">
        <v>72</v>
      </c>
      <c r="J732" s="207" t="s">
        <v>72</v>
      </c>
      <c r="K732" s="213">
        <f t="shared" si="158"/>
        <v>46083</v>
      </c>
      <c r="L732" s="213">
        <f t="shared" si="159"/>
        <v>46143</v>
      </c>
      <c r="M732" s="214"/>
      <c r="N732" s="215">
        <f>E732-51-11</f>
        <v>1</v>
      </c>
      <c r="O732" s="216">
        <f t="shared" si="168"/>
        <v>8.1563809523809514</v>
      </c>
      <c r="P732" s="218">
        <f t="shared" si="163"/>
        <v>0.87301587301587302</v>
      </c>
      <c r="Q732" s="73"/>
      <c r="R732" s="58"/>
      <c r="S732" s="200" t="s">
        <v>1575</v>
      </c>
      <c r="T732" s="201">
        <v>131</v>
      </c>
      <c r="U732" s="58" t="s">
        <v>615</v>
      </c>
      <c r="V732" s="46"/>
      <c r="W732" s="46"/>
      <c r="X732" s="99" t="s">
        <v>76</v>
      </c>
      <c r="Y732" s="63">
        <f t="shared" si="173"/>
        <v>8.1563809523809514</v>
      </c>
      <c r="Z732" s="64">
        <f t="shared" ref="Z732" si="175">E732-N732</f>
        <v>62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</row>
    <row r="733" spans="1:48" ht="18" customHeight="1">
      <c r="A733" s="106">
        <v>20260030</v>
      </c>
      <c r="B733" s="107" t="s">
        <v>1327</v>
      </c>
      <c r="C733" s="108">
        <v>46052</v>
      </c>
      <c r="D733" s="108">
        <v>46075</v>
      </c>
      <c r="E733" s="106">
        <v>68</v>
      </c>
      <c r="F733" s="106">
        <v>364.91699999999997</v>
      </c>
      <c r="G733" s="106">
        <v>59</v>
      </c>
      <c r="H733" s="109" t="s">
        <v>1576</v>
      </c>
      <c r="I733" s="109" t="s">
        <v>72</v>
      </c>
      <c r="J733" s="107" t="s">
        <v>72</v>
      </c>
      <c r="K733" s="108">
        <f t="shared" si="158"/>
        <v>46083</v>
      </c>
      <c r="L733" s="108">
        <f t="shared" si="159"/>
        <v>46143</v>
      </c>
      <c r="M733" s="111"/>
      <c r="N733" s="112">
        <f>E733-20-30-18</f>
        <v>0</v>
      </c>
      <c r="O733" s="113">
        <f t="shared" si="168"/>
        <v>0</v>
      </c>
      <c r="P733" s="112">
        <f t="shared" si="163"/>
        <v>0</v>
      </c>
      <c r="Q733" s="109"/>
      <c r="R733" s="109"/>
      <c r="S733" s="109" t="s">
        <v>1577</v>
      </c>
      <c r="T733" s="114">
        <v>132</v>
      </c>
      <c r="U733" s="109" t="s">
        <v>615</v>
      </c>
      <c r="V733" s="106"/>
      <c r="W733" s="106"/>
      <c r="X733" s="106" t="s">
        <v>55</v>
      </c>
      <c r="Y733" s="63">
        <f t="shared" si="173"/>
        <v>5.3664264705882347</v>
      </c>
      <c r="Z733" s="30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</row>
    <row r="734" spans="1:48" ht="18" customHeight="1">
      <c r="A734" s="206">
        <v>20260030</v>
      </c>
      <c r="B734" s="207" t="s">
        <v>1327</v>
      </c>
      <c r="C734" s="208">
        <v>46052</v>
      </c>
      <c r="D734" s="208">
        <v>46075</v>
      </c>
      <c r="E734" s="209">
        <v>451</v>
      </c>
      <c r="F734" s="210">
        <v>2810.2739999999999</v>
      </c>
      <c r="G734" s="211">
        <v>393</v>
      </c>
      <c r="H734" s="212" t="s">
        <v>1578</v>
      </c>
      <c r="I734" s="212" t="s">
        <v>72</v>
      </c>
      <c r="J734" s="207" t="s">
        <v>72</v>
      </c>
      <c r="K734" s="213">
        <f t="shared" si="158"/>
        <v>46083</v>
      </c>
      <c r="L734" s="213">
        <f t="shared" si="159"/>
        <v>46143</v>
      </c>
      <c r="M734" s="214"/>
      <c r="N734" s="215">
        <f>E734-64-64-50-56-71-24</f>
        <v>122</v>
      </c>
      <c r="O734" s="216">
        <f t="shared" si="168"/>
        <v>760.20715742793789</v>
      </c>
      <c r="P734" s="218">
        <f t="shared" si="163"/>
        <v>106.31042128603103</v>
      </c>
      <c r="Q734" s="73"/>
      <c r="R734" s="58"/>
      <c r="S734" s="200" t="s">
        <v>1579</v>
      </c>
      <c r="T734" s="201">
        <v>133</v>
      </c>
      <c r="U734" s="58" t="s">
        <v>1580</v>
      </c>
      <c r="V734" s="46"/>
      <c r="W734" s="46"/>
      <c r="X734" s="99" t="s">
        <v>76</v>
      </c>
      <c r="Y734" s="63">
        <f t="shared" si="173"/>
        <v>6.2312062084257205</v>
      </c>
      <c r="Z734" s="64">
        <f t="shared" ref="Z734" si="176">E734-N734</f>
        <v>329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</row>
    <row r="735" spans="1:48" ht="18" customHeight="1">
      <c r="A735" s="106">
        <v>20260030</v>
      </c>
      <c r="B735" s="107" t="s">
        <v>1327</v>
      </c>
      <c r="C735" s="108">
        <v>46052</v>
      </c>
      <c r="D735" s="108">
        <v>46075</v>
      </c>
      <c r="E735" s="106">
        <v>183</v>
      </c>
      <c r="F735" s="106">
        <v>1107.7919999999999</v>
      </c>
      <c r="G735" s="106">
        <v>112</v>
      </c>
      <c r="H735" s="109" t="s">
        <v>1581</v>
      </c>
      <c r="I735" s="107" t="s">
        <v>354</v>
      </c>
      <c r="J735" s="107" t="s">
        <v>354</v>
      </c>
      <c r="K735" s="108">
        <f t="shared" si="158"/>
        <v>46083</v>
      </c>
      <c r="L735" s="108">
        <f t="shared" si="159"/>
        <v>46143</v>
      </c>
      <c r="M735" s="111"/>
      <c r="N735" s="112">
        <f>E735-111-72</f>
        <v>0</v>
      </c>
      <c r="O735" s="113">
        <f t="shared" si="168"/>
        <v>0</v>
      </c>
      <c r="P735" s="112">
        <f t="shared" si="163"/>
        <v>0</v>
      </c>
      <c r="Q735" s="109"/>
      <c r="R735" s="109"/>
      <c r="S735" s="109" t="s">
        <v>1582</v>
      </c>
      <c r="T735" s="114">
        <v>134</v>
      </c>
      <c r="U735" s="109" t="s">
        <v>1583</v>
      </c>
      <c r="V735" s="106"/>
      <c r="W735" s="106"/>
      <c r="X735" s="106" t="s">
        <v>55</v>
      </c>
      <c r="Y735" s="63">
        <f t="shared" si="173"/>
        <v>6.0535081967213111</v>
      </c>
      <c r="Z735" s="30"/>
      <c r="AB735" s="202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</row>
    <row r="736" spans="1:48" ht="18" customHeight="1">
      <c r="A736" s="206">
        <v>20260030</v>
      </c>
      <c r="B736" s="207" t="s">
        <v>1327</v>
      </c>
      <c r="C736" s="208">
        <v>46052</v>
      </c>
      <c r="D736" s="208">
        <v>46075</v>
      </c>
      <c r="E736" s="209">
        <v>161</v>
      </c>
      <c r="F736" s="210">
        <v>517.22</v>
      </c>
      <c r="G736" s="211">
        <v>128</v>
      </c>
      <c r="H736" s="212" t="s">
        <v>1581</v>
      </c>
      <c r="I736" s="212" t="s">
        <v>52</v>
      </c>
      <c r="J736" s="207" t="s">
        <v>52</v>
      </c>
      <c r="K736" s="213">
        <f t="shared" si="158"/>
        <v>46083</v>
      </c>
      <c r="L736" s="213">
        <f t="shared" si="159"/>
        <v>46143</v>
      </c>
      <c r="M736" s="214"/>
      <c r="N736" s="215">
        <f>E736-10</f>
        <v>151</v>
      </c>
      <c r="O736" s="216">
        <f t="shared" si="168"/>
        <v>485.09453416149069</v>
      </c>
      <c r="P736" s="218">
        <f t="shared" si="163"/>
        <v>120.04968944099377</v>
      </c>
      <c r="Q736" s="73"/>
      <c r="R736" s="58"/>
      <c r="S736" s="200" t="s">
        <v>1584</v>
      </c>
      <c r="T736" s="201">
        <v>142</v>
      </c>
      <c r="U736" s="58" t="s">
        <v>1585</v>
      </c>
      <c r="V736" s="46"/>
      <c r="W736" s="46"/>
      <c r="X736" s="99" t="s">
        <v>76</v>
      </c>
      <c r="Y736" s="63">
        <f t="shared" si="173"/>
        <v>3.2125465838509317</v>
      </c>
      <c r="Z736" s="64">
        <f t="shared" ref="Z736:Z739" si="177">E736-N736</f>
        <v>10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</row>
    <row r="737" spans="1:48" ht="18" customHeight="1">
      <c r="A737" s="188">
        <v>20260030</v>
      </c>
      <c r="B737" s="189" t="s">
        <v>1327</v>
      </c>
      <c r="C737" s="190">
        <v>46052</v>
      </c>
      <c r="D737" s="190">
        <v>46075</v>
      </c>
      <c r="E737" s="191">
        <v>494</v>
      </c>
      <c r="F737" s="192">
        <v>2769.7159999999999</v>
      </c>
      <c r="G737" s="193">
        <v>430</v>
      </c>
      <c r="H737" s="194" t="s">
        <v>1586</v>
      </c>
      <c r="I737" s="194" t="s">
        <v>72</v>
      </c>
      <c r="J737" s="189" t="s">
        <v>72</v>
      </c>
      <c r="K737" s="203">
        <f t="shared" si="158"/>
        <v>46083</v>
      </c>
      <c r="L737" s="203">
        <f t="shared" si="159"/>
        <v>46143</v>
      </c>
      <c r="M737" s="195"/>
      <c r="N737" s="196">
        <f>E737-256-7-117-16-9-45-18-26</f>
        <v>0</v>
      </c>
      <c r="O737" s="197">
        <f t="shared" si="168"/>
        <v>0</v>
      </c>
      <c r="P737" s="198">
        <f t="shared" si="163"/>
        <v>0</v>
      </c>
      <c r="Q737" s="73"/>
      <c r="R737" s="58"/>
      <c r="S737" s="200" t="s">
        <v>1587</v>
      </c>
      <c r="T737" s="201">
        <v>135</v>
      </c>
      <c r="U737" s="58" t="s">
        <v>1588</v>
      </c>
      <c r="V737" s="46"/>
      <c r="W737" s="46"/>
      <c r="X737" s="99" t="s">
        <v>55</v>
      </c>
      <c r="Y737" s="63">
        <f t="shared" si="173"/>
        <v>5.6067125506072868</v>
      </c>
      <c r="Z737" s="64">
        <f t="shared" si="177"/>
        <v>494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</row>
    <row r="738" spans="1:48" ht="18" customHeight="1">
      <c r="A738" s="135">
        <v>20260030</v>
      </c>
      <c r="B738" s="136" t="s">
        <v>1327</v>
      </c>
      <c r="C738" s="137">
        <v>46052</v>
      </c>
      <c r="D738" s="137">
        <v>46075</v>
      </c>
      <c r="E738" s="138">
        <v>94</v>
      </c>
      <c r="F738" s="139">
        <v>801.4</v>
      </c>
      <c r="G738" s="140">
        <v>82</v>
      </c>
      <c r="H738" s="141" t="s">
        <v>1589</v>
      </c>
      <c r="I738" s="141" t="s">
        <v>72</v>
      </c>
      <c r="J738" s="136" t="s">
        <v>72</v>
      </c>
      <c r="K738" s="142">
        <f t="shared" si="158"/>
        <v>46083</v>
      </c>
      <c r="L738" s="142">
        <f t="shared" si="159"/>
        <v>46143</v>
      </c>
      <c r="M738" s="143"/>
      <c r="N738" s="144">
        <f>E738-28</f>
        <v>66</v>
      </c>
      <c r="O738" s="145">
        <f t="shared" si="168"/>
        <v>562.68510638297869</v>
      </c>
      <c r="P738" s="146">
        <f t="shared" si="163"/>
        <v>57.574468085106389</v>
      </c>
      <c r="Q738" s="73"/>
      <c r="R738" s="58"/>
      <c r="S738" s="200" t="s">
        <v>1590</v>
      </c>
      <c r="T738" s="201"/>
      <c r="U738" s="58" t="s">
        <v>1018</v>
      </c>
      <c r="V738" s="46"/>
      <c r="W738" s="46"/>
      <c r="X738" s="99" t="s">
        <v>76</v>
      </c>
      <c r="Y738" s="63">
        <f t="shared" si="173"/>
        <v>8.5255319148936159</v>
      </c>
      <c r="Z738" s="64">
        <f t="shared" si="177"/>
        <v>28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</row>
    <row r="739" spans="1:48" ht="18" customHeight="1">
      <c r="A739" s="188">
        <v>20260030</v>
      </c>
      <c r="B739" s="189" t="s">
        <v>1327</v>
      </c>
      <c r="C739" s="190">
        <v>46052</v>
      </c>
      <c r="D739" s="190">
        <v>46075</v>
      </c>
      <c r="E739" s="191">
        <v>110</v>
      </c>
      <c r="F739" s="192">
        <v>447.76499999999999</v>
      </c>
      <c r="G739" s="193">
        <v>96</v>
      </c>
      <c r="H739" s="194" t="s">
        <v>1589</v>
      </c>
      <c r="I739" s="194" t="s">
        <v>72</v>
      </c>
      <c r="J739" s="189" t="s">
        <v>72</v>
      </c>
      <c r="K739" s="203">
        <f t="shared" si="158"/>
        <v>46083</v>
      </c>
      <c r="L739" s="203">
        <f t="shared" si="159"/>
        <v>46143</v>
      </c>
      <c r="M739" s="195"/>
      <c r="N739" s="196">
        <f>E739-36-13-12-11</f>
        <v>38</v>
      </c>
      <c r="O739" s="197">
        <f t="shared" si="168"/>
        <v>154.68245454545456</v>
      </c>
      <c r="P739" s="198">
        <f t="shared" si="163"/>
        <v>33.163636363636364</v>
      </c>
      <c r="Q739" s="73"/>
      <c r="R739" s="58"/>
      <c r="S739" s="200" t="s">
        <v>1591</v>
      </c>
      <c r="T739" s="201">
        <v>137</v>
      </c>
      <c r="U739" s="58" t="s">
        <v>1018</v>
      </c>
      <c r="V739" s="46"/>
      <c r="W739" s="46"/>
      <c r="X739" s="99" t="s">
        <v>76</v>
      </c>
      <c r="Y739" s="63">
        <f t="shared" si="173"/>
        <v>4.0705909090909094</v>
      </c>
      <c r="Z739" s="64">
        <f t="shared" si="177"/>
        <v>72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</row>
    <row r="740" spans="1:48" ht="18" customHeight="1">
      <c r="A740" s="106">
        <v>20260030</v>
      </c>
      <c r="B740" s="107" t="s">
        <v>1327</v>
      </c>
      <c r="C740" s="108">
        <v>46052</v>
      </c>
      <c r="D740" s="108">
        <v>46075</v>
      </c>
      <c r="E740" s="106">
        <v>109</v>
      </c>
      <c r="F740" s="106">
        <v>589.11599999999999</v>
      </c>
      <c r="G740" s="106">
        <v>95</v>
      </c>
      <c r="H740" s="109" t="s">
        <v>1589</v>
      </c>
      <c r="I740" s="109" t="s">
        <v>72</v>
      </c>
      <c r="J740" s="107" t="s">
        <v>72</v>
      </c>
      <c r="K740" s="108">
        <f t="shared" si="158"/>
        <v>46083</v>
      </c>
      <c r="L740" s="108">
        <f t="shared" si="159"/>
        <v>46143</v>
      </c>
      <c r="M740" s="111"/>
      <c r="N740" s="112">
        <f>E740-40-9-60</f>
        <v>0</v>
      </c>
      <c r="O740" s="113">
        <f t="shared" si="168"/>
        <v>0</v>
      </c>
      <c r="P740" s="112">
        <f t="shared" si="163"/>
        <v>0</v>
      </c>
      <c r="Q740" s="109"/>
      <c r="R740" s="109"/>
      <c r="S740" s="109" t="s">
        <v>1592</v>
      </c>
      <c r="T740" s="114">
        <v>143</v>
      </c>
      <c r="U740" s="109" t="s">
        <v>1593</v>
      </c>
      <c r="V740" s="106"/>
      <c r="W740" s="106"/>
      <c r="X740" s="106" t="s">
        <v>55</v>
      </c>
      <c r="Y740" s="63">
        <f t="shared" si="173"/>
        <v>5.4047339449541285</v>
      </c>
      <c r="Z740" s="3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</row>
    <row r="741" spans="1:48" ht="18" customHeight="1">
      <c r="A741" s="63">
        <v>20260030</v>
      </c>
      <c r="B741" s="65" t="s">
        <v>1327</v>
      </c>
      <c r="C741" s="66">
        <v>46052</v>
      </c>
      <c r="D741" s="66">
        <v>46075</v>
      </c>
      <c r="E741" s="67">
        <v>36</v>
      </c>
      <c r="F741" s="68">
        <v>153.25700000000001</v>
      </c>
      <c r="G741" s="69">
        <v>31</v>
      </c>
      <c r="H741" s="70" t="s">
        <v>1589</v>
      </c>
      <c r="I741" s="70" t="s">
        <v>72</v>
      </c>
      <c r="J741" s="65" t="s">
        <v>72</v>
      </c>
      <c r="K741" s="48">
        <f t="shared" si="158"/>
        <v>46083</v>
      </c>
      <c r="L741" s="48">
        <f t="shared" si="159"/>
        <v>46143</v>
      </c>
      <c r="M741" s="71"/>
      <c r="N741" s="72">
        <f>E741</f>
        <v>36</v>
      </c>
      <c r="O741" s="50">
        <f t="shared" si="168"/>
        <v>153.25700000000001</v>
      </c>
      <c r="P741" s="56">
        <f t="shared" si="163"/>
        <v>31</v>
      </c>
      <c r="Q741" s="73"/>
      <c r="R741" s="58"/>
      <c r="S741" s="200" t="s">
        <v>1594</v>
      </c>
      <c r="T741" s="201">
        <v>140</v>
      </c>
      <c r="U741" s="58" t="s">
        <v>1595</v>
      </c>
      <c r="V741" s="46"/>
      <c r="W741" s="46"/>
      <c r="X741" s="62" t="s">
        <v>25</v>
      </c>
      <c r="Y741" s="63">
        <f t="shared" si="173"/>
        <v>4.257138888888889</v>
      </c>
      <c r="Z741" s="64">
        <f t="shared" ref="Z741" si="178">E741-N741</f>
        <v>0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</row>
    <row r="742" spans="1:48" ht="18" customHeight="1">
      <c r="A742" s="106">
        <v>20260030</v>
      </c>
      <c r="B742" s="107" t="s">
        <v>1327</v>
      </c>
      <c r="C742" s="108">
        <v>46052</v>
      </c>
      <c r="D742" s="108">
        <v>46075</v>
      </c>
      <c r="E742" s="106">
        <v>185</v>
      </c>
      <c r="F742" s="106">
        <v>993.32</v>
      </c>
      <c r="G742" s="106">
        <v>161</v>
      </c>
      <c r="H742" s="109" t="s">
        <v>1596</v>
      </c>
      <c r="I742" s="109" t="s">
        <v>72</v>
      </c>
      <c r="J742" s="107" t="s">
        <v>72</v>
      </c>
      <c r="K742" s="108">
        <f t="shared" si="158"/>
        <v>46083</v>
      </c>
      <c r="L742" s="108">
        <f t="shared" si="159"/>
        <v>46143</v>
      </c>
      <c r="M742" s="111"/>
      <c r="N742" s="112">
        <f>E742-60-70-55</f>
        <v>0</v>
      </c>
      <c r="O742" s="113">
        <f t="shared" si="168"/>
        <v>0</v>
      </c>
      <c r="P742" s="112">
        <f t="shared" si="163"/>
        <v>0</v>
      </c>
      <c r="Q742" s="109"/>
      <c r="R742" s="109"/>
      <c r="S742" s="109" t="s">
        <v>1597</v>
      </c>
      <c r="T742" s="114">
        <v>138</v>
      </c>
      <c r="U742" s="109" t="s">
        <v>1598</v>
      </c>
      <c r="V742" s="106"/>
      <c r="W742" s="106"/>
      <c r="X742" s="106" t="s">
        <v>55</v>
      </c>
      <c r="Y742" s="63">
        <f t="shared" si="173"/>
        <v>5.3692972972972974</v>
      </c>
      <c r="Z742" s="30"/>
      <c r="AB742" s="20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</row>
    <row r="743" spans="1:48" ht="18" customHeight="1">
      <c r="A743" s="106">
        <v>20260030</v>
      </c>
      <c r="B743" s="107" t="s">
        <v>1327</v>
      </c>
      <c r="C743" s="108">
        <v>46052</v>
      </c>
      <c r="D743" s="108">
        <v>46075</v>
      </c>
      <c r="E743" s="106">
        <v>237</v>
      </c>
      <c r="F743" s="106">
        <v>1004.636</v>
      </c>
      <c r="G743" s="106">
        <v>206</v>
      </c>
      <c r="H743" s="109" t="s">
        <v>1596</v>
      </c>
      <c r="I743" s="109" t="s">
        <v>72</v>
      </c>
      <c r="J743" s="107" t="s">
        <v>72</v>
      </c>
      <c r="K743" s="108">
        <f t="shared" si="158"/>
        <v>46083</v>
      </c>
      <c r="L743" s="108">
        <f t="shared" si="159"/>
        <v>46143</v>
      </c>
      <c r="M743" s="111"/>
      <c r="N743" s="112">
        <f>E743-168-51-18</f>
        <v>0</v>
      </c>
      <c r="O743" s="113">
        <f t="shared" si="168"/>
        <v>0</v>
      </c>
      <c r="P743" s="112">
        <f t="shared" si="163"/>
        <v>0</v>
      </c>
      <c r="Q743" s="109"/>
      <c r="R743" s="107"/>
      <c r="S743" s="109" t="s">
        <v>1599</v>
      </c>
      <c r="T743" s="114">
        <v>148</v>
      </c>
      <c r="U743" s="109" t="s">
        <v>1598</v>
      </c>
      <c r="V743" s="106"/>
      <c r="W743" s="106"/>
      <c r="X743" s="106" t="s">
        <v>55</v>
      </c>
      <c r="Y743" s="63">
        <f t="shared" si="173"/>
        <v>4.2389704641350212</v>
      </c>
      <c r="Z743" s="30"/>
      <c r="AB743" s="202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</row>
    <row r="744" spans="1:48" ht="18" customHeight="1">
      <c r="A744" s="188">
        <v>20260030</v>
      </c>
      <c r="B744" s="189" t="s">
        <v>1327</v>
      </c>
      <c r="C744" s="190">
        <v>46052</v>
      </c>
      <c r="D744" s="190">
        <v>46075</v>
      </c>
      <c r="E744" s="191">
        <v>248</v>
      </c>
      <c r="F744" s="192">
        <v>1803.816</v>
      </c>
      <c r="G744" s="193">
        <v>216</v>
      </c>
      <c r="H744" s="194" t="s">
        <v>1016</v>
      </c>
      <c r="I744" s="194" t="s">
        <v>72</v>
      </c>
      <c r="J744" s="189" t="s">
        <v>72</v>
      </c>
      <c r="K744" s="203">
        <f t="shared" si="158"/>
        <v>46083</v>
      </c>
      <c r="L744" s="203">
        <f t="shared" si="159"/>
        <v>46143</v>
      </c>
      <c r="M744" s="195"/>
      <c r="N744" s="196">
        <f>E744-197-44</f>
        <v>7</v>
      </c>
      <c r="O744" s="197">
        <f t="shared" si="168"/>
        <v>50.914161290322582</v>
      </c>
      <c r="P744" s="198">
        <f t="shared" si="163"/>
        <v>6.096774193548387</v>
      </c>
      <c r="Q744" s="73"/>
      <c r="R744" s="58"/>
      <c r="S744" s="200" t="s">
        <v>1600</v>
      </c>
      <c r="T744" s="201">
        <v>150</v>
      </c>
      <c r="U744" s="58" t="s">
        <v>554</v>
      </c>
      <c r="V744" s="46"/>
      <c r="W744" s="46"/>
      <c r="X744" s="99" t="s">
        <v>76</v>
      </c>
      <c r="Y744" s="63">
        <f t="shared" si="173"/>
        <v>7.2734516129032256</v>
      </c>
      <c r="Z744" s="64">
        <f t="shared" ref="Z744" si="179">E744-N744</f>
        <v>241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</row>
    <row r="745" spans="1:48" ht="18" customHeight="1">
      <c r="A745" s="106">
        <v>20260030</v>
      </c>
      <c r="B745" s="107" t="s">
        <v>1327</v>
      </c>
      <c r="C745" s="108">
        <v>46052</v>
      </c>
      <c r="D745" s="108">
        <v>46075</v>
      </c>
      <c r="E745" s="106">
        <v>278</v>
      </c>
      <c r="F745" s="106">
        <v>1827.432</v>
      </c>
      <c r="G745" s="106">
        <v>242</v>
      </c>
      <c r="H745" s="109" t="s">
        <v>1016</v>
      </c>
      <c r="I745" s="109" t="s">
        <v>72</v>
      </c>
      <c r="J745" s="107" t="s">
        <v>72</v>
      </c>
      <c r="K745" s="108">
        <f t="shared" si="158"/>
        <v>46083</v>
      </c>
      <c r="L745" s="108">
        <f t="shared" si="159"/>
        <v>46143</v>
      </c>
      <c r="M745" s="111"/>
      <c r="N745" s="112">
        <f>E745-36-72-104-56-10</f>
        <v>0</v>
      </c>
      <c r="O745" s="113">
        <f t="shared" si="168"/>
        <v>0</v>
      </c>
      <c r="P745" s="112">
        <f t="shared" si="163"/>
        <v>0</v>
      </c>
      <c r="Q745" s="109"/>
      <c r="R745" s="109"/>
      <c r="S745" s="109" t="s">
        <v>1601</v>
      </c>
      <c r="T745" s="114">
        <v>151</v>
      </c>
      <c r="U745" s="109" t="s">
        <v>554</v>
      </c>
      <c r="V745" s="106"/>
      <c r="W745" s="106"/>
      <c r="X745" s="106" t="s">
        <v>55</v>
      </c>
      <c r="Y745" s="63">
        <f t="shared" si="173"/>
        <v>6.5734964028776979</v>
      </c>
      <c r="Z745" s="30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</row>
    <row r="746" spans="1:48" ht="18" customHeight="1">
      <c r="A746" s="63">
        <v>20260030</v>
      </c>
      <c r="B746" s="65" t="s">
        <v>1327</v>
      </c>
      <c r="C746" s="66">
        <v>46052</v>
      </c>
      <c r="D746" s="66">
        <v>46075</v>
      </c>
      <c r="E746" s="67">
        <v>170</v>
      </c>
      <c r="F746" s="68">
        <v>1225.5039999999999</v>
      </c>
      <c r="G746" s="69">
        <v>148</v>
      </c>
      <c r="H746" s="70" t="s">
        <v>1016</v>
      </c>
      <c r="I746" s="70" t="s">
        <v>72</v>
      </c>
      <c r="J746" s="65" t="s">
        <v>72</v>
      </c>
      <c r="K746" s="48">
        <f t="shared" si="158"/>
        <v>46083</v>
      </c>
      <c r="L746" s="48">
        <f t="shared" si="159"/>
        <v>46143</v>
      </c>
      <c r="M746" s="71"/>
      <c r="N746" s="72">
        <f>E746</f>
        <v>170</v>
      </c>
      <c r="O746" s="50">
        <f t="shared" si="168"/>
        <v>1225.5039999999999</v>
      </c>
      <c r="P746" s="56">
        <f t="shared" si="163"/>
        <v>148</v>
      </c>
      <c r="Q746" s="73"/>
      <c r="R746" s="58"/>
      <c r="S746" s="200" t="s">
        <v>1602</v>
      </c>
      <c r="T746" s="201">
        <v>141</v>
      </c>
      <c r="U746" s="58" t="s">
        <v>1598</v>
      </c>
      <c r="V746" s="46"/>
      <c r="W746" s="46"/>
      <c r="X746" s="62" t="s">
        <v>25</v>
      </c>
      <c r="Y746" s="63">
        <f t="shared" si="173"/>
        <v>7.2088470588235287</v>
      </c>
      <c r="Z746" s="64">
        <f t="shared" ref="Z746" si="180">E746-N746</f>
        <v>0</v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</row>
    <row r="747" spans="1:48" ht="18" customHeight="1">
      <c r="A747" s="106">
        <v>20260030</v>
      </c>
      <c r="B747" s="107" t="s">
        <v>1327</v>
      </c>
      <c r="C747" s="108">
        <v>46052</v>
      </c>
      <c r="D747" s="108">
        <v>46075</v>
      </c>
      <c r="E747" s="106">
        <v>169</v>
      </c>
      <c r="F747" s="106">
        <v>1220.982</v>
      </c>
      <c r="G747" s="106">
        <v>147</v>
      </c>
      <c r="H747" s="109" t="s">
        <v>1016</v>
      </c>
      <c r="I747" s="109" t="s">
        <v>72</v>
      </c>
      <c r="J747" s="107" t="s">
        <v>72</v>
      </c>
      <c r="K747" s="108">
        <f t="shared" si="158"/>
        <v>46083</v>
      </c>
      <c r="L747" s="108">
        <f t="shared" si="159"/>
        <v>46143</v>
      </c>
      <c r="M747" s="111"/>
      <c r="N747" s="112">
        <f>E747-84-28-57</f>
        <v>0</v>
      </c>
      <c r="O747" s="113">
        <f t="shared" si="168"/>
        <v>0</v>
      </c>
      <c r="P747" s="112">
        <f t="shared" si="163"/>
        <v>0</v>
      </c>
      <c r="Q747" s="109"/>
      <c r="R747" s="109"/>
      <c r="S747" s="109" t="s">
        <v>1603</v>
      </c>
      <c r="T747" s="114">
        <v>144</v>
      </c>
      <c r="U747" s="109" t="s">
        <v>554</v>
      </c>
      <c r="V747" s="106"/>
      <c r="W747" s="106"/>
      <c r="X747" s="106" t="s">
        <v>55</v>
      </c>
      <c r="Y747" s="63">
        <f t="shared" si="173"/>
        <v>7.2247455621301775</v>
      </c>
      <c r="Z747" s="30"/>
      <c r="AB747" s="202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</row>
    <row r="748" spans="1:48" ht="18" customHeight="1">
      <c r="A748" s="106">
        <v>20260030</v>
      </c>
      <c r="B748" s="107" t="s">
        <v>1327</v>
      </c>
      <c r="C748" s="108">
        <v>46052</v>
      </c>
      <c r="D748" s="108">
        <v>46075</v>
      </c>
      <c r="E748" s="106">
        <v>84</v>
      </c>
      <c r="F748" s="106">
        <v>589.904</v>
      </c>
      <c r="G748" s="106">
        <v>73</v>
      </c>
      <c r="H748" s="109" t="s">
        <v>1604</v>
      </c>
      <c r="I748" s="109" t="s">
        <v>72</v>
      </c>
      <c r="J748" s="107" t="s">
        <v>72</v>
      </c>
      <c r="K748" s="108">
        <f t="shared" si="158"/>
        <v>46083</v>
      </c>
      <c r="L748" s="108">
        <f t="shared" si="159"/>
        <v>46143</v>
      </c>
      <c r="M748" s="111"/>
      <c r="N748" s="112">
        <f>E748-20-21-14-16-13</f>
        <v>0</v>
      </c>
      <c r="O748" s="113">
        <f t="shared" si="168"/>
        <v>0</v>
      </c>
      <c r="P748" s="112">
        <f t="shared" si="163"/>
        <v>0</v>
      </c>
      <c r="Q748" s="109"/>
      <c r="R748" s="109"/>
      <c r="S748" s="109" t="s">
        <v>1605</v>
      </c>
      <c r="T748" s="114">
        <v>141</v>
      </c>
      <c r="U748" s="109" t="s">
        <v>1606</v>
      </c>
      <c r="V748" s="106"/>
      <c r="W748" s="106"/>
      <c r="X748" s="106" t="s">
        <v>55</v>
      </c>
      <c r="Y748" s="63">
        <f t="shared" si="173"/>
        <v>7.0226666666666668</v>
      </c>
      <c r="Z748" s="30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</row>
    <row r="749" spans="1:48" ht="18" customHeight="1">
      <c r="A749" s="63">
        <v>20260030</v>
      </c>
      <c r="B749" s="65" t="s">
        <v>1327</v>
      </c>
      <c r="C749" s="66">
        <v>46052</v>
      </c>
      <c r="D749" s="66">
        <v>46075</v>
      </c>
      <c r="E749" s="67">
        <v>155</v>
      </c>
      <c r="F749" s="68">
        <v>1144.307</v>
      </c>
      <c r="G749" s="69">
        <v>135</v>
      </c>
      <c r="H749" s="70" t="s">
        <v>1604</v>
      </c>
      <c r="I749" s="70" t="s">
        <v>72</v>
      </c>
      <c r="J749" s="65" t="s">
        <v>72</v>
      </c>
      <c r="K749" s="48">
        <f t="shared" ref="K749:K812" si="181">D749+8</f>
        <v>46083</v>
      </c>
      <c r="L749" s="48">
        <f t="shared" ref="L749:L812" si="182">K749+60</f>
        <v>46143</v>
      </c>
      <c r="M749" s="71"/>
      <c r="N749" s="72">
        <f>E749</f>
        <v>155</v>
      </c>
      <c r="O749" s="50">
        <f t="shared" si="168"/>
        <v>1144.307</v>
      </c>
      <c r="P749" s="56">
        <f t="shared" si="163"/>
        <v>135</v>
      </c>
      <c r="Q749" s="73"/>
      <c r="R749" s="58"/>
      <c r="S749" s="200" t="s">
        <v>1607</v>
      </c>
      <c r="T749" s="201">
        <v>146</v>
      </c>
      <c r="U749" s="58" t="s">
        <v>1608</v>
      </c>
      <c r="V749" s="46"/>
      <c r="W749" s="46"/>
      <c r="X749" s="62" t="s">
        <v>25</v>
      </c>
      <c r="Y749" s="63">
        <f t="shared" si="173"/>
        <v>7.382625806451613</v>
      </c>
      <c r="Z749" s="64">
        <f t="shared" ref="Z749:Z751" si="183">E749-N749</f>
        <v>0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</row>
    <row r="750" spans="1:48" ht="18" customHeight="1">
      <c r="A750" s="135">
        <v>20260030</v>
      </c>
      <c r="B750" s="136" t="s">
        <v>1327</v>
      </c>
      <c r="C750" s="137">
        <v>46052</v>
      </c>
      <c r="D750" s="137">
        <v>46075</v>
      </c>
      <c r="E750" s="138">
        <v>228</v>
      </c>
      <c r="F750" s="139">
        <v>1000.16</v>
      </c>
      <c r="G750" s="140">
        <v>198</v>
      </c>
      <c r="H750" s="271" t="s">
        <v>1609</v>
      </c>
      <c r="I750" s="141" t="s">
        <v>72</v>
      </c>
      <c r="J750" s="136" t="s">
        <v>72</v>
      </c>
      <c r="K750" s="142">
        <f t="shared" si="181"/>
        <v>46083</v>
      </c>
      <c r="L750" s="142">
        <f t="shared" si="182"/>
        <v>46143</v>
      </c>
      <c r="M750" s="143"/>
      <c r="N750" s="144">
        <f>E750-24-24-22-21-9-36-14-12-12-B2068</f>
        <v>54</v>
      </c>
      <c r="O750" s="145">
        <f t="shared" si="168"/>
        <v>236.88</v>
      </c>
      <c r="P750" s="146">
        <f t="shared" si="163"/>
        <v>46.894736842105267</v>
      </c>
      <c r="Q750" s="73"/>
      <c r="R750" s="58"/>
      <c r="S750" s="200" t="s">
        <v>1610</v>
      </c>
      <c r="T750" s="201">
        <v>152</v>
      </c>
      <c r="U750" s="58" t="s">
        <v>1611</v>
      </c>
      <c r="V750" s="46"/>
      <c r="W750" s="46"/>
      <c r="X750" s="99" t="s">
        <v>76</v>
      </c>
      <c r="Y750" s="63">
        <f t="shared" si="173"/>
        <v>4.3866666666666667</v>
      </c>
      <c r="Z750" s="64">
        <f t="shared" si="183"/>
        <v>174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</row>
    <row r="751" spans="1:48" ht="18" customHeight="1">
      <c r="A751" s="63">
        <v>20260030</v>
      </c>
      <c r="B751" s="65" t="s">
        <v>1327</v>
      </c>
      <c r="C751" s="66">
        <v>46052</v>
      </c>
      <c r="D751" s="66">
        <v>46075</v>
      </c>
      <c r="E751" s="67">
        <v>239</v>
      </c>
      <c r="F751" s="68">
        <v>1119.172</v>
      </c>
      <c r="G751" s="69">
        <v>208</v>
      </c>
      <c r="H751" s="70" t="s">
        <v>1612</v>
      </c>
      <c r="I751" s="70" t="s">
        <v>72</v>
      </c>
      <c r="J751" s="65" t="s">
        <v>72</v>
      </c>
      <c r="K751" s="48">
        <f t="shared" si="181"/>
        <v>46083</v>
      </c>
      <c r="L751" s="48">
        <f t="shared" si="182"/>
        <v>46143</v>
      </c>
      <c r="M751" s="71"/>
      <c r="N751" s="72">
        <f>E751</f>
        <v>239</v>
      </c>
      <c r="O751" s="50">
        <f t="shared" si="168"/>
        <v>1119.172</v>
      </c>
      <c r="P751" s="56">
        <f t="shared" si="163"/>
        <v>208</v>
      </c>
      <c r="Q751" s="73"/>
      <c r="R751" s="58"/>
      <c r="S751" s="200" t="s">
        <v>1613</v>
      </c>
      <c r="T751" s="201">
        <v>134</v>
      </c>
      <c r="U751" s="58" t="s">
        <v>1614</v>
      </c>
      <c r="V751" s="46"/>
      <c r="W751" s="46"/>
      <c r="X751" s="62" t="s">
        <v>25</v>
      </c>
      <c r="Y751" s="63">
        <f t="shared" si="173"/>
        <v>4.6827280334728032</v>
      </c>
      <c r="Z751" s="64">
        <f t="shared" si="183"/>
        <v>0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</row>
    <row r="752" spans="1:48" ht="18" customHeight="1">
      <c r="A752" s="106">
        <v>20260030</v>
      </c>
      <c r="B752" s="107" t="s">
        <v>1327</v>
      </c>
      <c r="C752" s="108">
        <v>46052</v>
      </c>
      <c r="D752" s="108">
        <v>46075</v>
      </c>
      <c r="E752" s="106">
        <v>159</v>
      </c>
      <c r="F752" s="106">
        <v>1255.9179999999999</v>
      </c>
      <c r="G752" s="106">
        <v>138</v>
      </c>
      <c r="H752" s="109" t="s">
        <v>1615</v>
      </c>
      <c r="I752" s="109" t="s">
        <v>72</v>
      </c>
      <c r="J752" s="107" t="s">
        <v>72</v>
      </c>
      <c r="K752" s="108">
        <f t="shared" si="181"/>
        <v>46083</v>
      </c>
      <c r="L752" s="108">
        <f t="shared" si="182"/>
        <v>46143</v>
      </c>
      <c r="M752" s="111"/>
      <c r="N752" s="112">
        <f>E752-127-32</f>
        <v>0</v>
      </c>
      <c r="O752" s="113">
        <f t="shared" si="168"/>
        <v>0</v>
      </c>
      <c r="P752" s="112">
        <f t="shared" si="163"/>
        <v>0</v>
      </c>
      <c r="Q752" s="109"/>
      <c r="R752" s="109"/>
      <c r="S752" s="109" t="s">
        <v>1616</v>
      </c>
      <c r="T752" s="114">
        <v>149</v>
      </c>
      <c r="U752" s="109" t="s">
        <v>1614</v>
      </c>
      <c r="V752" s="106"/>
      <c r="W752" s="106"/>
      <c r="X752" s="106" t="s">
        <v>55</v>
      </c>
      <c r="Y752" s="63">
        <f t="shared" si="173"/>
        <v>7.898855345911949</v>
      </c>
      <c r="Z752" s="30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</row>
    <row r="753" spans="1:48" ht="18" customHeight="1">
      <c r="A753" s="106">
        <v>20260030</v>
      </c>
      <c r="B753" s="107" t="s">
        <v>1327</v>
      </c>
      <c r="C753" s="108">
        <v>46052</v>
      </c>
      <c r="D753" s="108">
        <v>46075</v>
      </c>
      <c r="E753" s="106">
        <v>601</v>
      </c>
      <c r="F753" s="106">
        <v>1466.38</v>
      </c>
      <c r="G753" s="106">
        <v>369</v>
      </c>
      <c r="H753" s="109" t="s">
        <v>1617</v>
      </c>
      <c r="I753" s="107" t="s">
        <v>354</v>
      </c>
      <c r="J753" s="107" t="s">
        <v>354</v>
      </c>
      <c r="K753" s="108">
        <f t="shared" si="181"/>
        <v>46083</v>
      </c>
      <c r="L753" s="108">
        <f t="shared" si="182"/>
        <v>46143</v>
      </c>
      <c r="M753" s="111"/>
      <c r="N753" s="112">
        <f>E753-151-61-75-61-100-153</f>
        <v>0</v>
      </c>
      <c r="O753" s="113">
        <f t="shared" si="168"/>
        <v>0</v>
      </c>
      <c r="P753" s="112">
        <f t="shared" si="163"/>
        <v>0</v>
      </c>
      <c r="Q753" s="109"/>
      <c r="R753" s="109"/>
      <c r="S753" s="109" t="s">
        <v>1618</v>
      </c>
      <c r="T753" s="114">
        <v>152</v>
      </c>
      <c r="U753" s="109" t="s">
        <v>1619</v>
      </c>
      <c r="V753" s="106"/>
      <c r="W753" s="106"/>
      <c r="X753" s="106" t="s">
        <v>55</v>
      </c>
      <c r="Y753" s="63">
        <f t="shared" si="173"/>
        <v>2.4399001663893514</v>
      </c>
      <c r="Z753" s="30"/>
      <c r="AB753" s="202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</row>
    <row r="754" spans="1:48" ht="15.75" customHeight="1">
      <c r="A754" s="106">
        <v>20260063</v>
      </c>
      <c r="B754" s="107" t="s">
        <v>400</v>
      </c>
      <c r="C754" s="108">
        <v>46074</v>
      </c>
      <c r="D754" s="108">
        <v>46075</v>
      </c>
      <c r="E754" s="106">
        <v>1</v>
      </c>
      <c r="F754" s="106">
        <v>15</v>
      </c>
      <c r="G754" s="106">
        <v>24</v>
      </c>
      <c r="H754" s="107" t="s">
        <v>1620</v>
      </c>
      <c r="I754" s="107" t="s">
        <v>42</v>
      </c>
      <c r="J754" s="107" t="s">
        <v>28</v>
      </c>
      <c r="K754" s="108">
        <f t="shared" si="181"/>
        <v>46083</v>
      </c>
      <c r="L754" s="108">
        <f t="shared" si="182"/>
        <v>46143</v>
      </c>
      <c r="M754" s="107"/>
      <c r="N754" s="112">
        <f t="shared" ref="N754:N759" si="184">E754-1</f>
        <v>0</v>
      </c>
      <c r="O754" s="113">
        <f t="shared" si="168"/>
        <v>0</v>
      </c>
      <c r="P754" s="112">
        <f t="shared" si="163"/>
        <v>0</v>
      </c>
      <c r="Q754" s="109"/>
      <c r="R754" s="107"/>
      <c r="S754" s="109" t="s">
        <v>1621</v>
      </c>
      <c r="T754" s="114">
        <v>2</v>
      </c>
      <c r="U754" s="109" t="s">
        <v>1622</v>
      </c>
      <c r="V754" s="106"/>
      <c r="W754" s="106"/>
      <c r="X754" s="106" t="s">
        <v>55</v>
      </c>
      <c r="Y754" s="63">
        <f t="shared" si="173"/>
        <v>15</v>
      </c>
    </row>
    <row r="755" spans="1:48" ht="15.75" customHeight="1">
      <c r="A755" s="106">
        <v>20260063</v>
      </c>
      <c r="B755" s="107" t="s">
        <v>400</v>
      </c>
      <c r="C755" s="108">
        <v>46074</v>
      </c>
      <c r="D755" s="108">
        <v>46075</v>
      </c>
      <c r="E755" s="106">
        <v>1</v>
      </c>
      <c r="F755" s="106">
        <v>17.100000000000001</v>
      </c>
      <c r="G755" s="106">
        <v>24</v>
      </c>
      <c r="H755" s="107" t="s">
        <v>1623</v>
      </c>
      <c r="I755" s="107" t="s">
        <v>1624</v>
      </c>
      <c r="J755" s="107" t="s">
        <v>26</v>
      </c>
      <c r="K755" s="108">
        <f t="shared" si="181"/>
        <v>46083</v>
      </c>
      <c r="L755" s="108">
        <f t="shared" si="182"/>
        <v>46143</v>
      </c>
      <c r="M755" s="107"/>
      <c r="N755" s="112">
        <f t="shared" si="184"/>
        <v>0</v>
      </c>
      <c r="O755" s="113">
        <f t="shared" si="168"/>
        <v>0</v>
      </c>
      <c r="P755" s="112">
        <f t="shared" si="163"/>
        <v>0</v>
      </c>
      <c r="Q755" s="109"/>
      <c r="R755" s="107"/>
      <c r="S755" s="109" t="s">
        <v>1625</v>
      </c>
      <c r="T755" s="114">
        <v>3</v>
      </c>
      <c r="U755" s="109" t="s">
        <v>1626</v>
      </c>
      <c r="V755" s="106"/>
      <c r="W755" s="106"/>
      <c r="X755" s="106" t="s">
        <v>55</v>
      </c>
      <c r="Y755" s="63">
        <f t="shared" si="173"/>
        <v>17.100000000000001</v>
      </c>
      <c r="Z755" s="64">
        <f t="shared" ref="Z755" si="185">E755-N755</f>
        <v>1</v>
      </c>
    </row>
    <row r="756" spans="1:48" ht="15.75" customHeight="1">
      <c r="A756" s="106">
        <v>20260063</v>
      </c>
      <c r="B756" s="107" t="s">
        <v>400</v>
      </c>
      <c r="C756" s="108">
        <v>46074</v>
      </c>
      <c r="D756" s="108">
        <v>46075</v>
      </c>
      <c r="E756" s="106">
        <v>1</v>
      </c>
      <c r="F756" s="106">
        <v>17.149999999999999</v>
      </c>
      <c r="G756" s="106">
        <v>24</v>
      </c>
      <c r="H756" s="107" t="s">
        <v>1627</v>
      </c>
      <c r="I756" s="107" t="s">
        <v>276</v>
      </c>
      <c r="J756" s="107" t="s">
        <v>26</v>
      </c>
      <c r="K756" s="108">
        <f t="shared" si="181"/>
        <v>46083</v>
      </c>
      <c r="L756" s="108">
        <f t="shared" si="182"/>
        <v>46143</v>
      </c>
      <c r="M756" s="107"/>
      <c r="N756" s="112">
        <f t="shared" si="184"/>
        <v>0</v>
      </c>
      <c r="O756" s="113">
        <f t="shared" si="168"/>
        <v>0</v>
      </c>
      <c r="P756" s="112">
        <f>G756*E756*N756</f>
        <v>0</v>
      </c>
      <c r="Q756" s="109"/>
      <c r="R756" s="107"/>
      <c r="S756" s="109" t="s">
        <v>1628</v>
      </c>
      <c r="T756" s="114">
        <v>4</v>
      </c>
      <c r="U756" s="109" t="s">
        <v>1629</v>
      </c>
      <c r="V756" s="106"/>
      <c r="W756" s="106"/>
      <c r="X756" s="106" t="s">
        <v>55</v>
      </c>
      <c r="Y756" s="63">
        <f t="shared" si="173"/>
        <v>17.149999999999999</v>
      </c>
    </row>
    <row r="757" spans="1:48" ht="15.75" customHeight="1">
      <c r="A757" s="106">
        <v>20260063</v>
      </c>
      <c r="B757" s="107" t="s">
        <v>400</v>
      </c>
      <c r="C757" s="108">
        <v>46074</v>
      </c>
      <c r="D757" s="108">
        <v>46075</v>
      </c>
      <c r="E757" s="106">
        <v>1</v>
      </c>
      <c r="F757" s="106">
        <v>8.0169999999999995</v>
      </c>
      <c r="G757" s="106">
        <v>24</v>
      </c>
      <c r="H757" s="107" t="s">
        <v>1630</v>
      </c>
      <c r="I757" s="107" t="s">
        <v>42</v>
      </c>
      <c r="J757" s="107" t="s">
        <v>28</v>
      </c>
      <c r="K757" s="108">
        <f t="shared" si="181"/>
        <v>46083</v>
      </c>
      <c r="L757" s="108">
        <f t="shared" si="182"/>
        <v>46143</v>
      </c>
      <c r="M757" s="107"/>
      <c r="N757" s="112">
        <f t="shared" si="184"/>
        <v>0</v>
      </c>
      <c r="O757" s="113">
        <f t="shared" si="168"/>
        <v>0</v>
      </c>
      <c r="P757" s="112">
        <f t="shared" ref="P757:P820" si="186">G757/E757*N757</f>
        <v>0</v>
      </c>
      <c r="Q757" s="109"/>
      <c r="R757" s="107"/>
      <c r="S757" s="109" t="s">
        <v>1631</v>
      </c>
      <c r="T757" s="114">
        <v>5</v>
      </c>
      <c r="U757" s="109" t="s">
        <v>1632</v>
      </c>
      <c r="V757" s="106"/>
      <c r="W757" s="106"/>
      <c r="X757" s="106" t="s">
        <v>55</v>
      </c>
      <c r="Y757" s="63">
        <f t="shared" si="173"/>
        <v>8.0169999999999995</v>
      </c>
    </row>
    <row r="758" spans="1:48" ht="15.75" customHeight="1">
      <c r="A758" s="106">
        <v>20260063</v>
      </c>
      <c r="B758" s="107" t="s">
        <v>400</v>
      </c>
      <c r="C758" s="108">
        <v>46074</v>
      </c>
      <c r="D758" s="108">
        <v>46075</v>
      </c>
      <c r="E758" s="106">
        <v>1</v>
      </c>
      <c r="F758" s="106">
        <v>0</v>
      </c>
      <c r="G758" s="106">
        <v>5</v>
      </c>
      <c r="H758" s="107" t="s">
        <v>1630</v>
      </c>
      <c r="I758" s="107" t="s">
        <v>24</v>
      </c>
      <c r="J758" s="107" t="s">
        <v>24</v>
      </c>
      <c r="K758" s="108">
        <f t="shared" si="181"/>
        <v>46083</v>
      </c>
      <c r="L758" s="108">
        <f t="shared" si="182"/>
        <v>46143</v>
      </c>
      <c r="M758" s="107"/>
      <c r="N758" s="112">
        <f t="shared" si="184"/>
        <v>0</v>
      </c>
      <c r="O758" s="113">
        <f t="shared" si="168"/>
        <v>0</v>
      </c>
      <c r="P758" s="112">
        <f t="shared" si="186"/>
        <v>0</v>
      </c>
      <c r="Q758" s="109"/>
      <c r="R758" s="107"/>
      <c r="S758" s="109" t="s">
        <v>1631</v>
      </c>
      <c r="T758" s="114">
        <v>5</v>
      </c>
      <c r="U758" s="109"/>
      <c r="V758" s="106"/>
      <c r="W758" s="106"/>
      <c r="X758" s="106" t="s">
        <v>55</v>
      </c>
      <c r="Y758" s="63">
        <f t="shared" si="173"/>
        <v>0</v>
      </c>
    </row>
    <row r="759" spans="1:48" ht="15.75" customHeight="1">
      <c r="A759" s="106">
        <v>20260063</v>
      </c>
      <c r="B759" s="107" t="s">
        <v>400</v>
      </c>
      <c r="C759" s="108">
        <v>46074</v>
      </c>
      <c r="D759" s="108">
        <v>46075</v>
      </c>
      <c r="E759" s="106">
        <v>1</v>
      </c>
      <c r="F759" s="106">
        <v>8.0519999999999996</v>
      </c>
      <c r="G759" s="106">
        <v>24</v>
      </c>
      <c r="H759" s="107" t="s">
        <v>1633</v>
      </c>
      <c r="I759" s="107" t="s">
        <v>42</v>
      </c>
      <c r="J759" s="107" t="s">
        <v>28</v>
      </c>
      <c r="K759" s="108">
        <f t="shared" si="181"/>
        <v>46083</v>
      </c>
      <c r="L759" s="108">
        <f t="shared" si="182"/>
        <v>46143</v>
      </c>
      <c r="M759" s="107"/>
      <c r="N759" s="112">
        <f t="shared" si="184"/>
        <v>0</v>
      </c>
      <c r="O759" s="113">
        <f t="shared" si="168"/>
        <v>0</v>
      </c>
      <c r="P759" s="112">
        <f t="shared" si="186"/>
        <v>0</v>
      </c>
      <c r="Q759" s="109"/>
      <c r="R759" s="107"/>
      <c r="S759" s="109" t="s">
        <v>1634</v>
      </c>
      <c r="T759" s="114">
        <v>6</v>
      </c>
      <c r="U759" s="109" t="s">
        <v>1632</v>
      </c>
      <c r="V759" s="106"/>
      <c r="W759" s="106"/>
      <c r="X759" s="106" t="s">
        <v>55</v>
      </c>
      <c r="Y759" s="63">
        <f t="shared" si="173"/>
        <v>8.0519999999999996</v>
      </c>
    </row>
    <row r="760" spans="1:48" ht="15.75" customHeight="1">
      <c r="A760" s="106">
        <v>20260063</v>
      </c>
      <c r="B760" s="107" t="s">
        <v>400</v>
      </c>
      <c r="C760" s="108">
        <v>46074</v>
      </c>
      <c r="D760" s="108">
        <v>46075</v>
      </c>
      <c r="E760" s="106">
        <v>2</v>
      </c>
      <c r="F760" s="106">
        <v>0</v>
      </c>
      <c r="G760" s="106">
        <v>10</v>
      </c>
      <c r="H760" s="107" t="s">
        <v>1633</v>
      </c>
      <c r="I760" s="107" t="s">
        <v>24</v>
      </c>
      <c r="J760" s="107" t="s">
        <v>24</v>
      </c>
      <c r="K760" s="108">
        <f t="shared" si="181"/>
        <v>46083</v>
      </c>
      <c r="L760" s="108">
        <f t="shared" si="182"/>
        <v>46143</v>
      </c>
      <c r="M760" s="107"/>
      <c r="N760" s="112">
        <f>E760-2</f>
        <v>0</v>
      </c>
      <c r="O760" s="113">
        <f t="shared" si="168"/>
        <v>0</v>
      </c>
      <c r="P760" s="112">
        <f t="shared" si="186"/>
        <v>0</v>
      </c>
      <c r="Q760" s="109"/>
      <c r="R760" s="107"/>
      <c r="S760" s="109" t="s">
        <v>1634</v>
      </c>
      <c r="T760" s="114">
        <v>6</v>
      </c>
      <c r="U760" s="109"/>
      <c r="V760" s="106"/>
      <c r="W760" s="106"/>
      <c r="X760" s="106" t="s">
        <v>55</v>
      </c>
      <c r="Y760" s="63">
        <f t="shared" si="173"/>
        <v>0</v>
      </c>
    </row>
    <row r="761" spans="1:48" ht="15.75" customHeight="1">
      <c r="A761" s="106">
        <v>20260063</v>
      </c>
      <c r="B761" s="107" t="s">
        <v>400</v>
      </c>
      <c r="C761" s="108">
        <v>46074</v>
      </c>
      <c r="D761" s="108">
        <v>46075</v>
      </c>
      <c r="E761" s="106">
        <v>1</v>
      </c>
      <c r="F761" s="106">
        <v>9</v>
      </c>
      <c r="G761" s="106">
        <v>24</v>
      </c>
      <c r="H761" s="107" t="s">
        <v>1635</v>
      </c>
      <c r="I761" s="107" t="s">
        <v>42</v>
      </c>
      <c r="J761" s="107" t="s">
        <v>28</v>
      </c>
      <c r="K761" s="108">
        <f t="shared" si="181"/>
        <v>46083</v>
      </c>
      <c r="L761" s="108">
        <f t="shared" si="182"/>
        <v>46143</v>
      </c>
      <c r="M761" s="107"/>
      <c r="N761" s="112">
        <f>E761-1</f>
        <v>0</v>
      </c>
      <c r="O761" s="113">
        <f t="shared" si="168"/>
        <v>0</v>
      </c>
      <c r="P761" s="112">
        <f t="shared" si="186"/>
        <v>0</v>
      </c>
      <c r="Q761" s="109"/>
      <c r="R761" s="107"/>
      <c r="S761" s="109" t="s">
        <v>1636</v>
      </c>
      <c r="T761" s="114">
        <v>7</v>
      </c>
      <c r="U761" s="109" t="s">
        <v>1637</v>
      </c>
      <c r="V761" s="106"/>
      <c r="W761" s="106"/>
      <c r="X761" s="106" t="s">
        <v>55</v>
      </c>
      <c r="Y761" s="63">
        <f t="shared" si="173"/>
        <v>9</v>
      </c>
    </row>
    <row r="762" spans="1:48" ht="15.75" customHeight="1">
      <c r="A762" s="106">
        <v>20260062</v>
      </c>
      <c r="B762" s="107" t="s">
        <v>1638</v>
      </c>
      <c r="C762" s="108">
        <v>46075</v>
      </c>
      <c r="D762" s="108">
        <v>46078</v>
      </c>
      <c r="E762" s="106">
        <v>3976</v>
      </c>
      <c r="F762" s="106">
        <v>4458.96</v>
      </c>
      <c r="G762" s="106">
        <v>3750</v>
      </c>
      <c r="H762" s="107" t="s">
        <v>1639</v>
      </c>
      <c r="I762" s="107" t="s">
        <v>1640</v>
      </c>
      <c r="J762" s="107" t="s">
        <v>92</v>
      </c>
      <c r="K762" s="108">
        <f t="shared" si="181"/>
        <v>46086</v>
      </c>
      <c r="L762" s="108">
        <f t="shared" si="182"/>
        <v>46146</v>
      </c>
      <c r="M762" s="107"/>
      <c r="N762" s="112">
        <f>E762-3139-162-145-80-144-184-122</f>
        <v>0</v>
      </c>
      <c r="O762" s="113">
        <f t="shared" si="168"/>
        <v>0</v>
      </c>
      <c r="P762" s="112">
        <f t="shared" si="186"/>
        <v>0</v>
      </c>
      <c r="Q762" s="109"/>
      <c r="R762" s="107"/>
      <c r="S762" s="109">
        <v>2</v>
      </c>
      <c r="T762" s="114">
        <v>1</v>
      </c>
      <c r="U762" s="109"/>
      <c r="V762" s="106"/>
      <c r="W762" s="106"/>
      <c r="X762" s="106" t="s">
        <v>55</v>
      </c>
      <c r="Y762" s="63">
        <f t="shared" si="173"/>
        <v>1.1214688128772636</v>
      </c>
    </row>
    <row r="763" spans="1:48" ht="15.75" customHeight="1">
      <c r="A763" s="106">
        <v>20260062</v>
      </c>
      <c r="B763" s="107" t="s">
        <v>1638</v>
      </c>
      <c r="C763" s="108">
        <v>46075</v>
      </c>
      <c r="D763" s="108">
        <v>46078</v>
      </c>
      <c r="E763" s="106">
        <v>500</v>
      </c>
      <c r="F763" s="106">
        <v>501.5</v>
      </c>
      <c r="G763" s="106">
        <v>460</v>
      </c>
      <c r="H763" s="107" t="s">
        <v>1639</v>
      </c>
      <c r="I763" s="107" t="s">
        <v>1640</v>
      </c>
      <c r="J763" s="107" t="s">
        <v>92</v>
      </c>
      <c r="K763" s="108">
        <f t="shared" si="181"/>
        <v>46086</v>
      </c>
      <c r="L763" s="108">
        <f t="shared" si="182"/>
        <v>46146</v>
      </c>
      <c r="M763" s="107"/>
      <c r="N763" s="112">
        <f>E763-41-284-112-63</f>
        <v>0</v>
      </c>
      <c r="O763" s="113">
        <f t="shared" si="168"/>
        <v>0</v>
      </c>
      <c r="P763" s="112">
        <f t="shared" si="186"/>
        <v>0</v>
      </c>
      <c r="Q763" s="109"/>
      <c r="R763" s="107"/>
      <c r="S763" s="109">
        <v>4</v>
      </c>
      <c r="T763" s="114"/>
      <c r="U763" s="109"/>
      <c r="V763" s="106"/>
      <c r="W763" s="106"/>
      <c r="X763" s="106" t="s">
        <v>55</v>
      </c>
      <c r="Y763" s="63">
        <f t="shared" si="173"/>
        <v>1.0029999999999999</v>
      </c>
    </row>
    <row r="764" spans="1:48" ht="15.75" customHeight="1">
      <c r="A764" s="87">
        <v>20260070</v>
      </c>
      <c r="B764" s="88" t="s">
        <v>1641</v>
      </c>
      <c r="C764" s="89">
        <v>46078</v>
      </c>
      <c r="D764" s="125">
        <v>46079</v>
      </c>
      <c r="E764" s="123">
        <v>140</v>
      </c>
      <c r="F764" s="127">
        <v>1569</v>
      </c>
      <c r="G764" s="128">
        <v>5600</v>
      </c>
      <c r="H764" s="124" t="s">
        <v>1321</v>
      </c>
      <c r="I764" s="124" t="s">
        <v>106</v>
      </c>
      <c r="J764" s="124" t="s">
        <v>29</v>
      </c>
      <c r="K764" s="130">
        <f t="shared" si="181"/>
        <v>46087</v>
      </c>
      <c r="L764" s="130">
        <f t="shared" si="182"/>
        <v>46147</v>
      </c>
      <c r="M764" s="124"/>
      <c r="N764" s="132">
        <f>E764-49-41</f>
        <v>50</v>
      </c>
      <c r="O764" s="133">
        <f t="shared" si="168"/>
        <v>560.35714285714289</v>
      </c>
      <c r="P764" s="134">
        <f t="shared" si="186"/>
        <v>2000</v>
      </c>
      <c r="Q764" s="272"/>
      <c r="S764" s="200" t="s">
        <v>1642</v>
      </c>
      <c r="T764" s="201">
        <v>1</v>
      </c>
      <c r="U764" s="58" t="s">
        <v>1643</v>
      </c>
      <c r="V764" s="46"/>
      <c r="W764" s="46"/>
      <c r="X764" s="99" t="s">
        <v>76</v>
      </c>
      <c r="Y764" s="63">
        <f t="shared" si="173"/>
        <v>11.207142857142857</v>
      </c>
      <c r="Z764" s="64">
        <f t="shared" ref="Z764:Z769" si="187">E764-N764</f>
        <v>90</v>
      </c>
    </row>
    <row r="765" spans="1:48" ht="15.75" customHeight="1">
      <c r="A765" s="63">
        <v>20260070</v>
      </c>
      <c r="B765" s="65" t="s">
        <v>1641</v>
      </c>
      <c r="C765" s="66">
        <v>46078</v>
      </c>
      <c r="D765" s="66">
        <v>46079</v>
      </c>
      <c r="E765" s="63">
        <v>120</v>
      </c>
      <c r="F765" s="68">
        <v>0</v>
      </c>
      <c r="G765" s="69">
        <v>0</v>
      </c>
      <c r="H765" s="65" t="s">
        <v>1321</v>
      </c>
      <c r="I765" s="65" t="s">
        <v>106</v>
      </c>
      <c r="J765" s="65" t="s">
        <v>29</v>
      </c>
      <c r="K765" s="48">
        <f t="shared" si="181"/>
        <v>46087</v>
      </c>
      <c r="L765" s="48">
        <f t="shared" si="182"/>
        <v>46147</v>
      </c>
      <c r="N765" s="72">
        <f>E765</f>
        <v>120</v>
      </c>
      <c r="O765" s="50">
        <f t="shared" si="168"/>
        <v>0</v>
      </c>
      <c r="P765" s="56">
        <f t="shared" si="186"/>
        <v>0</v>
      </c>
      <c r="S765" s="200" t="s">
        <v>1644</v>
      </c>
      <c r="T765" s="201">
        <v>2</v>
      </c>
      <c r="U765" s="58" t="s">
        <v>527</v>
      </c>
      <c r="V765" s="46"/>
      <c r="W765" s="46"/>
      <c r="X765" s="62" t="s">
        <v>25</v>
      </c>
      <c r="Y765" s="63">
        <f t="shared" si="173"/>
        <v>0</v>
      </c>
      <c r="Z765" s="64">
        <f t="shared" si="187"/>
        <v>0</v>
      </c>
    </row>
    <row r="766" spans="1:48" ht="15.75" customHeight="1">
      <c r="A766" s="87">
        <v>20260047</v>
      </c>
      <c r="B766" s="88" t="s">
        <v>1645</v>
      </c>
      <c r="C766" s="89">
        <v>46063</v>
      </c>
      <c r="D766" s="66">
        <v>46079</v>
      </c>
      <c r="E766" s="63">
        <v>2</v>
      </c>
      <c r="F766" s="68">
        <v>43.92</v>
      </c>
      <c r="G766" s="69">
        <v>48</v>
      </c>
      <c r="H766" s="65" t="s">
        <v>1646</v>
      </c>
      <c r="I766" s="65" t="s">
        <v>446</v>
      </c>
      <c r="J766" s="65" t="s">
        <v>26</v>
      </c>
      <c r="K766" s="48">
        <f t="shared" si="181"/>
        <v>46087</v>
      </c>
      <c r="L766" s="48">
        <f t="shared" si="182"/>
        <v>46147</v>
      </c>
      <c r="N766" s="72">
        <f>E766</f>
        <v>2</v>
      </c>
      <c r="O766" s="50">
        <f t="shared" si="168"/>
        <v>43.92</v>
      </c>
      <c r="P766" s="56">
        <f t="shared" si="186"/>
        <v>48</v>
      </c>
      <c r="S766" s="200" t="s">
        <v>1647</v>
      </c>
      <c r="T766" s="201">
        <v>2</v>
      </c>
      <c r="U766" s="58" t="s">
        <v>1648</v>
      </c>
      <c r="V766" s="46"/>
      <c r="W766" s="46"/>
      <c r="X766" s="62" t="s">
        <v>25</v>
      </c>
      <c r="Y766" s="63">
        <f t="shared" si="173"/>
        <v>21.96</v>
      </c>
      <c r="Z766" s="64">
        <f t="shared" si="187"/>
        <v>0</v>
      </c>
    </row>
    <row r="767" spans="1:48" ht="15.75" customHeight="1">
      <c r="A767" s="63">
        <v>20260047</v>
      </c>
      <c r="B767" s="65" t="s">
        <v>1645</v>
      </c>
      <c r="C767" s="66">
        <v>46063</v>
      </c>
      <c r="D767" s="66">
        <v>46079</v>
      </c>
      <c r="E767" s="63">
        <v>2</v>
      </c>
      <c r="F767" s="68">
        <v>0</v>
      </c>
      <c r="G767" s="69">
        <v>8</v>
      </c>
      <c r="H767" s="65" t="s">
        <v>1646</v>
      </c>
      <c r="I767" s="65" t="s">
        <v>24</v>
      </c>
      <c r="J767" s="65" t="s">
        <v>24</v>
      </c>
      <c r="K767" s="48">
        <f t="shared" si="181"/>
        <v>46087</v>
      </c>
      <c r="L767" s="48">
        <f t="shared" si="182"/>
        <v>46147</v>
      </c>
      <c r="N767" s="72">
        <f>E767</f>
        <v>2</v>
      </c>
      <c r="O767" s="50">
        <f t="shared" si="168"/>
        <v>0</v>
      </c>
      <c r="P767" s="56">
        <f t="shared" si="186"/>
        <v>8</v>
      </c>
      <c r="S767" s="200" t="s">
        <v>1647</v>
      </c>
      <c r="T767" s="201">
        <v>2</v>
      </c>
      <c r="U767" s="58"/>
      <c r="V767" s="46"/>
      <c r="W767" s="46"/>
      <c r="X767" s="62" t="s">
        <v>25</v>
      </c>
      <c r="Y767" s="63">
        <f t="shared" si="173"/>
        <v>0</v>
      </c>
      <c r="Z767" s="64">
        <f t="shared" si="187"/>
        <v>0</v>
      </c>
    </row>
    <row r="768" spans="1:48" ht="15.75" customHeight="1">
      <c r="A768" s="63">
        <v>20260047</v>
      </c>
      <c r="B768" s="65" t="s">
        <v>1645</v>
      </c>
      <c r="C768" s="66">
        <v>46063</v>
      </c>
      <c r="D768" s="66">
        <v>46079</v>
      </c>
      <c r="E768" s="63">
        <v>3</v>
      </c>
      <c r="F768" s="68">
        <v>49.8</v>
      </c>
      <c r="G768" s="69">
        <v>72</v>
      </c>
      <c r="H768" s="65" t="s">
        <v>1649</v>
      </c>
      <c r="I768" s="65" t="s">
        <v>63</v>
      </c>
      <c r="J768" s="65" t="s">
        <v>28</v>
      </c>
      <c r="K768" s="48">
        <f t="shared" si="181"/>
        <v>46087</v>
      </c>
      <c r="L768" s="48">
        <f t="shared" si="182"/>
        <v>46147</v>
      </c>
      <c r="N768" s="72">
        <f>E768</f>
        <v>3</v>
      </c>
      <c r="O768" s="50">
        <f t="shared" si="168"/>
        <v>49.8</v>
      </c>
      <c r="P768" s="56">
        <f t="shared" si="186"/>
        <v>72</v>
      </c>
      <c r="S768" s="200" t="s">
        <v>1650</v>
      </c>
      <c r="T768" s="201">
        <v>3</v>
      </c>
      <c r="U768" s="58" t="s">
        <v>1651</v>
      </c>
      <c r="V768" s="46"/>
      <c r="W768" s="46"/>
      <c r="X768" s="62" t="s">
        <v>25</v>
      </c>
      <c r="Y768" s="63">
        <f t="shared" si="173"/>
        <v>16.599999999999998</v>
      </c>
      <c r="Z768" s="64">
        <f t="shared" si="187"/>
        <v>0</v>
      </c>
    </row>
    <row r="769" spans="1:26" ht="15.75" customHeight="1">
      <c r="A769" s="106">
        <v>20260047</v>
      </c>
      <c r="B769" s="107" t="s">
        <v>1645</v>
      </c>
      <c r="C769" s="108">
        <v>46063</v>
      </c>
      <c r="D769" s="108">
        <v>46079</v>
      </c>
      <c r="E769" s="106">
        <v>1</v>
      </c>
      <c r="F769" s="106">
        <v>15.72</v>
      </c>
      <c r="G769" s="106">
        <v>24</v>
      </c>
      <c r="H769" s="107" t="s">
        <v>1652</v>
      </c>
      <c r="I769" s="107" t="s">
        <v>42</v>
      </c>
      <c r="J769" s="107" t="s">
        <v>28</v>
      </c>
      <c r="K769" s="108">
        <f t="shared" si="181"/>
        <v>46087</v>
      </c>
      <c r="L769" s="108">
        <f t="shared" si="182"/>
        <v>46147</v>
      </c>
      <c r="M769" s="107"/>
      <c r="N769" s="112">
        <f>E769-1</f>
        <v>0</v>
      </c>
      <c r="O769" s="113">
        <f t="shared" si="168"/>
        <v>0</v>
      </c>
      <c r="P769" s="112">
        <f t="shared" si="186"/>
        <v>0</v>
      </c>
      <c r="Q769" s="109"/>
      <c r="R769" s="107"/>
      <c r="S769" s="109" t="s">
        <v>1653</v>
      </c>
      <c r="T769" s="114">
        <v>4</v>
      </c>
      <c r="U769" s="109" t="s">
        <v>1654</v>
      </c>
      <c r="V769" s="106"/>
      <c r="W769" s="106"/>
      <c r="X769" s="106" t="s">
        <v>55</v>
      </c>
      <c r="Y769" s="63">
        <f t="shared" si="173"/>
        <v>15.72</v>
      </c>
      <c r="Z769" s="64">
        <f t="shared" si="187"/>
        <v>1</v>
      </c>
    </row>
    <row r="770" spans="1:26" ht="15.75" customHeight="1">
      <c r="A770" s="106">
        <v>20260047</v>
      </c>
      <c r="B770" s="107" t="s">
        <v>1645</v>
      </c>
      <c r="C770" s="108">
        <v>46063</v>
      </c>
      <c r="D770" s="108">
        <v>46079</v>
      </c>
      <c r="E770" s="106">
        <v>1</v>
      </c>
      <c r="F770" s="106">
        <v>34</v>
      </c>
      <c r="G770" s="106">
        <v>24</v>
      </c>
      <c r="H770" s="107" t="s">
        <v>1655</v>
      </c>
      <c r="I770" s="107" t="s">
        <v>194</v>
      </c>
      <c r="J770" s="107" t="s">
        <v>26</v>
      </c>
      <c r="K770" s="108">
        <f t="shared" si="181"/>
        <v>46087</v>
      </c>
      <c r="L770" s="108">
        <f t="shared" si="182"/>
        <v>46147</v>
      </c>
      <c r="M770" s="107"/>
      <c r="N770" s="112">
        <f>E770-1</f>
        <v>0</v>
      </c>
      <c r="O770" s="113">
        <f t="shared" si="168"/>
        <v>0</v>
      </c>
      <c r="P770" s="112">
        <f t="shared" si="186"/>
        <v>0</v>
      </c>
      <c r="Q770" s="109"/>
      <c r="R770" s="107"/>
      <c r="S770" s="109" t="s">
        <v>1656</v>
      </c>
      <c r="T770" s="114">
        <v>7</v>
      </c>
      <c r="U770" s="109" t="s">
        <v>682</v>
      </c>
      <c r="V770" s="106"/>
      <c r="W770" s="106"/>
      <c r="X770" s="106" t="s">
        <v>55</v>
      </c>
      <c r="Y770" s="63">
        <f t="shared" si="173"/>
        <v>34</v>
      </c>
    </row>
    <row r="771" spans="1:26" ht="15.75" customHeight="1">
      <c r="A771" s="63">
        <v>20260047</v>
      </c>
      <c r="B771" s="65" t="s">
        <v>1645</v>
      </c>
      <c r="C771" s="66">
        <v>46063</v>
      </c>
      <c r="D771" s="66">
        <v>46079</v>
      </c>
      <c r="E771" s="63">
        <v>1</v>
      </c>
      <c r="F771" s="68">
        <v>0</v>
      </c>
      <c r="G771" s="69">
        <v>4</v>
      </c>
      <c r="H771" s="65" t="s">
        <v>1655</v>
      </c>
      <c r="I771" s="65" t="s">
        <v>24</v>
      </c>
      <c r="J771" s="65" t="s">
        <v>24</v>
      </c>
      <c r="K771" s="48">
        <f t="shared" si="181"/>
        <v>46087</v>
      </c>
      <c r="L771" s="48">
        <f t="shared" si="182"/>
        <v>46147</v>
      </c>
      <c r="N771" s="72">
        <f>E771</f>
        <v>1</v>
      </c>
      <c r="O771" s="50">
        <f t="shared" si="168"/>
        <v>0</v>
      </c>
      <c r="P771" s="56">
        <f t="shared" si="186"/>
        <v>4</v>
      </c>
      <c r="S771" s="200" t="s">
        <v>1656</v>
      </c>
      <c r="T771" s="201">
        <v>7</v>
      </c>
      <c r="U771" s="58"/>
      <c r="V771" s="46"/>
      <c r="W771" s="46"/>
      <c r="X771" s="62" t="s">
        <v>25</v>
      </c>
      <c r="Y771" s="63">
        <f t="shared" si="173"/>
        <v>0</v>
      </c>
      <c r="Z771" s="64">
        <f t="shared" ref="Z771:Z772" si="188">E771-N771</f>
        <v>0</v>
      </c>
    </row>
    <row r="772" spans="1:26" ht="15.75" customHeight="1">
      <c r="A772" s="63">
        <v>20260047</v>
      </c>
      <c r="B772" s="65" t="s">
        <v>1645</v>
      </c>
      <c r="C772" s="66">
        <v>46063</v>
      </c>
      <c r="D772" s="66">
        <v>46079</v>
      </c>
      <c r="E772" s="63">
        <v>1</v>
      </c>
      <c r="F772" s="68">
        <v>12</v>
      </c>
      <c r="G772" s="69">
        <v>24</v>
      </c>
      <c r="H772" s="65" t="s">
        <v>1657</v>
      </c>
      <c r="I772" s="65" t="s">
        <v>42</v>
      </c>
      <c r="J772" s="65" t="s">
        <v>28</v>
      </c>
      <c r="K772" s="48">
        <f t="shared" si="181"/>
        <v>46087</v>
      </c>
      <c r="L772" s="48">
        <f t="shared" si="182"/>
        <v>46147</v>
      </c>
      <c r="N772" s="72">
        <f>E772</f>
        <v>1</v>
      </c>
      <c r="O772" s="50">
        <f t="shared" si="168"/>
        <v>12</v>
      </c>
      <c r="P772" s="56">
        <f t="shared" si="186"/>
        <v>24</v>
      </c>
      <c r="S772" s="200" t="s">
        <v>1658</v>
      </c>
      <c r="T772" s="201">
        <v>9</v>
      </c>
      <c r="U772" s="58" t="s">
        <v>1659</v>
      </c>
      <c r="V772" s="46"/>
      <c r="W772" s="46"/>
      <c r="X772" s="62" t="s">
        <v>25</v>
      </c>
      <c r="Y772" s="63">
        <f t="shared" si="173"/>
        <v>12</v>
      </c>
      <c r="Z772" s="64">
        <f t="shared" si="188"/>
        <v>0</v>
      </c>
    </row>
    <row r="773" spans="1:26" ht="15.75" customHeight="1">
      <c r="A773" s="106">
        <v>20260047</v>
      </c>
      <c r="B773" s="107" t="s">
        <v>1645</v>
      </c>
      <c r="C773" s="108">
        <v>46063</v>
      </c>
      <c r="D773" s="108">
        <v>46079</v>
      </c>
      <c r="E773" s="106">
        <v>1</v>
      </c>
      <c r="F773" s="106">
        <v>28.63</v>
      </c>
      <c r="G773" s="106">
        <v>24</v>
      </c>
      <c r="H773" s="107" t="s">
        <v>1660</v>
      </c>
      <c r="I773" s="107" t="s">
        <v>208</v>
      </c>
      <c r="J773" s="107" t="s">
        <v>26</v>
      </c>
      <c r="K773" s="108">
        <f t="shared" si="181"/>
        <v>46087</v>
      </c>
      <c r="L773" s="108">
        <f t="shared" si="182"/>
        <v>46147</v>
      </c>
      <c r="M773" s="107"/>
      <c r="N773" s="112">
        <f>E773-1</f>
        <v>0</v>
      </c>
      <c r="O773" s="113">
        <f t="shared" si="168"/>
        <v>0</v>
      </c>
      <c r="P773" s="112">
        <f t="shared" si="186"/>
        <v>0</v>
      </c>
      <c r="Q773" s="109"/>
      <c r="R773" s="107"/>
      <c r="S773" s="109" t="s">
        <v>1661</v>
      </c>
      <c r="T773" s="114">
        <v>11</v>
      </c>
      <c r="U773" s="109" t="s">
        <v>1662</v>
      </c>
      <c r="V773" s="106"/>
      <c r="W773" s="106"/>
      <c r="X773" s="106" t="s">
        <v>55</v>
      </c>
      <c r="Y773" s="63">
        <f t="shared" si="173"/>
        <v>28.63</v>
      </c>
    </row>
    <row r="774" spans="1:26" ht="15.75" customHeight="1">
      <c r="A774" s="106">
        <v>20260047</v>
      </c>
      <c r="B774" s="107" t="s">
        <v>1645</v>
      </c>
      <c r="C774" s="108">
        <v>46063</v>
      </c>
      <c r="D774" s="108">
        <v>46079</v>
      </c>
      <c r="E774" s="106">
        <v>1</v>
      </c>
      <c r="F774" s="106">
        <v>10</v>
      </c>
      <c r="G774" s="106">
        <v>24</v>
      </c>
      <c r="H774" s="107" t="s">
        <v>1660</v>
      </c>
      <c r="I774" s="107" t="s">
        <v>42</v>
      </c>
      <c r="J774" s="107" t="s">
        <v>28</v>
      </c>
      <c r="K774" s="108">
        <f t="shared" si="181"/>
        <v>46087</v>
      </c>
      <c r="L774" s="108">
        <f t="shared" si="182"/>
        <v>46147</v>
      </c>
      <c r="M774" s="107"/>
      <c r="N774" s="112">
        <f>E774-1</f>
        <v>0</v>
      </c>
      <c r="O774" s="113">
        <f t="shared" si="168"/>
        <v>0</v>
      </c>
      <c r="P774" s="112">
        <f t="shared" si="186"/>
        <v>0</v>
      </c>
      <c r="Q774" s="109"/>
      <c r="R774" s="107"/>
      <c r="S774" s="109" t="s">
        <v>1661</v>
      </c>
      <c r="T774" s="114">
        <v>11</v>
      </c>
      <c r="U774" s="109"/>
      <c r="V774" s="106"/>
      <c r="W774" s="106"/>
      <c r="X774" s="106" t="s">
        <v>55</v>
      </c>
      <c r="Y774" s="63">
        <f t="shared" si="173"/>
        <v>10</v>
      </c>
    </row>
    <row r="775" spans="1:26" ht="15.75" customHeight="1">
      <c r="A775" s="106">
        <v>20260047</v>
      </c>
      <c r="B775" s="107" t="s">
        <v>1645</v>
      </c>
      <c r="C775" s="108">
        <v>46063</v>
      </c>
      <c r="D775" s="108">
        <v>46079</v>
      </c>
      <c r="E775" s="106">
        <v>1</v>
      </c>
      <c r="F775" s="106">
        <v>4</v>
      </c>
      <c r="G775" s="106">
        <v>24</v>
      </c>
      <c r="H775" s="107" t="s">
        <v>1663</v>
      </c>
      <c r="I775" s="107" t="s">
        <v>42</v>
      </c>
      <c r="J775" s="107" t="s">
        <v>28</v>
      </c>
      <c r="K775" s="108">
        <f t="shared" si="181"/>
        <v>46087</v>
      </c>
      <c r="L775" s="108">
        <f t="shared" si="182"/>
        <v>46147</v>
      </c>
      <c r="M775" s="107"/>
      <c r="N775" s="112">
        <f>E775-1</f>
        <v>0</v>
      </c>
      <c r="O775" s="113">
        <f t="shared" si="168"/>
        <v>0</v>
      </c>
      <c r="P775" s="112">
        <f t="shared" si="186"/>
        <v>0</v>
      </c>
      <c r="Q775" s="109"/>
      <c r="R775" s="107"/>
      <c r="S775" s="109" t="s">
        <v>1664</v>
      </c>
      <c r="T775" s="114">
        <v>12</v>
      </c>
      <c r="U775" s="109" t="s">
        <v>1665</v>
      </c>
      <c r="V775" s="106"/>
      <c r="W775" s="106"/>
      <c r="X775" s="106" t="s">
        <v>55</v>
      </c>
      <c r="Y775" s="63">
        <f t="shared" si="173"/>
        <v>4</v>
      </c>
    </row>
    <row r="776" spans="1:26" ht="15.75" customHeight="1">
      <c r="A776" s="106">
        <v>20260047</v>
      </c>
      <c r="B776" s="107" t="s">
        <v>1645</v>
      </c>
      <c r="C776" s="108">
        <v>46063</v>
      </c>
      <c r="D776" s="108">
        <v>46079</v>
      </c>
      <c r="E776" s="106">
        <v>1</v>
      </c>
      <c r="F776" s="106">
        <v>16</v>
      </c>
      <c r="G776" s="106">
        <v>24</v>
      </c>
      <c r="H776" s="107" t="s">
        <v>1666</v>
      </c>
      <c r="I776" s="107" t="s">
        <v>208</v>
      </c>
      <c r="J776" s="107" t="s">
        <v>26</v>
      </c>
      <c r="K776" s="108">
        <f t="shared" si="181"/>
        <v>46087</v>
      </c>
      <c r="L776" s="108">
        <f t="shared" si="182"/>
        <v>46147</v>
      </c>
      <c r="M776" s="107"/>
      <c r="N776" s="112">
        <f>E776-1</f>
        <v>0</v>
      </c>
      <c r="O776" s="113">
        <f t="shared" si="168"/>
        <v>0</v>
      </c>
      <c r="P776" s="112">
        <f t="shared" si="186"/>
        <v>0</v>
      </c>
      <c r="Q776" s="109"/>
      <c r="R776" s="107"/>
      <c r="S776" s="109" t="s">
        <v>1667</v>
      </c>
      <c r="T776" s="114">
        <v>13</v>
      </c>
      <c r="U776" s="109" t="s">
        <v>1668</v>
      </c>
      <c r="V776" s="106"/>
      <c r="W776" s="106"/>
      <c r="X776" s="106" t="s">
        <v>55</v>
      </c>
      <c r="Y776" s="63">
        <f t="shared" si="173"/>
        <v>16</v>
      </c>
    </row>
    <row r="777" spans="1:26" ht="15.75" customHeight="1">
      <c r="A777" s="106">
        <v>20260047</v>
      </c>
      <c r="B777" s="107" t="s">
        <v>1645</v>
      </c>
      <c r="C777" s="108">
        <v>46063</v>
      </c>
      <c r="D777" s="108">
        <v>46079</v>
      </c>
      <c r="E777" s="106">
        <v>6</v>
      </c>
      <c r="F777" s="106">
        <v>166.05731249999999</v>
      </c>
      <c r="G777" s="106">
        <v>144</v>
      </c>
      <c r="H777" s="107" t="s">
        <v>781</v>
      </c>
      <c r="I777" s="107" t="s">
        <v>276</v>
      </c>
      <c r="J777" s="107" t="s">
        <v>26</v>
      </c>
      <c r="K777" s="108">
        <f t="shared" si="181"/>
        <v>46087</v>
      </c>
      <c r="L777" s="108">
        <f t="shared" si="182"/>
        <v>46147</v>
      </c>
      <c r="M777" s="107"/>
      <c r="N777" s="112">
        <f>E777-6</f>
        <v>0</v>
      </c>
      <c r="O777" s="113">
        <f t="shared" ref="O777:O840" si="189">F777/E777*N777</f>
        <v>0</v>
      </c>
      <c r="P777" s="112">
        <f t="shared" si="186"/>
        <v>0</v>
      </c>
      <c r="Q777" s="109"/>
      <c r="R777" s="107"/>
      <c r="S777" s="109" t="s">
        <v>1669</v>
      </c>
      <c r="T777" s="114">
        <v>14</v>
      </c>
      <c r="U777" s="109" t="s">
        <v>1670</v>
      </c>
      <c r="V777" s="106"/>
      <c r="W777" s="106"/>
      <c r="X777" s="106" t="s">
        <v>55</v>
      </c>
      <c r="Y777" s="63">
        <f t="shared" si="173"/>
        <v>27.67621875</v>
      </c>
      <c r="Z777" s="64">
        <f t="shared" ref="Z777:Z784" si="190">E777-N777</f>
        <v>6</v>
      </c>
    </row>
    <row r="778" spans="1:26" ht="15.75" customHeight="1">
      <c r="A778" s="106">
        <v>20260047</v>
      </c>
      <c r="B778" s="107" t="s">
        <v>1645</v>
      </c>
      <c r="C778" s="108">
        <v>46063</v>
      </c>
      <c r="D778" s="108">
        <v>46079</v>
      </c>
      <c r="E778" s="106">
        <v>2</v>
      </c>
      <c r="F778" s="106">
        <v>55.352437500000001</v>
      </c>
      <c r="G778" s="106">
        <v>120</v>
      </c>
      <c r="H778" s="107" t="s">
        <v>781</v>
      </c>
      <c r="I778" s="107" t="s">
        <v>138</v>
      </c>
      <c r="J778" s="107" t="s">
        <v>26</v>
      </c>
      <c r="K778" s="108">
        <f t="shared" si="181"/>
        <v>46087</v>
      </c>
      <c r="L778" s="108">
        <f t="shared" si="182"/>
        <v>46147</v>
      </c>
      <c r="M778" s="107"/>
      <c r="N778" s="112">
        <f>E778-2</f>
        <v>0</v>
      </c>
      <c r="O778" s="113">
        <f t="shared" si="189"/>
        <v>0</v>
      </c>
      <c r="P778" s="112">
        <f t="shared" si="186"/>
        <v>0</v>
      </c>
      <c r="Q778" s="109"/>
      <c r="R778" s="107"/>
      <c r="S778" s="109" t="s">
        <v>1669</v>
      </c>
      <c r="T778" s="114">
        <v>14</v>
      </c>
      <c r="U778" s="109"/>
      <c r="V778" s="106"/>
      <c r="W778" s="106"/>
      <c r="X778" s="106" t="s">
        <v>55</v>
      </c>
      <c r="Y778" s="63">
        <f t="shared" si="173"/>
        <v>27.67621875</v>
      </c>
      <c r="Z778" s="64">
        <f t="shared" si="190"/>
        <v>2</v>
      </c>
    </row>
    <row r="779" spans="1:26" ht="15.75" customHeight="1">
      <c r="A779" s="63">
        <v>20260047</v>
      </c>
      <c r="B779" s="65" t="s">
        <v>1645</v>
      </c>
      <c r="C779" s="66">
        <v>46063</v>
      </c>
      <c r="D779" s="66">
        <v>46079</v>
      </c>
      <c r="E779" s="63">
        <v>3</v>
      </c>
      <c r="F779" s="68">
        <v>83.028656249999997</v>
      </c>
      <c r="G779" s="69">
        <v>72</v>
      </c>
      <c r="H779" s="65" t="s">
        <v>781</v>
      </c>
      <c r="I779" s="65" t="s">
        <v>58</v>
      </c>
      <c r="J779" s="65" t="s">
        <v>28</v>
      </c>
      <c r="K779" s="48">
        <f t="shared" si="181"/>
        <v>46087</v>
      </c>
      <c r="L779" s="48">
        <f t="shared" si="182"/>
        <v>46147</v>
      </c>
      <c r="N779" s="72">
        <f t="shared" ref="N779:N784" si="191">E779</f>
        <v>3</v>
      </c>
      <c r="O779" s="50">
        <f t="shared" si="189"/>
        <v>83.028656249999997</v>
      </c>
      <c r="P779" s="56">
        <f t="shared" si="186"/>
        <v>72</v>
      </c>
      <c r="S779" s="200" t="s">
        <v>1669</v>
      </c>
      <c r="T779" s="201">
        <v>14</v>
      </c>
      <c r="U779" s="58"/>
      <c r="V779" s="46"/>
      <c r="W779" s="46"/>
      <c r="X779" s="62" t="s">
        <v>25</v>
      </c>
      <c r="Y779" s="63">
        <f t="shared" si="173"/>
        <v>27.67621875</v>
      </c>
      <c r="Z779" s="64">
        <f t="shared" si="190"/>
        <v>0</v>
      </c>
    </row>
    <row r="780" spans="1:26" ht="15.75" customHeight="1">
      <c r="A780" s="106">
        <v>20260047</v>
      </c>
      <c r="B780" s="107" t="s">
        <v>1645</v>
      </c>
      <c r="C780" s="108">
        <v>46063</v>
      </c>
      <c r="D780" s="108">
        <v>46079</v>
      </c>
      <c r="E780" s="106">
        <v>5</v>
      </c>
      <c r="F780" s="106">
        <v>138.38109374999999</v>
      </c>
      <c r="G780" s="106">
        <v>120</v>
      </c>
      <c r="H780" s="107" t="s">
        <v>781</v>
      </c>
      <c r="I780" s="107" t="s">
        <v>208</v>
      </c>
      <c r="J780" s="107" t="s">
        <v>26</v>
      </c>
      <c r="K780" s="108">
        <f t="shared" si="181"/>
        <v>46087</v>
      </c>
      <c r="L780" s="108">
        <f t="shared" si="182"/>
        <v>46147</v>
      </c>
      <c r="M780" s="107"/>
      <c r="N780" s="112">
        <f>E780-5</f>
        <v>0</v>
      </c>
      <c r="O780" s="113">
        <f t="shared" si="189"/>
        <v>0</v>
      </c>
      <c r="P780" s="112">
        <f t="shared" si="186"/>
        <v>0</v>
      </c>
      <c r="Q780" s="109"/>
      <c r="R780" s="107"/>
      <c r="S780" s="109" t="s">
        <v>1669</v>
      </c>
      <c r="T780" s="114">
        <v>14</v>
      </c>
      <c r="U780" s="109"/>
      <c r="V780" s="106"/>
      <c r="W780" s="106"/>
      <c r="X780" s="106" t="s">
        <v>55</v>
      </c>
      <c r="Y780" s="63">
        <f t="shared" si="173"/>
        <v>27.676218749999997</v>
      </c>
      <c r="Z780" s="64">
        <f t="shared" si="190"/>
        <v>5</v>
      </c>
    </row>
    <row r="781" spans="1:26" ht="15.75" customHeight="1">
      <c r="A781" s="63">
        <v>20260047</v>
      </c>
      <c r="B781" s="65" t="s">
        <v>1645</v>
      </c>
      <c r="C781" s="66">
        <v>46063</v>
      </c>
      <c r="D781" s="66">
        <v>46079</v>
      </c>
      <c r="E781" s="63">
        <v>2</v>
      </c>
      <c r="F781" s="68">
        <v>55.352437500000001</v>
      </c>
      <c r="G781" s="69">
        <v>80</v>
      </c>
      <c r="H781" s="65" t="s">
        <v>781</v>
      </c>
      <c r="I781" s="65" t="s">
        <v>206</v>
      </c>
      <c r="J781" s="65" t="s">
        <v>26</v>
      </c>
      <c r="K781" s="48">
        <f t="shared" si="181"/>
        <v>46087</v>
      </c>
      <c r="L781" s="48">
        <f t="shared" si="182"/>
        <v>46147</v>
      </c>
      <c r="N781" s="72">
        <f t="shared" si="191"/>
        <v>2</v>
      </c>
      <c r="O781" s="50">
        <f t="shared" si="189"/>
        <v>55.352437500000001</v>
      </c>
      <c r="P781" s="56">
        <f t="shared" si="186"/>
        <v>80</v>
      </c>
      <c r="S781" s="200" t="s">
        <v>1669</v>
      </c>
      <c r="T781" s="201">
        <v>14</v>
      </c>
      <c r="U781" s="58"/>
      <c r="V781" s="46"/>
      <c r="W781" s="46"/>
      <c r="X781" s="62" t="s">
        <v>25</v>
      </c>
      <c r="Y781" s="63">
        <f t="shared" si="173"/>
        <v>27.67621875</v>
      </c>
      <c r="Z781" s="64">
        <f t="shared" si="190"/>
        <v>0</v>
      </c>
    </row>
    <row r="782" spans="1:26" ht="15.75" customHeight="1">
      <c r="A782" s="63">
        <v>20260047</v>
      </c>
      <c r="B782" s="65" t="s">
        <v>1645</v>
      </c>
      <c r="C782" s="66">
        <v>46063</v>
      </c>
      <c r="D782" s="66">
        <v>46079</v>
      </c>
      <c r="E782" s="63">
        <v>1</v>
      </c>
      <c r="F782" s="68">
        <v>27.67621875</v>
      </c>
      <c r="G782" s="69">
        <v>40</v>
      </c>
      <c r="H782" s="65" t="s">
        <v>781</v>
      </c>
      <c r="I782" s="65" t="s">
        <v>81</v>
      </c>
      <c r="J782" s="65" t="s">
        <v>26</v>
      </c>
      <c r="K782" s="48">
        <f t="shared" si="181"/>
        <v>46087</v>
      </c>
      <c r="L782" s="48">
        <f t="shared" si="182"/>
        <v>46147</v>
      </c>
      <c r="N782" s="72">
        <f t="shared" si="191"/>
        <v>1</v>
      </c>
      <c r="O782" s="50">
        <f t="shared" si="189"/>
        <v>27.67621875</v>
      </c>
      <c r="P782" s="56">
        <f t="shared" si="186"/>
        <v>40</v>
      </c>
      <c r="S782" s="200" t="s">
        <v>1669</v>
      </c>
      <c r="T782" s="201">
        <v>14</v>
      </c>
      <c r="U782" s="58"/>
      <c r="V782" s="46"/>
      <c r="W782" s="46"/>
      <c r="X782" s="62" t="s">
        <v>25</v>
      </c>
      <c r="Y782" s="63">
        <f t="shared" si="173"/>
        <v>27.67621875</v>
      </c>
      <c r="Z782" s="64">
        <f t="shared" si="190"/>
        <v>0</v>
      </c>
    </row>
    <row r="783" spans="1:26" ht="15.75" customHeight="1">
      <c r="A783" s="63">
        <v>20260047</v>
      </c>
      <c r="B783" s="65" t="s">
        <v>1645</v>
      </c>
      <c r="C783" s="66">
        <v>46063</v>
      </c>
      <c r="D783" s="66">
        <v>46079</v>
      </c>
      <c r="E783" s="63">
        <v>13</v>
      </c>
      <c r="F783" s="68">
        <v>359.79084375000002</v>
      </c>
      <c r="G783" s="69">
        <v>312</v>
      </c>
      <c r="H783" s="65" t="s">
        <v>781</v>
      </c>
      <c r="I783" s="65" t="s">
        <v>194</v>
      </c>
      <c r="J783" s="65" t="s">
        <v>26</v>
      </c>
      <c r="K783" s="48">
        <f t="shared" si="181"/>
        <v>46087</v>
      </c>
      <c r="L783" s="48">
        <f t="shared" si="182"/>
        <v>46147</v>
      </c>
      <c r="N783" s="72">
        <f t="shared" si="191"/>
        <v>13</v>
      </c>
      <c r="O783" s="50">
        <f t="shared" si="189"/>
        <v>359.79084375000002</v>
      </c>
      <c r="P783" s="56">
        <f t="shared" si="186"/>
        <v>312</v>
      </c>
      <c r="S783" s="200" t="s">
        <v>1669</v>
      </c>
      <c r="T783" s="201">
        <v>14</v>
      </c>
      <c r="U783" s="58"/>
      <c r="V783" s="46"/>
      <c r="W783" s="46"/>
      <c r="X783" s="62" t="s">
        <v>25</v>
      </c>
      <c r="Y783" s="63">
        <f t="shared" si="173"/>
        <v>27.67621875</v>
      </c>
      <c r="Z783" s="64">
        <f t="shared" si="190"/>
        <v>0</v>
      </c>
    </row>
    <row r="784" spans="1:26" ht="15.75" customHeight="1">
      <c r="A784" s="63">
        <v>20260047</v>
      </c>
      <c r="B784" s="65" t="s">
        <v>1645</v>
      </c>
      <c r="C784" s="66">
        <v>46063</v>
      </c>
      <c r="D784" s="66">
        <v>46079</v>
      </c>
      <c r="E784" s="63">
        <v>2</v>
      </c>
      <c r="F784" s="68">
        <v>0</v>
      </c>
      <c r="G784" s="69">
        <v>8</v>
      </c>
      <c r="H784" s="65" t="s">
        <v>781</v>
      </c>
      <c r="I784" s="65" t="s">
        <v>24</v>
      </c>
      <c r="J784" s="65" t="s">
        <v>24</v>
      </c>
      <c r="K784" s="48">
        <f t="shared" si="181"/>
        <v>46087</v>
      </c>
      <c r="L784" s="48">
        <f t="shared" si="182"/>
        <v>46147</v>
      </c>
      <c r="N784" s="72">
        <f t="shared" si="191"/>
        <v>2</v>
      </c>
      <c r="O784" s="50">
        <f t="shared" si="189"/>
        <v>0</v>
      </c>
      <c r="P784" s="56">
        <f t="shared" si="186"/>
        <v>8</v>
      </c>
      <c r="S784" s="200" t="s">
        <v>1669</v>
      </c>
      <c r="T784" s="201">
        <v>14</v>
      </c>
      <c r="U784" s="58"/>
      <c r="V784" s="46"/>
      <c r="W784" s="46"/>
      <c r="X784" s="62" t="s">
        <v>25</v>
      </c>
      <c r="Y784" s="63">
        <f t="shared" si="173"/>
        <v>0</v>
      </c>
      <c r="Z784" s="64">
        <f t="shared" si="190"/>
        <v>0</v>
      </c>
    </row>
    <row r="785" spans="1:26" ht="15.75" customHeight="1">
      <c r="A785" s="106">
        <v>20260047</v>
      </c>
      <c r="B785" s="107" t="s">
        <v>1645</v>
      </c>
      <c r="C785" s="108">
        <v>46063</v>
      </c>
      <c r="D785" s="108">
        <v>46079</v>
      </c>
      <c r="E785" s="106">
        <v>11</v>
      </c>
      <c r="F785" s="106">
        <v>36.82</v>
      </c>
      <c r="G785" s="106">
        <v>50</v>
      </c>
      <c r="H785" s="107" t="s">
        <v>781</v>
      </c>
      <c r="I785" s="107" t="s">
        <v>24</v>
      </c>
      <c r="J785" s="107" t="s">
        <v>24</v>
      </c>
      <c r="K785" s="108">
        <f t="shared" si="181"/>
        <v>46087</v>
      </c>
      <c r="L785" s="108">
        <f t="shared" si="182"/>
        <v>46147</v>
      </c>
      <c r="M785" s="107"/>
      <c r="N785" s="112">
        <f>E785-11</f>
        <v>0</v>
      </c>
      <c r="O785" s="113">
        <f t="shared" si="189"/>
        <v>0</v>
      </c>
      <c r="P785" s="112">
        <f t="shared" si="186"/>
        <v>0</v>
      </c>
      <c r="Q785" s="109"/>
      <c r="R785" s="107"/>
      <c r="S785" s="109" t="s">
        <v>1671</v>
      </c>
      <c r="T785" s="114">
        <v>15</v>
      </c>
      <c r="U785" s="109" t="s">
        <v>846</v>
      </c>
      <c r="V785" s="106"/>
      <c r="W785" s="106"/>
      <c r="X785" s="106" t="s">
        <v>55</v>
      </c>
      <c r="Y785" s="63">
        <f t="shared" si="173"/>
        <v>3.3472727272727272</v>
      </c>
    </row>
    <row r="786" spans="1:26" ht="15.75" customHeight="1">
      <c r="A786" s="63">
        <v>20260047</v>
      </c>
      <c r="B786" s="65" t="s">
        <v>1645</v>
      </c>
      <c r="C786" s="66">
        <v>46063</v>
      </c>
      <c r="D786" s="66">
        <v>46079</v>
      </c>
      <c r="E786" s="63">
        <v>1</v>
      </c>
      <c r="F786" s="68">
        <v>34</v>
      </c>
      <c r="G786" s="69">
        <v>24</v>
      </c>
      <c r="H786" s="65" t="s">
        <v>1448</v>
      </c>
      <c r="I786" s="65" t="s">
        <v>194</v>
      </c>
      <c r="J786" s="65" t="s">
        <v>26</v>
      </c>
      <c r="K786" s="48">
        <f t="shared" si="181"/>
        <v>46087</v>
      </c>
      <c r="L786" s="48">
        <f t="shared" si="182"/>
        <v>46147</v>
      </c>
      <c r="N786" s="72">
        <f>E786</f>
        <v>1</v>
      </c>
      <c r="O786" s="50">
        <f t="shared" si="189"/>
        <v>34</v>
      </c>
      <c r="P786" s="56">
        <f t="shared" si="186"/>
        <v>24</v>
      </c>
      <c r="S786" s="200" t="s">
        <v>1672</v>
      </c>
      <c r="T786" s="201">
        <v>17</v>
      </c>
      <c r="U786" s="58" t="s">
        <v>1673</v>
      </c>
      <c r="V786" s="46"/>
      <c r="W786" s="46"/>
      <c r="X786" s="62" t="s">
        <v>25</v>
      </c>
      <c r="Y786" s="63">
        <f t="shared" si="173"/>
        <v>34</v>
      </c>
      <c r="Z786" s="64">
        <f t="shared" ref="Z786:Z787" si="192">E786-N786</f>
        <v>0</v>
      </c>
    </row>
    <row r="787" spans="1:26" ht="15.75" customHeight="1">
      <c r="A787" s="63">
        <v>20260047</v>
      </c>
      <c r="B787" s="65" t="s">
        <v>1645</v>
      </c>
      <c r="C787" s="66">
        <v>46063</v>
      </c>
      <c r="D787" s="66">
        <v>46079</v>
      </c>
      <c r="E787" s="63">
        <v>1</v>
      </c>
      <c r="F787" s="68">
        <v>0</v>
      </c>
      <c r="G787" s="69">
        <v>4</v>
      </c>
      <c r="H787" s="65" t="s">
        <v>1448</v>
      </c>
      <c r="I787" s="65" t="s">
        <v>24</v>
      </c>
      <c r="J787" s="65" t="s">
        <v>24</v>
      </c>
      <c r="K787" s="48">
        <f t="shared" si="181"/>
        <v>46087</v>
      </c>
      <c r="L787" s="48">
        <f t="shared" si="182"/>
        <v>46147</v>
      </c>
      <c r="N787" s="72">
        <f>E787</f>
        <v>1</v>
      </c>
      <c r="O787" s="50">
        <f t="shared" si="189"/>
        <v>0</v>
      </c>
      <c r="P787" s="56">
        <f t="shared" si="186"/>
        <v>4</v>
      </c>
      <c r="S787" s="200" t="s">
        <v>1672</v>
      </c>
      <c r="T787" s="201">
        <v>17</v>
      </c>
      <c r="U787" s="58"/>
      <c r="V787" s="46"/>
      <c r="W787" s="46"/>
      <c r="X787" s="62" t="s">
        <v>25</v>
      </c>
      <c r="Y787" s="63">
        <f t="shared" si="173"/>
        <v>0</v>
      </c>
      <c r="Z787" s="64">
        <f t="shared" si="192"/>
        <v>0</v>
      </c>
    </row>
    <row r="788" spans="1:26" ht="15.75" customHeight="1">
      <c r="A788" s="106">
        <v>20260047</v>
      </c>
      <c r="B788" s="107" t="s">
        <v>1645</v>
      </c>
      <c r="C788" s="108">
        <v>46063</v>
      </c>
      <c r="D788" s="108">
        <v>46079</v>
      </c>
      <c r="E788" s="106">
        <v>2</v>
      </c>
      <c r="F788" s="106">
        <v>16</v>
      </c>
      <c r="G788" s="106">
        <v>48</v>
      </c>
      <c r="H788" s="107" t="s">
        <v>1674</v>
      </c>
      <c r="I788" s="107" t="s">
        <v>42</v>
      </c>
      <c r="J788" s="107" t="s">
        <v>28</v>
      </c>
      <c r="K788" s="108">
        <f t="shared" si="181"/>
        <v>46087</v>
      </c>
      <c r="L788" s="108">
        <f t="shared" si="182"/>
        <v>46147</v>
      </c>
      <c r="M788" s="107"/>
      <c r="N788" s="112">
        <f>E788-2</f>
        <v>0</v>
      </c>
      <c r="O788" s="113">
        <f t="shared" si="189"/>
        <v>0</v>
      </c>
      <c r="P788" s="112">
        <f t="shared" si="186"/>
        <v>0</v>
      </c>
      <c r="Q788" s="109"/>
      <c r="R788" s="107"/>
      <c r="S788" s="109" t="s">
        <v>1675</v>
      </c>
      <c r="T788" s="114">
        <v>20</v>
      </c>
      <c r="U788" s="109" t="s">
        <v>1676</v>
      </c>
      <c r="V788" s="106"/>
      <c r="W788" s="106"/>
      <c r="X788" s="106" t="s">
        <v>55</v>
      </c>
      <c r="Y788" s="63">
        <f t="shared" si="173"/>
        <v>8</v>
      </c>
    </row>
    <row r="789" spans="1:26" ht="15.75" customHeight="1">
      <c r="A789" s="106">
        <v>20260047</v>
      </c>
      <c r="B789" s="107" t="s">
        <v>1645</v>
      </c>
      <c r="C789" s="108">
        <v>46063</v>
      </c>
      <c r="D789" s="108">
        <v>46079</v>
      </c>
      <c r="E789" s="106">
        <v>2</v>
      </c>
      <c r="F789" s="106">
        <v>24.66</v>
      </c>
      <c r="G789" s="106">
        <v>48</v>
      </c>
      <c r="H789" s="107" t="s">
        <v>1677</v>
      </c>
      <c r="I789" s="107" t="s">
        <v>42</v>
      </c>
      <c r="J789" s="107" t="s">
        <v>28</v>
      </c>
      <c r="K789" s="108">
        <f t="shared" si="181"/>
        <v>46087</v>
      </c>
      <c r="L789" s="108">
        <f t="shared" si="182"/>
        <v>46147</v>
      </c>
      <c r="M789" s="107"/>
      <c r="N789" s="112">
        <f>E789-2</f>
        <v>0</v>
      </c>
      <c r="O789" s="113">
        <f t="shared" si="189"/>
        <v>0</v>
      </c>
      <c r="P789" s="112">
        <f t="shared" si="186"/>
        <v>0</v>
      </c>
      <c r="Q789" s="109"/>
      <c r="R789" s="107"/>
      <c r="S789" s="109" t="s">
        <v>1678</v>
      </c>
      <c r="T789" s="114">
        <v>35</v>
      </c>
      <c r="U789" s="109" t="s">
        <v>1679</v>
      </c>
      <c r="V789" s="106"/>
      <c r="W789" s="106"/>
      <c r="X789" s="106" t="s">
        <v>55</v>
      </c>
      <c r="Y789" s="63">
        <f t="shared" si="173"/>
        <v>12.33</v>
      </c>
    </row>
    <row r="790" spans="1:26" ht="15.75" customHeight="1">
      <c r="A790" s="106">
        <v>20260047</v>
      </c>
      <c r="B790" s="107" t="s">
        <v>1645</v>
      </c>
      <c r="C790" s="108">
        <v>46063</v>
      </c>
      <c r="D790" s="108">
        <v>46079</v>
      </c>
      <c r="E790" s="106">
        <v>1</v>
      </c>
      <c r="F790" s="106">
        <v>1.05</v>
      </c>
      <c r="G790" s="106">
        <v>5</v>
      </c>
      <c r="H790" s="107" t="s">
        <v>1677</v>
      </c>
      <c r="I790" s="107" t="s">
        <v>1680</v>
      </c>
      <c r="J790" s="107" t="s">
        <v>24</v>
      </c>
      <c r="K790" s="108">
        <f t="shared" si="181"/>
        <v>46087</v>
      </c>
      <c r="L790" s="108">
        <f t="shared" si="182"/>
        <v>46147</v>
      </c>
      <c r="M790" s="107"/>
      <c r="N790" s="112">
        <f>E790-1</f>
        <v>0</v>
      </c>
      <c r="O790" s="113">
        <f t="shared" si="189"/>
        <v>0</v>
      </c>
      <c r="P790" s="112">
        <f t="shared" si="186"/>
        <v>0</v>
      </c>
      <c r="Q790" s="109"/>
      <c r="R790" s="107"/>
      <c r="S790" s="109" t="s">
        <v>1681</v>
      </c>
      <c r="T790" s="114">
        <v>26</v>
      </c>
      <c r="U790" s="109" t="s">
        <v>1682</v>
      </c>
      <c r="V790" s="106"/>
      <c r="W790" s="106"/>
      <c r="X790" s="106" t="s">
        <v>55</v>
      </c>
      <c r="Y790" s="63">
        <f t="shared" ref="Y790:Y853" si="193">F790/E790</f>
        <v>1.05</v>
      </c>
    </row>
    <row r="791" spans="1:26" ht="15.75" customHeight="1">
      <c r="A791" s="106">
        <v>20260047</v>
      </c>
      <c r="B791" s="107" t="s">
        <v>1645</v>
      </c>
      <c r="C791" s="108">
        <v>46063</v>
      </c>
      <c r="D791" s="108">
        <v>46079</v>
      </c>
      <c r="E791" s="106">
        <v>1</v>
      </c>
      <c r="F791" s="106">
        <v>9.35</v>
      </c>
      <c r="G791" s="106">
        <v>24</v>
      </c>
      <c r="H791" s="107" t="s">
        <v>1683</v>
      </c>
      <c r="I791" s="107" t="s">
        <v>63</v>
      </c>
      <c r="J791" s="107" t="s">
        <v>28</v>
      </c>
      <c r="K791" s="108">
        <f t="shared" si="181"/>
        <v>46087</v>
      </c>
      <c r="L791" s="108">
        <f t="shared" si="182"/>
        <v>46147</v>
      </c>
      <c r="M791" s="107"/>
      <c r="N791" s="112">
        <f>E791-1</f>
        <v>0</v>
      </c>
      <c r="O791" s="113">
        <f t="shared" si="189"/>
        <v>0</v>
      </c>
      <c r="P791" s="112">
        <f t="shared" si="186"/>
        <v>0</v>
      </c>
      <c r="Q791" s="109"/>
      <c r="R791" s="107"/>
      <c r="S791" s="109" t="s">
        <v>1684</v>
      </c>
      <c r="T791" s="114">
        <v>27</v>
      </c>
      <c r="U791" s="109" t="s">
        <v>1685</v>
      </c>
      <c r="V791" s="106"/>
      <c r="W791" s="106"/>
      <c r="X791" s="106" t="s">
        <v>55</v>
      </c>
      <c r="Y791" s="63">
        <f t="shared" si="193"/>
        <v>9.35</v>
      </c>
      <c r="Z791" s="64">
        <f t="shared" ref="Z791" si="194">E791-N791</f>
        <v>1</v>
      </c>
    </row>
    <row r="792" spans="1:26" ht="15.75" customHeight="1">
      <c r="A792" s="106">
        <v>20260047</v>
      </c>
      <c r="B792" s="107" t="s">
        <v>1645</v>
      </c>
      <c r="C792" s="108">
        <v>46063</v>
      </c>
      <c r="D792" s="108">
        <v>46079</v>
      </c>
      <c r="E792" s="106">
        <v>1</v>
      </c>
      <c r="F792" s="106">
        <v>14.13</v>
      </c>
      <c r="G792" s="106">
        <v>24</v>
      </c>
      <c r="H792" s="107" t="s">
        <v>1686</v>
      </c>
      <c r="I792" s="107" t="s">
        <v>42</v>
      </c>
      <c r="J792" s="107" t="s">
        <v>28</v>
      </c>
      <c r="K792" s="108">
        <f t="shared" si="181"/>
        <v>46087</v>
      </c>
      <c r="L792" s="108">
        <f t="shared" si="182"/>
        <v>46147</v>
      </c>
      <c r="M792" s="107"/>
      <c r="N792" s="112">
        <f>E792-1</f>
        <v>0</v>
      </c>
      <c r="O792" s="113">
        <f t="shared" si="189"/>
        <v>0</v>
      </c>
      <c r="P792" s="112">
        <f t="shared" si="186"/>
        <v>0</v>
      </c>
      <c r="Q792" s="109"/>
      <c r="R792" s="107"/>
      <c r="S792" s="109" t="s">
        <v>1687</v>
      </c>
      <c r="T792" s="114">
        <v>32</v>
      </c>
      <c r="U792" s="109" t="s">
        <v>1688</v>
      </c>
      <c r="V792" s="106"/>
      <c r="W792" s="106"/>
      <c r="X792" s="106" t="s">
        <v>55</v>
      </c>
      <c r="Y792" s="63">
        <f t="shared" si="193"/>
        <v>14.13</v>
      </c>
    </row>
    <row r="793" spans="1:26" ht="15.75" customHeight="1">
      <c r="A793" s="106">
        <v>20260047</v>
      </c>
      <c r="B793" s="107" t="s">
        <v>1645</v>
      </c>
      <c r="C793" s="108">
        <v>46063</v>
      </c>
      <c r="D793" s="108">
        <v>46079</v>
      </c>
      <c r="E793" s="106">
        <v>1</v>
      </c>
      <c r="F793" s="106">
        <v>0</v>
      </c>
      <c r="G793" s="106">
        <v>4</v>
      </c>
      <c r="H793" s="107" t="s">
        <v>1686</v>
      </c>
      <c r="I793" s="107" t="s">
        <v>24</v>
      </c>
      <c r="J793" s="107" t="s">
        <v>24</v>
      </c>
      <c r="K793" s="108">
        <f t="shared" si="181"/>
        <v>46087</v>
      </c>
      <c r="L793" s="108">
        <f t="shared" si="182"/>
        <v>46147</v>
      </c>
      <c r="M793" s="107"/>
      <c r="N793" s="112">
        <f>E793-1</f>
        <v>0</v>
      </c>
      <c r="O793" s="113">
        <f t="shared" si="189"/>
        <v>0</v>
      </c>
      <c r="P793" s="112">
        <f t="shared" si="186"/>
        <v>0</v>
      </c>
      <c r="Q793" s="109"/>
      <c r="R793" s="107"/>
      <c r="S793" s="109" t="s">
        <v>1687</v>
      </c>
      <c r="T793" s="114">
        <v>32</v>
      </c>
      <c r="U793" s="109"/>
      <c r="V793" s="106"/>
      <c r="W793" s="106"/>
      <c r="X793" s="106" t="s">
        <v>55</v>
      </c>
      <c r="Y793" s="63">
        <f t="shared" si="193"/>
        <v>0</v>
      </c>
    </row>
    <row r="794" spans="1:26" ht="15.75" customHeight="1">
      <c r="A794" s="106">
        <v>20260047</v>
      </c>
      <c r="B794" s="107" t="s">
        <v>1645</v>
      </c>
      <c r="C794" s="108">
        <v>46063</v>
      </c>
      <c r="D794" s="108">
        <v>46079</v>
      </c>
      <c r="E794" s="106">
        <v>5</v>
      </c>
      <c r="F794" s="106">
        <v>89.3</v>
      </c>
      <c r="G794" s="106">
        <v>120</v>
      </c>
      <c r="H794" s="107" t="s">
        <v>1689</v>
      </c>
      <c r="I794" s="107" t="s">
        <v>63</v>
      </c>
      <c r="J794" s="107" t="s">
        <v>28</v>
      </c>
      <c r="K794" s="108">
        <f t="shared" si="181"/>
        <v>46087</v>
      </c>
      <c r="L794" s="108">
        <f t="shared" si="182"/>
        <v>46147</v>
      </c>
      <c r="M794" s="107"/>
      <c r="N794" s="112">
        <f>E794-5</f>
        <v>0</v>
      </c>
      <c r="O794" s="113">
        <f t="shared" si="189"/>
        <v>0</v>
      </c>
      <c r="P794" s="112">
        <f t="shared" si="186"/>
        <v>0</v>
      </c>
      <c r="Q794" s="109"/>
      <c r="R794" s="107"/>
      <c r="S794" s="109" t="s">
        <v>1690</v>
      </c>
      <c r="T794" s="114">
        <v>34</v>
      </c>
      <c r="U794" s="109" t="s">
        <v>1691</v>
      </c>
      <c r="V794" s="106"/>
      <c r="W794" s="106"/>
      <c r="X794" s="106" t="s">
        <v>55</v>
      </c>
      <c r="Y794" s="63">
        <f t="shared" si="193"/>
        <v>17.86</v>
      </c>
    </row>
    <row r="795" spans="1:26" ht="15.75" customHeight="1">
      <c r="A795" s="63">
        <v>20260047</v>
      </c>
      <c r="B795" s="65" t="s">
        <v>1645</v>
      </c>
      <c r="C795" s="66">
        <v>46063</v>
      </c>
      <c r="D795" s="66">
        <v>46079</v>
      </c>
      <c r="E795" s="63">
        <v>1</v>
      </c>
      <c r="F795" s="68">
        <v>6.19</v>
      </c>
      <c r="G795" s="69">
        <v>6</v>
      </c>
      <c r="H795" s="65" t="s">
        <v>1692</v>
      </c>
      <c r="I795" s="65" t="s">
        <v>1693</v>
      </c>
      <c r="J795" s="65" t="s">
        <v>24</v>
      </c>
      <c r="K795" s="48">
        <f t="shared" si="181"/>
        <v>46087</v>
      </c>
      <c r="L795" s="48">
        <f t="shared" si="182"/>
        <v>46147</v>
      </c>
      <c r="N795" s="72">
        <f>E795</f>
        <v>1</v>
      </c>
      <c r="O795" s="50">
        <f t="shared" si="189"/>
        <v>6.19</v>
      </c>
      <c r="P795" s="56">
        <f t="shared" si="186"/>
        <v>6</v>
      </c>
      <c r="S795" s="200" t="s">
        <v>1694</v>
      </c>
      <c r="T795" s="201">
        <v>35</v>
      </c>
      <c r="U795" s="58" t="s">
        <v>1695</v>
      </c>
      <c r="V795" s="46"/>
      <c r="W795" s="46"/>
      <c r="X795" s="62" t="s">
        <v>25</v>
      </c>
      <c r="Y795" s="63">
        <f t="shared" si="193"/>
        <v>6.19</v>
      </c>
      <c r="Z795" s="64">
        <f t="shared" ref="Z795" si="195">E795-N795</f>
        <v>0</v>
      </c>
    </row>
    <row r="796" spans="1:26" ht="15.75" customHeight="1">
      <c r="A796" s="106">
        <v>20260047</v>
      </c>
      <c r="B796" s="107" t="s">
        <v>1645</v>
      </c>
      <c r="C796" s="108">
        <v>46063</v>
      </c>
      <c r="D796" s="108">
        <v>46079</v>
      </c>
      <c r="E796" s="106">
        <v>1</v>
      </c>
      <c r="F796" s="106">
        <v>34</v>
      </c>
      <c r="G796" s="106">
        <v>24</v>
      </c>
      <c r="H796" s="107" t="s">
        <v>1696</v>
      </c>
      <c r="I796" s="107" t="s">
        <v>194</v>
      </c>
      <c r="J796" s="107" t="s">
        <v>26</v>
      </c>
      <c r="K796" s="108">
        <f t="shared" si="181"/>
        <v>46087</v>
      </c>
      <c r="L796" s="108">
        <f t="shared" si="182"/>
        <v>46147</v>
      </c>
      <c r="M796" s="107"/>
      <c r="N796" s="112">
        <f>E796-1</f>
        <v>0</v>
      </c>
      <c r="O796" s="113">
        <f t="shared" si="189"/>
        <v>0</v>
      </c>
      <c r="P796" s="112">
        <f t="shared" si="186"/>
        <v>0</v>
      </c>
      <c r="Q796" s="109"/>
      <c r="R796" s="107"/>
      <c r="S796" s="109" t="s">
        <v>1697</v>
      </c>
      <c r="T796" s="114">
        <v>36</v>
      </c>
      <c r="U796" s="109" t="s">
        <v>1698</v>
      </c>
      <c r="V796" s="106"/>
      <c r="W796" s="106"/>
      <c r="X796" s="106" t="s">
        <v>55</v>
      </c>
      <c r="Y796" s="63">
        <f t="shared" si="193"/>
        <v>34</v>
      </c>
    </row>
    <row r="797" spans="1:26" ht="15.75" customHeight="1">
      <c r="A797" s="106">
        <v>20260047</v>
      </c>
      <c r="B797" s="107" t="s">
        <v>1645</v>
      </c>
      <c r="C797" s="108">
        <v>46063</v>
      </c>
      <c r="D797" s="108">
        <v>46079</v>
      </c>
      <c r="E797" s="106">
        <v>2</v>
      </c>
      <c r="F797" s="106">
        <v>0</v>
      </c>
      <c r="G797" s="106">
        <v>8</v>
      </c>
      <c r="H797" s="107" t="s">
        <v>1696</v>
      </c>
      <c r="I797" s="107" t="s">
        <v>24</v>
      </c>
      <c r="J797" s="107" t="s">
        <v>24</v>
      </c>
      <c r="K797" s="108">
        <f t="shared" si="181"/>
        <v>46087</v>
      </c>
      <c r="L797" s="108">
        <f t="shared" si="182"/>
        <v>46147</v>
      </c>
      <c r="M797" s="107"/>
      <c r="N797" s="112">
        <f>E797-2</f>
        <v>0</v>
      </c>
      <c r="O797" s="113">
        <f t="shared" si="189"/>
        <v>0</v>
      </c>
      <c r="P797" s="112">
        <f t="shared" si="186"/>
        <v>0</v>
      </c>
      <c r="Q797" s="109"/>
      <c r="R797" s="107"/>
      <c r="S797" s="109" t="s">
        <v>1697</v>
      </c>
      <c r="T797" s="114">
        <v>36</v>
      </c>
      <c r="U797" s="109"/>
      <c r="V797" s="106"/>
      <c r="W797" s="106"/>
      <c r="X797" s="106" t="s">
        <v>55</v>
      </c>
      <c r="Y797" s="63">
        <f t="shared" si="193"/>
        <v>0</v>
      </c>
    </row>
    <row r="798" spans="1:26" ht="15.75" customHeight="1">
      <c r="A798" s="106">
        <v>20260047</v>
      </c>
      <c r="B798" s="107" t="s">
        <v>1645</v>
      </c>
      <c r="C798" s="108">
        <v>46063</v>
      </c>
      <c r="D798" s="108">
        <v>46079</v>
      </c>
      <c r="E798" s="106">
        <v>1</v>
      </c>
      <c r="F798" s="106">
        <v>16</v>
      </c>
      <c r="G798" s="106">
        <v>24</v>
      </c>
      <c r="H798" s="107" t="s">
        <v>973</v>
      </c>
      <c r="I798" s="107" t="s">
        <v>194</v>
      </c>
      <c r="J798" s="107" t="s">
        <v>26</v>
      </c>
      <c r="K798" s="108">
        <f t="shared" si="181"/>
        <v>46087</v>
      </c>
      <c r="L798" s="108">
        <f t="shared" si="182"/>
        <v>46147</v>
      </c>
      <c r="M798" s="107"/>
      <c r="N798" s="112">
        <f>E798-1</f>
        <v>0</v>
      </c>
      <c r="O798" s="113">
        <f t="shared" si="189"/>
        <v>0</v>
      </c>
      <c r="P798" s="112">
        <f t="shared" si="186"/>
        <v>0</v>
      </c>
      <c r="Q798" s="109"/>
      <c r="R798" s="107"/>
      <c r="S798" s="109" t="s">
        <v>1699</v>
      </c>
      <c r="T798" s="114">
        <v>37</v>
      </c>
      <c r="U798" s="109" t="s">
        <v>1700</v>
      </c>
      <c r="V798" s="106"/>
      <c r="W798" s="106"/>
      <c r="X798" s="106" t="s">
        <v>55</v>
      </c>
      <c r="Y798" s="63">
        <f t="shared" si="193"/>
        <v>16</v>
      </c>
    </row>
    <row r="799" spans="1:26" ht="15.75" customHeight="1">
      <c r="A799" s="63">
        <v>20260047</v>
      </c>
      <c r="B799" s="65" t="s">
        <v>1645</v>
      </c>
      <c r="C799" s="66">
        <v>46063</v>
      </c>
      <c r="D799" s="66">
        <v>46079</v>
      </c>
      <c r="E799" s="63">
        <v>1</v>
      </c>
      <c r="F799" s="68">
        <v>34.18</v>
      </c>
      <c r="G799" s="69">
        <v>24</v>
      </c>
      <c r="H799" s="65" t="s">
        <v>1701</v>
      </c>
      <c r="I799" s="65" t="s">
        <v>194</v>
      </c>
      <c r="J799" s="65" t="s">
        <v>26</v>
      </c>
      <c r="K799" s="48">
        <f t="shared" si="181"/>
        <v>46087</v>
      </c>
      <c r="L799" s="48">
        <f t="shared" si="182"/>
        <v>46147</v>
      </c>
      <c r="N799" s="72">
        <f>E799</f>
        <v>1</v>
      </c>
      <c r="O799" s="50">
        <f t="shared" si="189"/>
        <v>34.18</v>
      </c>
      <c r="P799" s="56">
        <f t="shared" si="186"/>
        <v>24</v>
      </c>
      <c r="S799" s="200" t="s">
        <v>1702</v>
      </c>
      <c r="T799" s="201">
        <v>38</v>
      </c>
      <c r="U799" s="58" t="s">
        <v>682</v>
      </c>
      <c r="V799" s="46"/>
      <c r="W799" s="46"/>
      <c r="X799" s="62" t="s">
        <v>25</v>
      </c>
      <c r="Y799" s="63">
        <f t="shared" si="193"/>
        <v>34.18</v>
      </c>
      <c r="Z799" s="64">
        <f t="shared" ref="Z799:Z800" si="196">E799-N799</f>
        <v>0</v>
      </c>
    </row>
    <row r="800" spans="1:26" ht="15.75" customHeight="1">
      <c r="A800" s="63">
        <v>20260047</v>
      </c>
      <c r="B800" s="65" t="s">
        <v>1645</v>
      </c>
      <c r="C800" s="66">
        <v>46063</v>
      </c>
      <c r="D800" s="66">
        <v>46079</v>
      </c>
      <c r="E800" s="63">
        <v>3</v>
      </c>
      <c r="F800" s="68">
        <v>0</v>
      </c>
      <c r="G800" s="69">
        <v>12</v>
      </c>
      <c r="H800" s="65" t="s">
        <v>1701</v>
      </c>
      <c r="I800" s="65" t="s">
        <v>24</v>
      </c>
      <c r="J800" s="65" t="s">
        <v>24</v>
      </c>
      <c r="K800" s="48">
        <f t="shared" si="181"/>
        <v>46087</v>
      </c>
      <c r="L800" s="48">
        <f t="shared" si="182"/>
        <v>46147</v>
      </c>
      <c r="N800" s="72">
        <f>E800</f>
        <v>3</v>
      </c>
      <c r="O800" s="50">
        <f t="shared" si="189"/>
        <v>0</v>
      </c>
      <c r="P800" s="56">
        <f t="shared" si="186"/>
        <v>12</v>
      </c>
      <c r="S800" s="200" t="s">
        <v>1702</v>
      </c>
      <c r="T800" s="201">
        <v>38</v>
      </c>
      <c r="U800" s="58"/>
      <c r="V800" s="46"/>
      <c r="W800" s="46"/>
      <c r="X800" s="62" t="s">
        <v>25</v>
      </c>
      <c r="Y800" s="63">
        <f t="shared" si="193"/>
        <v>0</v>
      </c>
      <c r="Z800" s="64">
        <f t="shared" si="196"/>
        <v>0</v>
      </c>
    </row>
    <row r="801" spans="1:26" ht="15.75" customHeight="1">
      <c r="A801" s="106">
        <v>20260047</v>
      </c>
      <c r="B801" s="107" t="s">
        <v>1645</v>
      </c>
      <c r="C801" s="108">
        <v>46063</v>
      </c>
      <c r="D801" s="108">
        <v>46079</v>
      </c>
      <c r="E801" s="106">
        <v>1</v>
      </c>
      <c r="F801" s="106">
        <v>34.18</v>
      </c>
      <c r="G801" s="106">
        <v>24</v>
      </c>
      <c r="H801" s="107" t="s">
        <v>1703</v>
      </c>
      <c r="I801" s="107" t="s">
        <v>194</v>
      </c>
      <c r="J801" s="107" t="s">
        <v>26</v>
      </c>
      <c r="K801" s="108">
        <f t="shared" si="181"/>
        <v>46087</v>
      </c>
      <c r="L801" s="108">
        <f t="shared" si="182"/>
        <v>46147</v>
      </c>
      <c r="M801" s="107"/>
      <c r="N801" s="112">
        <f>E801-1</f>
        <v>0</v>
      </c>
      <c r="O801" s="113">
        <f t="shared" si="189"/>
        <v>0</v>
      </c>
      <c r="P801" s="112">
        <f t="shared" si="186"/>
        <v>0</v>
      </c>
      <c r="Q801" s="109"/>
      <c r="R801" s="107"/>
      <c r="S801" s="109" t="s">
        <v>1704</v>
      </c>
      <c r="T801" s="114">
        <v>39</v>
      </c>
      <c r="U801" s="109" t="s">
        <v>1705</v>
      </c>
      <c r="V801" s="106"/>
      <c r="W801" s="106"/>
      <c r="X801" s="106" t="s">
        <v>55</v>
      </c>
      <c r="Y801" s="63">
        <f t="shared" si="193"/>
        <v>34.18</v>
      </c>
    </row>
    <row r="802" spans="1:26" ht="15.75" customHeight="1">
      <c r="A802" s="106">
        <v>20260047</v>
      </c>
      <c r="B802" s="107" t="s">
        <v>1645</v>
      </c>
      <c r="C802" s="108">
        <v>46063</v>
      </c>
      <c r="D802" s="108">
        <v>46079</v>
      </c>
      <c r="E802" s="106">
        <v>3</v>
      </c>
      <c r="F802" s="106">
        <v>0</v>
      </c>
      <c r="G802" s="106">
        <v>12</v>
      </c>
      <c r="H802" s="107" t="s">
        <v>1703</v>
      </c>
      <c r="I802" s="107" t="s">
        <v>24</v>
      </c>
      <c r="J802" s="107" t="s">
        <v>24</v>
      </c>
      <c r="K802" s="108">
        <f t="shared" si="181"/>
        <v>46087</v>
      </c>
      <c r="L802" s="108">
        <f t="shared" si="182"/>
        <v>46147</v>
      </c>
      <c r="M802" s="107"/>
      <c r="N802" s="112">
        <f>E802-3</f>
        <v>0</v>
      </c>
      <c r="O802" s="113">
        <f t="shared" si="189"/>
        <v>0</v>
      </c>
      <c r="P802" s="112">
        <f t="shared" si="186"/>
        <v>0</v>
      </c>
      <c r="Q802" s="109"/>
      <c r="R802" s="107"/>
      <c r="S802" s="109" t="s">
        <v>1704</v>
      </c>
      <c r="T802" s="114">
        <v>39</v>
      </c>
      <c r="U802" s="109"/>
      <c r="V802" s="106"/>
      <c r="W802" s="106"/>
      <c r="X802" s="106" t="s">
        <v>55</v>
      </c>
      <c r="Y802" s="63">
        <f t="shared" si="193"/>
        <v>0</v>
      </c>
    </row>
    <row r="803" spans="1:26" ht="15.75" customHeight="1">
      <c r="A803" s="63">
        <v>20260047</v>
      </c>
      <c r="B803" s="65" t="s">
        <v>1645</v>
      </c>
      <c r="C803" s="66">
        <v>46063</v>
      </c>
      <c r="D803" s="66">
        <v>46079</v>
      </c>
      <c r="E803" s="63">
        <v>1</v>
      </c>
      <c r="F803" s="68">
        <v>36.18</v>
      </c>
      <c r="G803" s="69">
        <v>24</v>
      </c>
      <c r="H803" s="65" t="s">
        <v>1706</v>
      </c>
      <c r="I803" s="65" t="s">
        <v>194</v>
      </c>
      <c r="J803" s="65" t="s">
        <v>26</v>
      </c>
      <c r="K803" s="48">
        <f t="shared" si="181"/>
        <v>46087</v>
      </c>
      <c r="L803" s="48">
        <f t="shared" si="182"/>
        <v>46147</v>
      </c>
      <c r="N803" s="72">
        <f t="shared" ref="N803:N808" si="197">E803</f>
        <v>1</v>
      </c>
      <c r="O803" s="50">
        <f t="shared" si="189"/>
        <v>36.18</v>
      </c>
      <c r="P803" s="56">
        <f t="shared" si="186"/>
        <v>24</v>
      </c>
      <c r="S803" s="200" t="s">
        <v>1707</v>
      </c>
      <c r="T803" s="201">
        <v>41</v>
      </c>
      <c r="U803" s="58" t="s">
        <v>1708</v>
      </c>
      <c r="V803" s="46"/>
      <c r="W803" s="46"/>
      <c r="X803" s="62" t="s">
        <v>25</v>
      </c>
      <c r="Y803" s="63">
        <f t="shared" si="193"/>
        <v>36.18</v>
      </c>
      <c r="Z803" s="64">
        <f t="shared" ref="Z803:Z809" si="198">E803-N803</f>
        <v>0</v>
      </c>
    </row>
    <row r="804" spans="1:26" ht="15.75" customHeight="1">
      <c r="A804" s="63">
        <v>20260047</v>
      </c>
      <c r="B804" s="65" t="s">
        <v>1645</v>
      </c>
      <c r="C804" s="66">
        <v>46063</v>
      </c>
      <c r="D804" s="66">
        <v>46079</v>
      </c>
      <c r="E804" s="63">
        <v>4</v>
      </c>
      <c r="F804" s="68">
        <v>0</v>
      </c>
      <c r="G804" s="69">
        <v>16</v>
      </c>
      <c r="H804" s="65" t="s">
        <v>1706</v>
      </c>
      <c r="I804" s="65" t="s">
        <v>24</v>
      </c>
      <c r="J804" s="65" t="s">
        <v>24</v>
      </c>
      <c r="K804" s="48">
        <f t="shared" si="181"/>
        <v>46087</v>
      </c>
      <c r="L804" s="48">
        <f t="shared" si="182"/>
        <v>46147</v>
      </c>
      <c r="N804" s="72">
        <f t="shared" si="197"/>
        <v>4</v>
      </c>
      <c r="O804" s="50">
        <f t="shared" si="189"/>
        <v>0</v>
      </c>
      <c r="P804" s="56">
        <f t="shared" si="186"/>
        <v>16</v>
      </c>
      <c r="S804" s="200" t="s">
        <v>1707</v>
      </c>
      <c r="T804" s="201">
        <v>41</v>
      </c>
      <c r="U804" s="58"/>
      <c r="V804" s="46"/>
      <c r="W804" s="46"/>
      <c r="X804" s="62" t="s">
        <v>25</v>
      </c>
      <c r="Y804" s="63">
        <f t="shared" si="193"/>
        <v>0</v>
      </c>
      <c r="Z804" s="64">
        <f t="shared" si="198"/>
        <v>0</v>
      </c>
    </row>
    <row r="805" spans="1:26" ht="15.75" customHeight="1">
      <c r="A805" s="63">
        <v>20260047</v>
      </c>
      <c r="B805" s="65" t="s">
        <v>1645</v>
      </c>
      <c r="C805" s="66">
        <v>46063</v>
      </c>
      <c r="D805" s="66">
        <v>46079</v>
      </c>
      <c r="E805" s="63">
        <v>16</v>
      </c>
      <c r="F805" s="68">
        <v>180.625</v>
      </c>
      <c r="G805" s="69">
        <v>96</v>
      </c>
      <c r="H805" s="65" t="s">
        <v>1709</v>
      </c>
      <c r="I805" s="65" t="s">
        <v>24</v>
      </c>
      <c r="J805" s="65" t="s">
        <v>24</v>
      </c>
      <c r="K805" s="48">
        <f t="shared" si="181"/>
        <v>46087</v>
      </c>
      <c r="L805" s="48">
        <f t="shared" si="182"/>
        <v>46147</v>
      </c>
      <c r="N805" s="72">
        <f t="shared" si="197"/>
        <v>16</v>
      </c>
      <c r="O805" s="50">
        <f t="shared" si="189"/>
        <v>180.625</v>
      </c>
      <c r="P805" s="56">
        <f t="shared" si="186"/>
        <v>96</v>
      </c>
      <c r="S805" s="200" t="s">
        <v>1710</v>
      </c>
      <c r="T805" s="201">
        <v>42</v>
      </c>
      <c r="U805" s="58" t="s">
        <v>1711</v>
      </c>
      <c r="V805" s="46"/>
      <c r="W805" s="46"/>
      <c r="X805" s="62" t="s">
        <v>25</v>
      </c>
      <c r="Y805" s="63">
        <f t="shared" si="193"/>
        <v>11.2890625</v>
      </c>
      <c r="Z805" s="64">
        <f t="shared" si="198"/>
        <v>0</v>
      </c>
    </row>
    <row r="806" spans="1:26" ht="15.75" customHeight="1">
      <c r="A806" s="106">
        <v>20260047</v>
      </c>
      <c r="B806" s="107" t="s">
        <v>1645</v>
      </c>
      <c r="C806" s="108">
        <v>46063</v>
      </c>
      <c r="D806" s="108">
        <v>46079</v>
      </c>
      <c r="E806" s="106">
        <v>2</v>
      </c>
      <c r="F806" s="106">
        <v>46.6</v>
      </c>
      <c r="G806" s="106">
        <v>48</v>
      </c>
      <c r="H806" s="107" t="s">
        <v>1407</v>
      </c>
      <c r="I806" s="107" t="s">
        <v>194</v>
      </c>
      <c r="J806" s="107" t="s">
        <v>26</v>
      </c>
      <c r="K806" s="108">
        <f t="shared" si="181"/>
        <v>46087</v>
      </c>
      <c r="L806" s="108">
        <f t="shared" si="182"/>
        <v>46147</v>
      </c>
      <c r="M806" s="107"/>
      <c r="N806" s="112">
        <f>E806-2</f>
        <v>0</v>
      </c>
      <c r="O806" s="113">
        <f t="shared" si="189"/>
        <v>0</v>
      </c>
      <c r="P806" s="112">
        <f t="shared" si="186"/>
        <v>0</v>
      </c>
      <c r="Q806" s="109"/>
      <c r="R806" s="107"/>
      <c r="S806" s="109" t="s">
        <v>1712</v>
      </c>
      <c r="T806" s="114">
        <v>44</v>
      </c>
      <c r="U806" s="109" t="s">
        <v>1713</v>
      </c>
      <c r="V806" s="106"/>
      <c r="W806" s="106"/>
      <c r="X806" s="106" t="s">
        <v>55</v>
      </c>
      <c r="Y806" s="63">
        <f t="shared" si="193"/>
        <v>23.3</v>
      </c>
      <c r="Z806" s="64">
        <f t="shared" si="198"/>
        <v>2</v>
      </c>
    </row>
    <row r="807" spans="1:26" ht="15.75" customHeight="1">
      <c r="A807" s="106">
        <v>20260047</v>
      </c>
      <c r="B807" s="107" t="s">
        <v>1645</v>
      </c>
      <c r="C807" s="108">
        <v>46063</v>
      </c>
      <c r="D807" s="108">
        <v>46079</v>
      </c>
      <c r="E807" s="106">
        <v>2</v>
      </c>
      <c r="F807" s="106">
        <v>0</v>
      </c>
      <c r="G807" s="106">
        <v>8</v>
      </c>
      <c r="H807" s="107" t="s">
        <v>1407</v>
      </c>
      <c r="I807" s="107" t="s">
        <v>24</v>
      </c>
      <c r="J807" s="107" t="s">
        <v>24</v>
      </c>
      <c r="K807" s="108">
        <f t="shared" si="181"/>
        <v>46087</v>
      </c>
      <c r="L807" s="108">
        <f t="shared" si="182"/>
        <v>46147</v>
      </c>
      <c r="M807" s="107"/>
      <c r="N807" s="112">
        <f>E807-2</f>
        <v>0</v>
      </c>
      <c r="O807" s="113">
        <f t="shared" si="189"/>
        <v>0</v>
      </c>
      <c r="P807" s="112">
        <f t="shared" si="186"/>
        <v>0</v>
      </c>
      <c r="Q807" s="109"/>
      <c r="R807" s="107"/>
      <c r="S807" s="109" t="s">
        <v>1712</v>
      </c>
      <c r="T807" s="114">
        <v>44</v>
      </c>
      <c r="U807" s="109"/>
      <c r="V807" s="106"/>
      <c r="W807" s="106"/>
      <c r="X807" s="106" t="s">
        <v>55</v>
      </c>
      <c r="Y807" s="63">
        <f t="shared" si="193"/>
        <v>0</v>
      </c>
      <c r="Z807" s="64">
        <f t="shared" si="198"/>
        <v>2</v>
      </c>
    </row>
    <row r="808" spans="1:26" ht="15.75" customHeight="1">
      <c r="A808" s="63">
        <v>20260047</v>
      </c>
      <c r="B808" s="65" t="s">
        <v>1645</v>
      </c>
      <c r="C808" s="66">
        <v>46063</v>
      </c>
      <c r="D808" s="66">
        <v>46079</v>
      </c>
      <c r="E808" s="63">
        <v>1</v>
      </c>
      <c r="F808" s="68">
        <v>21.56</v>
      </c>
      <c r="G808" s="69">
        <v>24</v>
      </c>
      <c r="H808" s="65" t="s">
        <v>1714</v>
      </c>
      <c r="I808" s="65" t="s">
        <v>42</v>
      </c>
      <c r="J808" s="65" t="s">
        <v>28</v>
      </c>
      <c r="K808" s="48">
        <f t="shared" si="181"/>
        <v>46087</v>
      </c>
      <c r="L808" s="48">
        <f t="shared" si="182"/>
        <v>46147</v>
      </c>
      <c r="N808" s="72">
        <f t="shared" si="197"/>
        <v>1</v>
      </c>
      <c r="O808" s="50">
        <f t="shared" si="189"/>
        <v>21.56</v>
      </c>
      <c r="P808" s="56">
        <f t="shared" si="186"/>
        <v>24</v>
      </c>
      <c r="S808" s="200" t="s">
        <v>1715</v>
      </c>
      <c r="T808" s="201">
        <v>45</v>
      </c>
      <c r="U808" s="58" t="s">
        <v>1716</v>
      </c>
      <c r="V808" s="46"/>
      <c r="W808" s="46"/>
      <c r="X808" s="62" t="s">
        <v>25</v>
      </c>
      <c r="Y808" s="63">
        <f t="shared" si="193"/>
        <v>21.56</v>
      </c>
      <c r="Z808" s="64">
        <f t="shared" si="198"/>
        <v>0</v>
      </c>
    </row>
    <row r="809" spans="1:26" ht="15.75" customHeight="1">
      <c r="A809" s="106">
        <v>20260047</v>
      </c>
      <c r="B809" s="107" t="s">
        <v>1645</v>
      </c>
      <c r="C809" s="108">
        <v>46063</v>
      </c>
      <c r="D809" s="108">
        <v>46079</v>
      </c>
      <c r="E809" s="106">
        <v>1</v>
      </c>
      <c r="F809" s="106">
        <v>21.56</v>
      </c>
      <c r="G809" s="106">
        <v>24</v>
      </c>
      <c r="H809" s="107" t="s">
        <v>1714</v>
      </c>
      <c r="I809" s="107" t="s">
        <v>194</v>
      </c>
      <c r="J809" s="107" t="s">
        <v>26</v>
      </c>
      <c r="K809" s="108">
        <f t="shared" si="181"/>
        <v>46087</v>
      </c>
      <c r="L809" s="108">
        <f t="shared" si="182"/>
        <v>46147</v>
      </c>
      <c r="M809" s="107"/>
      <c r="N809" s="112">
        <f>E809-1</f>
        <v>0</v>
      </c>
      <c r="O809" s="113">
        <f t="shared" si="189"/>
        <v>0</v>
      </c>
      <c r="P809" s="112">
        <f t="shared" si="186"/>
        <v>0</v>
      </c>
      <c r="Q809" s="109"/>
      <c r="R809" s="107"/>
      <c r="S809" s="109" t="s">
        <v>1717</v>
      </c>
      <c r="T809" s="114">
        <v>46</v>
      </c>
      <c r="U809" s="109" t="s">
        <v>1718</v>
      </c>
      <c r="V809" s="106"/>
      <c r="W809" s="106"/>
      <c r="X809" s="106" t="s">
        <v>55</v>
      </c>
      <c r="Y809" s="63">
        <f t="shared" si="193"/>
        <v>21.56</v>
      </c>
      <c r="Z809" s="64">
        <f t="shared" si="198"/>
        <v>1</v>
      </c>
    </row>
    <row r="810" spans="1:26" ht="15.75" customHeight="1">
      <c r="A810" s="106">
        <v>20260047</v>
      </c>
      <c r="B810" s="107" t="s">
        <v>1645</v>
      </c>
      <c r="C810" s="108">
        <v>46063</v>
      </c>
      <c r="D810" s="108">
        <v>46079</v>
      </c>
      <c r="E810" s="106">
        <v>2</v>
      </c>
      <c r="F810" s="106">
        <v>46.6</v>
      </c>
      <c r="G810" s="106">
        <v>48</v>
      </c>
      <c r="H810" s="107" t="s">
        <v>1398</v>
      </c>
      <c r="I810" s="107" t="s">
        <v>194</v>
      </c>
      <c r="J810" s="107" t="s">
        <v>26</v>
      </c>
      <c r="K810" s="108">
        <f t="shared" si="181"/>
        <v>46087</v>
      </c>
      <c r="L810" s="108">
        <f t="shared" si="182"/>
        <v>46147</v>
      </c>
      <c r="M810" s="107"/>
      <c r="N810" s="112">
        <f>E810-2</f>
        <v>0</v>
      </c>
      <c r="O810" s="113">
        <f t="shared" si="189"/>
        <v>0</v>
      </c>
      <c r="P810" s="112">
        <f t="shared" si="186"/>
        <v>0</v>
      </c>
      <c r="Q810" s="109"/>
      <c r="R810" s="107"/>
      <c r="S810" s="109" t="s">
        <v>1719</v>
      </c>
      <c r="T810" s="114">
        <v>47</v>
      </c>
      <c r="U810" s="109" t="s">
        <v>1713</v>
      </c>
      <c r="V810" s="106"/>
      <c r="W810" s="106"/>
      <c r="X810" s="106" t="s">
        <v>55</v>
      </c>
      <c r="Y810" s="63">
        <f t="shared" si="193"/>
        <v>23.3</v>
      </c>
    </row>
    <row r="811" spans="1:26" ht="15.75" customHeight="1">
      <c r="A811" s="106">
        <v>20260047</v>
      </c>
      <c r="B811" s="107" t="s">
        <v>1645</v>
      </c>
      <c r="C811" s="108">
        <v>46063</v>
      </c>
      <c r="D811" s="108">
        <v>46079</v>
      </c>
      <c r="E811" s="106">
        <v>2</v>
      </c>
      <c r="F811" s="106">
        <v>0</v>
      </c>
      <c r="G811" s="106">
        <v>8</v>
      </c>
      <c r="H811" s="107" t="s">
        <v>1398</v>
      </c>
      <c r="I811" s="107" t="s">
        <v>24</v>
      </c>
      <c r="J811" s="107" t="s">
        <v>24</v>
      </c>
      <c r="K811" s="108">
        <f t="shared" si="181"/>
        <v>46087</v>
      </c>
      <c r="L811" s="108">
        <f t="shared" si="182"/>
        <v>46147</v>
      </c>
      <c r="M811" s="107"/>
      <c r="N811" s="112">
        <f>E811-2</f>
        <v>0</v>
      </c>
      <c r="O811" s="113">
        <f t="shared" si="189"/>
        <v>0</v>
      </c>
      <c r="P811" s="112">
        <f t="shared" si="186"/>
        <v>0</v>
      </c>
      <c r="Q811" s="109"/>
      <c r="R811" s="107"/>
      <c r="S811" s="109" t="s">
        <v>1719</v>
      </c>
      <c r="T811" s="114">
        <v>47</v>
      </c>
      <c r="U811" s="109"/>
      <c r="V811" s="106"/>
      <c r="W811" s="106"/>
      <c r="X811" s="106" t="s">
        <v>55</v>
      </c>
      <c r="Y811" s="63">
        <f t="shared" si="193"/>
        <v>0</v>
      </c>
    </row>
    <row r="812" spans="1:26" ht="15.75" customHeight="1">
      <c r="A812" s="106">
        <v>20260047</v>
      </c>
      <c r="B812" s="107" t="s">
        <v>1645</v>
      </c>
      <c r="C812" s="108">
        <v>46063</v>
      </c>
      <c r="D812" s="108">
        <v>46079</v>
      </c>
      <c r="E812" s="106">
        <v>1</v>
      </c>
      <c r="F812" s="106">
        <v>20</v>
      </c>
      <c r="G812" s="106">
        <v>24</v>
      </c>
      <c r="H812" s="107" t="s">
        <v>1720</v>
      </c>
      <c r="I812" s="107" t="s">
        <v>208</v>
      </c>
      <c r="J812" s="107" t="s">
        <v>26</v>
      </c>
      <c r="K812" s="108">
        <f t="shared" si="181"/>
        <v>46087</v>
      </c>
      <c r="L812" s="108">
        <f t="shared" si="182"/>
        <v>46147</v>
      </c>
      <c r="M812" s="107"/>
      <c r="N812" s="112">
        <f>E812-1</f>
        <v>0</v>
      </c>
      <c r="O812" s="113">
        <f t="shared" si="189"/>
        <v>0</v>
      </c>
      <c r="P812" s="112">
        <f t="shared" si="186"/>
        <v>0</v>
      </c>
      <c r="Q812" s="109"/>
      <c r="R812" s="107"/>
      <c r="S812" s="109" t="s">
        <v>1721</v>
      </c>
      <c r="T812" s="114">
        <v>51</v>
      </c>
      <c r="U812" s="109" t="s">
        <v>1722</v>
      </c>
      <c r="V812" s="106"/>
      <c r="W812" s="106"/>
      <c r="X812" s="106" t="s">
        <v>55</v>
      </c>
      <c r="Y812" s="63">
        <f t="shared" si="193"/>
        <v>20</v>
      </c>
      <c r="Z812" s="64">
        <f t="shared" ref="Z812:Z813" si="199">E812-N812</f>
        <v>1</v>
      </c>
    </row>
    <row r="813" spans="1:26" ht="15.75" customHeight="1">
      <c r="A813" s="106">
        <v>20260047</v>
      </c>
      <c r="B813" s="107" t="s">
        <v>1645</v>
      </c>
      <c r="C813" s="108">
        <v>46063</v>
      </c>
      <c r="D813" s="108">
        <v>46079</v>
      </c>
      <c r="E813" s="106">
        <v>1</v>
      </c>
      <c r="F813" s="106">
        <v>24.5</v>
      </c>
      <c r="G813" s="106">
        <v>40</v>
      </c>
      <c r="H813" s="107" t="s">
        <v>1720</v>
      </c>
      <c r="I813" s="107" t="s">
        <v>206</v>
      </c>
      <c r="J813" s="107" t="s">
        <v>26</v>
      </c>
      <c r="K813" s="108">
        <f t="shared" ref="K813:K906" si="200">D813+8</f>
        <v>46087</v>
      </c>
      <c r="L813" s="108">
        <f t="shared" ref="L813:L906" si="201">K813+60</f>
        <v>46147</v>
      </c>
      <c r="M813" s="107"/>
      <c r="N813" s="112">
        <f>E813-1</f>
        <v>0</v>
      </c>
      <c r="O813" s="113">
        <f t="shared" si="189"/>
        <v>0</v>
      </c>
      <c r="P813" s="112">
        <f t="shared" si="186"/>
        <v>0</v>
      </c>
      <c r="Q813" s="109"/>
      <c r="R813" s="107"/>
      <c r="S813" s="109" t="s">
        <v>1721</v>
      </c>
      <c r="T813" s="114">
        <v>51</v>
      </c>
      <c r="U813" s="109"/>
      <c r="V813" s="106"/>
      <c r="W813" s="106"/>
      <c r="X813" s="106" t="s">
        <v>55</v>
      </c>
      <c r="Y813" s="63">
        <f t="shared" si="193"/>
        <v>24.5</v>
      </c>
      <c r="Z813" s="64">
        <f t="shared" si="199"/>
        <v>1</v>
      </c>
    </row>
    <row r="814" spans="1:26" ht="15.75" customHeight="1">
      <c r="A814" s="106">
        <v>20260047</v>
      </c>
      <c r="B814" s="107" t="s">
        <v>1645</v>
      </c>
      <c r="C814" s="108">
        <v>46063</v>
      </c>
      <c r="D814" s="108">
        <v>46079</v>
      </c>
      <c r="E814" s="106">
        <v>3</v>
      </c>
      <c r="F814" s="106">
        <v>15.63</v>
      </c>
      <c r="G814" s="106">
        <v>72</v>
      </c>
      <c r="H814" s="107" t="s">
        <v>1723</v>
      </c>
      <c r="I814" s="107" t="s">
        <v>42</v>
      </c>
      <c r="J814" s="107" t="s">
        <v>28</v>
      </c>
      <c r="K814" s="108">
        <f t="shared" si="200"/>
        <v>46087</v>
      </c>
      <c r="L814" s="108">
        <f t="shared" si="201"/>
        <v>46147</v>
      </c>
      <c r="M814" s="107"/>
      <c r="N814" s="112">
        <f>E814-3</f>
        <v>0</v>
      </c>
      <c r="O814" s="113">
        <f t="shared" si="189"/>
        <v>0</v>
      </c>
      <c r="P814" s="112">
        <f t="shared" si="186"/>
        <v>0</v>
      </c>
      <c r="Q814" s="109"/>
      <c r="R814" s="107"/>
      <c r="S814" s="109" t="s">
        <v>1724</v>
      </c>
      <c r="T814" s="114">
        <v>52</v>
      </c>
      <c r="U814" s="109" t="s">
        <v>1725</v>
      </c>
      <c r="V814" s="106"/>
      <c r="W814" s="106"/>
      <c r="X814" s="106" t="s">
        <v>55</v>
      </c>
      <c r="Y814" s="63">
        <f t="shared" si="193"/>
        <v>5.21</v>
      </c>
    </row>
    <row r="815" spans="1:26" ht="15.75" customHeight="1">
      <c r="A815" s="63">
        <v>20260047</v>
      </c>
      <c r="B815" s="65" t="s">
        <v>1645</v>
      </c>
      <c r="C815" s="66">
        <v>46063</v>
      </c>
      <c r="D815" s="66">
        <v>46079</v>
      </c>
      <c r="E815" s="63">
        <v>1</v>
      </c>
      <c r="F815" s="68">
        <v>13.5</v>
      </c>
      <c r="G815" s="69">
        <v>24</v>
      </c>
      <c r="H815" s="65" t="s">
        <v>1726</v>
      </c>
      <c r="I815" s="65" t="s">
        <v>42</v>
      </c>
      <c r="J815" s="65" t="s">
        <v>28</v>
      </c>
      <c r="K815" s="48">
        <f t="shared" si="200"/>
        <v>46087</v>
      </c>
      <c r="L815" s="48">
        <f t="shared" si="201"/>
        <v>46147</v>
      </c>
      <c r="N815" s="72">
        <f t="shared" ref="N815:N820" si="202">E815</f>
        <v>1</v>
      </c>
      <c r="O815" s="50">
        <f t="shared" si="189"/>
        <v>13.5</v>
      </c>
      <c r="P815" s="56">
        <f t="shared" si="186"/>
        <v>24</v>
      </c>
      <c r="S815" s="200" t="s">
        <v>1727</v>
      </c>
      <c r="T815" s="201">
        <v>53</v>
      </c>
      <c r="U815" s="58" t="s">
        <v>1728</v>
      </c>
      <c r="V815" s="46"/>
      <c r="W815" s="46"/>
      <c r="X815" s="62" t="s">
        <v>25</v>
      </c>
      <c r="Y815" s="63">
        <f t="shared" si="193"/>
        <v>13.5</v>
      </c>
      <c r="Z815" s="64">
        <f t="shared" ref="Z815:Z820" si="203">E815-N815</f>
        <v>0</v>
      </c>
    </row>
    <row r="816" spans="1:26" ht="15.75" customHeight="1">
      <c r="A816" s="63">
        <v>20260047</v>
      </c>
      <c r="B816" s="65" t="s">
        <v>1645</v>
      </c>
      <c r="C816" s="66">
        <v>46063</v>
      </c>
      <c r="D816" s="66">
        <v>46079</v>
      </c>
      <c r="E816" s="63">
        <v>10</v>
      </c>
      <c r="F816" s="68">
        <v>93.274000000000001</v>
      </c>
      <c r="G816" s="69">
        <v>60</v>
      </c>
      <c r="H816" s="65" t="s">
        <v>1029</v>
      </c>
      <c r="I816" s="65" t="s">
        <v>24</v>
      </c>
      <c r="J816" s="65" t="s">
        <v>24</v>
      </c>
      <c r="K816" s="48">
        <f t="shared" si="200"/>
        <v>46087</v>
      </c>
      <c r="L816" s="48">
        <f t="shared" si="201"/>
        <v>46147</v>
      </c>
      <c r="N816" s="72">
        <f t="shared" si="202"/>
        <v>10</v>
      </c>
      <c r="O816" s="50">
        <f t="shared" si="189"/>
        <v>93.274000000000001</v>
      </c>
      <c r="P816" s="56">
        <f t="shared" si="186"/>
        <v>60</v>
      </c>
      <c r="S816" s="200" t="s">
        <v>1729</v>
      </c>
      <c r="T816" s="201">
        <v>55</v>
      </c>
      <c r="U816" s="58" t="s">
        <v>1730</v>
      </c>
      <c r="V816" s="46"/>
      <c r="W816" s="46"/>
      <c r="X816" s="62" t="s">
        <v>25</v>
      </c>
      <c r="Y816" s="63">
        <f t="shared" si="193"/>
        <v>9.3274000000000008</v>
      </c>
      <c r="Z816" s="64">
        <f t="shared" si="203"/>
        <v>0</v>
      </c>
    </row>
    <row r="817" spans="1:26" ht="15.75" customHeight="1">
      <c r="A817" s="63">
        <v>20260047</v>
      </c>
      <c r="B817" s="65" t="s">
        <v>1645</v>
      </c>
      <c r="C817" s="66">
        <v>46063</v>
      </c>
      <c r="D817" s="66">
        <v>46079</v>
      </c>
      <c r="E817" s="63">
        <v>4</v>
      </c>
      <c r="F817" s="68">
        <v>84.48</v>
      </c>
      <c r="G817" s="69">
        <v>30</v>
      </c>
      <c r="H817" s="65" t="s">
        <v>862</v>
      </c>
      <c r="I817" s="65" t="s">
        <v>24</v>
      </c>
      <c r="J817" s="65" t="s">
        <v>24</v>
      </c>
      <c r="K817" s="48">
        <f t="shared" si="200"/>
        <v>46087</v>
      </c>
      <c r="L817" s="48">
        <f t="shared" si="201"/>
        <v>46147</v>
      </c>
      <c r="N817" s="72">
        <f t="shared" si="202"/>
        <v>4</v>
      </c>
      <c r="O817" s="50">
        <f t="shared" si="189"/>
        <v>84.48</v>
      </c>
      <c r="P817" s="56">
        <f t="shared" si="186"/>
        <v>30</v>
      </c>
      <c r="S817" s="200" t="s">
        <v>1731</v>
      </c>
      <c r="T817" s="201">
        <v>57</v>
      </c>
      <c r="U817" s="58" t="s">
        <v>1732</v>
      </c>
      <c r="V817" s="46"/>
      <c r="W817" s="46"/>
      <c r="X817" s="62" t="s">
        <v>25</v>
      </c>
      <c r="Y817" s="63">
        <f t="shared" si="193"/>
        <v>21.12</v>
      </c>
      <c r="Z817" s="64">
        <f t="shared" si="203"/>
        <v>0</v>
      </c>
    </row>
    <row r="818" spans="1:26" ht="15.75" customHeight="1">
      <c r="A818" s="63">
        <v>20260047</v>
      </c>
      <c r="B818" s="65" t="s">
        <v>1645</v>
      </c>
      <c r="C818" s="66">
        <v>46063</v>
      </c>
      <c r="D818" s="66">
        <v>46079</v>
      </c>
      <c r="E818" s="63">
        <v>1</v>
      </c>
      <c r="F818" s="68">
        <v>10.55</v>
      </c>
      <c r="G818" s="69">
        <v>24</v>
      </c>
      <c r="H818" s="65" t="s">
        <v>1733</v>
      </c>
      <c r="I818" s="65" t="s">
        <v>42</v>
      </c>
      <c r="J818" s="65" t="s">
        <v>28</v>
      </c>
      <c r="K818" s="48">
        <f t="shared" si="200"/>
        <v>46087</v>
      </c>
      <c r="L818" s="48">
        <f t="shared" si="201"/>
        <v>46147</v>
      </c>
      <c r="N818" s="72">
        <f t="shared" si="202"/>
        <v>1</v>
      </c>
      <c r="O818" s="50">
        <f t="shared" si="189"/>
        <v>10.55</v>
      </c>
      <c r="P818" s="56">
        <f t="shared" si="186"/>
        <v>24</v>
      </c>
      <c r="S818" s="200" t="s">
        <v>1734</v>
      </c>
      <c r="T818" s="201">
        <v>58</v>
      </c>
      <c r="U818" s="58" t="s">
        <v>1735</v>
      </c>
      <c r="V818" s="46"/>
      <c r="W818" s="46"/>
      <c r="X818" s="62" t="s">
        <v>25</v>
      </c>
      <c r="Y818" s="63">
        <f t="shared" si="193"/>
        <v>10.55</v>
      </c>
      <c r="Z818" s="64">
        <f t="shared" si="203"/>
        <v>0</v>
      </c>
    </row>
    <row r="819" spans="1:26" ht="15.75" customHeight="1">
      <c r="A819" s="63">
        <v>20260047</v>
      </c>
      <c r="B819" s="65" t="s">
        <v>1645</v>
      </c>
      <c r="C819" s="66">
        <v>46063</v>
      </c>
      <c r="D819" s="66">
        <v>46079</v>
      </c>
      <c r="E819" s="63">
        <v>1</v>
      </c>
      <c r="F819" s="68">
        <v>8.1110000000000007</v>
      </c>
      <c r="G819" s="69">
        <v>24</v>
      </c>
      <c r="H819" s="65" t="s">
        <v>1736</v>
      </c>
      <c r="I819" s="65" t="s">
        <v>42</v>
      </c>
      <c r="J819" s="65" t="s">
        <v>28</v>
      </c>
      <c r="K819" s="48">
        <f t="shared" si="200"/>
        <v>46087</v>
      </c>
      <c r="L819" s="48">
        <f t="shared" si="201"/>
        <v>46147</v>
      </c>
      <c r="N819" s="72">
        <f t="shared" si="202"/>
        <v>1</v>
      </c>
      <c r="O819" s="50">
        <f t="shared" si="189"/>
        <v>8.1110000000000007</v>
      </c>
      <c r="P819" s="56">
        <f t="shared" si="186"/>
        <v>24</v>
      </c>
      <c r="S819" s="200" t="s">
        <v>1737</v>
      </c>
      <c r="T819" s="201">
        <v>59</v>
      </c>
      <c r="U819" s="58" t="s">
        <v>1738</v>
      </c>
      <c r="V819" s="46"/>
      <c r="W819" s="46"/>
      <c r="X819" s="62" t="s">
        <v>25</v>
      </c>
      <c r="Y819" s="63">
        <f t="shared" si="193"/>
        <v>8.1110000000000007</v>
      </c>
      <c r="Z819" s="64">
        <f t="shared" si="203"/>
        <v>0</v>
      </c>
    </row>
    <row r="820" spans="1:26" ht="15.75" customHeight="1">
      <c r="A820" s="63">
        <v>20260047</v>
      </c>
      <c r="B820" s="65" t="s">
        <v>1645</v>
      </c>
      <c r="C820" s="66">
        <v>46063</v>
      </c>
      <c r="D820" s="66">
        <v>46079</v>
      </c>
      <c r="E820" s="63">
        <v>1</v>
      </c>
      <c r="F820" s="68">
        <v>0</v>
      </c>
      <c r="G820" s="69">
        <v>4</v>
      </c>
      <c r="H820" s="65" t="s">
        <v>1736</v>
      </c>
      <c r="I820" s="65" t="s">
        <v>24</v>
      </c>
      <c r="J820" s="65" t="s">
        <v>24</v>
      </c>
      <c r="K820" s="48">
        <f t="shared" si="200"/>
        <v>46087</v>
      </c>
      <c r="L820" s="48">
        <f t="shared" si="201"/>
        <v>46147</v>
      </c>
      <c r="N820" s="72">
        <f t="shared" si="202"/>
        <v>1</v>
      </c>
      <c r="O820" s="50">
        <f t="shared" si="189"/>
        <v>0</v>
      </c>
      <c r="P820" s="56">
        <f t="shared" si="186"/>
        <v>4</v>
      </c>
      <c r="S820" s="200" t="s">
        <v>1737</v>
      </c>
      <c r="T820" s="201">
        <v>59</v>
      </c>
      <c r="U820" s="58"/>
      <c r="V820" s="46"/>
      <c r="W820" s="46"/>
      <c r="X820" s="62" t="s">
        <v>25</v>
      </c>
      <c r="Y820" s="63">
        <f t="shared" si="193"/>
        <v>0</v>
      </c>
      <c r="Z820" s="64">
        <f t="shared" si="203"/>
        <v>0</v>
      </c>
    </row>
    <row r="821" spans="1:26" ht="15.75" customHeight="1">
      <c r="A821" s="106">
        <v>20260047</v>
      </c>
      <c r="B821" s="107" t="s">
        <v>1645</v>
      </c>
      <c r="C821" s="108">
        <v>46063</v>
      </c>
      <c r="D821" s="108">
        <v>46079</v>
      </c>
      <c r="E821" s="106">
        <v>6</v>
      </c>
      <c r="F821" s="106">
        <v>60</v>
      </c>
      <c r="G821" s="106">
        <v>144</v>
      </c>
      <c r="H821" s="107" t="s">
        <v>1739</v>
      </c>
      <c r="I821" s="107" t="s">
        <v>42</v>
      </c>
      <c r="J821" s="107" t="s">
        <v>28</v>
      </c>
      <c r="K821" s="108">
        <f t="shared" si="200"/>
        <v>46087</v>
      </c>
      <c r="L821" s="108">
        <f t="shared" si="201"/>
        <v>46147</v>
      </c>
      <c r="M821" s="107"/>
      <c r="N821" s="112">
        <f>E821-6</f>
        <v>0</v>
      </c>
      <c r="O821" s="113">
        <f t="shared" si="189"/>
        <v>0</v>
      </c>
      <c r="P821" s="112">
        <f t="shared" ref="P821:P914" si="204">G821/E821*N821</f>
        <v>0</v>
      </c>
      <c r="Q821" s="109"/>
      <c r="R821" s="107"/>
      <c r="S821" s="109" t="s">
        <v>1740</v>
      </c>
      <c r="T821" s="114">
        <v>60</v>
      </c>
      <c r="U821" s="109" t="s">
        <v>1741</v>
      </c>
      <c r="V821" s="106"/>
      <c r="W821" s="106"/>
      <c r="X821" s="106" t="s">
        <v>55</v>
      </c>
      <c r="Y821" s="63">
        <f t="shared" si="193"/>
        <v>10</v>
      </c>
    </row>
    <row r="822" spans="1:26" ht="15.75" customHeight="1">
      <c r="A822" s="106">
        <v>20260047</v>
      </c>
      <c r="B822" s="107" t="s">
        <v>1645</v>
      </c>
      <c r="C822" s="108">
        <v>46063</v>
      </c>
      <c r="D822" s="108">
        <v>46079</v>
      </c>
      <c r="E822" s="106">
        <v>2</v>
      </c>
      <c r="F822" s="106">
        <v>27.04</v>
      </c>
      <c r="G822" s="106">
        <v>48</v>
      </c>
      <c r="H822" s="107" t="s">
        <v>637</v>
      </c>
      <c r="I822" s="107" t="s">
        <v>42</v>
      </c>
      <c r="J822" s="107" t="s">
        <v>28</v>
      </c>
      <c r="K822" s="108">
        <f t="shared" si="200"/>
        <v>46087</v>
      </c>
      <c r="L822" s="108">
        <f t="shared" si="201"/>
        <v>46147</v>
      </c>
      <c r="M822" s="107"/>
      <c r="N822" s="112">
        <f>E822-2</f>
        <v>0</v>
      </c>
      <c r="O822" s="113">
        <f t="shared" si="189"/>
        <v>0</v>
      </c>
      <c r="P822" s="112">
        <f t="shared" si="204"/>
        <v>0</v>
      </c>
      <c r="Q822" s="109"/>
      <c r="R822" s="107"/>
      <c r="S822" s="109" t="s">
        <v>1742</v>
      </c>
      <c r="T822" s="114">
        <v>61</v>
      </c>
      <c r="U822" s="109" t="s">
        <v>1743</v>
      </c>
      <c r="V822" s="106"/>
      <c r="W822" s="106"/>
      <c r="X822" s="106" t="s">
        <v>55</v>
      </c>
      <c r="Y822" s="63">
        <f t="shared" si="193"/>
        <v>13.52</v>
      </c>
    </row>
    <row r="823" spans="1:26" ht="15.75" customHeight="1">
      <c r="A823" s="106">
        <v>20260047</v>
      </c>
      <c r="B823" s="107" t="s">
        <v>1645</v>
      </c>
      <c r="C823" s="108">
        <v>46063</v>
      </c>
      <c r="D823" s="108">
        <v>46079</v>
      </c>
      <c r="E823" s="106">
        <v>1</v>
      </c>
      <c r="F823" s="106">
        <v>0.26800000000000002</v>
      </c>
      <c r="G823" s="106">
        <v>4</v>
      </c>
      <c r="H823" s="107" t="s">
        <v>637</v>
      </c>
      <c r="I823" s="107" t="s">
        <v>24</v>
      </c>
      <c r="J823" s="107" t="s">
        <v>24</v>
      </c>
      <c r="K823" s="108">
        <f t="shared" si="200"/>
        <v>46087</v>
      </c>
      <c r="L823" s="108">
        <f t="shared" si="201"/>
        <v>46147</v>
      </c>
      <c r="M823" s="107"/>
      <c r="N823" s="112">
        <f>E823-1</f>
        <v>0</v>
      </c>
      <c r="O823" s="113">
        <f t="shared" si="189"/>
        <v>0</v>
      </c>
      <c r="P823" s="112">
        <f t="shared" si="204"/>
        <v>0</v>
      </c>
      <c r="Q823" s="109"/>
      <c r="R823" s="107"/>
      <c r="S823" s="109" t="s">
        <v>1744</v>
      </c>
      <c r="T823" s="114">
        <v>73</v>
      </c>
      <c r="U823" s="109" t="s">
        <v>1745</v>
      </c>
      <c r="V823" s="106"/>
      <c r="W823" s="106"/>
      <c r="X823" s="106" t="s">
        <v>55</v>
      </c>
      <c r="Y823" s="63">
        <f t="shared" si="193"/>
        <v>0.26800000000000002</v>
      </c>
    </row>
    <row r="824" spans="1:26" ht="15.75" customHeight="1">
      <c r="A824" s="106">
        <v>20260047</v>
      </c>
      <c r="B824" s="107" t="s">
        <v>1645</v>
      </c>
      <c r="C824" s="108">
        <v>46063</v>
      </c>
      <c r="D824" s="108">
        <v>46079</v>
      </c>
      <c r="E824" s="106">
        <v>1</v>
      </c>
      <c r="F824" s="106">
        <v>9</v>
      </c>
      <c r="G824" s="106">
        <v>24</v>
      </c>
      <c r="H824" s="107" t="s">
        <v>1746</v>
      </c>
      <c r="I824" s="107" t="s">
        <v>42</v>
      </c>
      <c r="J824" s="107" t="s">
        <v>28</v>
      </c>
      <c r="K824" s="108">
        <f t="shared" si="200"/>
        <v>46087</v>
      </c>
      <c r="L824" s="108">
        <f t="shared" si="201"/>
        <v>46147</v>
      </c>
      <c r="M824" s="107"/>
      <c r="N824" s="112">
        <f>E824-1</f>
        <v>0</v>
      </c>
      <c r="O824" s="113">
        <f t="shared" si="189"/>
        <v>0</v>
      </c>
      <c r="P824" s="112">
        <f t="shared" si="204"/>
        <v>0</v>
      </c>
      <c r="Q824" s="109"/>
      <c r="R824" s="107"/>
      <c r="S824" s="109" t="s">
        <v>1747</v>
      </c>
      <c r="T824" s="114">
        <v>75</v>
      </c>
      <c r="U824" s="109" t="s">
        <v>1748</v>
      </c>
      <c r="V824" s="106"/>
      <c r="W824" s="106"/>
      <c r="X824" s="106" t="s">
        <v>55</v>
      </c>
      <c r="Y824" s="63">
        <f t="shared" si="193"/>
        <v>9</v>
      </c>
      <c r="Z824" s="64">
        <f t="shared" ref="Z824:Z826" si="205">E824-N824</f>
        <v>1</v>
      </c>
    </row>
    <row r="825" spans="1:26" ht="15.75" customHeight="1">
      <c r="A825" s="63">
        <v>20260047</v>
      </c>
      <c r="B825" s="65" t="s">
        <v>1645</v>
      </c>
      <c r="C825" s="66">
        <v>46063</v>
      </c>
      <c r="D825" s="66">
        <v>46079</v>
      </c>
      <c r="E825" s="63">
        <v>1</v>
      </c>
      <c r="F825" s="68">
        <v>14.8</v>
      </c>
      <c r="G825" s="69">
        <v>24</v>
      </c>
      <c r="H825" s="65" t="s">
        <v>1749</v>
      </c>
      <c r="I825" s="65" t="s">
        <v>42</v>
      </c>
      <c r="J825" s="65" t="s">
        <v>28</v>
      </c>
      <c r="K825" s="48">
        <f t="shared" si="200"/>
        <v>46087</v>
      </c>
      <c r="L825" s="48">
        <f t="shared" si="201"/>
        <v>46147</v>
      </c>
      <c r="N825" s="72">
        <f t="shared" ref="N825:N826" si="206">E825</f>
        <v>1</v>
      </c>
      <c r="O825" s="50">
        <f t="shared" si="189"/>
        <v>14.8</v>
      </c>
      <c r="P825" s="56">
        <f t="shared" si="204"/>
        <v>24</v>
      </c>
      <c r="S825" s="200" t="s">
        <v>1750</v>
      </c>
      <c r="T825" s="201">
        <v>78</v>
      </c>
      <c r="U825" s="58" t="s">
        <v>1751</v>
      </c>
      <c r="V825" s="46"/>
      <c r="W825" s="46"/>
      <c r="X825" s="62" t="s">
        <v>25</v>
      </c>
      <c r="Y825" s="63">
        <f t="shared" si="193"/>
        <v>14.8</v>
      </c>
      <c r="Z825" s="64">
        <f t="shared" si="205"/>
        <v>0</v>
      </c>
    </row>
    <row r="826" spans="1:26" ht="15.75" customHeight="1">
      <c r="A826" s="63">
        <v>20260047</v>
      </c>
      <c r="B826" s="65" t="s">
        <v>1645</v>
      </c>
      <c r="C826" s="66">
        <v>46063</v>
      </c>
      <c r="D826" s="66">
        <v>46079</v>
      </c>
      <c r="E826" s="63">
        <v>5</v>
      </c>
      <c r="F826" s="68">
        <v>53.905000000000001</v>
      </c>
      <c r="G826" s="69">
        <v>120</v>
      </c>
      <c r="H826" s="65" t="s">
        <v>1752</v>
      </c>
      <c r="I826" s="65" t="s">
        <v>42</v>
      </c>
      <c r="J826" s="65" t="s">
        <v>28</v>
      </c>
      <c r="K826" s="48">
        <f t="shared" si="200"/>
        <v>46087</v>
      </c>
      <c r="L826" s="48">
        <f t="shared" si="201"/>
        <v>46147</v>
      </c>
      <c r="N826" s="72">
        <f t="shared" si="206"/>
        <v>5</v>
      </c>
      <c r="O826" s="50">
        <f t="shared" si="189"/>
        <v>53.905000000000001</v>
      </c>
      <c r="P826" s="56">
        <f t="shared" si="204"/>
        <v>120</v>
      </c>
      <c r="S826" s="200" t="s">
        <v>1753</v>
      </c>
      <c r="T826" s="201">
        <v>80</v>
      </c>
      <c r="U826" s="58" t="s">
        <v>1754</v>
      </c>
      <c r="V826" s="46"/>
      <c r="W826" s="46"/>
      <c r="X826" s="62" t="s">
        <v>25</v>
      </c>
      <c r="Y826" s="63">
        <f t="shared" si="193"/>
        <v>10.781000000000001</v>
      </c>
      <c r="Z826" s="64">
        <f t="shared" si="205"/>
        <v>0</v>
      </c>
    </row>
    <row r="827" spans="1:26" ht="15.75" customHeight="1">
      <c r="A827" s="106">
        <v>20260047</v>
      </c>
      <c r="B827" s="107" t="s">
        <v>1645</v>
      </c>
      <c r="C827" s="108">
        <v>46063</v>
      </c>
      <c r="D827" s="108">
        <v>46079</v>
      </c>
      <c r="E827" s="106">
        <v>48</v>
      </c>
      <c r="F827" s="106">
        <v>200.48400000000001</v>
      </c>
      <c r="G827" s="106">
        <v>42</v>
      </c>
      <c r="H827" s="107" t="s">
        <v>1755</v>
      </c>
      <c r="I827" s="107" t="s">
        <v>72</v>
      </c>
      <c r="J827" s="107" t="s">
        <v>72</v>
      </c>
      <c r="K827" s="108">
        <f t="shared" si="200"/>
        <v>46087</v>
      </c>
      <c r="L827" s="108">
        <f t="shared" si="201"/>
        <v>46147</v>
      </c>
      <c r="M827" s="107"/>
      <c r="N827" s="112">
        <f>E827-24-24</f>
        <v>0</v>
      </c>
      <c r="O827" s="113">
        <f t="shared" si="189"/>
        <v>0</v>
      </c>
      <c r="P827" s="112">
        <f t="shared" si="204"/>
        <v>0</v>
      </c>
      <c r="Q827" s="109"/>
      <c r="R827" s="107"/>
      <c r="S827" s="109" t="s">
        <v>1756</v>
      </c>
      <c r="T827" s="114">
        <v>48</v>
      </c>
      <c r="U827" s="109" t="s">
        <v>1757</v>
      </c>
      <c r="V827" s="106"/>
      <c r="W827" s="106"/>
      <c r="X827" s="106" t="s">
        <v>55</v>
      </c>
      <c r="Y827" s="63">
        <f t="shared" si="193"/>
        <v>4.1767500000000002</v>
      </c>
    </row>
    <row r="828" spans="1:26" ht="15.75" customHeight="1">
      <c r="A828" s="106">
        <v>20260047</v>
      </c>
      <c r="B828" s="107" t="s">
        <v>1645</v>
      </c>
      <c r="C828" s="108">
        <v>46063</v>
      </c>
      <c r="D828" s="108">
        <v>46079</v>
      </c>
      <c r="E828" s="106">
        <v>313</v>
      </c>
      <c r="F828" s="106">
        <v>2501.498</v>
      </c>
      <c r="G828" s="106">
        <v>272</v>
      </c>
      <c r="H828" s="107" t="s">
        <v>1758</v>
      </c>
      <c r="I828" s="107" t="s">
        <v>72</v>
      </c>
      <c r="J828" s="107" t="s">
        <v>72</v>
      </c>
      <c r="K828" s="108">
        <f t="shared" si="200"/>
        <v>46087</v>
      </c>
      <c r="L828" s="108">
        <f t="shared" si="201"/>
        <v>46147</v>
      </c>
      <c r="M828" s="107"/>
      <c r="N828" s="112">
        <f>E828-142-24-18-76-46-7</f>
        <v>0</v>
      </c>
      <c r="O828" s="113">
        <f t="shared" si="189"/>
        <v>0</v>
      </c>
      <c r="P828" s="112">
        <f t="shared" si="204"/>
        <v>0</v>
      </c>
      <c r="Q828" s="109"/>
      <c r="R828" s="107"/>
      <c r="S828" s="109" t="s">
        <v>1759</v>
      </c>
      <c r="T828" s="114">
        <v>49</v>
      </c>
      <c r="U828" s="109" t="s">
        <v>1760</v>
      </c>
      <c r="V828" s="106"/>
      <c r="W828" s="106"/>
      <c r="X828" s="106" t="s">
        <v>55</v>
      </c>
      <c r="Y828" s="63">
        <f t="shared" si="193"/>
        <v>7.9920063897763578</v>
      </c>
    </row>
    <row r="829" spans="1:26" ht="15.75" customHeight="1">
      <c r="A829" s="106">
        <v>20260047</v>
      </c>
      <c r="B829" s="107" t="s">
        <v>1645</v>
      </c>
      <c r="C829" s="108">
        <v>46063</v>
      </c>
      <c r="D829" s="108">
        <v>46079</v>
      </c>
      <c r="E829" s="106">
        <v>79</v>
      </c>
      <c r="F829" s="106">
        <v>525.92999999999995</v>
      </c>
      <c r="G829" s="106">
        <v>69</v>
      </c>
      <c r="H829" s="107" t="s">
        <v>1761</v>
      </c>
      <c r="I829" s="107" t="s">
        <v>72</v>
      </c>
      <c r="J829" s="107" t="s">
        <v>72</v>
      </c>
      <c r="K829" s="108">
        <f t="shared" si="200"/>
        <v>46087</v>
      </c>
      <c r="L829" s="108">
        <f t="shared" si="201"/>
        <v>46147</v>
      </c>
      <c r="M829" s="107"/>
      <c r="N829" s="112">
        <f>E829-12-6-42-11-6-2</f>
        <v>0</v>
      </c>
      <c r="O829" s="113">
        <f t="shared" si="189"/>
        <v>0</v>
      </c>
      <c r="P829" s="112">
        <f t="shared" si="204"/>
        <v>0</v>
      </c>
      <c r="Q829" s="109"/>
      <c r="R829" s="107"/>
      <c r="S829" s="109" t="s">
        <v>1762</v>
      </c>
      <c r="T829" s="114">
        <v>50</v>
      </c>
      <c r="U829" s="109" t="s">
        <v>1763</v>
      </c>
      <c r="V829" s="106"/>
      <c r="W829" s="106"/>
      <c r="X829" s="106" t="s">
        <v>55</v>
      </c>
      <c r="Y829" s="63">
        <f t="shared" si="193"/>
        <v>6.6573417721518977</v>
      </c>
    </row>
    <row r="830" spans="1:26" ht="15.75" customHeight="1">
      <c r="A830" s="63">
        <v>20260047</v>
      </c>
      <c r="B830" s="65" t="s">
        <v>1645</v>
      </c>
      <c r="C830" s="66">
        <v>46063</v>
      </c>
      <c r="D830" s="66">
        <v>46079</v>
      </c>
      <c r="E830" s="63">
        <v>119</v>
      </c>
      <c r="F830" s="68">
        <v>946.18499999999995</v>
      </c>
      <c r="G830" s="69">
        <v>104</v>
      </c>
      <c r="H830" s="65" t="s">
        <v>566</v>
      </c>
      <c r="I830" s="65" t="s">
        <v>72</v>
      </c>
      <c r="J830" s="65" t="s">
        <v>72</v>
      </c>
      <c r="K830" s="48">
        <f t="shared" si="200"/>
        <v>46087</v>
      </c>
      <c r="L830" s="48">
        <f t="shared" si="201"/>
        <v>46147</v>
      </c>
      <c r="N830" s="72">
        <f>E830</f>
        <v>119</v>
      </c>
      <c r="O830" s="50">
        <f t="shared" si="189"/>
        <v>946.18499999999995</v>
      </c>
      <c r="P830" s="56">
        <f t="shared" si="204"/>
        <v>104</v>
      </c>
      <c r="S830" s="200" t="s">
        <v>1764</v>
      </c>
      <c r="T830" s="201">
        <v>54</v>
      </c>
      <c r="U830" s="58" t="s">
        <v>1765</v>
      </c>
      <c r="V830" s="46"/>
      <c r="W830" s="46"/>
      <c r="X830" s="62" t="s">
        <v>25</v>
      </c>
      <c r="Y830" s="63">
        <f t="shared" si="193"/>
        <v>7.9511344537815125</v>
      </c>
      <c r="Z830" s="64">
        <f t="shared" ref="Z830" si="207">E830-N830</f>
        <v>0</v>
      </c>
    </row>
    <row r="831" spans="1:26" ht="15.75" customHeight="1">
      <c r="A831" s="106">
        <v>20260047</v>
      </c>
      <c r="B831" s="107" t="s">
        <v>1645</v>
      </c>
      <c r="C831" s="108">
        <v>46063</v>
      </c>
      <c r="D831" s="108">
        <v>46079</v>
      </c>
      <c r="E831" s="106">
        <v>96</v>
      </c>
      <c r="F831" s="106">
        <v>414.52199999999999</v>
      </c>
      <c r="G831" s="106">
        <v>84</v>
      </c>
      <c r="H831" s="107" t="s">
        <v>1766</v>
      </c>
      <c r="I831" s="107" t="s">
        <v>72</v>
      </c>
      <c r="J831" s="107" t="s">
        <v>72</v>
      </c>
      <c r="K831" s="108">
        <f t="shared" si="200"/>
        <v>46087</v>
      </c>
      <c r="L831" s="108">
        <f t="shared" si="201"/>
        <v>46147</v>
      </c>
      <c r="M831" s="107"/>
      <c r="N831" s="112">
        <f>E831-60-12-24</f>
        <v>0</v>
      </c>
      <c r="O831" s="113">
        <f t="shared" si="189"/>
        <v>0</v>
      </c>
      <c r="P831" s="112">
        <f t="shared" si="204"/>
        <v>0</v>
      </c>
      <c r="Q831" s="109"/>
      <c r="R831" s="107"/>
      <c r="S831" s="109" t="s">
        <v>1767</v>
      </c>
      <c r="T831" s="114">
        <v>64</v>
      </c>
      <c r="U831" s="109" t="s">
        <v>1768</v>
      </c>
      <c r="V831" s="106"/>
      <c r="W831" s="106"/>
      <c r="X831" s="106" t="s">
        <v>55</v>
      </c>
      <c r="Y831" s="63">
        <f t="shared" si="193"/>
        <v>4.3179375000000002</v>
      </c>
    </row>
    <row r="832" spans="1:26" ht="15.75" customHeight="1">
      <c r="A832" s="106">
        <v>20260047</v>
      </c>
      <c r="B832" s="107" t="s">
        <v>1645</v>
      </c>
      <c r="C832" s="108">
        <v>46063</v>
      </c>
      <c r="D832" s="108">
        <v>46079</v>
      </c>
      <c r="E832" s="106">
        <v>113</v>
      </c>
      <c r="F832" s="106">
        <v>625.32000000000005</v>
      </c>
      <c r="G832" s="106">
        <v>98</v>
      </c>
      <c r="H832" s="107" t="s">
        <v>1766</v>
      </c>
      <c r="I832" s="107" t="s">
        <v>72</v>
      </c>
      <c r="J832" s="107" t="s">
        <v>72</v>
      </c>
      <c r="K832" s="108">
        <f t="shared" si="200"/>
        <v>46087</v>
      </c>
      <c r="L832" s="108">
        <f t="shared" si="201"/>
        <v>46147</v>
      </c>
      <c r="M832" s="107"/>
      <c r="N832" s="112">
        <f>E832-9-45-22-37</f>
        <v>0</v>
      </c>
      <c r="O832" s="113">
        <f t="shared" si="189"/>
        <v>0</v>
      </c>
      <c r="P832" s="112">
        <f t="shared" si="204"/>
        <v>0</v>
      </c>
      <c r="Q832" s="109"/>
      <c r="R832" s="107"/>
      <c r="S832" s="109" t="s">
        <v>1769</v>
      </c>
      <c r="T832" s="114">
        <v>65</v>
      </c>
      <c r="U832" s="109" t="s">
        <v>1770</v>
      </c>
      <c r="V832" s="106"/>
      <c r="W832" s="106"/>
      <c r="X832" s="106" t="s">
        <v>55</v>
      </c>
      <c r="Y832" s="63">
        <f t="shared" si="193"/>
        <v>5.5338053097345137</v>
      </c>
    </row>
    <row r="833" spans="1:26" ht="15.75" customHeight="1">
      <c r="A833" s="106">
        <v>20260047</v>
      </c>
      <c r="B833" s="107" t="s">
        <v>1645</v>
      </c>
      <c r="C833" s="108">
        <v>46063</v>
      </c>
      <c r="D833" s="108">
        <v>46079</v>
      </c>
      <c r="E833" s="106">
        <v>99</v>
      </c>
      <c r="F833" s="106">
        <v>450.81</v>
      </c>
      <c r="G833" s="106">
        <v>86</v>
      </c>
      <c r="H833" s="107" t="s">
        <v>1766</v>
      </c>
      <c r="I833" s="107" t="s">
        <v>72</v>
      </c>
      <c r="J833" s="107" t="s">
        <v>72</v>
      </c>
      <c r="K833" s="108">
        <f t="shared" si="200"/>
        <v>46087</v>
      </c>
      <c r="L833" s="108">
        <f t="shared" si="201"/>
        <v>46147</v>
      </c>
      <c r="M833" s="107"/>
      <c r="N833" s="112">
        <f>E833-24-31-36-8</f>
        <v>0</v>
      </c>
      <c r="O833" s="113">
        <f t="shared" si="189"/>
        <v>0</v>
      </c>
      <c r="P833" s="112">
        <f t="shared" si="204"/>
        <v>0</v>
      </c>
      <c r="Q833" s="109"/>
      <c r="R833" s="107"/>
      <c r="S833" s="109" t="s">
        <v>1771</v>
      </c>
      <c r="T833" s="114">
        <v>66</v>
      </c>
      <c r="U833" s="109" t="s">
        <v>1770</v>
      </c>
      <c r="V833" s="106"/>
      <c r="W833" s="106"/>
      <c r="X833" s="106" t="s">
        <v>55</v>
      </c>
      <c r="Y833" s="63">
        <f t="shared" si="193"/>
        <v>4.5536363636363637</v>
      </c>
    </row>
    <row r="834" spans="1:26" ht="15.75" customHeight="1">
      <c r="A834" s="63">
        <v>20260047</v>
      </c>
      <c r="B834" s="65" t="s">
        <v>1645</v>
      </c>
      <c r="C834" s="66">
        <v>46063</v>
      </c>
      <c r="D834" s="66">
        <v>46079</v>
      </c>
      <c r="E834" s="63">
        <v>79</v>
      </c>
      <c r="F834" s="68">
        <v>350.24700000000001</v>
      </c>
      <c r="G834" s="69">
        <v>69</v>
      </c>
      <c r="H834" s="65" t="s">
        <v>1772</v>
      </c>
      <c r="I834" s="65" t="s">
        <v>72</v>
      </c>
      <c r="J834" s="65" t="s">
        <v>72</v>
      </c>
      <c r="K834" s="48">
        <f t="shared" si="200"/>
        <v>46087</v>
      </c>
      <c r="L834" s="48">
        <f t="shared" si="201"/>
        <v>46147</v>
      </c>
      <c r="N834" s="72">
        <f>E834</f>
        <v>79</v>
      </c>
      <c r="O834" s="50">
        <f t="shared" si="189"/>
        <v>350.24700000000001</v>
      </c>
      <c r="P834" s="56">
        <f t="shared" si="204"/>
        <v>69</v>
      </c>
      <c r="S834" s="200" t="s">
        <v>1773</v>
      </c>
      <c r="T834" s="201">
        <v>67</v>
      </c>
      <c r="U834" s="58" t="s">
        <v>1774</v>
      </c>
      <c r="V834" s="46"/>
      <c r="W834" s="46"/>
      <c r="X834" s="62" t="s">
        <v>25</v>
      </c>
      <c r="Y834" s="63">
        <f t="shared" si="193"/>
        <v>4.4335063291139241</v>
      </c>
      <c r="Z834" s="64">
        <f t="shared" ref="Z834" si="208">E834-N834</f>
        <v>0</v>
      </c>
    </row>
    <row r="835" spans="1:26" ht="15.75" customHeight="1">
      <c r="A835" s="106">
        <v>20260047</v>
      </c>
      <c r="B835" s="107" t="s">
        <v>1645</v>
      </c>
      <c r="C835" s="108">
        <v>46063</v>
      </c>
      <c r="D835" s="108">
        <v>46079</v>
      </c>
      <c r="E835" s="106">
        <v>29</v>
      </c>
      <c r="F835" s="106">
        <v>160.15</v>
      </c>
      <c r="G835" s="106">
        <v>25</v>
      </c>
      <c r="H835" s="107" t="s">
        <v>1775</v>
      </c>
      <c r="I835" s="107" t="s">
        <v>72</v>
      </c>
      <c r="J835" s="107" t="s">
        <v>72</v>
      </c>
      <c r="K835" s="108">
        <f t="shared" si="200"/>
        <v>46087</v>
      </c>
      <c r="L835" s="108">
        <f t="shared" si="201"/>
        <v>46147</v>
      </c>
      <c r="M835" s="107"/>
      <c r="N835" s="112">
        <f>E835-29</f>
        <v>0</v>
      </c>
      <c r="O835" s="113">
        <f t="shared" si="189"/>
        <v>0</v>
      </c>
      <c r="P835" s="112">
        <f t="shared" si="204"/>
        <v>0</v>
      </c>
      <c r="Q835" s="109"/>
      <c r="R835" s="107"/>
      <c r="S835" s="109" t="s">
        <v>1776</v>
      </c>
      <c r="T835" s="114">
        <v>69</v>
      </c>
      <c r="U835" s="109" t="s">
        <v>1777</v>
      </c>
      <c r="V835" s="106"/>
      <c r="W835" s="106"/>
      <c r="X835" s="106" t="s">
        <v>55</v>
      </c>
      <c r="Y835" s="63">
        <f t="shared" si="193"/>
        <v>5.522413793103448</v>
      </c>
    </row>
    <row r="836" spans="1:26" ht="15.75" customHeight="1">
      <c r="A836" s="106">
        <v>20260047</v>
      </c>
      <c r="B836" s="107" t="s">
        <v>1645</v>
      </c>
      <c r="C836" s="108">
        <v>46063</v>
      </c>
      <c r="D836" s="108">
        <v>46079</v>
      </c>
      <c r="E836" s="106">
        <v>301</v>
      </c>
      <c r="F836" s="106">
        <v>1697.165</v>
      </c>
      <c r="G836" s="106">
        <v>262</v>
      </c>
      <c r="H836" s="107" t="s">
        <v>1778</v>
      </c>
      <c r="I836" s="107" t="s">
        <v>72</v>
      </c>
      <c r="J836" s="107" t="s">
        <v>72</v>
      </c>
      <c r="K836" s="108">
        <f t="shared" si="200"/>
        <v>46087</v>
      </c>
      <c r="L836" s="108">
        <f t="shared" si="201"/>
        <v>46147</v>
      </c>
      <c r="M836" s="107"/>
      <c r="N836" s="112">
        <f>E836-15-20-50-110-45-61</f>
        <v>0</v>
      </c>
      <c r="O836" s="113">
        <f t="shared" si="189"/>
        <v>0</v>
      </c>
      <c r="P836" s="112">
        <f t="shared" si="204"/>
        <v>0</v>
      </c>
      <c r="Q836" s="109"/>
      <c r="R836" s="107"/>
      <c r="S836" s="109" t="s">
        <v>1779</v>
      </c>
      <c r="T836" s="114">
        <v>79</v>
      </c>
      <c r="U836" s="109" t="s">
        <v>1780</v>
      </c>
      <c r="V836" s="106"/>
      <c r="W836" s="106"/>
      <c r="X836" s="106" t="s">
        <v>55</v>
      </c>
      <c r="Y836" s="63">
        <f t="shared" si="193"/>
        <v>5.6384219269102989</v>
      </c>
    </row>
    <row r="837" spans="1:26" ht="15.75" customHeight="1">
      <c r="A837" s="106">
        <v>20260047</v>
      </c>
      <c r="B837" s="107" t="s">
        <v>1645</v>
      </c>
      <c r="C837" s="108">
        <v>46063</v>
      </c>
      <c r="D837" s="108">
        <v>46079</v>
      </c>
      <c r="E837" s="106">
        <v>714</v>
      </c>
      <c r="F837" s="106">
        <v>1000</v>
      </c>
      <c r="G837" s="106">
        <v>622</v>
      </c>
      <c r="H837" s="107" t="s">
        <v>1781</v>
      </c>
      <c r="I837" s="107" t="s">
        <v>1782</v>
      </c>
      <c r="J837" s="107" t="s">
        <v>92</v>
      </c>
      <c r="K837" s="108">
        <f t="shared" si="200"/>
        <v>46087</v>
      </c>
      <c r="L837" s="108">
        <f t="shared" si="201"/>
        <v>46147</v>
      </c>
      <c r="M837" s="107"/>
      <c r="N837" s="112">
        <f>E837-175-291-188-43-17</f>
        <v>0</v>
      </c>
      <c r="O837" s="113">
        <f t="shared" si="189"/>
        <v>0</v>
      </c>
      <c r="P837" s="112">
        <f t="shared" si="204"/>
        <v>0</v>
      </c>
      <c r="Q837" s="109"/>
      <c r="R837" s="107"/>
      <c r="S837" s="109" t="s">
        <v>1783</v>
      </c>
      <c r="T837" s="114">
        <v>56</v>
      </c>
      <c r="U837" s="109" t="s">
        <v>1784</v>
      </c>
      <c r="V837" s="106"/>
      <c r="W837" s="106"/>
      <c r="X837" s="106" t="s">
        <v>55</v>
      </c>
      <c r="Y837" s="63">
        <f t="shared" si="193"/>
        <v>1.4005602240896358</v>
      </c>
    </row>
    <row r="838" spans="1:26" ht="15.75" customHeight="1">
      <c r="A838" s="106">
        <v>20260047</v>
      </c>
      <c r="B838" s="107" t="s">
        <v>1645</v>
      </c>
      <c r="C838" s="108">
        <v>46063</v>
      </c>
      <c r="D838" s="108">
        <v>46079</v>
      </c>
      <c r="E838" s="106">
        <v>94</v>
      </c>
      <c r="F838" s="106">
        <v>423.55099999999999</v>
      </c>
      <c r="G838" s="106">
        <v>650</v>
      </c>
      <c r="H838" s="107" t="s">
        <v>1785</v>
      </c>
      <c r="I838" s="107" t="s">
        <v>1786</v>
      </c>
      <c r="J838" s="107" t="s">
        <v>1786</v>
      </c>
      <c r="K838" s="108">
        <f t="shared" si="200"/>
        <v>46087</v>
      </c>
      <c r="L838" s="108">
        <f t="shared" si="201"/>
        <v>46147</v>
      </c>
      <c r="M838" s="107"/>
      <c r="N838" s="112">
        <f>E838-20-51-16-7</f>
        <v>0</v>
      </c>
      <c r="O838" s="113">
        <f t="shared" si="189"/>
        <v>0</v>
      </c>
      <c r="P838" s="112">
        <f t="shared" si="204"/>
        <v>0</v>
      </c>
      <c r="Q838" s="109"/>
      <c r="R838" s="107"/>
      <c r="S838" s="109" t="s">
        <v>1787</v>
      </c>
      <c r="T838" s="114">
        <v>71</v>
      </c>
      <c r="U838" s="109" t="s">
        <v>1788</v>
      </c>
      <c r="V838" s="106"/>
      <c r="W838" s="106"/>
      <c r="X838" s="106" t="s">
        <v>55</v>
      </c>
      <c r="Y838" s="63">
        <f t="shared" si="193"/>
        <v>4.5058617021276595</v>
      </c>
    </row>
    <row r="839" spans="1:26" ht="15.75" customHeight="1">
      <c r="A839" s="63">
        <v>20260047</v>
      </c>
      <c r="B839" s="65" t="s">
        <v>1645</v>
      </c>
      <c r="C839" s="66">
        <v>46063</v>
      </c>
      <c r="D839" s="66">
        <v>46079</v>
      </c>
      <c r="E839" s="63">
        <v>499</v>
      </c>
      <c r="F839" s="68">
        <v>1970.3</v>
      </c>
      <c r="G839" s="69">
        <v>190</v>
      </c>
      <c r="H839" s="65" t="s">
        <v>1789</v>
      </c>
      <c r="I839" s="65" t="s">
        <v>1790</v>
      </c>
      <c r="J839" s="65" t="s">
        <v>1790</v>
      </c>
      <c r="K839" s="48">
        <f t="shared" si="200"/>
        <v>46087</v>
      </c>
      <c r="L839" s="48">
        <f t="shared" si="201"/>
        <v>46147</v>
      </c>
      <c r="N839" s="72">
        <f>E839</f>
        <v>499</v>
      </c>
      <c r="O839" s="50">
        <f t="shared" si="189"/>
        <v>1970.3</v>
      </c>
      <c r="P839" s="56">
        <f t="shared" si="204"/>
        <v>190</v>
      </c>
      <c r="S839" s="200" t="s">
        <v>1791</v>
      </c>
      <c r="T839" s="201">
        <v>72</v>
      </c>
      <c r="U839" s="58" t="s">
        <v>1792</v>
      </c>
      <c r="V839" s="46"/>
      <c r="W839" s="46"/>
      <c r="X839" s="62" t="s">
        <v>25</v>
      </c>
      <c r="Y839" s="63">
        <f t="shared" si="193"/>
        <v>3.9484969939879759</v>
      </c>
      <c r="Z839" s="64">
        <f t="shared" ref="Z839" si="209">E839-N839</f>
        <v>0</v>
      </c>
    </row>
    <row r="840" spans="1:26" ht="15.75" customHeight="1">
      <c r="A840" s="106">
        <v>20260047</v>
      </c>
      <c r="B840" s="107" t="s">
        <v>1645</v>
      </c>
      <c r="C840" s="108">
        <v>46063</v>
      </c>
      <c r="D840" s="108">
        <v>46079</v>
      </c>
      <c r="E840" s="106">
        <v>524</v>
      </c>
      <c r="F840" s="106">
        <v>424.27199999999999</v>
      </c>
      <c r="G840" s="106">
        <v>430</v>
      </c>
      <c r="H840" s="107" t="s">
        <v>1793</v>
      </c>
      <c r="I840" s="107" t="s">
        <v>86</v>
      </c>
      <c r="J840" s="107" t="s">
        <v>86</v>
      </c>
      <c r="K840" s="108">
        <f t="shared" si="200"/>
        <v>46087</v>
      </c>
      <c r="L840" s="108">
        <f t="shared" si="201"/>
        <v>46147</v>
      </c>
      <c r="M840" s="107"/>
      <c r="N840" s="112">
        <f>E840-216-72-90-128-18</f>
        <v>0</v>
      </c>
      <c r="O840" s="113">
        <f t="shared" si="189"/>
        <v>0</v>
      </c>
      <c r="P840" s="112">
        <f t="shared" si="204"/>
        <v>0</v>
      </c>
      <c r="Q840" s="109"/>
      <c r="R840" s="107"/>
      <c r="S840" s="109" t="s">
        <v>1794</v>
      </c>
      <c r="T840" s="114">
        <v>62</v>
      </c>
      <c r="U840" s="109" t="s">
        <v>1795</v>
      </c>
      <c r="V840" s="106"/>
      <c r="W840" s="106"/>
      <c r="X840" s="106" t="s">
        <v>55</v>
      </c>
      <c r="Y840" s="63">
        <f t="shared" si="193"/>
        <v>0.80967938931297712</v>
      </c>
    </row>
    <row r="841" spans="1:26" ht="15.75" customHeight="1">
      <c r="A841" s="63">
        <v>20260047</v>
      </c>
      <c r="B841" s="65" t="s">
        <v>1645</v>
      </c>
      <c r="C841" s="66">
        <v>46063</v>
      </c>
      <c r="D841" s="66">
        <v>46079</v>
      </c>
      <c r="E841" s="63">
        <v>42</v>
      </c>
      <c r="F841" s="68">
        <v>118</v>
      </c>
      <c r="G841" s="69">
        <v>34</v>
      </c>
      <c r="H841" s="65" t="s">
        <v>1796</v>
      </c>
      <c r="I841" s="65" t="s">
        <v>86</v>
      </c>
      <c r="J841" s="65" t="s">
        <v>86</v>
      </c>
      <c r="K841" s="48">
        <f t="shared" si="200"/>
        <v>46087</v>
      </c>
      <c r="L841" s="48">
        <f t="shared" si="201"/>
        <v>46147</v>
      </c>
      <c r="N841" s="72">
        <f t="shared" ref="N841:N845" si="210">E841</f>
        <v>42</v>
      </c>
      <c r="O841" s="50">
        <f t="shared" ref="O841:O934" si="211">F841/E841*N841</f>
        <v>117.99999999999999</v>
      </c>
      <c r="P841" s="56">
        <f t="shared" si="204"/>
        <v>34</v>
      </c>
      <c r="S841" s="200" t="s">
        <v>1797</v>
      </c>
      <c r="T841" s="201">
        <v>63</v>
      </c>
      <c r="U841" s="58" t="s">
        <v>1798</v>
      </c>
      <c r="V841" s="46"/>
      <c r="W841" s="46"/>
      <c r="X841" s="62" t="s">
        <v>25</v>
      </c>
      <c r="Y841" s="63">
        <f t="shared" si="193"/>
        <v>2.8095238095238093</v>
      </c>
      <c r="Z841" s="64">
        <f t="shared" ref="Z841:Z845" si="212">E841-N841</f>
        <v>0</v>
      </c>
    </row>
    <row r="842" spans="1:26" ht="15.75" customHeight="1">
      <c r="A842" s="63">
        <v>20260047</v>
      </c>
      <c r="B842" s="65" t="s">
        <v>1645</v>
      </c>
      <c r="C842" s="66">
        <v>46063</v>
      </c>
      <c r="D842" s="66">
        <v>46079</v>
      </c>
      <c r="E842" s="63">
        <v>2892</v>
      </c>
      <c r="F842" s="68">
        <v>3019.3679999999999</v>
      </c>
      <c r="G842" s="69">
        <v>2374</v>
      </c>
      <c r="H842" s="65" t="s">
        <v>532</v>
      </c>
      <c r="I842" s="65" t="s">
        <v>86</v>
      </c>
      <c r="J842" s="65" t="s">
        <v>86</v>
      </c>
      <c r="K842" s="48">
        <f t="shared" si="200"/>
        <v>46087</v>
      </c>
      <c r="L842" s="48">
        <f t="shared" si="201"/>
        <v>46147</v>
      </c>
      <c r="N842" s="72">
        <f t="shared" si="210"/>
        <v>2892</v>
      </c>
      <c r="O842" s="50">
        <f t="shared" si="211"/>
        <v>3019.3680000000004</v>
      </c>
      <c r="P842" s="56">
        <f t="shared" si="204"/>
        <v>2374</v>
      </c>
      <c r="S842" s="200" t="s">
        <v>1799</v>
      </c>
      <c r="T842" s="201">
        <v>70</v>
      </c>
      <c r="U842" s="58" t="s">
        <v>1800</v>
      </c>
      <c r="V842" s="46"/>
      <c r="W842" s="46"/>
      <c r="X842" s="62" t="s">
        <v>25</v>
      </c>
      <c r="Y842" s="63">
        <f t="shared" si="193"/>
        <v>1.0440414937759337</v>
      </c>
      <c r="Z842" s="64">
        <f t="shared" si="212"/>
        <v>0</v>
      </c>
    </row>
    <row r="843" spans="1:26" ht="15.75" customHeight="1">
      <c r="A843" s="63">
        <v>20260047</v>
      </c>
      <c r="B843" s="65" t="s">
        <v>1645</v>
      </c>
      <c r="C843" s="66">
        <v>46063</v>
      </c>
      <c r="D843" s="66">
        <v>46079</v>
      </c>
      <c r="E843" s="63">
        <v>246</v>
      </c>
      <c r="F843" s="68">
        <v>213.08500000000001</v>
      </c>
      <c r="G843" s="69">
        <v>202</v>
      </c>
      <c r="H843" s="65" t="s">
        <v>1801</v>
      </c>
      <c r="I843" s="65" t="s">
        <v>86</v>
      </c>
      <c r="J843" s="65" t="s">
        <v>86</v>
      </c>
      <c r="K843" s="48">
        <f t="shared" si="200"/>
        <v>46087</v>
      </c>
      <c r="L843" s="48">
        <f t="shared" si="201"/>
        <v>46147</v>
      </c>
      <c r="N843" s="72">
        <f t="shared" si="210"/>
        <v>246</v>
      </c>
      <c r="O843" s="50">
        <f t="shared" si="211"/>
        <v>213.08500000000001</v>
      </c>
      <c r="P843" s="56">
        <f t="shared" si="204"/>
        <v>202</v>
      </c>
      <c r="S843" s="200" t="s">
        <v>1802</v>
      </c>
      <c r="T843" s="201">
        <v>74</v>
      </c>
      <c r="U843" s="58" t="s">
        <v>1803</v>
      </c>
      <c r="V843" s="46"/>
      <c r="W843" s="46"/>
      <c r="X843" s="62" t="s">
        <v>25</v>
      </c>
      <c r="Y843" s="63">
        <f t="shared" si="193"/>
        <v>0.86619918699186993</v>
      </c>
      <c r="Z843" s="64">
        <f t="shared" si="212"/>
        <v>0</v>
      </c>
    </row>
    <row r="844" spans="1:26" ht="15.75" customHeight="1">
      <c r="A844" s="63">
        <v>20260047</v>
      </c>
      <c r="B844" s="65" t="s">
        <v>1645</v>
      </c>
      <c r="C844" s="66">
        <v>46063</v>
      </c>
      <c r="D844" s="66">
        <v>46079</v>
      </c>
      <c r="E844" s="63">
        <v>39</v>
      </c>
      <c r="F844" s="68">
        <v>171.524</v>
      </c>
      <c r="G844" s="69">
        <v>32</v>
      </c>
      <c r="H844" s="65" t="s">
        <v>1221</v>
      </c>
      <c r="I844" s="65" t="s">
        <v>86</v>
      </c>
      <c r="J844" s="65" t="s">
        <v>86</v>
      </c>
      <c r="K844" s="48">
        <f t="shared" si="200"/>
        <v>46087</v>
      </c>
      <c r="L844" s="48">
        <f t="shared" si="201"/>
        <v>46147</v>
      </c>
      <c r="N844" s="72">
        <f t="shared" si="210"/>
        <v>39</v>
      </c>
      <c r="O844" s="50">
        <f t="shared" si="211"/>
        <v>171.52400000000003</v>
      </c>
      <c r="P844" s="56">
        <f t="shared" si="204"/>
        <v>32</v>
      </c>
      <c r="S844" s="200" t="s">
        <v>1804</v>
      </c>
      <c r="T844" s="201">
        <v>76</v>
      </c>
      <c r="U844" s="58" t="s">
        <v>1805</v>
      </c>
      <c r="V844" s="46"/>
      <c r="W844" s="46"/>
      <c r="X844" s="62" t="s">
        <v>25</v>
      </c>
      <c r="Y844" s="63">
        <f t="shared" si="193"/>
        <v>4.3980512820512825</v>
      </c>
      <c r="Z844" s="64">
        <f t="shared" si="212"/>
        <v>0</v>
      </c>
    </row>
    <row r="845" spans="1:26" ht="15.75" customHeight="1">
      <c r="A845" s="63">
        <v>20260047</v>
      </c>
      <c r="B845" s="65" t="s">
        <v>1645</v>
      </c>
      <c r="C845" s="66">
        <v>46063</v>
      </c>
      <c r="D845" s="66">
        <v>46079</v>
      </c>
      <c r="E845" s="63">
        <v>127</v>
      </c>
      <c r="F845" s="68">
        <v>370.53500000000003</v>
      </c>
      <c r="G845" s="69">
        <v>104</v>
      </c>
      <c r="H845" s="65" t="s">
        <v>1806</v>
      </c>
      <c r="I845" s="65" t="s">
        <v>86</v>
      </c>
      <c r="J845" s="65" t="s">
        <v>86</v>
      </c>
      <c r="K845" s="48">
        <f t="shared" si="200"/>
        <v>46087</v>
      </c>
      <c r="L845" s="48">
        <f t="shared" si="201"/>
        <v>46147</v>
      </c>
      <c r="N845" s="72">
        <f t="shared" si="210"/>
        <v>127</v>
      </c>
      <c r="O845" s="50">
        <f t="shared" si="211"/>
        <v>370.53500000000003</v>
      </c>
      <c r="P845" s="56">
        <f t="shared" si="204"/>
        <v>104</v>
      </c>
      <c r="S845" s="200" t="s">
        <v>1807</v>
      </c>
      <c r="T845" s="201">
        <v>77</v>
      </c>
      <c r="U845" s="58" t="s">
        <v>1024</v>
      </c>
      <c r="V845" s="46"/>
      <c r="W845" s="46"/>
      <c r="X845" s="62" t="s">
        <v>25</v>
      </c>
      <c r="Y845" s="63">
        <f t="shared" si="193"/>
        <v>2.9175984251968505</v>
      </c>
      <c r="Z845" s="64">
        <f t="shared" si="212"/>
        <v>0</v>
      </c>
    </row>
    <row r="846" spans="1:26" ht="15.75" customHeight="1">
      <c r="A846" s="106">
        <v>20260067</v>
      </c>
      <c r="B846" s="107" t="s">
        <v>1808</v>
      </c>
      <c r="C846" s="108">
        <v>46077</v>
      </c>
      <c r="D846" s="108">
        <v>46081</v>
      </c>
      <c r="E846" s="106">
        <v>10</v>
      </c>
      <c r="F846" s="106">
        <v>106.7</v>
      </c>
      <c r="G846" s="106">
        <v>400</v>
      </c>
      <c r="H846" s="107" t="s">
        <v>1809</v>
      </c>
      <c r="I846" s="107" t="s">
        <v>106</v>
      </c>
      <c r="J846" s="107" t="s">
        <v>24</v>
      </c>
      <c r="K846" s="108">
        <f t="shared" si="200"/>
        <v>46089</v>
      </c>
      <c r="L846" s="108">
        <f t="shared" si="201"/>
        <v>46149</v>
      </c>
      <c r="M846" s="107"/>
      <c r="N846" s="112">
        <f>E846-6-4</f>
        <v>0</v>
      </c>
      <c r="O846" s="113">
        <f t="shared" si="211"/>
        <v>0</v>
      </c>
      <c r="P846" s="112">
        <f t="shared" si="204"/>
        <v>0</v>
      </c>
      <c r="Q846" s="109"/>
      <c r="R846" s="107"/>
      <c r="S846" s="109" t="s">
        <v>1810</v>
      </c>
      <c r="T846" s="114">
        <v>1</v>
      </c>
      <c r="U846" s="109" t="s">
        <v>1811</v>
      </c>
      <c r="V846" s="106"/>
      <c r="W846" s="106"/>
      <c r="X846" s="106" t="s">
        <v>55</v>
      </c>
      <c r="Y846" s="63">
        <f t="shared" si="193"/>
        <v>10.67</v>
      </c>
    </row>
    <row r="847" spans="1:26" ht="15.75" customHeight="1">
      <c r="A847" s="106">
        <v>20260067</v>
      </c>
      <c r="B847" s="107" t="s">
        <v>1808</v>
      </c>
      <c r="C847" s="108">
        <v>46077</v>
      </c>
      <c r="D847" s="108">
        <v>46081</v>
      </c>
      <c r="E847" s="106">
        <v>12</v>
      </c>
      <c r="F847" s="106">
        <v>161.28</v>
      </c>
      <c r="G847" s="106">
        <v>480</v>
      </c>
      <c r="H847" s="107" t="s">
        <v>1809</v>
      </c>
      <c r="I847" s="107" t="s">
        <v>106</v>
      </c>
      <c r="J847" s="107" t="s">
        <v>24</v>
      </c>
      <c r="K847" s="108">
        <f t="shared" si="200"/>
        <v>46089</v>
      </c>
      <c r="L847" s="108">
        <f t="shared" si="201"/>
        <v>46149</v>
      </c>
      <c r="M847" s="107"/>
      <c r="N847" s="112">
        <f>E847-6-5-1</f>
        <v>0</v>
      </c>
      <c r="O847" s="113">
        <f t="shared" si="211"/>
        <v>0</v>
      </c>
      <c r="P847" s="112">
        <f t="shared" si="204"/>
        <v>0</v>
      </c>
      <c r="Q847" s="109"/>
      <c r="R847" s="107"/>
      <c r="S847" s="109" t="s">
        <v>1812</v>
      </c>
      <c r="T847" s="114">
        <v>2</v>
      </c>
      <c r="U847" s="109" t="s">
        <v>1813</v>
      </c>
      <c r="V847" s="106"/>
      <c r="W847" s="106"/>
      <c r="X847" s="106" t="s">
        <v>55</v>
      </c>
      <c r="Y847" s="63">
        <f t="shared" si="193"/>
        <v>13.44</v>
      </c>
      <c r="Z847" s="64">
        <f t="shared" ref="Z847" si="213">E847-N847</f>
        <v>12</v>
      </c>
    </row>
    <row r="848" spans="1:26" ht="15.75" customHeight="1">
      <c r="A848" s="106">
        <v>20260067</v>
      </c>
      <c r="B848" s="107" t="s">
        <v>1808</v>
      </c>
      <c r="C848" s="108">
        <v>46077</v>
      </c>
      <c r="D848" s="108">
        <v>46081</v>
      </c>
      <c r="E848" s="106">
        <v>10</v>
      </c>
      <c r="F848" s="106">
        <v>92.5</v>
      </c>
      <c r="G848" s="106">
        <v>400</v>
      </c>
      <c r="H848" s="107" t="s">
        <v>1809</v>
      </c>
      <c r="I848" s="107" t="s">
        <v>106</v>
      </c>
      <c r="J848" s="107" t="s">
        <v>24</v>
      </c>
      <c r="K848" s="108">
        <f t="shared" si="200"/>
        <v>46089</v>
      </c>
      <c r="L848" s="108">
        <f t="shared" si="201"/>
        <v>46149</v>
      </c>
      <c r="M848" s="107"/>
      <c r="N848" s="112">
        <f>E848-8-2</f>
        <v>0</v>
      </c>
      <c r="O848" s="113">
        <f t="shared" si="211"/>
        <v>0</v>
      </c>
      <c r="P848" s="112">
        <f t="shared" si="204"/>
        <v>0</v>
      </c>
      <c r="Q848" s="109"/>
      <c r="R848" s="107"/>
      <c r="S848" s="109" t="s">
        <v>1814</v>
      </c>
      <c r="T848" s="114">
        <v>3</v>
      </c>
      <c r="U848" s="109" t="s">
        <v>1815</v>
      </c>
      <c r="V848" s="106"/>
      <c r="W848" s="106"/>
      <c r="X848" s="106" t="s">
        <v>55</v>
      </c>
      <c r="Y848" s="63">
        <f t="shared" si="193"/>
        <v>9.25</v>
      </c>
    </row>
    <row r="849" spans="1:26" ht="15.75" customHeight="1">
      <c r="A849" s="106">
        <v>20260056</v>
      </c>
      <c r="B849" s="109" t="s">
        <v>1816</v>
      </c>
      <c r="C849" s="106">
        <v>46075</v>
      </c>
      <c r="D849" s="108">
        <v>46081</v>
      </c>
      <c r="E849" s="106">
        <v>715</v>
      </c>
      <c r="F849" s="106">
        <v>1583.64303</v>
      </c>
      <c r="G849" s="106">
        <v>340</v>
      </c>
      <c r="H849" s="107" t="s">
        <v>1817</v>
      </c>
      <c r="I849" s="107" t="s">
        <v>402</v>
      </c>
      <c r="J849" s="107" t="s">
        <v>123</v>
      </c>
      <c r="K849" s="108">
        <f t="shared" si="200"/>
        <v>46089</v>
      </c>
      <c r="L849" s="108">
        <f t="shared" si="201"/>
        <v>46149</v>
      </c>
      <c r="M849" s="107"/>
      <c r="N849" s="112">
        <f>E849-100-100-240-40-180-55</f>
        <v>0</v>
      </c>
      <c r="O849" s="113">
        <f t="shared" si="211"/>
        <v>0</v>
      </c>
      <c r="P849" s="112">
        <f t="shared" si="204"/>
        <v>0</v>
      </c>
      <c r="Q849" s="109"/>
      <c r="R849" s="107"/>
      <c r="S849" s="109" t="s">
        <v>1818</v>
      </c>
      <c r="T849" s="114">
        <v>1</v>
      </c>
      <c r="U849" s="109"/>
      <c r="V849" s="106"/>
      <c r="W849" s="106"/>
      <c r="X849" s="106" t="s">
        <v>55</v>
      </c>
      <c r="Y849" s="63">
        <f t="shared" si="193"/>
        <v>2.2148853566433564</v>
      </c>
    </row>
    <row r="850" spans="1:26" ht="15.75" customHeight="1">
      <c r="A850" s="206">
        <v>20260056</v>
      </c>
      <c r="B850" s="207" t="s">
        <v>1816</v>
      </c>
      <c r="C850" s="208">
        <v>46075</v>
      </c>
      <c r="D850" s="208">
        <v>46081</v>
      </c>
      <c r="E850" s="206">
        <v>804</v>
      </c>
      <c r="F850" s="210">
        <v>1810.15202</v>
      </c>
      <c r="G850" s="211">
        <v>399</v>
      </c>
      <c r="H850" s="207" t="s">
        <v>1819</v>
      </c>
      <c r="I850" s="207" t="s">
        <v>402</v>
      </c>
      <c r="J850" s="207" t="s">
        <v>123</v>
      </c>
      <c r="K850" s="213">
        <f t="shared" si="200"/>
        <v>46089</v>
      </c>
      <c r="L850" s="213">
        <f t="shared" si="201"/>
        <v>46149</v>
      </c>
      <c r="M850" s="207"/>
      <c r="N850" s="215">
        <f>E850-120-75-80</f>
        <v>529</v>
      </c>
      <c r="O850" s="216">
        <f t="shared" si="211"/>
        <v>1191.0079833084578</v>
      </c>
      <c r="P850" s="218">
        <f t="shared" si="204"/>
        <v>262.52611940298505</v>
      </c>
      <c r="S850" s="200" t="s">
        <v>1820</v>
      </c>
      <c r="T850" s="201">
        <v>2</v>
      </c>
      <c r="U850" s="58"/>
      <c r="V850" s="46"/>
      <c r="W850" s="46"/>
      <c r="X850" s="182" t="s">
        <v>76</v>
      </c>
      <c r="Y850" s="63">
        <f t="shared" si="193"/>
        <v>2.2514328606965175</v>
      </c>
      <c r="Z850" s="64">
        <f t="shared" ref="Z850:Z852" si="214">E850-N850</f>
        <v>275</v>
      </c>
    </row>
    <row r="851" spans="1:26" ht="15.75" customHeight="1">
      <c r="A851" s="206">
        <v>20260056</v>
      </c>
      <c r="B851" s="207" t="s">
        <v>1816</v>
      </c>
      <c r="C851" s="208">
        <v>46075</v>
      </c>
      <c r="D851" s="208">
        <v>46081</v>
      </c>
      <c r="E851" s="206">
        <v>804</v>
      </c>
      <c r="F851" s="210">
        <v>1810.15202</v>
      </c>
      <c r="G851" s="211">
        <v>395</v>
      </c>
      <c r="H851" s="207" t="s">
        <v>1819</v>
      </c>
      <c r="I851" s="207" t="s">
        <v>402</v>
      </c>
      <c r="J851" s="207" t="s">
        <v>123</v>
      </c>
      <c r="K851" s="213">
        <f t="shared" si="200"/>
        <v>46089</v>
      </c>
      <c r="L851" s="213">
        <f t="shared" si="201"/>
        <v>46149</v>
      </c>
      <c r="M851" s="207"/>
      <c r="N851" s="215">
        <f>E851-73</f>
        <v>731</v>
      </c>
      <c r="O851" s="216">
        <f t="shared" si="211"/>
        <v>1645.7974211691542</v>
      </c>
      <c r="P851" s="218">
        <f t="shared" si="204"/>
        <v>359.13557213930352</v>
      </c>
      <c r="S851" s="200" t="s">
        <v>1821</v>
      </c>
      <c r="T851" s="201">
        <v>3</v>
      </c>
      <c r="U851" s="58"/>
      <c r="V851" s="46"/>
      <c r="W851" s="46"/>
      <c r="X851" s="99" t="s">
        <v>76</v>
      </c>
      <c r="Y851" s="63">
        <f t="shared" si="193"/>
        <v>2.2514328606965175</v>
      </c>
      <c r="Z851" s="64">
        <f t="shared" si="214"/>
        <v>73</v>
      </c>
    </row>
    <row r="852" spans="1:26" ht="15.75" customHeight="1">
      <c r="A852" s="206">
        <v>20260056</v>
      </c>
      <c r="B852" s="207" t="s">
        <v>1816</v>
      </c>
      <c r="C852" s="208">
        <v>46075</v>
      </c>
      <c r="D852" s="208">
        <v>46081</v>
      </c>
      <c r="E852" s="206">
        <v>492</v>
      </c>
      <c r="F852" s="210">
        <v>1131.77117</v>
      </c>
      <c r="G852" s="211">
        <v>240</v>
      </c>
      <c r="H852" s="207" t="s">
        <v>1822</v>
      </c>
      <c r="I852" s="207" t="s">
        <v>402</v>
      </c>
      <c r="J852" s="207" t="s">
        <v>123</v>
      </c>
      <c r="K852" s="213">
        <f t="shared" si="200"/>
        <v>46089</v>
      </c>
      <c r="L852" s="213">
        <f t="shared" si="201"/>
        <v>46149</v>
      </c>
      <c r="M852" s="207"/>
      <c r="N852" s="215">
        <f>E852-98-98-94-65-88</f>
        <v>49</v>
      </c>
      <c r="O852" s="216">
        <f t="shared" si="211"/>
        <v>112.7170474186992</v>
      </c>
      <c r="P852" s="218">
        <f t="shared" si="204"/>
        <v>23.902439024390244</v>
      </c>
      <c r="S852" s="200" t="s">
        <v>1823</v>
      </c>
      <c r="T852" s="201">
        <v>4</v>
      </c>
      <c r="U852" s="58"/>
      <c r="V852" s="46"/>
      <c r="W852" s="46"/>
      <c r="X852" s="99" t="s">
        <v>76</v>
      </c>
      <c r="Y852" s="63">
        <f t="shared" si="193"/>
        <v>2.3003479065040651</v>
      </c>
      <c r="Z852" s="64">
        <f t="shared" si="214"/>
        <v>443</v>
      </c>
    </row>
    <row r="853" spans="1:26" ht="15.75" customHeight="1">
      <c r="A853" s="106">
        <v>20260056</v>
      </c>
      <c r="B853" s="107" t="s">
        <v>1816</v>
      </c>
      <c r="C853" s="108">
        <v>46075</v>
      </c>
      <c r="D853" s="108">
        <v>46081</v>
      </c>
      <c r="E853" s="106">
        <v>258</v>
      </c>
      <c r="F853" s="106">
        <v>589.30370000000005</v>
      </c>
      <c r="G853" s="106">
        <v>110</v>
      </c>
      <c r="H853" s="107" t="s">
        <v>1824</v>
      </c>
      <c r="I853" s="107" t="s">
        <v>402</v>
      </c>
      <c r="J853" s="107" t="s">
        <v>123</v>
      </c>
      <c r="K853" s="108">
        <f t="shared" si="200"/>
        <v>46089</v>
      </c>
      <c r="L853" s="108">
        <f t="shared" si="201"/>
        <v>46149</v>
      </c>
      <c r="M853" s="107"/>
      <c r="N853" s="112">
        <f>E853-80-60-20-98</f>
        <v>0</v>
      </c>
      <c r="O853" s="113">
        <f t="shared" si="211"/>
        <v>0</v>
      </c>
      <c r="P853" s="112">
        <f t="shared" si="204"/>
        <v>0</v>
      </c>
      <c r="Q853" s="109"/>
      <c r="R853" s="107"/>
      <c r="S853" s="109" t="s">
        <v>1825</v>
      </c>
      <c r="T853" s="114">
        <v>5</v>
      </c>
      <c r="U853" s="109"/>
      <c r="V853" s="106"/>
      <c r="W853" s="106"/>
      <c r="X853" s="106" t="s">
        <v>55</v>
      </c>
      <c r="Y853" s="63">
        <f t="shared" si="193"/>
        <v>2.2841228682170542</v>
      </c>
    </row>
    <row r="854" spans="1:26" ht="15.75" customHeight="1">
      <c r="A854" s="63">
        <v>20260056</v>
      </c>
      <c r="B854" s="65" t="s">
        <v>1816</v>
      </c>
      <c r="C854" s="66">
        <v>46075</v>
      </c>
      <c r="D854" s="66">
        <v>46081</v>
      </c>
      <c r="E854" s="63">
        <v>278</v>
      </c>
      <c r="F854" s="68">
        <v>634.96699999999998</v>
      </c>
      <c r="G854" s="69">
        <v>130</v>
      </c>
      <c r="H854" s="65" t="s">
        <v>1824</v>
      </c>
      <c r="I854" s="65" t="s">
        <v>402</v>
      </c>
      <c r="J854" s="65" t="s">
        <v>123</v>
      </c>
      <c r="K854" s="48">
        <f t="shared" si="200"/>
        <v>46089</v>
      </c>
      <c r="L854" s="48">
        <f t="shared" si="201"/>
        <v>46149</v>
      </c>
      <c r="N854" s="72">
        <f t="shared" ref="N854:N867" si="215">E854</f>
        <v>278</v>
      </c>
      <c r="O854" s="50">
        <f t="shared" si="211"/>
        <v>634.96699999999998</v>
      </c>
      <c r="P854" s="56">
        <f t="shared" si="204"/>
        <v>130</v>
      </c>
      <c r="S854" s="200" t="s">
        <v>1826</v>
      </c>
      <c r="T854" s="201">
        <v>6</v>
      </c>
      <c r="U854" s="58"/>
      <c r="V854" s="46"/>
      <c r="W854" s="46"/>
      <c r="X854" s="62" t="s">
        <v>25</v>
      </c>
      <c r="Y854" s="63">
        <f t="shared" ref="Y854:Y947" si="216">F854/E854</f>
        <v>2.2840539568345322</v>
      </c>
      <c r="Z854" s="64">
        <f t="shared" ref="Z854:Z867" si="217">E854-N854</f>
        <v>0</v>
      </c>
    </row>
    <row r="855" spans="1:26" ht="15.75" customHeight="1">
      <c r="A855" s="206">
        <v>20260056</v>
      </c>
      <c r="B855" s="207" t="s">
        <v>1816</v>
      </c>
      <c r="C855" s="208">
        <v>46075</v>
      </c>
      <c r="D855" s="208">
        <v>46081</v>
      </c>
      <c r="E855" s="206">
        <v>1034</v>
      </c>
      <c r="F855" s="210">
        <v>2316.97939</v>
      </c>
      <c r="G855" s="211">
        <v>560</v>
      </c>
      <c r="H855" s="207" t="s">
        <v>1827</v>
      </c>
      <c r="I855" s="207" t="s">
        <v>402</v>
      </c>
      <c r="J855" s="207" t="s">
        <v>123</v>
      </c>
      <c r="K855" s="213">
        <f t="shared" si="200"/>
        <v>46089</v>
      </c>
      <c r="L855" s="213">
        <f t="shared" si="201"/>
        <v>46149</v>
      </c>
      <c r="M855" s="207"/>
      <c r="N855" s="215">
        <f>E855-180-60-100-100</f>
        <v>594</v>
      </c>
      <c r="O855" s="216">
        <f t="shared" si="211"/>
        <v>1331.0307134042553</v>
      </c>
      <c r="P855" s="218">
        <f t="shared" si="204"/>
        <v>321.70212765957444</v>
      </c>
      <c r="S855" s="200" t="s">
        <v>1828</v>
      </c>
      <c r="T855" s="201">
        <v>7</v>
      </c>
      <c r="U855" s="58"/>
      <c r="V855" s="46"/>
      <c r="W855" s="46"/>
      <c r="X855" s="99" t="s">
        <v>76</v>
      </c>
      <c r="Y855" s="63">
        <f t="shared" si="216"/>
        <v>2.2407924468085105</v>
      </c>
      <c r="Z855" s="64">
        <f t="shared" si="217"/>
        <v>440</v>
      </c>
    </row>
    <row r="856" spans="1:26" ht="15.75" customHeight="1">
      <c r="A856" s="63">
        <v>20260056</v>
      </c>
      <c r="B856" s="65" t="s">
        <v>1816</v>
      </c>
      <c r="C856" s="66">
        <v>46075</v>
      </c>
      <c r="D856" s="66">
        <v>46081</v>
      </c>
      <c r="E856" s="63">
        <v>570</v>
      </c>
      <c r="F856" s="68">
        <v>1286.38141</v>
      </c>
      <c r="G856" s="69">
        <v>280</v>
      </c>
      <c r="H856" s="65" t="s">
        <v>1829</v>
      </c>
      <c r="I856" s="65" t="s">
        <v>402</v>
      </c>
      <c r="J856" s="65" t="s">
        <v>123</v>
      </c>
      <c r="K856" s="48">
        <f t="shared" si="200"/>
        <v>46089</v>
      </c>
      <c r="L856" s="48">
        <f t="shared" si="201"/>
        <v>46149</v>
      </c>
      <c r="N856" s="72">
        <f t="shared" si="215"/>
        <v>570</v>
      </c>
      <c r="O856" s="50">
        <f t="shared" si="211"/>
        <v>1286.38141</v>
      </c>
      <c r="P856" s="56">
        <f t="shared" si="204"/>
        <v>280</v>
      </c>
      <c r="S856" s="200" t="s">
        <v>1830</v>
      </c>
      <c r="T856" s="201">
        <v>8</v>
      </c>
      <c r="U856" s="58"/>
      <c r="V856" s="46"/>
      <c r="W856" s="46"/>
      <c r="X856" s="62" t="s">
        <v>25</v>
      </c>
      <c r="Y856" s="63">
        <f t="shared" si="216"/>
        <v>2.2568094912280703</v>
      </c>
      <c r="Z856" s="64">
        <f t="shared" si="217"/>
        <v>0</v>
      </c>
    </row>
    <row r="857" spans="1:26" ht="15.75" customHeight="1">
      <c r="A857" s="87">
        <v>20260073</v>
      </c>
      <c r="B857" s="88" t="s">
        <v>1831</v>
      </c>
      <c r="C857" s="89">
        <v>46081</v>
      </c>
      <c r="D857" s="66">
        <v>46082</v>
      </c>
      <c r="E857" s="63">
        <v>1</v>
      </c>
      <c r="F857" s="68">
        <v>18</v>
      </c>
      <c r="G857" s="69">
        <v>24</v>
      </c>
      <c r="H857" s="65" t="s">
        <v>1832</v>
      </c>
      <c r="I857" s="65" t="s">
        <v>63</v>
      </c>
      <c r="J857" s="65" t="s">
        <v>28</v>
      </c>
      <c r="K857" s="48">
        <f t="shared" si="200"/>
        <v>46090</v>
      </c>
      <c r="L857" s="48">
        <f t="shared" si="201"/>
        <v>46150</v>
      </c>
      <c r="N857" s="72">
        <f t="shared" si="215"/>
        <v>1</v>
      </c>
      <c r="O857" s="50">
        <f t="shared" si="211"/>
        <v>18</v>
      </c>
      <c r="P857" s="56">
        <f t="shared" si="204"/>
        <v>24</v>
      </c>
      <c r="S857" s="200" t="s">
        <v>1833</v>
      </c>
      <c r="T857" s="201">
        <v>1</v>
      </c>
      <c r="U857" s="58" t="s">
        <v>1834</v>
      </c>
      <c r="V857" s="46"/>
      <c r="W857" s="46"/>
      <c r="X857" s="62" t="s">
        <v>25</v>
      </c>
      <c r="Y857" s="63">
        <f t="shared" si="216"/>
        <v>18</v>
      </c>
      <c r="Z857" s="64">
        <f t="shared" si="217"/>
        <v>0</v>
      </c>
    </row>
    <row r="858" spans="1:26" ht="15.75" customHeight="1">
      <c r="A858" s="63">
        <v>20260073</v>
      </c>
      <c r="B858" s="65" t="s">
        <v>1831</v>
      </c>
      <c r="C858" s="66">
        <v>46081</v>
      </c>
      <c r="D858" s="66">
        <v>46082</v>
      </c>
      <c r="E858" s="63">
        <v>1</v>
      </c>
      <c r="F858" s="68">
        <v>6</v>
      </c>
      <c r="G858" s="69">
        <v>24</v>
      </c>
      <c r="H858" s="65" t="s">
        <v>1835</v>
      </c>
      <c r="I858" s="65" t="s">
        <v>208</v>
      </c>
      <c r="J858" s="65" t="s">
        <v>26</v>
      </c>
      <c r="K858" s="48">
        <f t="shared" si="200"/>
        <v>46090</v>
      </c>
      <c r="L858" s="48">
        <f t="shared" si="201"/>
        <v>46150</v>
      </c>
      <c r="N858" s="72">
        <f t="shared" si="215"/>
        <v>1</v>
      </c>
      <c r="O858" s="50">
        <f t="shared" si="211"/>
        <v>6</v>
      </c>
      <c r="P858" s="56">
        <f t="shared" si="204"/>
        <v>24</v>
      </c>
      <c r="S858" s="200" t="s">
        <v>1836</v>
      </c>
      <c r="T858" s="201">
        <v>2</v>
      </c>
      <c r="U858" s="58" t="s">
        <v>1837</v>
      </c>
      <c r="V858" s="46"/>
      <c r="W858" s="46"/>
      <c r="X858" s="62" t="s">
        <v>25</v>
      </c>
      <c r="Y858" s="63">
        <f t="shared" si="216"/>
        <v>6</v>
      </c>
      <c r="Z858" s="64">
        <f t="shared" si="217"/>
        <v>0</v>
      </c>
    </row>
    <row r="859" spans="1:26" ht="15.75" customHeight="1">
      <c r="A859" s="63">
        <v>20260073</v>
      </c>
      <c r="B859" s="65" t="s">
        <v>1831</v>
      </c>
      <c r="C859" s="66">
        <v>46081</v>
      </c>
      <c r="D859" s="66">
        <v>46082</v>
      </c>
      <c r="E859" s="63">
        <v>1</v>
      </c>
      <c r="F859" s="68">
        <v>13</v>
      </c>
      <c r="G859" s="69">
        <v>24</v>
      </c>
      <c r="H859" s="65" t="s">
        <v>1838</v>
      </c>
      <c r="I859" s="65" t="s">
        <v>42</v>
      </c>
      <c r="J859" s="65" t="s">
        <v>28</v>
      </c>
      <c r="K859" s="48">
        <f t="shared" si="200"/>
        <v>46090</v>
      </c>
      <c r="L859" s="48">
        <f t="shared" si="201"/>
        <v>46150</v>
      </c>
      <c r="N859" s="72">
        <f t="shared" si="215"/>
        <v>1</v>
      </c>
      <c r="O859" s="50">
        <f t="shared" si="211"/>
        <v>13</v>
      </c>
      <c r="P859" s="56">
        <f t="shared" si="204"/>
        <v>24</v>
      </c>
      <c r="S859" s="200" t="s">
        <v>1839</v>
      </c>
      <c r="T859" s="201">
        <v>3</v>
      </c>
      <c r="U859" s="58" t="s">
        <v>1840</v>
      </c>
      <c r="V859" s="46"/>
      <c r="W859" s="46"/>
      <c r="X859" s="62" t="s">
        <v>25</v>
      </c>
      <c r="Y859" s="63">
        <f t="shared" si="216"/>
        <v>13</v>
      </c>
      <c r="Z859" s="64">
        <f t="shared" si="217"/>
        <v>0</v>
      </c>
    </row>
    <row r="860" spans="1:26" ht="15.75" customHeight="1">
      <c r="A860" s="63">
        <v>20260073</v>
      </c>
      <c r="B860" s="65" t="s">
        <v>1831</v>
      </c>
      <c r="C860" s="66">
        <v>46081</v>
      </c>
      <c r="D860" s="66">
        <v>46082</v>
      </c>
      <c r="E860" s="63">
        <v>1</v>
      </c>
      <c r="F860" s="68">
        <v>9</v>
      </c>
      <c r="G860" s="69">
        <v>24</v>
      </c>
      <c r="H860" s="65" t="s">
        <v>1838</v>
      </c>
      <c r="I860" s="65" t="s">
        <v>42</v>
      </c>
      <c r="J860" s="65" t="s">
        <v>28</v>
      </c>
      <c r="K860" s="48">
        <f t="shared" si="200"/>
        <v>46090</v>
      </c>
      <c r="L860" s="48">
        <f t="shared" si="201"/>
        <v>46150</v>
      </c>
      <c r="N860" s="72">
        <f t="shared" si="215"/>
        <v>1</v>
      </c>
      <c r="O860" s="50">
        <f t="shared" si="211"/>
        <v>9</v>
      </c>
      <c r="P860" s="56">
        <f t="shared" si="204"/>
        <v>24</v>
      </c>
      <c r="S860" s="200" t="s">
        <v>1841</v>
      </c>
      <c r="T860" s="201">
        <v>4</v>
      </c>
      <c r="U860" s="58" t="s">
        <v>1842</v>
      </c>
      <c r="V860" s="46"/>
      <c r="W860" s="46"/>
      <c r="X860" s="62" t="s">
        <v>25</v>
      </c>
      <c r="Y860" s="63">
        <f t="shared" si="216"/>
        <v>9</v>
      </c>
      <c r="Z860" s="64">
        <f t="shared" si="217"/>
        <v>0</v>
      </c>
    </row>
    <row r="861" spans="1:26" ht="15.75" customHeight="1">
      <c r="A861" s="63">
        <v>20260073</v>
      </c>
      <c r="B861" s="65" t="s">
        <v>1831</v>
      </c>
      <c r="C861" s="66">
        <v>46081</v>
      </c>
      <c r="D861" s="66">
        <v>46082</v>
      </c>
      <c r="E861" s="63">
        <v>1</v>
      </c>
      <c r="F861" s="68">
        <v>20</v>
      </c>
      <c r="G861" s="69">
        <v>24</v>
      </c>
      <c r="H861" s="65" t="s">
        <v>1843</v>
      </c>
      <c r="I861" s="65" t="s">
        <v>208</v>
      </c>
      <c r="J861" s="65" t="s">
        <v>26</v>
      </c>
      <c r="K861" s="48">
        <f t="shared" si="200"/>
        <v>46090</v>
      </c>
      <c r="L861" s="48">
        <f t="shared" si="201"/>
        <v>46150</v>
      </c>
      <c r="N861" s="72">
        <f t="shared" si="215"/>
        <v>1</v>
      </c>
      <c r="O861" s="50">
        <f t="shared" si="211"/>
        <v>20</v>
      </c>
      <c r="P861" s="56">
        <f t="shared" si="204"/>
        <v>24</v>
      </c>
      <c r="S861" s="200" t="s">
        <v>1844</v>
      </c>
      <c r="T861" s="201">
        <v>5</v>
      </c>
      <c r="U861" s="58" t="s">
        <v>1845</v>
      </c>
      <c r="V861" s="46"/>
      <c r="W861" s="46"/>
      <c r="X861" s="62" t="s">
        <v>25</v>
      </c>
      <c r="Y861" s="63">
        <f t="shared" si="216"/>
        <v>20</v>
      </c>
      <c r="Z861" s="64">
        <f t="shared" si="217"/>
        <v>0</v>
      </c>
    </row>
    <row r="862" spans="1:26" ht="15.75" customHeight="1">
      <c r="A862" s="63">
        <v>20260073</v>
      </c>
      <c r="B862" s="65" t="s">
        <v>1831</v>
      </c>
      <c r="C862" s="66">
        <v>46081</v>
      </c>
      <c r="D862" s="66">
        <v>46082</v>
      </c>
      <c r="E862" s="63">
        <v>1</v>
      </c>
      <c r="F862" s="68">
        <v>33.799999999999997</v>
      </c>
      <c r="G862" s="69">
        <v>24</v>
      </c>
      <c r="H862" s="65" t="s">
        <v>1843</v>
      </c>
      <c r="I862" s="65" t="s">
        <v>194</v>
      </c>
      <c r="J862" s="65" t="s">
        <v>26</v>
      </c>
      <c r="K862" s="48">
        <f t="shared" si="200"/>
        <v>46090</v>
      </c>
      <c r="L862" s="48">
        <f t="shared" si="201"/>
        <v>46150</v>
      </c>
      <c r="N862" s="72">
        <f t="shared" si="215"/>
        <v>1</v>
      </c>
      <c r="O862" s="50">
        <f t="shared" si="211"/>
        <v>33.799999999999997</v>
      </c>
      <c r="P862" s="56">
        <f t="shared" si="204"/>
        <v>24</v>
      </c>
      <c r="S862" s="200" t="s">
        <v>1846</v>
      </c>
      <c r="T862" s="201">
        <v>6</v>
      </c>
      <c r="U862" s="58" t="s">
        <v>1847</v>
      </c>
      <c r="V862" s="46"/>
      <c r="W862" s="46"/>
      <c r="X862" s="62" t="s">
        <v>25</v>
      </c>
      <c r="Y862" s="63">
        <f t="shared" si="216"/>
        <v>33.799999999999997</v>
      </c>
      <c r="Z862" s="64">
        <f t="shared" si="217"/>
        <v>0</v>
      </c>
    </row>
    <row r="863" spans="1:26" ht="15.75" customHeight="1">
      <c r="A863" s="63">
        <v>20260073</v>
      </c>
      <c r="B863" s="65" t="s">
        <v>1831</v>
      </c>
      <c r="C863" s="66">
        <v>46081</v>
      </c>
      <c r="D863" s="66">
        <v>46082</v>
      </c>
      <c r="E863" s="63">
        <v>1</v>
      </c>
      <c r="F863" s="68">
        <v>0</v>
      </c>
      <c r="G863" s="69">
        <v>5</v>
      </c>
      <c r="H863" s="65" t="s">
        <v>1843</v>
      </c>
      <c r="I863" s="65" t="s">
        <v>24</v>
      </c>
      <c r="J863" s="65" t="s">
        <v>24</v>
      </c>
      <c r="K863" s="48">
        <f t="shared" si="200"/>
        <v>46090</v>
      </c>
      <c r="L863" s="48">
        <f t="shared" si="201"/>
        <v>46150</v>
      </c>
      <c r="N863" s="72">
        <f t="shared" si="215"/>
        <v>1</v>
      </c>
      <c r="O863" s="50">
        <f t="shared" si="211"/>
        <v>0</v>
      </c>
      <c r="P863" s="56">
        <f t="shared" si="204"/>
        <v>5</v>
      </c>
      <c r="S863" s="200" t="s">
        <v>1846</v>
      </c>
      <c r="T863" s="201">
        <v>6</v>
      </c>
      <c r="U863" s="58"/>
      <c r="V863" s="46"/>
      <c r="W863" s="46"/>
      <c r="X863" s="62" t="s">
        <v>25</v>
      </c>
      <c r="Y863" s="63">
        <f t="shared" si="216"/>
        <v>0</v>
      </c>
      <c r="Z863" s="64">
        <f t="shared" si="217"/>
        <v>0</v>
      </c>
    </row>
    <row r="864" spans="1:26" ht="15.75" customHeight="1">
      <c r="A864" s="63">
        <v>20260073</v>
      </c>
      <c r="B864" s="65" t="s">
        <v>1831</v>
      </c>
      <c r="C864" s="66">
        <v>46081</v>
      </c>
      <c r="D864" s="66">
        <v>46082</v>
      </c>
      <c r="E864" s="63">
        <v>1</v>
      </c>
      <c r="F864" s="68">
        <v>15.4</v>
      </c>
      <c r="G864" s="69">
        <v>40</v>
      </c>
      <c r="H864" s="65" t="s">
        <v>1848</v>
      </c>
      <c r="I864" s="65" t="s">
        <v>206</v>
      </c>
      <c r="J864" s="65" t="s">
        <v>26</v>
      </c>
      <c r="K864" s="48">
        <f t="shared" si="200"/>
        <v>46090</v>
      </c>
      <c r="L864" s="48">
        <f t="shared" si="201"/>
        <v>46150</v>
      </c>
      <c r="N864" s="72">
        <f t="shared" si="215"/>
        <v>1</v>
      </c>
      <c r="O864" s="50">
        <f t="shared" si="211"/>
        <v>15.4</v>
      </c>
      <c r="P864" s="56">
        <f t="shared" si="204"/>
        <v>40</v>
      </c>
      <c r="S864" s="200" t="s">
        <v>1849</v>
      </c>
      <c r="T864" s="201">
        <v>7</v>
      </c>
      <c r="U864" s="58" t="s">
        <v>1850</v>
      </c>
      <c r="V864" s="46"/>
      <c r="W864" s="46"/>
      <c r="X864" s="62" t="s">
        <v>25</v>
      </c>
      <c r="Y864" s="63">
        <f t="shared" si="216"/>
        <v>15.4</v>
      </c>
      <c r="Z864" s="64">
        <f t="shared" si="217"/>
        <v>0</v>
      </c>
    </row>
    <row r="865" spans="1:26" ht="15.75" customHeight="1">
      <c r="A865" s="63">
        <v>20260073</v>
      </c>
      <c r="B865" s="65" t="s">
        <v>1831</v>
      </c>
      <c r="C865" s="66">
        <v>46081</v>
      </c>
      <c r="D865" s="66">
        <v>46082</v>
      </c>
      <c r="E865" s="63">
        <v>1</v>
      </c>
      <c r="F865" s="68">
        <v>17.5</v>
      </c>
      <c r="G865" s="69">
        <v>24</v>
      </c>
      <c r="H865" s="65" t="s">
        <v>1851</v>
      </c>
      <c r="I865" s="65" t="s">
        <v>276</v>
      </c>
      <c r="J865" s="65" t="s">
        <v>26</v>
      </c>
      <c r="K865" s="48">
        <f t="shared" si="200"/>
        <v>46090</v>
      </c>
      <c r="L865" s="48">
        <f t="shared" si="201"/>
        <v>46150</v>
      </c>
      <c r="N865" s="72">
        <f t="shared" si="215"/>
        <v>1</v>
      </c>
      <c r="O865" s="50">
        <f t="shared" si="211"/>
        <v>17.5</v>
      </c>
      <c r="P865" s="56">
        <f t="shared" si="204"/>
        <v>24</v>
      </c>
      <c r="S865" s="200" t="s">
        <v>1852</v>
      </c>
      <c r="T865" s="201">
        <v>8</v>
      </c>
      <c r="U865" s="58" t="s">
        <v>1853</v>
      </c>
      <c r="V865" s="46"/>
      <c r="W865" s="46"/>
      <c r="X865" s="62" t="s">
        <v>25</v>
      </c>
      <c r="Y865" s="63">
        <f t="shared" si="216"/>
        <v>17.5</v>
      </c>
      <c r="Z865" s="64">
        <f t="shared" si="217"/>
        <v>0</v>
      </c>
    </row>
    <row r="866" spans="1:26" ht="15.75" customHeight="1">
      <c r="A866" s="63">
        <v>20260073</v>
      </c>
      <c r="B866" s="65" t="s">
        <v>1831</v>
      </c>
      <c r="C866" s="66">
        <v>46081</v>
      </c>
      <c r="D866" s="66">
        <v>46082</v>
      </c>
      <c r="E866" s="63">
        <v>1</v>
      </c>
      <c r="F866" s="68">
        <v>2.7</v>
      </c>
      <c r="G866" s="69">
        <v>24</v>
      </c>
      <c r="H866" s="65" t="s">
        <v>1854</v>
      </c>
      <c r="I866" s="65" t="s">
        <v>42</v>
      </c>
      <c r="J866" s="65" t="s">
        <v>28</v>
      </c>
      <c r="K866" s="48">
        <f t="shared" si="200"/>
        <v>46090</v>
      </c>
      <c r="L866" s="48">
        <f t="shared" si="201"/>
        <v>46150</v>
      </c>
      <c r="N866" s="72">
        <f t="shared" si="215"/>
        <v>1</v>
      </c>
      <c r="O866" s="50">
        <f t="shared" si="211"/>
        <v>2.7</v>
      </c>
      <c r="P866" s="56">
        <f t="shared" si="204"/>
        <v>24</v>
      </c>
      <c r="S866" s="200" t="s">
        <v>1855</v>
      </c>
      <c r="T866" s="201">
        <v>9</v>
      </c>
      <c r="U866" s="58" t="s">
        <v>1856</v>
      </c>
      <c r="V866" s="46"/>
      <c r="W866" s="46"/>
      <c r="X866" s="62" t="s">
        <v>25</v>
      </c>
      <c r="Y866" s="63">
        <f t="shared" si="216"/>
        <v>2.7</v>
      </c>
      <c r="Z866" s="64">
        <f t="shared" si="217"/>
        <v>0</v>
      </c>
    </row>
    <row r="867" spans="1:26" ht="15.75" customHeight="1">
      <c r="A867" s="63">
        <v>20260073</v>
      </c>
      <c r="B867" s="65" t="s">
        <v>1831</v>
      </c>
      <c r="C867" s="66">
        <v>46081</v>
      </c>
      <c r="D867" s="66">
        <v>46082</v>
      </c>
      <c r="E867" s="63">
        <v>1</v>
      </c>
      <c r="F867" s="68">
        <v>14.2</v>
      </c>
      <c r="G867" s="69">
        <v>24</v>
      </c>
      <c r="H867" s="65" t="s">
        <v>1857</v>
      </c>
      <c r="I867" s="65" t="s">
        <v>42</v>
      </c>
      <c r="J867" s="65" t="s">
        <v>28</v>
      </c>
      <c r="K867" s="48">
        <f t="shared" si="200"/>
        <v>46090</v>
      </c>
      <c r="L867" s="48">
        <f t="shared" si="201"/>
        <v>46150</v>
      </c>
      <c r="N867" s="72">
        <f t="shared" si="215"/>
        <v>1</v>
      </c>
      <c r="O867" s="50">
        <f t="shared" si="211"/>
        <v>14.2</v>
      </c>
      <c r="P867" s="56">
        <f t="shared" si="204"/>
        <v>24</v>
      </c>
      <c r="S867" s="200" t="s">
        <v>1858</v>
      </c>
      <c r="T867" s="201">
        <v>10</v>
      </c>
      <c r="U867" s="58" t="s">
        <v>1859</v>
      </c>
      <c r="V867" s="46"/>
      <c r="W867" s="46"/>
      <c r="X867" s="62" t="s">
        <v>25</v>
      </c>
      <c r="Y867" s="63">
        <f t="shared" si="216"/>
        <v>14.2</v>
      </c>
      <c r="Z867" s="64">
        <f t="shared" si="217"/>
        <v>0</v>
      </c>
    </row>
    <row r="868" spans="1:26" ht="15.75" customHeight="1">
      <c r="A868" s="106">
        <v>20260073</v>
      </c>
      <c r="B868" s="107" t="s">
        <v>1831</v>
      </c>
      <c r="C868" s="108">
        <v>46081</v>
      </c>
      <c r="D868" s="108">
        <v>46082</v>
      </c>
      <c r="E868" s="106">
        <v>176</v>
      </c>
      <c r="F868" s="106">
        <v>2076.8000000000002</v>
      </c>
      <c r="G868" s="106">
        <v>7040</v>
      </c>
      <c r="H868" s="107" t="s">
        <v>353</v>
      </c>
      <c r="I868" s="107" t="s">
        <v>106</v>
      </c>
      <c r="J868" s="107" t="s">
        <v>29</v>
      </c>
      <c r="K868" s="108">
        <f t="shared" si="200"/>
        <v>46090</v>
      </c>
      <c r="L868" s="108">
        <f t="shared" si="201"/>
        <v>46150</v>
      </c>
      <c r="M868" s="107"/>
      <c r="N868" s="112">
        <f>E868-50-63-24-39</f>
        <v>0</v>
      </c>
      <c r="O868" s="113">
        <f t="shared" si="211"/>
        <v>0</v>
      </c>
      <c r="P868" s="112">
        <f t="shared" si="204"/>
        <v>0</v>
      </c>
      <c r="Q868" s="109"/>
      <c r="R868" s="107"/>
      <c r="S868" s="109" t="s">
        <v>1860</v>
      </c>
      <c r="T868" s="114">
        <v>11</v>
      </c>
      <c r="U868" s="109" t="s">
        <v>1861</v>
      </c>
      <c r="V868" s="106"/>
      <c r="W868" s="106"/>
      <c r="X868" s="106" t="s">
        <v>55</v>
      </c>
      <c r="Y868" s="63">
        <f t="shared" si="216"/>
        <v>11.8</v>
      </c>
    </row>
    <row r="869" spans="1:26" ht="15.75" customHeight="1">
      <c r="A869" s="106">
        <v>20260073</v>
      </c>
      <c r="B869" s="107" t="s">
        <v>1831</v>
      </c>
      <c r="C869" s="108">
        <v>46081</v>
      </c>
      <c r="D869" s="108">
        <v>46082</v>
      </c>
      <c r="E869" s="106">
        <v>1828</v>
      </c>
      <c r="F869" s="106">
        <v>34.762</v>
      </c>
      <c r="G869" s="106">
        <v>0</v>
      </c>
      <c r="H869" s="107" t="s">
        <v>353</v>
      </c>
      <c r="I869" s="107" t="s">
        <v>24</v>
      </c>
      <c r="J869" s="107" t="s">
        <v>24</v>
      </c>
      <c r="K869" s="108">
        <f t="shared" si="200"/>
        <v>46090</v>
      </c>
      <c r="L869" s="108">
        <f t="shared" si="201"/>
        <v>46150</v>
      </c>
      <c r="M869" s="107"/>
      <c r="N869" s="112">
        <f>E869-1828</f>
        <v>0</v>
      </c>
      <c r="O869" s="113">
        <f t="shared" si="211"/>
        <v>0</v>
      </c>
      <c r="P869" s="112">
        <f t="shared" si="204"/>
        <v>0</v>
      </c>
      <c r="Q869" s="109"/>
      <c r="R869" s="107"/>
      <c r="S869" s="109" t="s">
        <v>1862</v>
      </c>
      <c r="T869" s="114">
        <v>13</v>
      </c>
      <c r="U869" s="109" t="s">
        <v>1863</v>
      </c>
      <c r="V869" s="106"/>
      <c r="W869" s="106"/>
      <c r="X869" s="106" t="s">
        <v>55</v>
      </c>
      <c r="Y869" s="63">
        <f t="shared" si="216"/>
        <v>1.9016411378555798E-2</v>
      </c>
    </row>
    <row r="870" spans="1:26" ht="15.75" customHeight="1">
      <c r="A870" s="63">
        <v>20260073</v>
      </c>
      <c r="B870" s="65" t="s">
        <v>1831</v>
      </c>
      <c r="C870" s="66">
        <v>46081</v>
      </c>
      <c r="D870" s="66">
        <v>46082</v>
      </c>
      <c r="E870" s="63">
        <v>2</v>
      </c>
      <c r="F870" s="68">
        <v>34</v>
      </c>
      <c r="G870" s="69">
        <v>24</v>
      </c>
      <c r="H870" s="65" t="s">
        <v>1864</v>
      </c>
      <c r="I870" s="65" t="s">
        <v>194</v>
      </c>
      <c r="J870" s="65" t="s">
        <v>26</v>
      </c>
      <c r="K870" s="48">
        <f t="shared" si="200"/>
        <v>46090</v>
      </c>
      <c r="L870" s="48">
        <f t="shared" si="201"/>
        <v>46150</v>
      </c>
      <c r="N870" s="72">
        <f t="shared" ref="N870:N918" si="218">E870</f>
        <v>2</v>
      </c>
      <c r="O870" s="50">
        <f t="shared" si="211"/>
        <v>34</v>
      </c>
      <c r="P870" s="56">
        <f t="shared" si="204"/>
        <v>24</v>
      </c>
      <c r="S870" s="200" t="s">
        <v>1865</v>
      </c>
      <c r="T870" s="201">
        <v>12</v>
      </c>
      <c r="U870" s="58" t="s">
        <v>577</v>
      </c>
      <c r="V870" s="46"/>
      <c r="W870" s="46"/>
      <c r="X870" s="62" t="s">
        <v>25</v>
      </c>
      <c r="Y870" s="63">
        <f t="shared" si="216"/>
        <v>17</v>
      </c>
      <c r="Z870" s="64">
        <f t="shared" ref="Z870:Z873" si="219">E870-N870</f>
        <v>0</v>
      </c>
    </row>
    <row r="871" spans="1:26" ht="15.75" customHeight="1">
      <c r="A871" s="206">
        <v>20260069</v>
      </c>
      <c r="B871" s="207" t="s">
        <v>1866</v>
      </c>
      <c r="C871" s="208">
        <v>46079</v>
      </c>
      <c r="D871" s="208">
        <v>46085</v>
      </c>
      <c r="E871" s="206">
        <v>9873</v>
      </c>
      <c r="F871" s="210">
        <v>8203.0969999999998</v>
      </c>
      <c r="G871" s="211">
        <v>8500</v>
      </c>
      <c r="H871" s="207" t="s">
        <v>862</v>
      </c>
      <c r="I871" s="207" t="s">
        <v>86</v>
      </c>
      <c r="J871" s="207" t="s">
        <v>86</v>
      </c>
      <c r="K871" s="213">
        <f t="shared" si="200"/>
        <v>46093</v>
      </c>
      <c r="L871" s="213">
        <f t="shared" si="201"/>
        <v>46153</v>
      </c>
      <c r="M871" s="207"/>
      <c r="N871" s="215">
        <f>E871-448-512</f>
        <v>8913</v>
      </c>
      <c r="O871" s="216">
        <f t="shared" si="211"/>
        <v>7405.4698228501975</v>
      </c>
      <c r="P871" s="218">
        <f t="shared" si="204"/>
        <v>7673.5034943786086</v>
      </c>
      <c r="S871" s="200" t="s">
        <v>1867</v>
      </c>
      <c r="T871" s="201">
        <v>1</v>
      </c>
      <c r="U871" s="58"/>
      <c r="V871" s="46"/>
      <c r="W871" s="46"/>
      <c r="X871" s="99" t="s">
        <v>76</v>
      </c>
      <c r="Y871" s="63">
        <f t="shared" si="216"/>
        <v>0.83086164286437758</v>
      </c>
      <c r="Z871" s="64">
        <f t="shared" si="219"/>
        <v>960</v>
      </c>
    </row>
    <row r="872" spans="1:26" ht="15.75" customHeight="1">
      <c r="A872" s="87">
        <v>20260082</v>
      </c>
      <c r="B872" s="88" t="s">
        <v>1868</v>
      </c>
      <c r="C872" s="89">
        <v>46061</v>
      </c>
      <c r="D872" s="66">
        <v>46090</v>
      </c>
      <c r="E872" s="63">
        <v>459</v>
      </c>
      <c r="F872" s="68">
        <v>1019.485</v>
      </c>
      <c r="G872" s="69">
        <v>550</v>
      </c>
      <c r="H872" s="65" t="s">
        <v>862</v>
      </c>
      <c r="I872" s="65" t="s">
        <v>86</v>
      </c>
      <c r="J872" s="65" t="s">
        <v>86</v>
      </c>
      <c r="K872" s="48">
        <f t="shared" si="200"/>
        <v>46098</v>
      </c>
      <c r="L872" s="48">
        <f t="shared" si="201"/>
        <v>46158</v>
      </c>
      <c r="N872" s="72">
        <f t="shared" si="218"/>
        <v>459</v>
      </c>
      <c r="O872" s="50">
        <f t="shared" si="211"/>
        <v>1019.485</v>
      </c>
      <c r="P872" s="56">
        <f t="shared" si="204"/>
        <v>550</v>
      </c>
      <c r="S872" s="200">
        <v>1</v>
      </c>
      <c r="T872" s="201">
        <v>1</v>
      </c>
      <c r="U872" s="58" t="s">
        <v>1869</v>
      </c>
      <c r="V872" s="46"/>
      <c r="W872" s="46"/>
      <c r="X872" s="62" t="s">
        <v>25</v>
      </c>
      <c r="Y872" s="63">
        <f t="shared" si="216"/>
        <v>2.2211002178649237</v>
      </c>
      <c r="Z872" s="64">
        <f t="shared" si="219"/>
        <v>0</v>
      </c>
    </row>
    <row r="873" spans="1:26" ht="15.75" customHeight="1">
      <c r="A873" s="63">
        <v>20260082</v>
      </c>
      <c r="B873" s="65" t="s">
        <v>1868</v>
      </c>
      <c r="C873" s="66">
        <v>46061</v>
      </c>
      <c r="D873" s="66">
        <v>46090</v>
      </c>
      <c r="E873" s="63">
        <v>5</v>
      </c>
      <c r="F873" s="68">
        <v>11.582000000000001</v>
      </c>
      <c r="G873" s="69">
        <v>30</v>
      </c>
      <c r="H873" s="65" t="s">
        <v>1870</v>
      </c>
      <c r="J873" s="65" t="s">
        <v>1871</v>
      </c>
      <c r="K873" s="48">
        <f t="shared" si="200"/>
        <v>46098</v>
      </c>
      <c r="L873" s="48">
        <f t="shared" si="201"/>
        <v>46158</v>
      </c>
      <c r="N873" s="72">
        <f t="shared" si="218"/>
        <v>5</v>
      </c>
      <c r="O873" s="50">
        <f t="shared" si="211"/>
        <v>11.582000000000001</v>
      </c>
      <c r="P873" s="56">
        <f t="shared" si="204"/>
        <v>30</v>
      </c>
      <c r="S873" s="200">
        <v>2</v>
      </c>
      <c r="T873" s="201">
        <v>2</v>
      </c>
      <c r="U873" s="58" t="s">
        <v>1872</v>
      </c>
      <c r="V873" s="46"/>
      <c r="W873" s="46"/>
      <c r="X873" s="62" t="s">
        <v>25</v>
      </c>
      <c r="Y873" s="63">
        <f t="shared" si="216"/>
        <v>2.3164000000000002</v>
      </c>
      <c r="Z873" s="64">
        <f t="shared" si="219"/>
        <v>0</v>
      </c>
    </row>
    <row r="874" spans="1:26" ht="15.75" customHeight="1">
      <c r="A874" s="106">
        <v>20260079</v>
      </c>
      <c r="B874" s="107" t="s">
        <v>1873</v>
      </c>
      <c r="C874" s="108">
        <v>46085</v>
      </c>
      <c r="D874" s="108">
        <v>46091</v>
      </c>
      <c r="E874" s="106">
        <v>173</v>
      </c>
      <c r="F874" s="106">
        <v>2041.4</v>
      </c>
      <c r="G874" s="106">
        <v>6920</v>
      </c>
      <c r="H874" s="107" t="s">
        <v>353</v>
      </c>
      <c r="I874" s="107" t="s">
        <v>106</v>
      </c>
      <c r="J874" s="107" t="s">
        <v>29</v>
      </c>
      <c r="K874" s="108">
        <f t="shared" si="200"/>
        <v>46099</v>
      </c>
      <c r="L874" s="108">
        <f t="shared" si="201"/>
        <v>46159</v>
      </c>
      <c r="M874" s="107"/>
      <c r="N874" s="112">
        <f>E874-60-27-58-28</f>
        <v>0</v>
      </c>
      <c r="O874" s="113">
        <f t="shared" si="211"/>
        <v>0</v>
      </c>
      <c r="P874" s="112">
        <f t="shared" si="204"/>
        <v>0</v>
      </c>
      <c r="Q874" s="109" t="s">
        <v>1874</v>
      </c>
      <c r="R874" s="107"/>
      <c r="S874" s="109" t="s">
        <v>1875</v>
      </c>
      <c r="T874" s="114">
        <v>1</v>
      </c>
      <c r="U874" s="109" t="s">
        <v>1876</v>
      </c>
      <c r="V874" s="106"/>
      <c r="W874" s="106"/>
      <c r="X874" s="106" t="s">
        <v>55</v>
      </c>
      <c r="Y874" s="63">
        <f t="shared" si="216"/>
        <v>11.8</v>
      </c>
    </row>
    <row r="875" spans="1:26" ht="15.75" customHeight="1">
      <c r="A875" s="63">
        <v>20260079</v>
      </c>
      <c r="B875" s="65" t="s">
        <v>1873</v>
      </c>
      <c r="C875" s="66">
        <v>46085</v>
      </c>
      <c r="D875" s="66">
        <v>46091</v>
      </c>
      <c r="E875" s="63">
        <v>2</v>
      </c>
      <c r="F875" s="68">
        <v>41.07</v>
      </c>
      <c r="G875" s="69">
        <v>30</v>
      </c>
      <c r="H875" s="65" t="s">
        <v>1877</v>
      </c>
      <c r="I875" s="65" t="s">
        <v>24</v>
      </c>
      <c r="J875" s="65" t="s">
        <v>24</v>
      </c>
      <c r="K875" s="48">
        <f t="shared" si="200"/>
        <v>46099</v>
      </c>
      <c r="L875" s="48">
        <f t="shared" si="201"/>
        <v>46159</v>
      </c>
      <c r="N875" s="72">
        <f t="shared" ref="N875:N900" si="220">E875</f>
        <v>2</v>
      </c>
      <c r="O875" s="50">
        <f t="shared" si="211"/>
        <v>41.07</v>
      </c>
      <c r="P875" s="56">
        <f t="shared" si="204"/>
        <v>30</v>
      </c>
      <c r="S875" s="200" t="s">
        <v>1878</v>
      </c>
      <c r="T875" s="201">
        <v>6</v>
      </c>
      <c r="U875" s="58" t="s">
        <v>1879</v>
      </c>
      <c r="V875" s="46"/>
      <c r="W875" s="46"/>
      <c r="X875" s="62" t="s">
        <v>25</v>
      </c>
      <c r="Y875" s="63">
        <f t="shared" si="216"/>
        <v>20.535</v>
      </c>
      <c r="Z875" s="64">
        <f t="shared" ref="Z875:Z918" si="221">E875-N875</f>
        <v>0</v>
      </c>
    </row>
    <row r="876" spans="1:26" ht="15.75" customHeight="1">
      <c r="A876" s="63">
        <v>20260079</v>
      </c>
      <c r="B876" s="65" t="s">
        <v>1873</v>
      </c>
      <c r="C876" s="66">
        <v>46085</v>
      </c>
      <c r="D876" s="66">
        <v>46091</v>
      </c>
      <c r="E876" s="63">
        <v>79</v>
      </c>
      <c r="F876" s="68">
        <v>136.035</v>
      </c>
      <c r="G876" s="69">
        <v>61</v>
      </c>
      <c r="H876" s="65" t="s">
        <v>917</v>
      </c>
      <c r="I876" s="65" t="s">
        <v>86</v>
      </c>
      <c r="J876" s="65" t="s">
        <v>86</v>
      </c>
      <c r="K876" s="48">
        <f t="shared" si="200"/>
        <v>46099</v>
      </c>
      <c r="L876" s="48">
        <f t="shared" si="201"/>
        <v>46159</v>
      </c>
      <c r="N876" s="72">
        <f t="shared" si="220"/>
        <v>79</v>
      </c>
      <c r="O876" s="50">
        <f t="shared" si="211"/>
        <v>136.035</v>
      </c>
      <c r="P876" s="56">
        <f t="shared" si="204"/>
        <v>61</v>
      </c>
      <c r="Q876" s="224" t="s">
        <v>1880</v>
      </c>
      <c r="S876" s="200" t="s">
        <v>1881</v>
      </c>
      <c r="T876" s="201">
        <v>2</v>
      </c>
      <c r="U876" s="58" t="s">
        <v>1882</v>
      </c>
      <c r="V876" s="46"/>
      <c r="W876" s="46"/>
      <c r="X876" s="62" t="s">
        <v>25</v>
      </c>
      <c r="Y876" s="63">
        <f t="shared" si="216"/>
        <v>1.7219620253164556</v>
      </c>
      <c r="Z876" s="64">
        <f t="shared" si="221"/>
        <v>0</v>
      </c>
    </row>
    <row r="877" spans="1:26" ht="15.75" customHeight="1">
      <c r="A877" s="63">
        <v>20260079</v>
      </c>
      <c r="B877" s="65" t="s">
        <v>1873</v>
      </c>
      <c r="C877" s="66">
        <v>46085</v>
      </c>
      <c r="D877" s="66">
        <v>46091</v>
      </c>
      <c r="E877" s="63">
        <v>614</v>
      </c>
      <c r="F877" s="68">
        <v>761.37300000000005</v>
      </c>
      <c r="G877" s="69">
        <v>470</v>
      </c>
      <c r="H877" s="65" t="s">
        <v>917</v>
      </c>
      <c r="I877" s="65" t="s">
        <v>86</v>
      </c>
      <c r="J877" s="65" t="s">
        <v>86</v>
      </c>
      <c r="K877" s="48">
        <f t="shared" si="200"/>
        <v>46099</v>
      </c>
      <c r="L877" s="48">
        <f t="shared" si="201"/>
        <v>46159</v>
      </c>
      <c r="N877" s="72">
        <f t="shared" si="220"/>
        <v>614</v>
      </c>
      <c r="O877" s="50">
        <f t="shared" si="211"/>
        <v>761.37300000000005</v>
      </c>
      <c r="P877" s="56">
        <f t="shared" si="204"/>
        <v>470</v>
      </c>
      <c r="Q877" s="224" t="s">
        <v>1880</v>
      </c>
      <c r="S877" s="200" t="s">
        <v>1883</v>
      </c>
      <c r="T877" s="201">
        <v>15</v>
      </c>
      <c r="U877" s="58" t="s">
        <v>1882</v>
      </c>
      <c r="V877" s="46"/>
      <c r="W877" s="46"/>
      <c r="X877" s="62" t="s">
        <v>25</v>
      </c>
      <c r="Y877" s="63">
        <f t="shared" si="216"/>
        <v>1.2400211726384365</v>
      </c>
      <c r="Z877" s="64">
        <f t="shared" si="221"/>
        <v>0</v>
      </c>
    </row>
    <row r="878" spans="1:26" ht="15.75" customHeight="1">
      <c r="A878" s="63">
        <v>20260079</v>
      </c>
      <c r="B878" s="65" t="s">
        <v>1873</v>
      </c>
      <c r="C878" s="66">
        <v>46085</v>
      </c>
      <c r="D878" s="66">
        <v>46091</v>
      </c>
      <c r="E878" s="63">
        <v>303</v>
      </c>
      <c r="F878" s="68">
        <v>605.27099999999996</v>
      </c>
      <c r="G878" s="69">
        <v>230</v>
      </c>
      <c r="H878" s="65" t="s">
        <v>1056</v>
      </c>
      <c r="I878" s="65" t="s">
        <v>86</v>
      </c>
      <c r="J878" s="65" t="s">
        <v>86</v>
      </c>
      <c r="K878" s="48">
        <f t="shared" si="200"/>
        <v>46099</v>
      </c>
      <c r="L878" s="48">
        <f t="shared" si="201"/>
        <v>46159</v>
      </c>
      <c r="N878" s="72">
        <f>E878-58</f>
        <v>245</v>
      </c>
      <c r="O878" s="50">
        <f t="shared" si="211"/>
        <v>489.41054455445544</v>
      </c>
      <c r="P878" s="56">
        <f t="shared" si="204"/>
        <v>185.97359735973598</v>
      </c>
      <c r="Q878" s="224" t="s">
        <v>1884</v>
      </c>
      <c r="S878" s="200" t="s">
        <v>1885</v>
      </c>
      <c r="T878" s="201">
        <v>11</v>
      </c>
      <c r="U878" s="58" t="s">
        <v>1886</v>
      </c>
      <c r="V878" s="46"/>
      <c r="W878" s="46"/>
      <c r="X878" s="99" t="s">
        <v>76</v>
      </c>
      <c r="Y878" s="63">
        <f t="shared" si="216"/>
        <v>1.9975940594059405</v>
      </c>
      <c r="Z878" s="64">
        <f t="shared" si="221"/>
        <v>58</v>
      </c>
    </row>
    <row r="879" spans="1:26" ht="15.75" customHeight="1">
      <c r="A879" s="63">
        <v>20260079</v>
      </c>
      <c r="B879" s="65" t="s">
        <v>1873</v>
      </c>
      <c r="C879" s="66">
        <v>46085</v>
      </c>
      <c r="D879" s="66">
        <v>46091</v>
      </c>
      <c r="E879" s="63">
        <v>175</v>
      </c>
      <c r="F879" s="68">
        <v>928.84</v>
      </c>
      <c r="G879" s="69">
        <v>210</v>
      </c>
      <c r="H879" s="65" t="s">
        <v>1887</v>
      </c>
      <c r="I879" s="65" t="s">
        <v>52</v>
      </c>
      <c r="J879" s="65" t="s">
        <v>52</v>
      </c>
      <c r="K879" s="48">
        <f t="shared" si="200"/>
        <v>46099</v>
      </c>
      <c r="L879" s="48">
        <f t="shared" si="201"/>
        <v>46159</v>
      </c>
      <c r="N879" s="72">
        <f t="shared" si="220"/>
        <v>175</v>
      </c>
      <c r="O879" s="50">
        <f t="shared" si="211"/>
        <v>928.84</v>
      </c>
      <c r="P879" s="56">
        <f t="shared" si="204"/>
        <v>210</v>
      </c>
      <c r="Q879" s="224" t="s">
        <v>1888</v>
      </c>
      <c r="S879" s="200" t="s">
        <v>1889</v>
      </c>
      <c r="T879" s="201">
        <v>4</v>
      </c>
      <c r="U879" s="58" t="s">
        <v>1890</v>
      </c>
      <c r="V879" s="46"/>
      <c r="W879" s="46"/>
      <c r="X879" s="62" t="s">
        <v>25</v>
      </c>
      <c r="Y879" s="63">
        <f t="shared" si="216"/>
        <v>5.3076571428571429</v>
      </c>
      <c r="Z879" s="64">
        <f t="shared" si="221"/>
        <v>0</v>
      </c>
    </row>
    <row r="880" spans="1:26" ht="15.75" customHeight="1">
      <c r="A880" s="63">
        <v>20260079</v>
      </c>
      <c r="B880" s="65" t="s">
        <v>1873</v>
      </c>
      <c r="C880" s="66">
        <v>46085</v>
      </c>
      <c r="D880" s="66">
        <v>46091</v>
      </c>
      <c r="E880" s="63">
        <v>525</v>
      </c>
      <c r="F880" s="68">
        <v>1382.62</v>
      </c>
      <c r="G880" s="273">
        <v>310</v>
      </c>
      <c r="H880" s="65" t="s">
        <v>1891</v>
      </c>
      <c r="I880" s="65" t="s">
        <v>354</v>
      </c>
      <c r="J880" s="65" t="s">
        <v>354</v>
      </c>
      <c r="K880" s="48">
        <f t="shared" si="200"/>
        <v>46099</v>
      </c>
      <c r="L880" s="48">
        <f t="shared" si="201"/>
        <v>46159</v>
      </c>
      <c r="N880" s="72">
        <f t="shared" si="220"/>
        <v>525</v>
      </c>
      <c r="O880" s="50">
        <f t="shared" si="211"/>
        <v>1382.62</v>
      </c>
      <c r="P880" s="56">
        <f t="shared" si="204"/>
        <v>310</v>
      </c>
      <c r="Q880" s="224" t="s">
        <v>1892</v>
      </c>
      <c r="S880" s="200" t="s">
        <v>1893</v>
      </c>
      <c r="T880" s="201">
        <v>10</v>
      </c>
      <c r="U880" s="58" t="s">
        <v>1614</v>
      </c>
      <c r="V880" s="46"/>
      <c r="W880" s="46"/>
      <c r="X880" s="62" t="s">
        <v>25</v>
      </c>
      <c r="Y880" s="63">
        <f t="shared" si="216"/>
        <v>2.6335619047619048</v>
      </c>
      <c r="Z880" s="64">
        <f t="shared" si="221"/>
        <v>0</v>
      </c>
    </row>
    <row r="881" spans="1:26" ht="15.75" customHeight="1">
      <c r="A881" s="63">
        <v>20260079</v>
      </c>
      <c r="B881" s="65" t="s">
        <v>1873</v>
      </c>
      <c r="C881" s="66">
        <v>46085</v>
      </c>
      <c r="D881" s="66">
        <v>46091</v>
      </c>
      <c r="E881" s="63">
        <v>173</v>
      </c>
      <c r="F881" s="68">
        <v>959.51</v>
      </c>
      <c r="G881" s="273">
        <f t="shared" ref="G881:G888" si="222">M881*E881</f>
        <v>0</v>
      </c>
      <c r="H881" s="65" t="s">
        <v>823</v>
      </c>
      <c r="I881" s="65" t="s">
        <v>72</v>
      </c>
      <c r="J881" s="65" t="s">
        <v>72</v>
      </c>
      <c r="K881" s="48">
        <f t="shared" si="200"/>
        <v>46099</v>
      </c>
      <c r="L881" s="48">
        <f t="shared" si="201"/>
        <v>46159</v>
      </c>
      <c r="N881" s="72">
        <f t="shared" si="220"/>
        <v>173</v>
      </c>
      <c r="O881" s="50">
        <f t="shared" si="211"/>
        <v>959.51</v>
      </c>
      <c r="P881" s="56">
        <f t="shared" si="204"/>
        <v>0</v>
      </c>
      <c r="Q881" s="224" t="s">
        <v>1894</v>
      </c>
      <c r="S881" s="200" t="s">
        <v>1895</v>
      </c>
      <c r="T881" s="201">
        <v>3</v>
      </c>
      <c r="U881" s="58" t="s">
        <v>1896</v>
      </c>
      <c r="V881" s="46"/>
      <c r="W881" s="46"/>
      <c r="X881" s="62" t="s">
        <v>25</v>
      </c>
      <c r="Y881" s="63">
        <f t="shared" si="216"/>
        <v>5.5463005780346819</v>
      </c>
      <c r="Z881" s="64">
        <f t="shared" si="221"/>
        <v>0</v>
      </c>
    </row>
    <row r="882" spans="1:26" ht="15.75" customHeight="1">
      <c r="A882" s="63">
        <v>20260079</v>
      </c>
      <c r="B882" s="65" t="s">
        <v>1873</v>
      </c>
      <c r="C882" s="66">
        <v>46085</v>
      </c>
      <c r="D882" s="66">
        <v>46091</v>
      </c>
      <c r="E882" s="63">
        <v>474</v>
      </c>
      <c r="F882" s="68">
        <v>3052.7260000000001</v>
      </c>
      <c r="G882" s="273">
        <f t="shared" si="222"/>
        <v>0</v>
      </c>
      <c r="H882" s="65" t="s">
        <v>1578</v>
      </c>
      <c r="I882" s="65" t="s">
        <v>72</v>
      </c>
      <c r="J882" s="65" t="s">
        <v>72</v>
      </c>
      <c r="K882" s="48">
        <f t="shared" si="200"/>
        <v>46099</v>
      </c>
      <c r="L882" s="48">
        <f t="shared" si="201"/>
        <v>46159</v>
      </c>
      <c r="N882" s="72">
        <f t="shared" si="220"/>
        <v>474</v>
      </c>
      <c r="O882" s="50">
        <f t="shared" si="211"/>
        <v>3052.7260000000001</v>
      </c>
      <c r="P882" s="56">
        <f t="shared" si="204"/>
        <v>0</v>
      </c>
      <c r="Q882" s="224" t="s">
        <v>1897</v>
      </c>
      <c r="S882" s="200" t="s">
        <v>1898</v>
      </c>
      <c r="T882" s="201">
        <v>5</v>
      </c>
      <c r="U882" s="58" t="s">
        <v>556</v>
      </c>
      <c r="V882" s="46"/>
      <c r="W882" s="46"/>
      <c r="X882" s="62" t="s">
        <v>25</v>
      </c>
      <c r="Y882" s="63">
        <f t="shared" si="216"/>
        <v>6.4403502109704647</v>
      </c>
      <c r="Z882" s="64">
        <f t="shared" si="221"/>
        <v>0</v>
      </c>
    </row>
    <row r="883" spans="1:26" ht="15.75" customHeight="1">
      <c r="A883" s="63">
        <v>20260079</v>
      </c>
      <c r="B883" s="65" t="s">
        <v>1873</v>
      </c>
      <c r="C883" s="66">
        <v>46085</v>
      </c>
      <c r="D883" s="66">
        <v>46091</v>
      </c>
      <c r="E883" s="63">
        <v>51</v>
      </c>
      <c r="F883" s="68">
        <v>350.31</v>
      </c>
      <c r="G883" s="273">
        <f t="shared" si="222"/>
        <v>0</v>
      </c>
      <c r="H883" s="65" t="s">
        <v>1899</v>
      </c>
      <c r="I883" s="65" t="s">
        <v>72</v>
      </c>
      <c r="J883" s="65" t="s">
        <v>72</v>
      </c>
      <c r="K883" s="48">
        <f t="shared" si="200"/>
        <v>46099</v>
      </c>
      <c r="L883" s="48">
        <f t="shared" si="201"/>
        <v>46159</v>
      </c>
      <c r="N883" s="72">
        <f t="shared" si="220"/>
        <v>51</v>
      </c>
      <c r="O883" s="50">
        <f t="shared" si="211"/>
        <v>350.31</v>
      </c>
      <c r="P883" s="56">
        <f t="shared" si="204"/>
        <v>0</v>
      </c>
      <c r="Q883" s="224" t="s">
        <v>1897</v>
      </c>
      <c r="S883" s="200" t="s">
        <v>1900</v>
      </c>
      <c r="T883" s="201">
        <v>7</v>
      </c>
      <c r="U883" s="58" t="s">
        <v>1608</v>
      </c>
      <c r="V883" s="46"/>
      <c r="W883" s="46"/>
      <c r="X883" s="62" t="s">
        <v>25</v>
      </c>
      <c r="Y883" s="63">
        <f t="shared" si="216"/>
        <v>6.868823529411765</v>
      </c>
      <c r="Z883" s="64">
        <f t="shared" si="221"/>
        <v>0</v>
      </c>
    </row>
    <row r="884" spans="1:26" ht="15.75" customHeight="1">
      <c r="A884" s="63">
        <v>20260079</v>
      </c>
      <c r="B884" s="65" t="s">
        <v>1873</v>
      </c>
      <c r="C884" s="66">
        <v>46085</v>
      </c>
      <c r="D884" s="66">
        <v>46091</v>
      </c>
      <c r="E884" s="63">
        <v>330</v>
      </c>
      <c r="F884" s="68">
        <v>1307.577</v>
      </c>
      <c r="G884" s="273">
        <f t="shared" si="222"/>
        <v>0</v>
      </c>
      <c r="H884" s="65" t="s">
        <v>1016</v>
      </c>
      <c r="I884" s="65" t="s">
        <v>72</v>
      </c>
      <c r="J884" s="65" t="s">
        <v>72</v>
      </c>
      <c r="K884" s="48">
        <f t="shared" si="200"/>
        <v>46099</v>
      </c>
      <c r="L884" s="48">
        <f t="shared" si="201"/>
        <v>46159</v>
      </c>
      <c r="N884" s="72">
        <f t="shared" si="220"/>
        <v>330</v>
      </c>
      <c r="O884" s="50">
        <f t="shared" si="211"/>
        <v>1307.577</v>
      </c>
      <c r="P884" s="56">
        <f t="shared" si="204"/>
        <v>0</v>
      </c>
      <c r="Q884" s="224" t="s">
        <v>1897</v>
      </c>
      <c r="S884" s="200" t="s">
        <v>1901</v>
      </c>
      <c r="T884" s="201">
        <v>8</v>
      </c>
      <c r="U884" s="58" t="s">
        <v>1902</v>
      </c>
      <c r="V884" s="46"/>
      <c r="W884" s="46"/>
      <c r="X884" s="62" t="s">
        <v>25</v>
      </c>
      <c r="Y884" s="63">
        <f t="shared" si="216"/>
        <v>3.9623545454545455</v>
      </c>
      <c r="Z884" s="64">
        <f t="shared" si="221"/>
        <v>0</v>
      </c>
    </row>
    <row r="885" spans="1:26" ht="15.75" customHeight="1">
      <c r="A885" s="63">
        <v>20260079</v>
      </c>
      <c r="B885" s="65" t="s">
        <v>1873</v>
      </c>
      <c r="C885" s="66">
        <v>46085</v>
      </c>
      <c r="D885" s="66">
        <v>46091</v>
      </c>
      <c r="E885" s="63">
        <v>201</v>
      </c>
      <c r="F885" s="68">
        <v>1316.355</v>
      </c>
      <c r="G885" s="273">
        <f t="shared" si="222"/>
        <v>0</v>
      </c>
      <c r="H885" s="65" t="s">
        <v>1903</v>
      </c>
      <c r="I885" s="65" t="s">
        <v>72</v>
      </c>
      <c r="J885" s="65" t="s">
        <v>72</v>
      </c>
      <c r="K885" s="48">
        <f t="shared" si="200"/>
        <v>46099</v>
      </c>
      <c r="L885" s="48">
        <f t="shared" si="201"/>
        <v>46159</v>
      </c>
      <c r="N885" s="72">
        <f t="shared" si="220"/>
        <v>201</v>
      </c>
      <c r="O885" s="50">
        <f t="shared" si="211"/>
        <v>1316.355</v>
      </c>
      <c r="P885" s="56">
        <f t="shared" si="204"/>
        <v>0</v>
      </c>
      <c r="Q885" s="224" t="s">
        <v>1897</v>
      </c>
      <c r="S885" s="200" t="s">
        <v>1904</v>
      </c>
      <c r="T885" s="201">
        <v>9</v>
      </c>
      <c r="U885" s="58" t="s">
        <v>1905</v>
      </c>
      <c r="V885" s="46"/>
      <c r="W885" s="46"/>
      <c r="X885" s="62" t="s">
        <v>25</v>
      </c>
      <c r="Y885" s="63">
        <f t="shared" si="216"/>
        <v>6.549029850746269</v>
      </c>
      <c r="Z885" s="64">
        <f t="shared" si="221"/>
        <v>0</v>
      </c>
    </row>
    <row r="886" spans="1:26" ht="15.75" customHeight="1">
      <c r="A886" s="63">
        <v>20260079</v>
      </c>
      <c r="B886" s="65" t="s">
        <v>1873</v>
      </c>
      <c r="C886" s="66">
        <v>46085</v>
      </c>
      <c r="D886" s="66">
        <v>46091</v>
      </c>
      <c r="E886" s="63">
        <v>40</v>
      </c>
      <c r="F886" s="68">
        <v>1114.6790000000001</v>
      </c>
      <c r="G886" s="273">
        <f t="shared" si="222"/>
        <v>0</v>
      </c>
      <c r="H886" s="65" t="s">
        <v>1906</v>
      </c>
      <c r="I886" s="65" t="s">
        <v>72</v>
      </c>
      <c r="J886" s="65" t="s">
        <v>72</v>
      </c>
      <c r="K886" s="48">
        <f t="shared" si="200"/>
        <v>46099</v>
      </c>
      <c r="L886" s="48">
        <f t="shared" si="201"/>
        <v>46159</v>
      </c>
      <c r="N886" s="72">
        <f t="shared" si="220"/>
        <v>40</v>
      </c>
      <c r="O886" s="50">
        <f t="shared" si="211"/>
        <v>1114.6790000000001</v>
      </c>
      <c r="P886" s="56">
        <f t="shared" si="204"/>
        <v>0</v>
      </c>
      <c r="Q886" s="224" t="s">
        <v>1897</v>
      </c>
      <c r="S886" s="200" t="s">
        <v>1907</v>
      </c>
      <c r="T886" s="201">
        <v>12</v>
      </c>
      <c r="U886" s="58" t="s">
        <v>1908</v>
      </c>
      <c r="V886" s="46"/>
      <c r="W886" s="46"/>
      <c r="X886" s="62" t="s">
        <v>25</v>
      </c>
      <c r="Y886" s="63">
        <f t="shared" si="216"/>
        <v>27.866975000000004</v>
      </c>
      <c r="Z886" s="64">
        <f t="shared" si="221"/>
        <v>0</v>
      </c>
    </row>
    <row r="887" spans="1:26" ht="15.75" customHeight="1">
      <c r="A887" s="63">
        <v>20260079</v>
      </c>
      <c r="B887" s="65" t="s">
        <v>1873</v>
      </c>
      <c r="C887" s="66">
        <v>46085</v>
      </c>
      <c r="D887" s="66">
        <v>46091</v>
      </c>
      <c r="E887" s="63">
        <v>63</v>
      </c>
      <c r="F887" s="68">
        <v>272.44</v>
      </c>
      <c r="G887" s="273">
        <f t="shared" si="222"/>
        <v>0</v>
      </c>
      <c r="H887" s="65" t="s">
        <v>1909</v>
      </c>
      <c r="I887" s="65" t="s">
        <v>72</v>
      </c>
      <c r="J887" s="65" t="s">
        <v>72</v>
      </c>
      <c r="K887" s="48">
        <f t="shared" si="200"/>
        <v>46099</v>
      </c>
      <c r="L887" s="48">
        <f t="shared" si="201"/>
        <v>46159</v>
      </c>
      <c r="N887" s="72">
        <f t="shared" si="220"/>
        <v>63</v>
      </c>
      <c r="O887" s="50">
        <f t="shared" si="211"/>
        <v>272.44</v>
      </c>
      <c r="P887" s="56">
        <f t="shared" si="204"/>
        <v>0</v>
      </c>
      <c r="Q887" s="224" t="s">
        <v>1897</v>
      </c>
      <c r="S887" s="200" t="s">
        <v>1910</v>
      </c>
      <c r="T887" s="201">
        <v>13</v>
      </c>
      <c r="U887" s="58" t="s">
        <v>1911</v>
      </c>
      <c r="V887" s="46"/>
      <c r="W887" s="46"/>
      <c r="X887" s="62" t="s">
        <v>25</v>
      </c>
      <c r="Y887" s="63">
        <f t="shared" si="216"/>
        <v>4.3244444444444445</v>
      </c>
      <c r="Z887" s="64">
        <f t="shared" si="221"/>
        <v>0</v>
      </c>
    </row>
    <row r="888" spans="1:26" ht="15.75" customHeight="1">
      <c r="A888" s="63">
        <v>20260079</v>
      </c>
      <c r="B888" s="65" t="s">
        <v>1873</v>
      </c>
      <c r="C888" s="66">
        <v>46085</v>
      </c>
      <c r="D888" s="66">
        <v>46091</v>
      </c>
      <c r="E888" s="63">
        <v>47</v>
      </c>
      <c r="F888" s="68">
        <v>200.23500000000001</v>
      </c>
      <c r="G888" s="273">
        <f t="shared" si="222"/>
        <v>0</v>
      </c>
      <c r="H888" s="65" t="s">
        <v>1909</v>
      </c>
      <c r="I888" s="65" t="s">
        <v>72</v>
      </c>
      <c r="J888" s="65" t="s">
        <v>72</v>
      </c>
      <c r="K888" s="48">
        <f t="shared" si="200"/>
        <v>46099</v>
      </c>
      <c r="L888" s="48">
        <f t="shared" si="201"/>
        <v>46159</v>
      </c>
      <c r="N888" s="72">
        <f t="shared" si="220"/>
        <v>47</v>
      </c>
      <c r="O888" s="50">
        <f t="shared" si="211"/>
        <v>200.23500000000004</v>
      </c>
      <c r="P888" s="56">
        <f t="shared" si="204"/>
        <v>0</v>
      </c>
      <c r="Q888" s="224" t="s">
        <v>1897</v>
      </c>
      <c r="S888" s="200" t="s">
        <v>1912</v>
      </c>
      <c r="T888" s="201">
        <v>14</v>
      </c>
      <c r="U888" s="58" t="s">
        <v>1911</v>
      </c>
      <c r="V888" s="46"/>
      <c r="W888" s="46"/>
      <c r="X888" s="62" t="s">
        <v>25</v>
      </c>
      <c r="Y888" s="63">
        <f t="shared" si="216"/>
        <v>4.2603191489361709</v>
      </c>
      <c r="Z888" s="64">
        <f t="shared" si="221"/>
        <v>0</v>
      </c>
    </row>
    <row r="889" spans="1:26" ht="15.75" customHeight="1">
      <c r="A889" s="87">
        <v>20260094</v>
      </c>
      <c r="B889" s="88" t="s">
        <v>1913</v>
      </c>
      <c r="C889" s="89">
        <v>46098</v>
      </c>
      <c r="D889" s="66">
        <v>46100</v>
      </c>
      <c r="E889" s="63">
        <v>220</v>
      </c>
      <c r="F889" s="68">
        <v>2329</v>
      </c>
      <c r="G889" s="69">
        <v>8800</v>
      </c>
      <c r="H889" s="65" t="s">
        <v>1321</v>
      </c>
      <c r="I889" s="65" t="s">
        <v>106</v>
      </c>
      <c r="J889" s="65" t="s">
        <v>29</v>
      </c>
      <c r="K889" s="48">
        <f t="shared" si="200"/>
        <v>46108</v>
      </c>
      <c r="L889" s="48">
        <f t="shared" si="201"/>
        <v>46168</v>
      </c>
      <c r="N889" s="72">
        <f t="shared" si="220"/>
        <v>220</v>
      </c>
      <c r="O889" s="50">
        <f t="shared" si="211"/>
        <v>2329</v>
      </c>
      <c r="P889" s="56">
        <f t="shared" si="204"/>
        <v>8800</v>
      </c>
      <c r="S889" s="200" t="s">
        <v>1914</v>
      </c>
      <c r="T889" s="201">
        <v>1</v>
      </c>
      <c r="U889" s="58" t="s">
        <v>1915</v>
      </c>
      <c r="V889" s="46"/>
      <c r="W889" s="46"/>
      <c r="X889" s="62" t="s">
        <v>25</v>
      </c>
      <c r="Y889" s="63">
        <f t="shared" si="216"/>
        <v>10.586363636363636</v>
      </c>
      <c r="Z889" s="64">
        <f t="shared" si="221"/>
        <v>0</v>
      </c>
    </row>
    <row r="890" spans="1:26" ht="15.75" customHeight="1">
      <c r="A890" s="63">
        <v>20260094</v>
      </c>
      <c r="B890" s="65" t="s">
        <v>1913</v>
      </c>
      <c r="C890" s="66">
        <v>46098</v>
      </c>
      <c r="D890" s="66">
        <v>46100</v>
      </c>
      <c r="E890" s="63">
        <v>266</v>
      </c>
      <c r="F890" s="68">
        <v>3.4664999999999999</v>
      </c>
      <c r="G890" s="69">
        <v>0</v>
      </c>
      <c r="H890" s="65" t="s">
        <v>1321</v>
      </c>
      <c r="I890" s="65" t="s">
        <v>24</v>
      </c>
      <c r="J890" s="65" t="s">
        <v>24</v>
      </c>
      <c r="K890" s="48">
        <f t="shared" si="200"/>
        <v>46108</v>
      </c>
      <c r="L890" s="48">
        <f t="shared" si="201"/>
        <v>46168</v>
      </c>
      <c r="N890" s="72">
        <f t="shared" si="220"/>
        <v>266</v>
      </c>
      <c r="O890" s="50">
        <f t="shared" si="211"/>
        <v>3.4664999999999995</v>
      </c>
      <c r="P890" s="56">
        <f t="shared" si="204"/>
        <v>0</v>
      </c>
      <c r="S890" s="200" t="s">
        <v>1916</v>
      </c>
      <c r="T890" s="201"/>
      <c r="U890" s="58" t="s">
        <v>527</v>
      </c>
      <c r="V890" s="46"/>
      <c r="W890" s="46"/>
      <c r="X890" s="62" t="s">
        <v>25</v>
      </c>
      <c r="Y890" s="63">
        <f t="shared" si="216"/>
        <v>1.3031954887218044E-2</v>
      </c>
      <c r="Z890" s="64">
        <f t="shared" si="221"/>
        <v>0</v>
      </c>
    </row>
    <row r="891" spans="1:26" ht="15.75" customHeight="1">
      <c r="A891" s="63">
        <v>20260094</v>
      </c>
      <c r="B891" s="65" t="s">
        <v>1913</v>
      </c>
      <c r="C891" s="66">
        <v>46098</v>
      </c>
      <c r="D891" s="66">
        <v>46100</v>
      </c>
      <c r="E891" s="63">
        <v>10</v>
      </c>
      <c r="F891" s="68">
        <v>207.5</v>
      </c>
      <c r="G891" s="69">
        <v>240</v>
      </c>
      <c r="H891" s="65" t="s">
        <v>1917</v>
      </c>
      <c r="I891" s="65" t="s">
        <v>63</v>
      </c>
      <c r="J891" s="65" t="s">
        <v>28</v>
      </c>
      <c r="K891" s="48">
        <f t="shared" si="200"/>
        <v>46108</v>
      </c>
      <c r="L891" s="48">
        <f t="shared" si="201"/>
        <v>46168</v>
      </c>
      <c r="N891" s="72">
        <f t="shared" si="220"/>
        <v>10</v>
      </c>
      <c r="O891" s="50">
        <f t="shared" si="211"/>
        <v>207.5</v>
      </c>
      <c r="P891" s="56">
        <f t="shared" si="204"/>
        <v>240</v>
      </c>
      <c r="S891" s="200" t="s">
        <v>1918</v>
      </c>
      <c r="T891" s="201"/>
      <c r="U891" s="58" t="s">
        <v>1919</v>
      </c>
      <c r="V891" s="46"/>
      <c r="W891" s="46"/>
      <c r="X891" s="62" t="s">
        <v>25</v>
      </c>
      <c r="Y891" s="63">
        <f t="shared" si="216"/>
        <v>20.75</v>
      </c>
      <c r="Z891" s="64">
        <f t="shared" si="221"/>
        <v>0</v>
      </c>
    </row>
    <row r="892" spans="1:26" ht="15.75" customHeight="1">
      <c r="A892" s="63">
        <v>20260094</v>
      </c>
      <c r="B892" s="65" t="s">
        <v>1913</v>
      </c>
      <c r="C892" s="66">
        <v>46098</v>
      </c>
      <c r="D892" s="66">
        <v>46100</v>
      </c>
      <c r="E892" s="63">
        <v>1</v>
      </c>
      <c r="F892" s="68">
        <v>15.62</v>
      </c>
      <c r="G892" s="69">
        <v>24</v>
      </c>
      <c r="H892" s="65" t="s">
        <v>1920</v>
      </c>
      <c r="I892" s="65" t="s">
        <v>42</v>
      </c>
      <c r="J892" s="65" t="s">
        <v>28</v>
      </c>
      <c r="K892" s="48">
        <f t="shared" si="200"/>
        <v>46108</v>
      </c>
      <c r="L892" s="48">
        <f t="shared" si="201"/>
        <v>46168</v>
      </c>
      <c r="N892" s="72">
        <f t="shared" si="220"/>
        <v>1</v>
      </c>
      <c r="O892" s="50">
        <f t="shared" si="211"/>
        <v>15.62</v>
      </c>
      <c r="P892" s="56">
        <f t="shared" si="204"/>
        <v>24</v>
      </c>
      <c r="S892" s="200" t="s">
        <v>1921</v>
      </c>
      <c r="T892" s="201">
        <v>4</v>
      </c>
      <c r="U892" s="58" t="s">
        <v>1922</v>
      </c>
      <c r="V892" s="46"/>
      <c r="W892" s="46"/>
      <c r="X892" s="62" t="s">
        <v>25</v>
      </c>
      <c r="Y892" s="63">
        <f t="shared" si="216"/>
        <v>15.62</v>
      </c>
      <c r="Z892" s="64">
        <f t="shared" si="221"/>
        <v>0</v>
      </c>
    </row>
    <row r="893" spans="1:26" ht="15.75" customHeight="1">
      <c r="A893" s="63">
        <v>20260094</v>
      </c>
      <c r="B893" s="65" t="s">
        <v>1913</v>
      </c>
      <c r="C893" s="66">
        <v>46098</v>
      </c>
      <c r="D893" s="66">
        <v>46100</v>
      </c>
      <c r="E893" s="63">
        <v>2</v>
      </c>
      <c r="F893" s="68">
        <v>25</v>
      </c>
      <c r="G893" s="69">
        <v>48</v>
      </c>
      <c r="H893" s="65" t="s">
        <v>1923</v>
      </c>
      <c r="I893" s="65" t="s">
        <v>42</v>
      </c>
      <c r="J893" s="65" t="s">
        <v>28</v>
      </c>
      <c r="K893" s="48">
        <f t="shared" si="200"/>
        <v>46108</v>
      </c>
      <c r="L893" s="48">
        <f t="shared" si="201"/>
        <v>46168</v>
      </c>
      <c r="N893" s="72">
        <f t="shared" si="220"/>
        <v>2</v>
      </c>
      <c r="O893" s="50">
        <f t="shared" si="211"/>
        <v>25</v>
      </c>
      <c r="P893" s="56">
        <f t="shared" si="204"/>
        <v>48</v>
      </c>
      <c r="S893" s="200" t="s">
        <v>1924</v>
      </c>
      <c r="T893" s="201">
        <v>5</v>
      </c>
      <c r="U893" s="58" t="s">
        <v>1925</v>
      </c>
      <c r="V893" s="46"/>
      <c r="W893" s="46"/>
      <c r="X893" s="62" t="s">
        <v>25</v>
      </c>
      <c r="Y893" s="63">
        <f t="shared" si="216"/>
        <v>12.5</v>
      </c>
      <c r="Z893" s="64">
        <f t="shared" si="221"/>
        <v>0</v>
      </c>
    </row>
    <row r="894" spans="1:26" ht="15.75" customHeight="1">
      <c r="A894" s="63">
        <v>20260094</v>
      </c>
      <c r="B894" s="65" t="s">
        <v>1913</v>
      </c>
      <c r="C894" s="66">
        <v>46098</v>
      </c>
      <c r="D894" s="66">
        <v>46100</v>
      </c>
      <c r="E894" s="63">
        <v>2</v>
      </c>
      <c r="F894" s="68">
        <v>38.200000000000003</v>
      </c>
      <c r="G894" s="69">
        <v>48</v>
      </c>
      <c r="H894" s="65" t="s">
        <v>1926</v>
      </c>
      <c r="I894" s="65" t="s">
        <v>63</v>
      </c>
      <c r="J894" s="65" t="s">
        <v>28</v>
      </c>
      <c r="K894" s="48">
        <f t="shared" si="200"/>
        <v>46108</v>
      </c>
      <c r="L894" s="48">
        <f t="shared" si="201"/>
        <v>46168</v>
      </c>
      <c r="N894" s="72">
        <f t="shared" si="220"/>
        <v>2</v>
      </c>
      <c r="O894" s="50">
        <f t="shared" si="211"/>
        <v>38.200000000000003</v>
      </c>
      <c r="P894" s="56">
        <f t="shared" si="204"/>
        <v>48</v>
      </c>
      <c r="S894" s="200" t="s">
        <v>1927</v>
      </c>
      <c r="T894" s="201">
        <v>6</v>
      </c>
      <c r="U894" s="58" t="s">
        <v>1928</v>
      </c>
      <c r="V894" s="46"/>
      <c r="W894" s="46"/>
      <c r="X894" s="62" t="s">
        <v>25</v>
      </c>
      <c r="Y894" s="63">
        <f t="shared" si="216"/>
        <v>19.100000000000001</v>
      </c>
      <c r="Z894" s="64">
        <f t="shared" si="221"/>
        <v>0</v>
      </c>
    </row>
    <row r="895" spans="1:26" ht="15.75" customHeight="1">
      <c r="A895" s="63">
        <v>20260094</v>
      </c>
      <c r="B895" s="65" t="s">
        <v>1913</v>
      </c>
      <c r="C895" s="66">
        <v>46098</v>
      </c>
      <c r="D895" s="66">
        <v>46100</v>
      </c>
      <c r="E895" s="63">
        <v>2</v>
      </c>
      <c r="F895" s="68">
        <v>28.34</v>
      </c>
      <c r="G895" s="69">
        <v>48</v>
      </c>
      <c r="H895" s="65" t="s">
        <v>1929</v>
      </c>
      <c r="I895" s="65" t="s">
        <v>63</v>
      </c>
      <c r="J895" s="65" t="s">
        <v>28</v>
      </c>
      <c r="K895" s="48">
        <f t="shared" si="200"/>
        <v>46108</v>
      </c>
      <c r="L895" s="48">
        <f t="shared" si="201"/>
        <v>46168</v>
      </c>
      <c r="N895" s="72">
        <f t="shared" si="220"/>
        <v>2</v>
      </c>
      <c r="O895" s="50">
        <f t="shared" si="211"/>
        <v>28.34</v>
      </c>
      <c r="P895" s="56">
        <f t="shared" si="204"/>
        <v>48</v>
      </c>
      <c r="S895" s="200" t="s">
        <v>1930</v>
      </c>
      <c r="T895" s="201">
        <v>7</v>
      </c>
      <c r="U895" s="58" t="s">
        <v>1931</v>
      </c>
      <c r="V895" s="46"/>
      <c r="W895" s="46"/>
      <c r="X895" s="62" t="s">
        <v>25</v>
      </c>
      <c r="Y895" s="63">
        <f t="shared" si="216"/>
        <v>14.17</v>
      </c>
      <c r="Z895" s="64">
        <f t="shared" si="221"/>
        <v>0</v>
      </c>
    </row>
    <row r="896" spans="1:26" ht="15.75" customHeight="1">
      <c r="A896" s="63">
        <v>20260094</v>
      </c>
      <c r="B896" s="65" t="s">
        <v>1913</v>
      </c>
      <c r="C896" s="66">
        <v>46098</v>
      </c>
      <c r="D896" s="66">
        <v>46100</v>
      </c>
      <c r="E896" s="63">
        <v>1</v>
      </c>
      <c r="F896" s="68">
        <v>13.57</v>
      </c>
      <c r="G896" s="69">
        <v>24</v>
      </c>
      <c r="H896" s="65" t="s">
        <v>1932</v>
      </c>
      <c r="I896" s="65" t="s">
        <v>42</v>
      </c>
      <c r="J896" s="65" t="s">
        <v>28</v>
      </c>
      <c r="K896" s="48">
        <f t="shared" si="200"/>
        <v>46108</v>
      </c>
      <c r="L896" s="48">
        <f t="shared" si="201"/>
        <v>46168</v>
      </c>
      <c r="N896" s="72">
        <f t="shared" si="220"/>
        <v>1</v>
      </c>
      <c r="O896" s="50">
        <f t="shared" si="211"/>
        <v>13.57</v>
      </c>
      <c r="P896" s="56">
        <f t="shared" si="204"/>
        <v>24</v>
      </c>
      <c r="S896" s="200" t="s">
        <v>1933</v>
      </c>
      <c r="T896" s="201">
        <v>8</v>
      </c>
      <c r="U896" s="58" t="s">
        <v>1934</v>
      </c>
      <c r="V896" s="46"/>
      <c r="W896" s="46"/>
      <c r="X896" s="62" t="s">
        <v>25</v>
      </c>
      <c r="Y896" s="63">
        <f t="shared" si="216"/>
        <v>13.57</v>
      </c>
      <c r="Z896" s="64">
        <f t="shared" si="221"/>
        <v>0</v>
      </c>
    </row>
    <row r="897" spans="1:26" ht="15.75" customHeight="1">
      <c r="A897" s="87" t="s">
        <v>1935</v>
      </c>
      <c r="B897" s="274" t="s">
        <v>1935</v>
      </c>
      <c r="C897" s="89">
        <v>46099</v>
      </c>
      <c r="D897" s="89">
        <v>46100</v>
      </c>
      <c r="E897" s="63">
        <v>30</v>
      </c>
      <c r="F897" s="68">
        <v>407.1</v>
      </c>
      <c r="G897" s="69">
        <v>720</v>
      </c>
      <c r="H897" s="65" t="s">
        <v>1936</v>
      </c>
      <c r="I897" s="65" t="s">
        <v>42</v>
      </c>
      <c r="J897" s="65" t="s">
        <v>28</v>
      </c>
      <c r="K897" s="48">
        <f t="shared" si="200"/>
        <v>46108</v>
      </c>
      <c r="L897" s="48">
        <f t="shared" si="201"/>
        <v>46168</v>
      </c>
      <c r="N897" s="72">
        <f t="shared" si="220"/>
        <v>30</v>
      </c>
      <c r="O897" s="50">
        <f t="shared" si="211"/>
        <v>407.1</v>
      </c>
      <c r="P897" s="56">
        <f t="shared" si="204"/>
        <v>720</v>
      </c>
      <c r="S897" s="200" t="s">
        <v>1937</v>
      </c>
      <c r="T897" s="201">
        <v>1</v>
      </c>
      <c r="U897" s="58" t="s">
        <v>1938</v>
      </c>
      <c r="V897" s="46"/>
      <c r="W897" s="46"/>
      <c r="X897" s="62" t="s">
        <v>25</v>
      </c>
      <c r="Y897" s="63">
        <f t="shared" si="216"/>
        <v>13.57</v>
      </c>
      <c r="Z897" s="64">
        <f t="shared" si="221"/>
        <v>0</v>
      </c>
    </row>
    <row r="898" spans="1:26" ht="15.75" customHeight="1">
      <c r="A898" s="63" t="s">
        <v>1935</v>
      </c>
      <c r="B898" s="275" t="s">
        <v>1935</v>
      </c>
      <c r="C898" s="66">
        <v>46099</v>
      </c>
      <c r="D898" s="66">
        <v>46100</v>
      </c>
      <c r="E898" s="63">
        <v>2</v>
      </c>
      <c r="F898" s="68">
        <v>31.4</v>
      </c>
      <c r="G898" s="69">
        <v>48</v>
      </c>
      <c r="H898" s="65" t="s">
        <v>1939</v>
      </c>
      <c r="I898" s="65" t="s">
        <v>42</v>
      </c>
      <c r="J898" s="65" t="s">
        <v>28</v>
      </c>
      <c r="K898" s="48">
        <f t="shared" si="200"/>
        <v>46108</v>
      </c>
      <c r="L898" s="48">
        <f t="shared" si="201"/>
        <v>46168</v>
      </c>
      <c r="N898" s="72">
        <f t="shared" si="220"/>
        <v>2</v>
      </c>
      <c r="O898" s="50">
        <f t="shared" si="211"/>
        <v>31.4</v>
      </c>
      <c r="P898" s="56">
        <f t="shared" si="204"/>
        <v>48</v>
      </c>
      <c r="S898" s="200" t="s">
        <v>1940</v>
      </c>
      <c r="T898" s="201">
        <v>2</v>
      </c>
      <c r="U898" s="58" t="s">
        <v>1941</v>
      </c>
      <c r="V898" s="46"/>
      <c r="W898" s="46"/>
      <c r="X898" s="62" t="s">
        <v>25</v>
      </c>
      <c r="Y898" s="63">
        <f t="shared" si="216"/>
        <v>15.7</v>
      </c>
      <c r="Z898" s="64">
        <f t="shared" si="221"/>
        <v>0</v>
      </c>
    </row>
    <row r="899" spans="1:26" ht="15.75" customHeight="1">
      <c r="A899" s="63" t="s">
        <v>1935</v>
      </c>
      <c r="B899" s="275" t="s">
        <v>1935</v>
      </c>
      <c r="C899" s="66">
        <v>46099</v>
      </c>
      <c r="D899" s="66">
        <v>46100</v>
      </c>
      <c r="E899" s="63">
        <v>5</v>
      </c>
      <c r="F899" s="68">
        <v>15.874000000000001</v>
      </c>
      <c r="G899" s="69">
        <v>96</v>
      </c>
      <c r="H899" s="65" t="s">
        <v>1939</v>
      </c>
      <c r="I899" s="65" t="s">
        <v>1942</v>
      </c>
      <c r="J899" s="65" t="s">
        <v>29</v>
      </c>
      <c r="K899" s="48">
        <f t="shared" si="200"/>
        <v>46108</v>
      </c>
      <c r="L899" s="48">
        <f t="shared" si="201"/>
        <v>46168</v>
      </c>
      <c r="N899" s="72">
        <f t="shared" si="220"/>
        <v>5</v>
      </c>
      <c r="O899" s="50">
        <f t="shared" si="211"/>
        <v>15.874000000000002</v>
      </c>
      <c r="P899" s="56">
        <f t="shared" si="204"/>
        <v>96</v>
      </c>
      <c r="S899" s="200" t="s">
        <v>1943</v>
      </c>
      <c r="T899" s="201">
        <v>3</v>
      </c>
      <c r="U899" s="58" t="s">
        <v>1944</v>
      </c>
      <c r="V899" s="46"/>
      <c r="W899" s="46"/>
      <c r="X899" s="62" t="s">
        <v>25</v>
      </c>
      <c r="Y899" s="63">
        <f t="shared" si="216"/>
        <v>3.1748000000000003</v>
      </c>
      <c r="Z899" s="64">
        <f t="shared" si="221"/>
        <v>0</v>
      </c>
    </row>
    <row r="900" spans="1:26" ht="15.75" customHeight="1">
      <c r="A900" s="63" t="s">
        <v>1935</v>
      </c>
      <c r="B900" s="275" t="s">
        <v>1935</v>
      </c>
      <c r="C900" s="66">
        <v>46099</v>
      </c>
      <c r="D900" s="66">
        <v>46100</v>
      </c>
      <c r="E900" s="63">
        <v>1325</v>
      </c>
      <c r="F900" s="68">
        <v>409.86</v>
      </c>
      <c r="G900" s="69">
        <v>1104</v>
      </c>
      <c r="H900" s="65" t="s">
        <v>1945</v>
      </c>
      <c r="I900" s="65" t="s">
        <v>1871</v>
      </c>
      <c r="J900" s="65" t="s">
        <v>1871</v>
      </c>
      <c r="K900" s="48">
        <f t="shared" si="200"/>
        <v>46108</v>
      </c>
      <c r="L900" s="48">
        <f t="shared" si="201"/>
        <v>46168</v>
      </c>
      <c r="N900" s="72">
        <f t="shared" si="220"/>
        <v>1325</v>
      </c>
      <c r="O900" s="50">
        <f t="shared" si="211"/>
        <v>409.86</v>
      </c>
      <c r="P900" s="56">
        <f t="shared" si="204"/>
        <v>1104</v>
      </c>
      <c r="S900" s="200" t="s">
        <v>1946</v>
      </c>
      <c r="T900" s="201">
        <v>4</v>
      </c>
      <c r="U900" s="58" t="s">
        <v>1947</v>
      </c>
      <c r="V900" s="46"/>
      <c r="W900" s="46"/>
      <c r="X900" s="62" t="s">
        <v>25</v>
      </c>
      <c r="Y900" s="63">
        <f t="shared" si="216"/>
        <v>0.30932830188679244</v>
      </c>
      <c r="Z900" s="64">
        <f t="shared" si="221"/>
        <v>0</v>
      </c>
    </row>
    <row r="901" spans="1:26" ht="15.75" customHeight="1">
      <c r="A901" s="87">
        <v>20260092</v>
      </c>
      <c r="B901" s="274" t="s">
        <v>1948</v>
      </c>
      <c r="C901" s="89">
        <v>46100</v>
      </c>
      <c r="D901" s="276">
        <v>46103</v>
      </c>
      <c r="E901" s="277">
        <v>1840</v>
      </c>
      <c r="F901" s="278">
        <v>2303680</v>
      </c>
      <c r="G901" s="279">
        <v>1100</v>
      </c>
      <c r="H901" s="280" t="s">
        <v>1639</v>
      </c>
      <c r="I901" s="280" t="s">
        <v>1949</v>
      </c>
      <c r="J901" s="280" t="s">
        <v>92</v>
      </c>
      <c r="K901" s="281">
        <f>D901+8</f>
        <v>46111</v>
      </c>
      <c r="L901" s="281">
        <f>K901+60</f>
        <v>46171</v>
      </c>
      <c r="M901" s="282"/>
      <c r="N901" s="277">
        <f>E901-1799</f>
        <v>41</v>
      </c>
      <c r="O901" s="282">
        <f>F901/E901*N901</f>
        <v>51332</v>
      </c>
      <c r="P901" s="283">
        <f>G901/E901*N901</f>
        <v>24.510869565217391</v>
      </c>
      <c r="Q901" s="284"/>
      <c r="R901" s="282"/>
      <c r="S901" s="285" t="s">
        <v>1950</v>
      </c>
      <c r="T901" s="286">
        <v>1</v>
      </c>
      <c r="U901" s="287" t="s">
        <v>1951</v>
      </c>
      <c r="V901" s="46"/>
      <c r="W901" s="46"/>
      <c r="X901" s="182" t="s">
        <v>76</v>
      </c>
      <c r="Y901" s="63">
        <f>F901/E901</f>
        <v>1252</v>
      </c>
      <c r="Z901" s="64">
        <f>E901-N901</f>
        <v>1799</v>
      </c>
    </row>
    <row r="902" spans="1:26" ht="15.75" customHeight="1">
      <c r="A902" s="87">
        <v>20260055</v>
      </c>
      <c r="B902" s="88" t="s">
        <v>173</v>
      </c>
      <c r="C902" s="89">
        <v>46079</v>
      </c>
      <c r="E902" s="63">
        <v>77</v>
      </c>
      <c r="F902" s="68">
        <v>185.46700000000001</v>
      </c>
      <c r="G902" s="69">
        <v>1848</v>
      </c>
      <c r="H902" s="65" t="s">
        <v>1952</v>
      </c>
      <c r="I902" s="65" t="s">
        <v>1953</v>
      </c>
      <c r="J902" s="65" t="s">
        <v>24</v>
      </c>
      <c r="K902" s="48">
        <f t="shared" si="200"/>
        <v>8</v>
      </c>
      <c r="L902" s="48">
        <f t="shared" si="201"/>
        <v>68</v>
      </c>
      <c r="N902" s="72">
        <f>E902-9-10</f>
        <v>58</v>
      </c>
      <c r="O902" s="50">
        <f t="shared" si="211"/>
        <v>139.70241558441558</v>
      </c>
      <c r="P902" s="56">
        <f t="shared" si="204"/>
        <v>1392</v>
      </c>
      <c r="S902" s="200" t="s">
        <v>1954</v>
      </c>
      <c r="T902" s="201">
        <v>1</v>
      </c>
      <c r="U902" s="58" t="s">
        <v>1955</v>
      </c>
      <c r="V902" s="46"/>
      <c r="W902" s="46"/>
      <c r="X902" s="99" t="s">
        <v>76</v>
      </c>
      <c r="Y902" s="63">
        <f t="shared" si="216"/>
        <v>2.4086623376623377</v>
      </c>
      <c r="Z902" s="64">
        <f t="shared" si="221"/>
        <v>19</v>
      </c>
    </row>
    <row r="903" spans="1:26" ht="15.75" customHeight="1">
      <c r="A903" s="63">
        <v>20260055</v>
      </c>
      <c r="B903" s="65" t="s">
        <v>173</v>
      </c>
      <c r="C903" s="66">
        <v>46079</v>
      </c>
      <c r="E903" s="63">
        <v>1</v>
      </c>
      <c r="F903" s="68">
        <v>11.1</v>
      </c>
      <c r="G903" s="69">
        <v>24</v>
      </c>
      <c r="H903" s="65" t="s">
        <v>1956</v>
      </c>
      <c r="I903" s="65" t="s">
        <v>42</v>
      </c>
      <c r="J903" s="65" t="s">
        <v>28</v>
      </c>
      <c r="K903" s="48">
        <f t="shared" si="200"/>
        <v>8</v>
      </c>
      <c r="L903" s="48">
        <f t="shared" si="201"/>
        <v>68</v>
      </c>
      <c r="N903" s="72">
        <f t="shared" si="218"/>
        <v>1</v>
      </c>
      <c r="O903" s="50">
        <f t="shared" si="211"/>
        <v>11.1</v>
      </c>
      <c r="P903" s="56">
        <f t="shared" si="204"/>
        <v>24</v>
      </c>
      <c r="S903" s="200" t="s">
        <v>1957</v>
      </c>
      <c r="T903" s="201">
        <v>2</v>
      </c>
      <c r="U903" s="58" t="s">
        <v>1958</v>
      </c>
      <c r="V903" s="46"/>
      <c r="W903" s="46"/>
      <c r="X903" s="62" t="s">
        <v>25</v>
      </c>
      <c r="Y903" s="63">
        <f t="shared" si="216"/>
        <v>11.1</v>
      </c>
      <c r="Z903" s="64">
        <f t="shared" si="221"/>
        <v>0</v>
      </c>
    </row>
    <row r="904" spans="1:26" ht="15.75" customHeight="1">
      <c r="A904" s="63">
        <v>20260055</v>
      </c>
      <c r="B904" s="65" t="s">
        <v>173</v>
      </c>
      <c r="C904" s="66">
        <v>46079</v>
      </c>
      <c r="E904" s="63">
        <v>1</v>
      </c>
      <c r="F904" s="68">
        <v>11.1</v>
      </c>
      <c r="G904" s="69">
        <v>24</v>
      </c>
      <c r="H904" s="65" t="s">
        <v>1956</v>
      </c>
      <c r="I904" s="65" t="s">
        <v>42</v>
      </c>
      <c r="J904" s="65" t="s">
        <v>28</v>
      </c>
      <c r="K904" s="48">
        <f t="shared" si="200"/>
        <v>8</v>
      </c>
      <c r="L904" s="48">
        <f t="shared" si="201"/>
        <v>68</v>
      </c>
      <c r="N904" s="72">
        <f t="shared" si="218"/>
        <v>1</v>
      </c>
      <c r="O904" s="50">
        <f t="shared" si="211"/>
        <v>11.1</v>
      </c>
      <c r="P904" s="56">
        <f t="shared" si="204"/>
        <v>24</v>
      </c>
      <c r="S904" s="200" t="s">
        <v>1959</v>
      </c>
      <c r="T904" s="201">
        <v>3</v>
      </c>
      <c r="U904" s="58" t="s">
        <v>1960</v>
      </c>
      <c r="V904" s="46"/>
      <c r="W904" s="46"/>
      <c r="X904" s="62" t="s">
        <v>25</v>
      </c>
      <c r="Y904" s="63">
        <f t="shared" si="216"/>
        <v>11.1</v>
      </c>
      <c r="Z904" s="64">
        <f t="shared" si="221"/>
        <v>0</v>
      </c>
    </row>
    <row r="905" spans="1:26" ht="15.75" customHeight="1">
      <c r="A905" s="63">
        <v>20260055</v>
      </c>
      <c r="B905" s="65" t="s">
        <v>173</v>
      </c>
      <c r="C905" s="66">
        <v>46079</v>
      </c>
      <c r="E905" s="63">
        <v>1</v>
      </c>
      <c r="F905" s="68">
        <v>8.3000000000000007</v>
      </c>
      <c r="G905" s="69">
        <v>24</v>
      </c>
      <c r="H905" s="65" t="s">
        <v>1961</v>
      </c>
      <c r="I905" s="65" t="s">
        <v>42</v>
      </c>
      <c r="J905" s="65" t="s">
        <v>28</v>
      </c>
      <c r="K905" s="48">
        <f t="shared" si="200"/>
        <v>8</v>
      </c>
      <c r="L905" s="48">
        <f t="shared" si="201"/>
        <v>68</v>
      </c>
      <c r="N905" s="72">
        <f t="shared" si="218"/>
        <v>1</v>
      </c>
      <c r="O905" s="50">
        <f t="shared" si="211"/>
        <v>8.3000000000000007</v>
      </c>
      <c r="P905" s="56">
        <f t="shared" si="204"/>
        <v>24</v>
      </c>
      <c r="S905" s="200" t="s">
        <v>1962</v>
      </c>
      <c r="T905" s="201">
        <v>4</v>
      </c>
      <c r="U905" s="58" t="s">
        <v>1963</v>
      </c>
      <c r="V905" s="46"/>
      <c r="W905" s="46"/>
      <c r="X905" s="62" t="s">
        <v>25</v>
      </c>
      <c r="Y905" s="63">
        <f t="shared" si="216"/>
        <v>8.3000000000000007</v>
      </c>
      <c r="Z905" s="64">
        <f t="shared" si="221"/>
        <v>0</v>
      </c>
    </row>
    <row r="906" spans="1:26" ht="15.75" customHeight="1">
      <c r="A906" s="63">
        <v>20260055</v>
      </c>
      <c r="B906" s="65" t="s">
        <v>173</v>
      </c>
      <c r="C906" s="66">
        <v>46079</v>
      </c>
      <c r="E906" s="63">
        <v>1</v>
      </c>
      <c r="F906" s="68">
        <v>8.6999999999999993</v>
      </c>
      <c r="G906" s="69">
        <v>24</v>
      </c>
      <c r="H906" s="65" t="s">
        <v>1964</v>
      </c>
      <c r="I906" s="65" t="s">
        <v>42</v>
      </c>
      <c r="J906" s="65" t="s">
        <v>28</v>
      </c>
      <c r="K906" s="48">
        <f t="shared" si="200"/>
        <v>8</v>
      </c>
      <c r="L906" s="48">
        <f t="shared" si="201"/>
        <v>68</v>
      </c>
      <c r="N906" s="72">
        <f t="shared" si="218"/>
        <v>1</v>
      </c>
      <c r="O906" s="50">
        <f t="shared" si="211"/>
        <v>8.6999999999999993</v>
      </c>
      <c r="P906" s="56">
        <f t="shared" si="204"/>
        <v>24</v>
      </c>
      <c r="S906" s="200" t="s">
        <v>1965</v>
      </c>
      <c r="T906" s="201">
        <v>5</v>
      </c>
      <c r="U906" s="58" t="s">
        <v>1966</v>
      </c>
      <c r="V906" s="46"/>
      <c r="W906" s="46"/>
      <c r="X906" s="62" t="s">
        <v>25</v>
      </c>
      <c r="Y906" s="63">
        <f t="shared" si="216"/>
        <v>8.6999999999999993</v>
      </c>
      <c r="Z906" s="64">
        <f t="shared" si="221"/>
        <v>0</v>
      </c>
    </row>
    <row r="907" spans="1:26" ht="15.75" customHeight="1">
      <c r="A907" s="106">
        <v>20260055</v>
      </c>
      <c r="B907" s="107" t="s">
        <v>173</v>
      </c>
      <c r="C907" s="108">
        <v>46079</v>
      </c>
      <c r="D907" s="108"/>
      <c r="E907" s="106">
        <v>2</v>
      </c>
      <c r="F907" s="106">
        <v>5.2</v>
      </c>
      <c r="G907" s="106">
        <v>48</v>
      </c>
      <c r="H907" s="107" t="s">
        <v>1967</v>
      </c>
      <c r="I907" s="107" t="s">
        <v>42</v>
      </c>
      <c r="J907" s="107" t="s">
        <v>28</v>
      </c>
      <c r="K907" s="108">
        <f t="shared" ref="K907:K970" si="223">D907+8</f>
        <v>8</v>
      </c>
      <c r="L907" s="108">
        <f t="shared" ref="L907:L970" si="224">K907+60</f>
        <v>68</v>
      </c>
      <c r="M907" s="107"/>
      <c r="N907" s="112">
        <f>E907-2</f>
        <v>0</v>
      </c>
      <c r="O907" s="113">
        <f t="shared" si="211"/>
        <v>0</v>
      </c>
      <c r="P907" s="112">
        <f t="shared" si="204"/>
        <v>0</v>
      </c>
      <c r="Q907" s="109"/>
      <c r="R907" s="107"/>
      <c r="S907" s="109" t="s">
        <v>1968</v>
      </c>
      <c r="T907" s="114">
        <v>6</v>
      </c>
      <c r="U907" s="109" t="s">
        <v>1969</v>
      </c>
      <c r="V907" s="106"/>
      <c r="W907" s="106"/>
      <c r="X907" s="106" t="s">
        <v>55</v>
      </c>
      <c r="Y907" s="63">
        <f t="shared" si="216"/>
        <v>2.6</v>
      </c>
      <c r="Z907" s="64">
        <f t="shared" si="221"/>
        <v>2</v>
      </c>
    </row>
    <row r="908" spans="1:26" ht="15.75" customHeight="1">
      <c r="A908" s="63">
        <v>20260055</v>
      </c>
      <c r="B908" s="65" t="s">
        <v>173</v>
      </c>
      <c r="C908" s="66">
        <v>46079</v>
      </c>
      <c r="E908" s="63">
        <v>1</v>
      </c>
      <c r="F908" s="68">
        <v>15.4</v>
      </c>
      <c r="G908" s="69">
        <v>24</v>
      </c>
      <c r="H908" s="65" t="s">
        <v>1970</v>
      </c>
      <c r="I908" s="65" t="s">
        <v>42</v>
      </c>
      <c r="J908" s="65" t="s">
        <v>28</v>
      </c>
      <c r="K908" s="48">
        <f t="shared" si="223"/>
        <v>8</v>
      </c>
      <c r="L908" s="48">
        <f t="shared" si="224"/>
        <v>68</v>
      </c>
      <c r="N908" s="72">
        <f t="shared" si="218"/>
        <v>1</v>
      </c>
      <c r="O908" s="50">
        <f t="shared" si="211"/>
        <v>15.4</v>
      </c>
      <c r="P908" s="56">
        <f t="shared" si="204"/>
        <v>24</v>
      </c>
      <c r="S908" s="200" t="s">
        <v>1971</v>
      </c>
      <c r="T908" s="201">
        <v>7</v>
      </c>
      <c r="U908" s="58" t="s">
        <v>1972</v>
      </c>
      <c r="V908" s="46"/>
      <c r="W908" s="46"/>
      <c r="X908" s="62" t="s">
        <v>25</v>
      </c>
      <c r="Y908" s="63">
        <f t="shared" si="216"/>
        <v>15.4</v>
      </c>
      <c r="Z908" s="64">
        <f t="shared" si="221"/>
        <v>0</v>
      </c>
    </row>
    <row r="909" spans="1:26" ht="15.75" customHeight="1">
      <c r="A909" s="63">
        <v>20260055</v>
      </c>
      <c r="B909" s="65" t="s">
        <v>173</v>
      </c>
      <c r="C909" s="66">
        <v>46079</v>
      </c>
      <c r="E909" s="63">
        <v>1</v>
      </c>
      <c r="F909" s="68">
        <v>19</v>
      </c>
      <c r="G909" s="69">
        <v>24</v>
      </c>
      <c r="H909" s="65" t="s">
        <v>717</v>
      </c>
      <c r="I909" s="65" t="s">
        <v>63</v>
      </c>
      <c r="J909" s="65" t="s">
        <v>28</v>
      </c>
      <c r="K909" s="48">
        <f t="shared" si="223"/>
        <v>8</v>
      </c>
      <c r="L909" s="48">
        <f t="shared" si="224"/>
        <v>68</v>
      </c>
      <c r="N909" s="72">
        <f t="shared" si="218"/>
        <v>1</v>
      </c>
      <c r="O909" s="50">
        <f t="shared" si="211"/>
        <v>19</v>
      </c>
      <c r="P909" s="56">
        <f t="shared" si="204"/>
        <v>24</v>
      </c>
      <c r="S909" s="200" t="s">
        <v>1973</v>
      </c>
      <c r="T909" s="201">
        <v>8</v>
      </c>
      <c r="U909" s="58" t="s">
        <v>1974</v>
      </c>
      <c r="V909" s="46"/>
      <c r="W909" s="46"/>
      <c r="X909" s="62" t="s">
        <v>25</v>
      </c>
      <c r="Y909" s="63">
        <f t="shared" si="216"/>
        <v>19</v>
      </c>
      <c r="Z909" s="64">
        <f t="shared" si="221"/>
        <v>0</v>
      </c>
    </row>
    <row r="910" spans="1:26" ht="15.75" customHeight="1">
      <c r="A910" s="63">
        <v>20260055</v>
      </c>
      <c r="B910" s="65" t="s">
        <v>173</v>
      </c>
      <c r="C910" s="66">
        <v>46079</v>
      </c>
      <c r="E910" s="63">
        <v>1</v>
      </c>
      <c r="F910" s="68">
        <v>18.03</v>
      </c>
      <c r="G910" s="69">
        <v>24</v>
      </c>
      <c r="H910" s="65" t="s">
        <v>1975</v>
      </c>
      <c r="I910" s="65" t="s">
        <v>42</v>
      </c>
      <c r="J910" s="65" t="s">
        <v>28</v>
      </c>
      <c r="K910" s="48">
        <f t="shared" si="223"/>
        <v>8</v>
      </c>
      <c r="L910" s="48">
        <f t="shared" si="224"/>
        <v>68</v>
      </c>
      <c r="N910" s="72">
        <f t="shared" si="218"/>
        <v>1</v>
      </c>
      <c r="O910" s="50">
        <f t="shared" si="211"/>
        <v>18.03</v>
      </c>
      <c r="P910" s="56">
        <f t="shared" si="204"/>
        <v>24</v>
      </c>
      <c r="S910" s="200" t="s">
        <v>1976</v>
      </c>
      <c r="T910" s="201">
        <v>9</v>
      </c>
      <c r="U910" s="58" t="s">
        <v>1977</v>
      </c>
      <c r="V910" s="46"/>
      <c r="W910" s="46"/>
      <c r="X910" s="62" t="s">
        <v>25</v>
      </c>
      <c r="Y910" s="63">
        <f t="shared" si="216"/>
        <v>18.03</v>
      </c>
      <c r="Z910" s="64">
        <f t="shared" si="221"/>
        <v>0</v>
      </c>
    </row>
    <row r="911" spans="1:26" ht="15.75" customHeight="1">
      <c r="A911" s="63">
        <v>20260055</v>
      </c>
      <c r="B911" s="65" t="s">
        <v>173</v>
      </c>
      <c r="C911" s="66">
        <v>46079</v>
      </c>
      <c r="E911" s="63">
        <v>1</v>
      </c>
      <c r="F911" s="68">
        <v>10</v>
      </c>
      <c r="G911" s="69">
        <v>24</v>
      </c>
      <c r="H911" s="65" t="s">
        <v>1975</v>
      </c>
      <c r="I911" s="65" t="s">
        <v>63</v>
      </c>
      <c r="J911" s="65" t="s">
        <v>28</v>
      </c>
      <c r="K911" s="48">
        <f t="shared" si="223"/>
        <v>8</v>
      </c>
      <c r="L911" s="48">
        <f t="shared" si="224"/>
        <v>68</v>
      </c>
      <c r="N911" s="72">
        <f t="shared" si="218"/>
        <v>1</v>
      </c>
      <c r="O911" s="50">
        <f t="shared" si="211"/>
        <v>10</v>
      </c>
      <c r="P911" s="56">
        <f t="shared" si="204"/>
        <v>24</v>
      </c>
      <c r="S911" s="200" t="s">
        <v>1976</v>
      </c>
      <c r="T911" s="201">
        <v>9</v>
      </c>
      <c r="U911" s="58"/>
      <c r="V911" s="46"/>
      <c r="W911" s="46"/>
      <c r="X911" s="62" t="s">
        <v>25</v>
      </c>
      <c r="Y911" s="63">
        <f t="shared" si="216"/>
        <v>10</v>
      </c>
      <c r="Z911" s="64">
        <f t="shared" si="221"/>
        <v>0</v>
      </c>
    </row>
    <row r="912" spans="1:26" ht="15.75" customHeight="1">
      <c r="A912" s="63">
        <v>20260055</v>
      </c>
      <c r="B912" s="65" t="s">
        <v>173</v>
      </c>
      <c r="C912" s="66">
        <v>46079</v>
      </c>
      <c r="E912" s="63">
        <v>1</v>
      </c>
      <c r="F912" s="68">
        <v>0</v>
      </c>
      <c r="G912" s="69">
        <v>5</v>
      </c>
      <c r="H912" s="65" t="s">
        <v>1975</v>
      </c>
      <c r="I912" s="65" t="s">
        <v>24</v>
      </c>
      <c r="J912" s="65" t="s">
        <v>24</v>
      </c>
      <c r="K912" s="48">
        <f t="shared" si="223"/>
        <v>8</v>
      </c>
      <c r="L912" s="48">
        <f t="shared" si="224"/>
        <v>68</v>
      </c>
      <c r="N912" s="72">
        <f t="shared" si="218"/>
        <v>1</v>
      </c>
      <c r="O912" s="50">
        <f t="shared" si="211"/>
        <v>0</v>
      </c>
      <c r="P912" s="56">
        <f t="shared" si="204"/>
        <v>5</v>
      </c>
      <c r="S912" s="200" t="s">
        <v>1976</v>
      </c>
      <c r="T912" s="201">
        <v>9</v>
      </c>
      <c r="U912" s="58"/>
      <c r="V912" s="46"/>
      <c r="W912" s="46"/>
      <c r="X912" s="62" t="s">
        <v>25</v>
      </c>
      <c r="Y912" s="63">
        <f t="shared" si="216"/>
        <v>0</v>
      </c>
      <c r="Z912" s="64">
        <f t="shared" si="221"/>
        <v>0</v>
      </c>
    </row>
    <row r="913" spans="1:26" ht="15.75" customHeight="1">
      <c r="A913" s="63">
        <v>20260055</v>
      </c>
      <c r="B913" s="65" t="s">
        <v>173</v>
      </c>
      <c r="C913" s="66">
        <v>46079</v>
      </c>
      <c r="E913" s="63">
        <v>1</v>
      </c>
      <c r="F913" s="68">
        <v>19</v>
      </c>
      <c r="G913" s="69">
        <v>24</v>
      </c>
      <c r="H913" s="65" t="s">
        <v>1373</v>
      </c>
      <c r="I913" s="65" t="s">
        <v>63</v>
      </c>
      <c r="J913" s="65" t="s">
        <v>28</v>
      </c>
      <c r="K913" s="48">
        <f t="shared" si="223"/>
        <v>8</v>
      </c>
      <c r="L913" s="48">
        <f t="shared" si="224"/>
        <v>68</v>
      </c>
      <c r="N913" s="72">
        <f t="shared" si="218"/>
        <v>1</v>
      </c>
      <c r="O913" s="50">
        <f t="shared" si="211"/>
        <v>19</v>
      </c>
      <c r="P913" s="56">
        <f t="shared" si="204"/>
        <v>24</v>
      </c>
      <c r="S913" s="200" t="s">
        <v>1978</v>
      </c>
      <c r="T913" s="201">
        <v>10</v>
      </c>
      <c r="U913" s="58" t="s">
        <v>1974</v>
      </c>
      <c r="V913" s="46"/>
      <c r="W913" s="46"/>
      <c r="X913" s="62" t="s">
        <v>25</v>
      </c>
      <c r="Y913" s="63">
        <f t="shared" si="216"/>
        <v>19</v>
      </c>
      <c r="Z913" s="64">
        <f t="shared" si="221"/>
        <v>0</v>
      </c>
    </row>
    <row r="914" spans="1:26" ht="15.75" customHeight="1">
      <c r="A914" s="106">
        <v>20260055</v>
      </c>
      <c r="B914" s="107" t="s">
        <v>173</v>
      </c>
      <c r="C914" s="108">
        <v>46079</v>
      </c>
      <c r="D914" s="108"/>
      <c r="E914" s="106">
        <v>1</v>
      </c>
      <c r="F914" s="106">
        <v>13.3</v>
      </c>
      <c r="G914" s="106">
        <v>24</v>
      </c>
      <c r="H914" s="107" t="s">
        <v>1979</v>
      </c>
      <c r="I914" s="107" t="s">
        <v>42</v>
      </c>
      <c r="J914" s="107" t="s">
        <v>28</v>
      </c>
      <c r="K914" s="108">
        <f t="shared" si="223"/>
        <v>8</v>
      </c>
      <c r="L914" s="108">
        <f t="shared" si="224"/>
        <v>68</v>
      </c>
      <c r="M914" s="107"/>
      <c r="N914" s="112">
        <f>E914-1</f>
        <v>0</v>
      </c>
      <c r="O914" s="113">
        <f t="shared" si="211"/>
        <v>0</v>
      </c>
      <c r="P914" s="112">
        <f t="shared" si="204"/>
        <v>0</v>
      </c>
      <c r="Q914" s="109"/>
      <c r="R914" s="107"/>
      <c r="S914" s="109" t="s">
        <v>1980</v>
      </c>
      <c r="T914" s="114">
        <v>11</v>
      </c>
      <c r="U914" s="109" t="s">
        <v>1981</v>
      </c>
      <c r="V914" s="106"/>
      <c r="W914" s="106"/>
      <c r="X914" s="106" t="s">
        <v>55</v>
      </c>
      <c r="Y914" s="63">
        <f t="shared" si="216"/>
        <v>13.3</v>
      </c>
      <c r="Z914" s="64">
        <f t="shared" si="221"/>
        <v>1</v>
      </c>
    </row>
    <row r="915" spans="1:26" ht="15.75" customHeight="1">
      <c r="A915" s="63">
        <v>20260055</v>
      </c>
      <c r="B915" s="65" t="s">
        <v>173</v>
      </c>
      <c r="C915" s="66">
        <v>46079</v>
      </c>
      <c r="E915" s="63">
        <v>1</v>
      </c>
      <c r="F915" s="68">
        <v>10</v>
      </c>
      <c r="G915" s="69">
        <v>24</v>
      </c>
      <c r="H915" s="65" t="s">
        <v>1982</v>
      </c>
      <c r="I915" s="65" t="s">
        <v>42</v>
      </c>
      <c r="J915" s="65" t="s">
        <v>28</v>
      </c>
      <c r="K915" s="48">
        <f t="shared" si="223"/>
        <v>8</v>
      </c>
      <c r="L915" s="48">
        <f t="shared" si="224"/>
        <v>68</v>
      </c>
      <c r="N915" s="72">
        <f t="shared" si="218"/>
        <v>1</v>
      </c>
      <c r="O915" s="50">
        <f t="shared" si="211"/>
        <v>10</v>
      </c>
      <c r="P915" s="56">
        <f t="shared" ref="P915:P978" si="225">G915/E915*N915</f>
        <v>24</v>
      </c>
      <c r="S915" s="200" t="s">
        <v>1983</v>
      </c>
      <c r="T915" s="201">
        <v>12</v>
      </c>
      <c r="U915" s="58" t="s">
        <v>1984</v>
      </c>
      <c r="V915" s="46"/>
      <c r="W915" s="46"/>
      <c r="X915" s="62" t="s">
        <v>25</v>
      </c>
      <c r="Y915" s="63">
        <f t="shared" si="216"/>
        <v>10</v>
      </c>
      <c r="Z915" s="64">
        <f t="shared" si="221"/>
        <v>0</v>
      </c>
    </row>
    <row r="916" spans="1:26" ht="15.75" customHeight="1">
      <c r="A916" s="63">
        <v>20260055</v>
      </c>
      <c r="B916" s="65" t="s">
        <v>173</v>
      </c>
      <c r="C916" s="66">
        <v>46079</v>
      </c>
      <c r="E916" s="63">
        <v>1</v>
      </c>
      <c r="F916" s="68">
        <v>27.59</v>
      </c>
      <c r="G916" s="69">
        <v>24</v>
      </c>
      <c r="H916" s="65" t="s">
        <v>1982</v>
      </c>
      <c r="I916" s="65" t="s">
        <v>276</v>
      </c>
      <c r="J916" s="65" t="s">
        <v>26</v>
      </c>
      <c r="K916" s="48">
        <f t="shared" si="223"/>
        <v>8</v>
      </c>
      <c r="L916" s="48">
        <f t="shared" si="224"/>
        <v>68</v>
      </c>
      <c r="N916" s="72">
        <f t="shared" si="218"/>
        <v>1</v>
      </c>
      <c r="O916" s="50">
        <f t="shared" si="211"/>
        <v>27.59</v>
      </c>
      <c r="P916" s="56">
        <f t="shared" si="225"/>
        <v>24</v>
      </c>
      <c r="S916" s="200" t="s">
        <v>1983</v>
      </c>
      <c r="T916" s="201">
        <v>12</v>
      </c>
      <c r="U916" s="58"/>
      <c r="V916" s="46"/>
      <c r="W916" s="46"/>
      <c r="X916" s="62" t="s">
        <v>25</v>
      </c>
      <c r="Y916" s="63">
        <f t="shared" si="216"/>
        <v>27.59</v>
      </c>
      <c r="Z916" s="64">
        <f t="shared" si="221"/>
        <v>0</v>
      </c>
    </row>
    <row r="917" spans="1:26" ht="15.75" customHeight="1">
      <c r="A917" s="63">
        <v>20260055</v>
      </c>
      <c r="B917" s="65" t="s">
        <v>173</v>
      </c>
      <c r="C917" s="66">
        <v>46079</v>
      </c>
      <c r="E917" s="63">
        <v>1</v>
      </c>
      <c r="F917" s="68">
        <v>0</v>
      </c>
      <c r="G917" s="69">
        <v>5</v>
      </c>
      <c r="H917" s="65" t="s">
        <v>1982</v>
      </c>
      <c r="I917" s="65" t="s">
        <v>24</v>
      </c>
      <c r="J917" s="65" t="s">
        <v>24</v>
      </c>
      <c r="K917" s="48">
        <f t="shared" si="223"/>
        <v>8</v>
      </c>
      <c r="L917" s="48">
        <f t="shared" si="224"/>
        <v>68</v>
      </c>
      <c r="N917" s="72">
        <f t="shared" si="218"/>
        <v>1</v>
      </c>
      <c r="O917" s="50">
        <f t="shared" si="211"/>
        <v>0</v>
      </c>
      <c r="P917" s="56">
        <f t="shared" si="225"/>
        <v>5</v>
      </c>
      <c r="S917" s="200" t="s">
        <v>1983</v>
      </c>
      <c r="T917" s="201">
        <v>12</v>
      </c>
      <c r="U917" s="58"/>
      <c r="V917" s="46"/>
      <c r="W917" s="46"/>
      <c r="X917" s="62" t="s">
        <v>25</v>
      </c>
      <c r="Y917" s="63">
        <f t="shared" si="216"/>
        <v>0</v>
      </c>
      <c r="Z917" s="64">
        <f t="shared" si="221"/>
        <v>0</v>
      </c>
    </row>
    <row r="918" spans="1:26" ht="15.75" customHeight="1">
      <c r="A918" s="63">
        <v>20260055</v>
      </c>
      <c r="B918" s="65" t="s">
        <v>173</v>
      </c>
      <c r="C918" s="66">
        <v>46079</v>
      </c>
      <c r="E918" s="63">
        <v>2</v>
      </c>
      <c r="F918" s="68">
        <v>26.66</v>
      </c>
      <c r="G918" s="69">
        <v>48</v>
      </c>
      <c r="H918" s="65" t="s">
        <v>748</v>
      </c>
      <c r="I918" s="65" t="s">
        <v>42</v>
      </c>
      <c r="J918" s="65" t="s">
        <v>28</v>
      </c>
      <c r="K918" s="48">
        <f t="shared" si="223"/>
        <v>8</v>
      </c>
      <c r="L918" s="48">
        <f t="shared" si="224"/>
        <v>68</v>
      </c>
      <c r="N918" s="72">
        <f t="shared" si="218"/>
        <v>2</v>
      </c>
      <c r="O918" s="50">
        <f t="shared" si="211"/>
        <v>26.66</v>
      </c>
      <c r="P918" s="56">
        <f t="shared" si="225"/>
        <v>48</v>
      </c>
      <c r="S918" s="200" t="s">
        <v>1985</v>
      </c>
      <c r="T918" s="201">
        <v>13</v>
      </c>
      <c r="U918" s="58" t="s">
        <v>1986</v>
      </c>
      <c r="V918" s="46"/>
      <c r="W918" s="46"/>
      <c r="X918" s="62" t="s">
        <v>25</v>
      </c>
      <c r="Y918" s="63">
        <f t="shared" si="216"/>
        <v>13.33</v>
      </c>
      <c r="Z918" s="64">
        <f t="shared" si="221"/>
        <v>0</v>
      </c>
    </row>
    <row r="919" spans="1:26" ht="15.75" customHeight="1">
      <c r="A919" s="106">
        <v>20260055</v>
      </c>
      <c r="B919" s="107" t="s">
        <v>173</v>
      </c>
      <c r="C919" s="108">
        <v>46079</v>
      </c>
      <c r="D919" s="108"/>
      <c r="E919" s="106">
        <v>2</v>
      </c>
      <c r="F919" s="106">
        <v>27.37</v>
      </c>
      <c r="G919" s="106">
        <v>48</v>
      </c>
      <c r="H919" s="107" t="s">
        <v>1457</v>
      </c>
      <c r="I919" s="107" t="s">
        <v>42</v>
      </c>
      <c r="J919" s="107" t="s">
        <v>28</v>
      </c>
      <c r="K919" s="108">
        <f t="shared" si="223"/>
        <v>8</v>
      </c>
      <c r="L919" s="108">
        <f t="shared" si="224"/>
        <v>68</v>
      </c>
      <c r="M919" s="107"/>
      <c r="N919" s="112">
        <f>E919-2</f>
        <v>0</v>
      </c>
      <c r="O919" s="113">
        <f t="shared" si="211"/>
        <v>0</v>
      </c>
      <c r="P919" s="112">
        <f t="shared" si="225"/>
        <v>0</v>
      </c>
      <c r="Q919" s="109"/>
      <c r="R919" s="107"/>
      <c r="S919" s="109" t="s">
        <v>1987</v>
      </c>
      <c r="T919" s="114">
        <v>14</v>
      </c>
      <c r="U919" s="109" t="s">
        <v>1988</v>
      </c>
      <c r="V919" s="106"/>
      <c r="W919" s="106"/>
      <c r="X919" s="106" t="s">
        <v>55</v>
      </c>
      <c r="Y919" s="63">
        <f t="shared" si="216"/>
        <v>13.685</v>
      </c>
    </row>
    <row r="920" spans="1:26" ht="15.75" customHeight="1">
      <c r="A920" s="106">
        <v>20260055</v>
      </c>
      <c r="B920" s="107" t="s">
        <v>173</v>
      </c>
      <c r="C920" s="108">
        <v>46079</v>
      </c>
      <c r="D920" s="108"/>
      <c r="E920" s="106">
        <v>1</v>
      </c>
      <c r="F920" s="106">
        <v>20</v>
      </c>
      <c r="G920" s="106">
        <v>24</v>
      </c>
      <c r="H920" s="107" t="s">
        <v>1989</v>
      </c>
      <c r="I920" s="107" t="s">
        <v>208</v>
      </c>
      <c r="J920" s="107" t="s">
        <v>26</v>
      </c>
      <c r="K920" s="108">
        <f t="shared" si="223"/>
        <v>8</v>
      </c>
      <c r="L920" s="108">
        <f t="shared" si="224"/>
        <v>68</v>
      </c>
      <c r="M920" s="107"/>
      <c r="N920" s="112">
        <f>E920-1</f>
        <v>0</v>
      </c>
      <c r="O920" s="113">
        <f t="shared" si="211"/>
        <v>0</v>
      </c>
      <c r="P920" s="112">
        <f t="shared" si="225"/>
        <v>0</v>
      </c>
      <c r="Q920" s="109"/>
      <c r="R920" s="107"/>
      <c r="S920" s="109" t="s">
        <v>1990</v>
      </c>
      <c r="T920" s="114">
        <v>15</v>
      </c>
      <c r="U920" s="109" t="s">
        <v>1991</v>
      </c>
      <c r="V920" s="106"/>
      <c r="W920" s="106"/>
      <c r="X920" s="106" t="s">
        <v>55</v>
      </c>
      <c r="Y920" s="63">
        <f t="shared" si="216"/>
        <v>20</v>
      </c>
      <c r="Z920" s="64">
        <f t="shared" ref="Z920:Z954" si="226">E920-N920</f>
        <v>1</v>
      </c>
    </row>
    <row r="921" spans="1:26" ht="15.75" customHeight="1">
      <c r="A921" s="106">
        <v>20260055</v>
      </c>
      <c r="B921" s="107" t="s">
        <v>173</v>
      </c>
      <c r="C921" s="108">
        <v>46079</v>
      </c>
      <c r="D921" s="108"/>
      <c r="E921" s="106">
        <v>2</v>
      </c>
      <c r="F921" s="106">
        <v>40</v>
      </c>
      <c r="G921" s="106">
        <v>48</v>
      </c>
      <c r="H921" s="107" t="s">
        <v>1992</v>
      </c>
      <c r="I921" s="107" t="s">
        <v>208</v>
      </c>
      <c r="J921" s="107" t="s">
        <v>26</v>
      </c>
      <c r="K921" s="108">
        <f t="shared" si="223"/>
        <v>8</v>
      </c>
      <c r="L921" s="108">
        <f t="shared" si="224"/>
        <v>68</v>
      </c>
      <c r="M921" s="107"/>
      <c r="N921" s="112">
        <f>E921-2</f>
        <v>0</v>
      </c>
      <c r="O921" s="113">
        <f t="shared" si="211"/>
        <v>0</v>
      </c>
      <c r="P921" s="112">
        <f t="shared" si="225"/>
        <v>0</v>
      </c>
      <c r="Q921" s="109"/>
      <c r="R921" s="107"/>
      <c r="S921" s="109" t="s">
        <v>1993</v>
      </c>
      <c r="T921" s="114">
        <v>16</v>
      </c>
      <c r="U921" s="109" t="s">
        <v>1994</v>
      </c>
      <c r="V921" s="106"/>
      <c r="W921" s="106"/>
      <c r="X921" s="106" t="s">
        <v>55</v>
      </c>
      <c r="Y921" s="63">
        <f t="shared" si="216"/>
        <v>20</v>
      </c>
      <c r="Z921" s="64">
        <f t="shared" si="226"/>
        <v>2</v>
      </c>
    </row>
    <row r="922" spans="1:26" ht="15.75" customHeight="1">
      <c r="A922" s="63">
        <v>20260055</v>
      </c>
      <c r="B922" s="65" t="s">
        <v>173</v>
      </c>
      <c r="C922" s="66">
        <v>46079</v>
      </c>
      <c r="E922" s="63">
        <v>1</v>
      </c>
      <c r="F922" s="68">
        <v>17.25</v>
      </c>
      <c r="G922" s="69">
        <v>24</v>
      </c>
      <c r="H922" s="65" t="s">
        <v>1995</v>
      </c>
      <c r="I922" s="65" t="s">
        <v>276</v>
      </c>
      <c r="J922" s="65" t="s">
        <v>26</v>
      </c>
      <c r="K922" s="48">
        <f t="shared" si="223"/>
        <v>8</v>
      </c>
      <c r="L922" s="48">
        <f t="shared" si="224"/>
        <v>68</v>
      </c>
      <c r="N922" s="72">
        <f t="shared" ref="N922:N954" si="227">E922</f>
        <v>1</v>
      </c>
      <c r="O922" s="50">
        <f t="shared" si="211"/>
        <v>17.25</v>
      </c>
      <c r="P922" s="56">
        <f t="shared" si="225"/>
        <v>24</v>
      </c>
      <c r="S922" s="200" t="s">
        <v>1996</v>
      </c>
      <c r="T922" s="201">
        <v>17</v>
      </c>
      <c r="U922" s="58" t="s">
        <v>1997</v>
      </c>
      <c r="V922" s="46"/>
      <c r="W922" s="46"/>
      <c r="X922" s="62" t="s">
        <v>25</v>
      </c>
      <c r="Y922" s="63">
        <f t="shared" si="216"/>
        <v>17.25</v>
      </c>
      <c r="Z922" s="64">
        <f t="shared" si="226"/>
        <v>0</v>
      </c>
    </row>
    <row r="923" spans="1:26" ht="15.75" customHeight="1">
      <c r="A923" s="63">
        <v>20260055</v>
      </c>
      <c r="B923" s="65" t="s">
        <v>173</v>
      </c>
      <c r="C923" s="66">
        <v>46079</v>
      </c>
      <c r="E923" s="63">
        <v>1</v>
      </c>
      <c r="F923" s="68">
        <v>25.6</v>
      </c>
      <c r="G923" s="69">
        <v>24</v>
      </c>
      <c r="H923" s="65" t="s">
        <v>1998</v>
      </c>
      <c r="I923" s="65" t="s">
        <v>58</v>
      </c>
      <c r="J923" s="65" t="s">
        <v>28</v>
      </c>
      <c r="K923" s="48">
        <f t="shared" si="223"/>
        <v>8</v>
      </c>
      <c r="L923" s="48">
        <f t="shared" si="224"/>
        <v>68</v>
      </c>
      <c r="N923" s="72">
        <f t="shared" si="227"/>
        <v>1</v>
      </c>
      <c r="O923" s="50">
        <f t="shared" si="211"/>
        <v>25.6</v>
      </c>
      <c r="P923" s="56">
        <f t="shared" si="225"/>
        <v>24</v>
      </c>
      <c r="S923" s="200" t="s">
        <v>1999</v>
      </c>
      <c r="T923" s="201">
        <v>18</v>
      </c>
      <c r="U923" s="58" t="s">
        <v>2000</v>
      </c>
      <c r="V923" s="46"/>
      <c r="W923" s="46"/>
      <c r="X923" s="62" t="s">
        <v>25</v>
      </c>
      <c r="Y923" s="63">
        <f t="shared" si="216"/>
        <v>25.6</v>
      </c>
      <c r="Z923" s="64">
        <f t="shared" si="226"/>
        <v>0</v>
      </c>
    </row>
    <row r="924" spans="1:26" ht="15.75" customHeight="1">
      <c r="A924" s="63">
        <v>20260055</v>
      </c>
      <c r="B924" s="65" t="s">
        <v>173</v>
      </c>
      <c r="C924" s="66">
        <v>46079</v>
      </c>
      <c r="E924" s="63">
        <v>1</v>
      </c>
      <c r="F924" s="68">
        <v>14.5</v>
      </c>
      <c r="G924" s="69">
        <v>24</v>
      </c>
      <c r="H924" s="65" t="s">
        <v>2001</v>
      </c>
      <c r="I924" s="65" t="s">
        <v>42</v>
      </c>
      <c r="J924" s="65" t="s">
        <v>28</v>
      </c>
      <c r="K924" s="48">
        <f t="shared" si="223"/>
        <v>8</v>
      </c>
      <c r="L924" s="48">
        <f t="shared" si="224"/>
        <v>68</v>
      </c>
      <c r="N924" s="72">
        <f t="shared" si="227"/>
        <v>1</v>
      </c>
      <c r="O924" s="50">
        <f t="shared" si="211"/>
        <v>14.5</v>
      </c>
      <c r="P924" s="56">
        <f t="shared" si="225"/>
        <v>24</v>
      </c>
      <c r="S924" s="200" t="s">
        <v>2002</v>
      </c>
      <c r="T924" s="201">
        <v>19</v>
      </c>
      <c r="U924" s="58" t="s">
        <v>2003</v>
      </c>
      <c r="V924" s="46"/>
      <c r="W924" s="46"/>
      <c r="X924" s="62" t="s">
        <v>25</v>
      </c>
      <c r="Y924" s="63">
        <f t="shared" si="216"/>
        <v>14.5</v>
      </c>
      <c r="Z924" s="64">
        <f t="shared" si="226"/>
        <v>0</v>
      </c>
    </row>
    <row r="925" spans="1:26" ht="15.75" customHeight="1">
      <c r="A925" s="63">
        <v>20260055</v>
      </c>
      <c r="B925" s="65" t="s">
        <v>173</v>
      </c>
      <c r="C925" s="66">
        <v>46079</v>
      </c>
      <c r="E925" s="63">
        <v>3</v>
      </c>
      <c r="F925" s="68">
        <v>7.6950000000000003</v>
      </c>
      <c r="G925" s="69">
        <v>72</v>
      </c>
      <c r="H925" s="65" t="s">
        <v>2004</v>
      </c>
      <c r="I925" s="65" t="s">
        <v>42</v>
      </c>
      <c r="J925" s="65" t="s">
        <v>28</v>
      </c>
      <c r="K925" s="48">
        <f t="shared" si="223"/>
        <v>8</v>
      </c>
      <c r="L925" s="48">
        <f t="shared" si="224"/>
        <v>68</v>
      </c>
      <c r="N925" s="72">
        <f t="shared" si="227"/>
        <v>3</v>
      </c>
      <c r="O925" s="50">
        <f t="shared" si="211"/>
        <v>7.6950000000000003</v>
      </c>
      <c r="P925" s="56">
        <f t="shared" si="225"/>
        <v>72</v>
      </c>
      <c r="S925" s="200" t="s">
        <v>2005</v>
      </c>
      <c r="T925" s="201">
        <v>20</v>
      </c>
      <c r="U925" s="58" t="s">
        <v>2006</v>
      </c>
      <c r="V925" s="46"/>
      <c r="W925" s="46"/>
      <c r="X925" s="62" t="s">
        <v>25</v>
      </c>
      <c r="Y925" s="63">
        <f t="shared" si="216"/>
        <v>2.5649999999999999</v>
      </c>
      <c r="Z925" s="64">
        <f t="shared" si="226"/>
        <v>0</v>
      </c>
    </row>
    <row r="926" spans="1:26" ht="15.75" customHeight="1">
      <c r="A926" s="63">
        <v>20260055</v>
      </c>
      <c r="B926" s="65" t="s">
        <v>173</v>
      </c>
      <c r="C926" s="66">
        <v>46079</v>
      </c>
      <c r="E926" s="63">
        <v>1</v>
      </c>
      <c r="F926" s="68">
        <v>13.8</v>
      </c>
      <c r="G926" s="69">
        <v>24</v>
      </c>
      <c r="H926" s="65" t="s">
        <v>2007</v>
      </c>
      <c r="I926" s="65" t="s">
        <v>42</v>
      </c>
      <c r="J926" s="65" t="s">
        <v>28</v>
      </c>
      <c r="K926" s="48">
        <f t="shared" si="223"/>
        <v>8</v>
      </c>
      <c r="L926" s="48">
        <f t="shared" si="224"/>
        <v>68</v>
      </c>
      <c r="N926" s="72">
        <f t="shared" si="227"/>
        <v>1</v>
      </c>
      <c r="O926" s="50">
        <f t="shared" si="211"/>
        <v>13.8</v>
      </c>
      <c r="P926" s="56">
        <f t="shared" si="225"/>
        <v>24</v>
      </c>
      <c r="S926" s="200" t="s">
        <v>2008</v>
      </c>
      <c r="T926" s="201">
        <v>21</v>
      </c>
      <c r="U926" s="58" t="s">
        <v>2003</v>
      </c>
      <c r="V926" s="46"/>
      <c r="W926" s="46"/>
      <c r="X926" s="62" t="s">
        <v>25</v>
      </c>
      <c r="Y926" s="63">
        <f t="shared" si="216"/>
        <v>13.8</v>
      </c>
      <c r="Z926" s="64">
        <f t="shared" si="226"/>
        <v>0</v>
      </c>
    </row>
    <row r="927" spans="1:26" ht="15.75" customHeight="1">
      <c r="A927" s="106">
        <v>20260055</v>
      </c>
      <c r="B927" s="107" t="s">
        <v>173</v>
      </c>
      <c r="C927" s="108">
        <v>46079</v>
      </c>
      <c r="D927" s="108"/>
      <c r="E927" s="106">
        <v>1</v>
      </c>
      <c r="F927" s="106">
        <v>16</v>
      </c>
      <c r="G927" s="106">
        <v>24</v>
      </c>
      <c r="H927" s="107" t="s">
        <v>2009</v>
      </c>
      <c r="I927" s="107" t="s">
        <v>42</v>
      </c>
      <c r="J927" s="107" t="s">
        <v>28</v>
      </c>
      <c r="K927" s="108">
        <f t="shared" si="223"/>
        <v>8</v>
      </c>
      <c r="L927" s="108">
        <f t="shared" si="224"/>
        <v>68</v>
      </c>
      <c r="M927" s="107"/>
      <c r="N927" s="112">
        <f>E927-1</f>
        <v>0</v>
      </c>
      <c r="O927" s="113">
        <f t="shared" si="211"/>
        <v>0</v>
      </c>
      <c r="P927" s="112">
        <f t="shared" si="225"/>
        <v>0</v>
      </c>
      <c r="Q927" s="109"/>
      <c r="R927" s="107"/>
      <c r="S927" s="109" t="s">
        <v>2010</v>
      </c>
      <c r="T927" s="114">
        <v>22</v>
      </c>
      <c r="U927" s="109" t="s">
        <v>2003</v>
      </c>
      <c r="V927" s="106"/>
      <c r="W927" s="106"/>
      <c r="X927" s="106" t="s">
        <v>55</v>
      </c>
      <c r="Y927" s="63">
        <f t="shared" si="216"/>
        <v>16</v>
      </c>
      <c r="Z927" s="64">
        <f t="shared" si="226"/>
        <v>1</v>
      </c>
    </row>
    <row r="928" spans="1:26" ht="15.75" customHeight="1">
      <c r="A928" s="63">
        <v>20260055</v>
      </c>
      <c r="B928" s="65" t="s">
        <v>173</v>
      </c>
      <c r="C928" s="66">
        <v>46079</v>
      </c>
      <c r="E928" s="63">
        <v>1</v>
      </c>
      <c r="F928" s="68">
        <v>36.697000000000003</v>
      </c>
      <c r="G928" s="69">
        <v>24</v>
      </c>
      <c r="H928" s="65" t="s">
        <v>2011</v>
      </c>
      <c r="I928" s="65" t="s">
        <v>194</v>
      </c>
      <c r="J928" s="65" t="s">
        <v>26</v>
      </c>
      <c r="K928" s="48">
        <f t="shared" si="223"/>
        <v>8</v>
      </c>
      <c r="L928" s="48">
        <f t="shared" si="224"/>
        <v>68</v>
      </c>
      <c r="N928" s="72">
        <f t="shared" si="227"/>
        <v>1</v>
      </c>
      <c r="O928" s="50">
        <f t="shared" si="211"/>
        <v>36.697000000000003</v>
      </c>
      <c r="P928" s="56">
        <f t="shared" si="225"/>
        <v>24</v>
      </c>
      <c r="S928" s="200" t="s">
        <v>2012</v>
      </c>
      <c r="T928" s="201">
        <v>23</v>
      </c>
      <c r="U928" s="58" t="s">
        <v>2013</v>
      </c>
      <c r="V928" s="46"/>
      <c r="W928" s="46"/>
      <c r="X928" s="62" t="s">
        <v>25</v>
      </c>
      <c r="Y928" s="63">
        <f t="shared" si="216"/>
        <v>36.697000000000003</v>
      </c>
      <c r="Z928" s="64">
        <f t="shared" si="226"/>
        <v>0</v>
      </c>
    </row>
    <row r="929" spans="1:26" ht="15.75" customHeight="1">
      <c r="A929" s="63">
        <v>20260055</v>
      </c>
      <c r="B929" s="65" t="s">
        <v>173</v>
      </c>
      <c r="C929" s="66">
        <v>46079</v>
      </c>
      <c r="E929" s="63">
        <v>3</v>
      </c>
      <c r="F929" s="68">
        <v>0</v>
      </c>
      <c r="G929" s="69">
        <v>15</v>
      </c>
      <c r="H929" s="65" t="s">
        <v>2011</v>
      </c>
      <c r="I929" s="65" t="s">
        <v>24</v>
      </c>
      <c r="J929" s="65" t="s">
        <v>24</v>
      </c>
      <c r="K929" s="48">
        <f t="shared" si="223"/>
        <v>8</v>
      </c>
      <c r="L929" s="48">
        <f t="shared" si="224"/>
        <v>68</v>
      </c>
      <c r="N929" s="72">
        <f t="shared" si="227"/>
        <v>3</v>
      </c>
      <c r="O929" s="50">
        <f t="shared" si="211"/>
        <v>0</v>
      </c>
      <c r="P929" s="56">
        <f t="shared" si="225"/>
        <v>15</v>
      </c>
      <c r="S929" s="200" t="s">
        <v>2012</v>
      </c>
      <c r="T929" s="201">
        <v>23</v>
      </c>
      <c r="U929" s="58"/>
      <c r="V929" s="46"/>
      <c r="W929" s="46"/>
      <c r="X929" s="62" t="s">
        <v>25</v>
      </c>
      <c r="Y929" s="63">
        <f t="shared" si="216"/>
        <v>0</v>
      </c>
      <c r="Z929" s="64">
        <f t="shared" si="226"/>
        <v>0</v>
      </c>
    </row>
    <row r="930" spans="1:26" ht="15.75" customHeight="1">
      <c r="A930" s="63">
        <v>20260055</v>
      </c>
      <c r="B930" s="65" t="s">
        <v>173</v>
      </c>
      <c r="C930" s="66">
        <v>46079</v>
      </c>
      <c r="E930" s="63">
        <v>1</v>
      </c>
      <c r="F930" s="68">
        <v>36.697000000000003</v>
      </c>
      <c r="G930" s="69">
        <v>24</v>
      </c>
      <c r="H930" s="65" t="s">
        <v>2011</v>
      </c>
      <c r="I930" s="65" t="s">
        <v>194</v>
      </c>
      <c r="J930" s="65" t="s">
        <v>26</v>
      </c>
      <c r="K930" s="48">
        <f t="shared" si="223"/>
        <v>8</v>
      </c>
      <c r="L930" s="48">
        <f t="shared" si="224"/>
        <v>68</v>
      </c>
      <c r="N930" s="72">
        <f t="shared" si="227"/>
        <v>1</v>
      </c>
      <c r="O930" s="50">
        <f t="shared" si="211"/>
        <v>36.697000000000003</v>
      </c>
      <c r="P930" s="56">
        <f t="shared" si="225"/>
        <v>24</v>
      </c>
      <c r="S930" s="200" t="s">
        <v>2014</v>
      </c>
      <c r="T930" s="201">
        <v>24</v>
      </c>
      <c r="U930" s="58" t="s">
        <v>2013</v>
      </c>
      <c r="V930" s="46"/>
      <c r="W930" s="46"/>
      <c r="X930" s="62" t="s">
        <v>25</v>
      </c>
      <c r="Y930" s="63">
        <f t="shared" si="216"/>
        <v>36.697000000000003</v>
      </c>
      <c r="Z930" s="64">
        <f t="shared" si="226"/>
        <v>0</v>
      </c>
    </row>
    <row r="931" spans="1:26" ht="15.75" customHeight="1">
      <c r="A931" s="63">
        <v>20260055</v>
      </c>
      <c r="B931" s="65" t="s">
        <v>173</v>
      </c>
      <c r="C931" s="66">
        <v>46079</v>
      </c>
      <c r="E931" s="63">
        <v>3</v>
      </c>
      <c r="F931" s="68">
        <v>0</v>
      </c>
      <c r="G931" s="69">
        <v>15</v>
      </c>
      <c r="H931" s="65" t="s">
        <v>2011</v>
      </c>
      <c r="I931" s="65" t="s">
        <v>24</v>
      </c>
      <c r="J931" s="65" t="s">
        <v>24</v>
      </c>
      <c r="K931" s="48">
        <f t="shared" si="223"/>
        <v>8</v>
      </c>
      <c r="L931" s="48">
        <f t="shared" si="224"/>
        <v>68</v>
      </c>
      <c r="N931" s="72">
        <f t="shared" si="227"/>
        <v>3</v>
      </c>
      <c r="O931" s="50">
        <f t="shared" si="211"/>
        <v>0</v>
      </c>
      <c r="P931" s="56">
        <f t="shared" si="225"/>
        <v>15</v>
      </c>
      <c r="S931" s="200" t="s">
        <v>2014</v>
      </c>
      <c r="T931" s="201">
        <v>24</v>
      </c>
      <c r="U931" s="58"/>
      <c r="V931" s="46"/>
      <c r="W931" s="46"/>
      <c r="X931" s="62" t="s">
        <v>25</v>
      </c>
      <c r="Y931" s="63">
        <f t="shared" si="216"/>
        <v>0</v>
      </c>
      <c r="Z931" s="64">
        <f t="shared" si="226"/>
        <v>0</v>
      </c>
    </row>
    <row r="932" spans="1:26" ht="15.75" customHeight="1">
      <c r="A932" s="63">
        <v>20260055</v>
      </c>
      <c r="B932" s="65" t="s">
        <v>173</v>
      </c>
      <c r="C932" s="66">
        <v>46079</v>
      </c>
      <c r="E932" s="63">
        <v>1</v>
      </c>
      <c r="F932" s="68">
        <v>39.944000000000003</v>
      </c>
      <c r="G932" s="69">
        <v>24</v>
      </c>
      <c r="H932" s="65" t="s">
        <v>2015</v>
      </c>
      <c r="I932" s="65" t="s">
        <v>194</v>
      </c>
      <c r="J932" s="65" t="s">
        <v>26</v>
      </c>
      <c r="K932" s="48">
        <f t="shared" si="223"/>
        <v>8</v>
      </c>
      <c r="L932" s="48">
        <f t="shared" si="224"/>
        <v>68</v>
      </c>
      <c r="N932" s="72">
        <f t="shared" si="227"/>
        <v>1</v>
      </c>
      <c r="O932" s="50">
        <f t="shared" si="211"/>
        <v>39.944000000000003</v>
      </c>
      <c r="P932" s="56">
        <f t="shared" si="225"/>
        <v>24</v>
      </c>
      <c r="S932" s="200" t="s">
        <v>2016</v>
      </c>
      <c r="T932" s="201">
        <v>25</v>
      </c>
      <c r="U932" s="58" t="s">
        <v>2017</v>
      </c>
      <c r="V932" s="46"/>
      <c r="W932" s="46"/>
      <c r="X932" s="62" t="s">
        <v>25</v>
      </c>
      <c r="Y932" s="63">
        <f t="shared" si="216"/>
        <v>39.944000000000003</v>
      </c>
      <c r="Z932" s="64">
        <f t="shared" si="226"/>
        <v>0</v>
      </c>
    </row>
    <row r="933" spans="1:26" ht="15.75" customHeight="1">
      <c r="A933" s="63">
        <v>20260055</v>
      </c>
      <c r="B933" s="65" t="s">
        <v>173</v>
      </c>
      <c r="C933" s="66">
        <v>46079</v>
      </c>
      <c r="E933" s="63">
        <v>5</v>
      </c>
      <c r="F933" s="68">
        <v>0</v>
      </c>
      <c r="G933" s="69">
        <v>25</v>
      </c>
      <c r="H933" s="65" t="s">
        <v>2015</v>
      </c>
      <c r="I933" s="65" t="s">
        <v>24</v>
      </c>
      <c r="J933" s="65" t="s">
        <v>24</v>
      </c>
      <c r="K933" s="48">
        <f t="shared" si="223"/>
        <v>8</v>
      </c>
      <c r="L933" s="48">
        <f t="shared" si="224"/>
        <v>68</v>
      </c>
      <c r="N933" s="72">
        <f t="shared" si="227"/>
        <v>5</v>
      </c>
      <c r="O933" s="50">
        <f t="shared" si="211"/>
        <v>0</v>
      </c>
      <c r="P933" s="56">
        <f t="shared" si="225"/>
        <v>25</v>
      </c>
      <c r="S933" s="200" t="s">
        <v>2016</v>
      </c>
      <c r="T933" s="201">
        <v>25</v>
      </c>
      <c r="U933" s="58"/>
      <c r="V933" s="46"/>
      <c r="W933" s="46"/>
      <c r="X933" s="62" t="s">
        <v>25</v>
      </c>
      <c r="Y933" s="63">
        <f t="shared" si="216"/>
        <v>0</v>
      </c>
      <c r="Z933" s="64">
        <f t="shared" si="226"/>
        <v>0</v>
      </c>
    </row>
    <row r="934" spans="1:26" ht="15.75" customHeight="1">
      <c r="A934" s="63">
        <v>20260055</v>
      </c>
      <c r="B934" s="65" t="s">
        <v>173</v>
      </c>
      <c r="C934" s="66">
        <v>46079</v>
      </c>
      <c r="E934" s="63">
        <v>2</v>
      </c>
      <c r="F934" s="68">
        <v>24</v>
      </c>
      <c r="G934" s="69">
        <v>48</v>
      </c>
      <c r="H934" s="65" t="s">
        <v>2018</v>
      </c>
      <c r="I934" s="65" t="s">
        <v>42</v>
      </c>
      <c r="J934" s="65" t="s">
        <v>28</v>
      </c>
      <c r="K934" s="48">
        <f t="shared" si="223"/>
        <v>8</v>
      </c>
      <c r="L934" s="48">
        <f t="shared" si="224"/>
        <v>68</v>
      </c>
      <c r="N934" s="72">
        <f t="shared" si="227"/>
        <v>2</v>
      </c>
      <c r="O934" s="50">
        <f t="shared" si="211"/>
        <v>24</v>
      </c>
      <c r="P934" s="56">
        <f t="shared" si="225"/>
        <v>48</v>
      </c>
      <c r="S934" s="200" t="s">
        <v>2019</v>
      </c>
      <c r="T934" s="201">
        <v>26</v>
      </c>
      <c r="U934" s="58" t="s">
        <v>2020</v>
      </c>
      <c r="V934" s="46"/>
      <c r="W934" s="46"/>
      <c r="X934" s="62" t="s">
        <v>25</v>
      </c>
      <c r="Y934" s="63">
        <f t="shared" si="216"/>
        <v>12</v>
      </c>
      <c r="Z934" s="64">
        <f t="shared" si="226"/>
        <v>0</v>
      </c>
    </row>
    <row r="935" spans="1:26" ht="15.75" customHeight="1">
      <c r="A935" s="63">
        <v>20260055</v>
      </c>
      <c r="B935" s="65" t="s">
        <v>173</v>
      </c>
      <c r="C935" s="66">
        <v>46079</v>
      </c>
      <c r="E935" s="63">
        <v>3</v>
      </c>
      <c r="F935" s="68">
        <v>36.99</v>
      </c>
      <c r="G935" s="69">
        <v>72</v>
      </c>
      <c r="H935" s="65" t="s">
        <v>2021</v>
      </c>
      <c r="I935" s="65" t="s">
        <v>42</v>
      </c>
      <c r="J935" s="65" t="s">
        <v>28</v>
      </c>
      <c r="K935" s="48">
        <f t="shared" si="223"/>
        <v>8</v>
      </c>
      <c r="L935" s="48">
        <f t="shared" si="224"/>
        <v>68</v>
      </c>
      <c r="N935" s="72">
        <f t="shared" si="227"/>
        <v>3</v>
      </c>
      <c r="O935" s="50">
        <f t="shared" ref="O935:O998" si="228">F935/E935*N935</f>
        <v>36.99</v>
      </c>
      <c r="P935" s="56">
        <f t="shared" si="225"/>
        <v>72</v>
      </c>
      <c r="S935" s="200" t="s">
        <v>2022</v>
      </c>
      <c r="T935" s="201">
        <v>27</v>
      </c>
      <c r="U935" s="58" t="s">
        <v>2023</v>
      </c>
      <c r="V935" s="46"/>
      <c r="W935" s="46"/>
      <c r="X935" s="62" t="s">
        <v>25</v>
      </c>
      <c r="Y935" s="63">
        <f t="shared" si="216"/>
        <v>12.33</v>
      </c>
      <c r="Z935" s="64">
        <f t="shared" si="226"/>
        <v>0</v>
      </c>
    </row>
    <row r="936" spans="1:26" ht="15.75" customHeight="1">
      <c r="A936" s="63">
        <v>20260055</v>
      </c>
      <c r="B936" s="65" t="s">
        <v>173</v>
      </c>
      <c r="C936" s="66">
        <v>46079</v>
      </c>
      <c r="E936" s="63">
        <v>1</v>
      </c>
      <c r="F936" s="68">
        <v>13.8</v>
      </c>
      <c r="G936" s="69">
        <v>24</v>
      </c>
      <c r="H936" s="65" t="s">
        <v>2024</v>
      </c>
      <c r="I936" s="65" t="s">
        <v>42</v>
      </c>
      <c r="J936" s="65" t="s">
        <v>28</v>
      </c>
      <c r="K936" s="48">
        <f t="shared" si="223"/>
        <v>8</v>
      </c>
      <c r="L936" s="48">
        <f t="shared" si="224"/>
        <v>68</v>
      </c>
      <c r="N936" s="72">
        <f t="shared" si="227"/>
        <v>1</v>
      </c>
      <c r="O936" s="50">
        <f t="shared" si="228"/>
        <v>13.8</v>
      </c>
      <c r="P936" s="56">
        <f t="shared" si="225"/>
        <v>24</v>
      </c>
      <c r="S936" s="200" t="s">
        <v>2025</v>
      </c>
      <c r="T936" s="201">
        <v>28</v>
      </c>
      <c r="U936" s="58" t="s">
        <v>2003</v>
      </c>
      <c r="V936" s="46"/>
      <c r="W936" s="46"/>
      <c r="X936" s="62" t="s">
        <v>25</v>
      </c>
      <c r="Y936" s="63">
        <f t="shared" si="216"/>
        <v>13.8</v>
      </c>
      <c r="Z936" s="64">
        <f t="shared" si="226"/>
        <v>0</v>
      </c>
    </row>
    <row r="937" spans="1:26" ht="15.75" customHeight="1">
      <c r="A937" s="63">
        <v>20260055</v>
      </c>
      <c r="B937" s="65" t="s">
        <v>173</v>
      </c>
      <c r="C937" s="66">
        <v>46079</v>
      </c>
      <c r="E937" s="63">
        <v>1</v>
      </c>
      <c r="F937" s="68">
        <v>8.0299999999999994</v>
      </c>
      <c r="G937" s="69">
        <v>24</v>
      </c>
      <c r="H937" s="65" t="s">
        <v>717</v>
      </c>
      <c r="I937" s="65" t="s">
        <v>42</v>
      </c>
      <c r="J937" s="65" t="s">
        <v>28</v>
      </c>
      <c r="K937" s="48">
        <f t="shared" si="223"/>
        <v>8</v>
      </c>
      <c r="L937" s="48">
        <f t="shared" si="224"/>
        <v>68</v>
      </c>
      <c r="N937" s="72">
        <f t="shared" si="227"/>
        <v>1</v>
      </c>
      <c r="O937" s="50">
        <f t="shared" si="228"/>
        <v>8.0299999999999994</v>
      </c>
      <c r="P937" s="56">
        <f t="shared" si="225"/>
        <v>24</v>
      </c>
      <c r="S937" s="200" t="s">
        <v>2026</v>
      </c>
      <c r="T937" s="201">
        <v>29</v>
      </c>
      <c r="U937" s="58" t="s">
        <v>2027</v>
      </c>
      <c r="V937" s="46"/>
      <c r="W937" s="46"/>
      <c r="X937" s="62" t="s">
        <v>25</v>
      </c>
      <c r="Y937" s="63">
        <f t="shared" si="216"/>
        <v>8.0299999999999994</v>
      </c>
      <c r="Z937" s="64">
        <f t="shared" si="226"/>
        <v>0</v>
      </c>
    </row>
    <row r="938" spans="1:26" ht="15.75" customHeight="1">
      <c r="A938" s="63">
        <v>20260055</v>
      </c>
      <c r="B938" s="65" t="s">
        <v>173</v>
      </c>
      <c r="C938" s="66">
        <v>46079</v>
      </c>
      <c r="E938" s="63">
        <v>1</v>
      </c>
      <c r="F938" s="68">
        <v>0</v>
      </c>
      <c r="G938" s="69">
        <v>5</v>
      </c>
      <c r="H938" s="65" t="s">
        <v>717</v>
      </c>
      <c r="I938" s="65" t="s">
        <v>24</v>
      </c>
      <c r="J938" s="65" t="s">
        <v>24</v>
      </c>
      <c r="K938" s="48">
        <f t="shared" si="223"/>
        <v>8</v>
      </c>
      <c r="L938" s="48">
        <f t="shared" si="224"/>
        <v>68</v>
      </c>
      <c r="N938" s="72">
        <f t="shared" si="227"/>
        <v>1</v>
      </c>
      <c r="O938" s="50">
        <f t="shared" si="228"/>
        <v>0</v>
      </c>
      <c r="P938" s="56">
        <f t="shared" si="225"/>
        <v>5</v>
      </c>
      <c r="S938" s="200" t="s">
        <v>2026</v>
      </c>
      <c r="T938" s="201">
        <v>29</v>
      </c>
      <c r="U938" s="58"/>
      <c r="V938" s="46"/>
      <c r="W938" s="46"/>
      <c r="X938" s="62" t="s">
        <v>25</v>
      </c>
      <c r="Y938" s="63">
        <f t="shared" si="216"/>
        <v>0</v>
      </c>
      <c r="Z938" s="64">
        <f t="shared" si="226"/>
        <v>0</v>
      </c>
    </row>
    <row r="939" spans="1:26" ht="15.75" customHeight="1">
      <c r="A939" s="63">
        <v>20260055</v>
      </c>
      <c r="B939" s="65" t="s">
        <v>173</v>
      </c>
      <c r="C939" s="66">
        <v>46079</v>
      </c>
      <c r="E939" s="63">
        <v>1</v>
      </c>
      <c r="F939" s="68">
        <v>8.0299999999999994</v>
      </c>
      <c r="G939" s="69">
        <v>24</v>
      </c>
      <c r="H939" s="65" t="s">
        <v>1373</v>
      </c>
      <c r="I939" s="65" t="s">
        <v>42</v>
      </c>
      <c r="J939" s="65" t="s">
        <v>28</v>
      </c>
      <c r="K939" s="48">
        <f t="shared" si="223"/>
        <v>8</v>
      </c>
      <c r="L939" s="48">
        <f t="shared" si="224"/>
        <v>68</v>
      </c>
      <c r="N939" s="72">
        <f t="shared" si="227"/>
        <v>1</v>
      </c>
      <c r="O939" s="50">
        <f t="shared" si="228"/>
        <v>8.0299999999999994</v>
      </c>
      <c r="P939" s="56">
        <f t="shared" si="225"/>
        <v>24</v>
      </c>
      <c r="S939" s="200" t="s">
        <v>2028</v>
      </c>
      <c r="T939" s="201">
        <v>30</v>
      </c>
      <c r="U939" s="58" t="s">
        <v>2029</v>
      </c>
      <c r="V939" s="46"/>
      <c r="W939" s="46"/>
      <c r="X939" s="62" t="s">
        <v>25</v>
      </c>
      <c r="Y939" s="63">
        <f t="shared" si="216"/>
        <v>8.0299999999999994</v>
      </c>
      <c r="Z939" s="64">
        <f t="shared" si="226"/>
        <v>0</v>
      </c>
    </row>
    <row r="940" spans="1:26" ht="15.75" customHeight="1">
      <c r="A940" s="63">
        <v>20260055</v>
      </c>
      <c r="B940" s="65" t="s">
        <v>173</v>
      </c>
      <c r="C940" s="66">
        <v>46079</v>
      </c>
      <c r="E940" s="63">
        <v>1</v>
      </c>
      <c r="F940" s="68">
        <v>0</v>
      </c>
      <c r="G940" s="69">
        <v>5</v>
      </c>
      <c r="H940" s="65" t="s">
        <v>1373</v>
      </c>
      <c r="I940" s="65" t="s">
        <v>24</v>
      </c>
      <c r="J940" s="65" t="s">
        <v>24</v>
      </c>
      <c r="K940" s="48">
        <f t="shared" si="223"/>
        <v>8</v>
      </c>
      <c r="L940" s="48">
        <f t="shared" si="224"/>
        <v>68</v>
      </c>
      <c r="N940" s="72">
        <f t="shared" si="227"/>
        <v>1</v>
      </c>
      <c r="O940" s="50">
        <f t="shared" si="228"/>
        <v>0</v>
      </c>
      <c r="P940" s="56">
        <f t="shared" si="225"/>
        <v>5</v>
      </c>
      <c r="S940" s="200" t="s">
        <v>2028</v>
      </c>
      <c r="T940" s="201">
        <v>30</v>
      </c>
      <c r="U940" s="58"/>
      <c r="V940" s="46"/>
      <c r="W940" s="46"/>
      <c r="X940" s="62" t="s">
        <v>25</v>
      </c>
      <c r="Y940" s="63">
        <f t="shared" si="216"/>
        <v>0</v>
      </c>
      <c r="Z940" s="64">
        <f t="shared" si="226"/>
        <v>0</v>
      </c>
    </row>
    <row r="941" spans="1:26" ht="15.75" customHeight="1">
      <c r="A941" s="63">
        <v>20260055</v>
      </c>
      <c r="B941" s="65" t="s">
        <v>173</v>
      </c>
      <c r="C941" s="66">
        <v>46079</v>
      </c>
      <c r="E941" s="63">
        <v>1</v>
      </c>
      <c r="F941" s="68">
        <v>8.0299999999999994</v>
      </c>
      <c r="G941" s="69">
        <v>24</v>
      </c>
      <c r="H941" s="65" t="s">
        <v>2030</v>
      </c>
      <c r="I941" s="65" t="s">
        <v>42</v>
      </c>
      <c r="J941" s="65" t="s">
        <v>28</v>
      </c>
      <c r="K941" s="48">
        <f t="shared" si="223"/>
        <v>8</v>
      </c>
      <c r="L941" s="48">
        <f t="shared" si="224"/>
        <v>68</v>
      </c>
      <c r="N941" s="72">
        <f t="shared" si="227"/>
        <v>1</v>
      </c>
      <c r="O941" s="50">
        <f t="shared" si="228"/>
        <v>8.0299999999999994</v>
      </c>
      <c r="P941" s="56">
        <f t="shared" si="225"/>
        <v>24</v>
      </c>
      <c r="S941" s="200" t="s">
        <v>2031</v>
      </c>
      <c r="T941" s="201">
        <v>31</v>
      </c>
      <c r="U941" s="58" t="s">
        <v>2029</v>
      </c>
      <c r="V941" s="46"/>
      <c r="W941" s="46"/>
      <c r="X941" s="62" t="s">
        <v>25</v>
      </c>
      <c r="Y941" s="63">
        <f t="shared" si="216"/>
        <v>8.0299999999999994</v>
      </c>
      <c r="Z941" s="64">
        <f t="shared" si="226"/>
        <v>0</v>
      </c>
    </row>
    <row r="942" spans="1:26" ht="15.75" customHeight="1">
      <c r="A942" s="63">
        <v>20260055</v>
      </c>
      <c r="B942" s="65" t="s">
        <v>173</v>
      </c>
      <c r="C942" s="66">
        <v>46079</v>
      </c>
      <c r="E942" s="63">
        <v>1</v>
      </c>
      <c r="F942" s="68">
        <v>0</v>
      </c>
      <c r="G942" s="69">
        <v>5</v>
      </c>
      <c r="H942" s="65" t="s">
        <v>2030</v>
      </c>
      <c r="I942" s="65" t="s">
        <v>24</v>
      </c>
      <c r="J942" s="65" t="s">
        <v>24</v>
      </c>
      <c r="K942" s="48">
        <f t="shared" si="223"/>
        <v>8</v>
      </c>
      <c r="L942" s="48">
        <f t="shared" si="224"/>
        <v>68</v>
      </c>
      <c r="N942" s="72">
        <f t="shared" si="227"/>
        <v>1</v>
      </c>
      <c r="O942" s="50">
        <f t="shared" si="228"/>
        <v>0</v>
      </c>
      <c r="P942" s="56">
        <f t="shared" si="225"/>
        <v>5</v>
      </c>
      <c r="S942" s="200" t="s">
        <v>2031</v>
      </c>
      <c r="T942" s="201">
        <v>31</v>
      </c>
      <c r="U942" s="58"/>
      <c r="V942" s="46"/>
      <c r="W942" s="46"/>
      <c r="X942" s="62" t="s">
        <v>25</v>
      </c>
      <c r="Y942" s="63">
        <f t="shared" si="216"/>
        <v>0</v>
      </c>
      <c r="Z942" s="64">
        <f t="shared" si="226"/>
        <v>0</v>
      </c>
    </row>
    <row r="943" spans="1:26" ht="15.75" customHeight="1">
      <c r="A943" s="106">
        <v>20260055</v>
      </c>
      <c r="B943" s="107" t="s">
        <v>173</v>
      </c>
      <c r="C943" s="108">
        <v>46079</v>
      </c>
      <c r="D943" s="108"/>
      <c r="E943" s="106">
        <v>1</v>
      </c>
      <c r="F943" s="106">
        <v>12.53</v>
      </c>
      <c r="G943" s="106">
        <v>24</v>
      </c>
      <c r="H943" s="107" t="s">
        <v>1382</v>
      </c>
      <c r="I943" s="107" t="s">
        <v>42</v>
      </c>
      <c r="J943" s="107" t="s">
        <v>28</v>
      </c>
      <c r="K943" s="108">
        <f t="shared" si="223"/>
        <v>8</v>
      </c>
      <c r="L943" s="108">
        <f t="shared" si="224"/>
        <v>68</v>
      </c>
      <c r="M943" s="107"/>
      <c r="N943" s="112">
        <f>E943-1</f>
        <v>0</v>
      </c>
      <c r="O943" s="113">
        <f t="shared" si="228"/>
        <v>0</v>
      </c>
      <c r="P943" s="112">
        <f t="shared" si="225"/>
        <v>0</v>
      </c>
      <c r="Q943" s="109"/>
      <c r="R943" s="107"/>
      <c r="S943" s="109" t="s">
        <v>2032</v>
      </c>
      <c r="T943" s="114">
        <v>32</v>
      </c>
      <c r="U943" s="109" t="s">
        <v>2033</v>
      </c>
      <c r="V943" s="106"/>
      <c r="W943" s="106"/>
      <c r="X943" s="106" t="s">
        <v>55</v>
      </c>
      <c r="Y943" s="63">
        <f t="shared" si="216"/>
        <v>12.53</v>
      </c>
      <c r="Z943" s="64">
        <f t="shared" si="226"/>
        <v>1</v>
      </c>
    </row>
    <row r="944" spans="1:26" ht="15.75" customHeight="1">
      <c r="A944" s="63">
        <v>20260055</v>
      </c>
      <c r="B944" s="65" t="s">
        <v>173</v>
      </c>
      <c r="C944" s="66">
        <v>46079</v>
      </c>
      <c r="E944" s="63">
        <v>2</v>
      </c>
      <c r="F944" s="68">
        <v>34</v>
      </c>
      <c r="G944" s="69">
        <v>48</v>
      </c>
      <c r="H944" s="65" t="s">
        <v>2034</v>
      </c>
      <c r="I944" s="65" t="s">
        <v>208</v>
      </c>
      <c r="J944" s="65" t="s">
        <v>26</v>
      </c>
      <c r="K944" s="48">
        <f t="shared" si="223"/>
        <v>8</v>
      </c>
      <c r="L944" s="48">
        <f t="shared" si="224"/>
        <v>68</v>
      </c>
      <c r="N944" s="72">
        <f t="shared" si="227"/>
        <v>2</v>
      </c>
      <c r="O944" s="50">
        <f t="shared" si="228"/>
        <v>34</v>
      </c>
      <c r="P944" s="56">
        <f t="shared" si="225"/>
        <v>48</v>
      </c>
      <c r="S944" s="200" t="s">
        <v>2035</v>
      </c>
      <c r="T944" s="201">
        <v>33</v>
      </c>
      <c r="U944" s="58" t="s">
        <v>2036</v>
      </c>
      <c r="V944" s="46"/>
      <c r="W944" s="46"/>
      <c r="X944" s="62" t="s">
        <v>25</v>
      </c>
      <c r="Y944" s="63">
        <f t="shared" si="216"/>
        <v>17</v>
      </c>
      <c r="Z944" s="64">
        <f t="shared" si="226"/>
        <v>0</v>
      </c>
    </row>
    <row r="945" spans="1:26" ht="15.75" customHeight="1">
      <c r="A945" s="63">
        <v>20260055</v>
      </c>
      <c r="B945" s="65" t="s">
        <v>173</v>
      </c>
      <c r="C945" s="66">
        <v>46079</v>
      </c>
      <c r="E945" s="63">
        <v>1</v>
      </c>
      <c r="F945" s="68">
        <v>21.7</v>
      </c>
      <c r="G945" s="69">
        <v>24</v>
      </c>
      <c r="H945" s="65" t="s">
        <v>2037</v>
      </c>
      <c r="I945" s="65" t="s">
        <v>194</v>
      </c>
      <c r="J945" s="65" t="s">
        <v>26</v>
      </c>
      <c r="K945" s="48">
        <f t="shared" si="223"/>
        <v>8</v>
      </c>
      <c r="L945" s="48">
        <f t="shared" si="224"/>
        <v>68</v>
      </c>
      <c r="N945" s="72">
        <f t="shared" si="227"/>
        <v>1</v>
      </c>
      <c r="O945" s="50">
        <f t="shared" si="228"/>
        <v>21.7</v>
      </c>
      <c r="P945" s="56">
        <f t="shared" si="225"/>
        <v>24</v>
      </c>
      <c r="S945" s="200" t="s">
        <v>2038</v>
      </c>
      <c r="T945" s="201">
        <v>34</v>
      </c>
      <c r="U945" s="58" t="s">
        <v>2039</v>
      </c>
      <c r="V945" s="46"/>
      <c r="W945" s="46"/>
      <c r="X945" s="62" t="s">
        <v>25</v>
      </c>
      <c r="Y945" s="63">
        <f t="shared" si="216"/>
        <v>21.7</v>
      </c>
      <c r="Z945" s="64">
        <f t="shared" si="226"/>
        <v>0</v>
      </c>
    </row>
    <row r="946" spans="1:26" ht="15.75" customHeight="1">
      <c r="A946" s="106">
        <v>20260055</v>
      </c>
      <c r="B946" s="107" t="s">
        <v>173</v>
      </c>
      <c r="C946" s="108">
        <v>46079</v>
      </c>
      <c r="D946" s="108"/>
      <c r="E946" s="106">
        <v>1</v>
      </c>
      <c r="F946" s="106">
        <v>33.799999999999997</v>
      </c>
      <c r="G946" s="106">
        <v>24</v>
      </c>
      <c r="H946" s="107" t="s">
        <v>2040</v>
      </c>
      <c r="I946" s="107" t="s">
        <v>194</v>
      </c>
      <c r="J946" s="107" t="s">
        <v>26</v>
      </c>
      <c r="K946" s="108">
        <f t="shared" si="223"/>
        <v>8</v>
      </c>
      <c r="L946" s="108">
        <f t="shared" si="224"/>
        <v>68</v>
      </c>
      <c r="M946" s="107"/>
      <c r="N946" s="112">
        <f>E946-1</f>
        <v>0</v>
      </c>
      <c r="O946" s="113">
        <f t="shared" si="228"/>
        <v>0</v>
      </c>
      <c r="P946" s="112">
        <f t="shared" si="225"/>
        <v>0</v>
      </c>
      <c r="Q946" s="109"/>
      <c r="R946" s="107"/>
      <c r="S946" s="109" t="s">
        <v>2041</v>
      </c>
      <c r="T946" s="114">
        <v>35</v>
      </c>
      <c r="U946" s="109" t="s">
        <v>2042</v>
      </c>
      <c r="V946" s="106"/>
      <c r="W946" s="106"/>
      <c r="X946" s="106" t="s">
        <v>55</v>
      </c>
      <c r="Y946" s="63">
        <f t="shared" si="216"/>
        <v>33.799999999999997</v>
      </c>
      <c r="Z946" s="64">
        <f t="shared" si="226"/>
        <v>1</v>
      </c>
    </row>
    <row r="947" spans="1:26" ht="15.75" customHeight="1">
      <c r="A947" s="106">
        <v>20260055</v>
      </c>
      <c r="B947" s="107" t="s">
        <v>173</v>
      </c>
      <c r="C947" s="108">
        <v>46079</v>
      </c>
      <c r="D947" s="108"/>
      <c r="E947" s="106">
        <v>1</v>
      </c>
      <c r="F947" s="106">
        <v>0</v>
      </c>
      <c r="G947" s="106">
        <v>5</v>
      </c>
      <c r="H947" s="107" t="s">
        <v>2040</v>
      </c>
      <c r="I947" s="107" t="s">
        <v>24</v>
      </c>
      <c r="J947" s="107" t="s">
        <v>24</v>
      </c>
      <c r="K947" s="108">
        <f t="shared" si="223"/>
        <v>8</v>
      </c>
      <c r="L947" s="108">
        <f t="shared" si="224"/>
        <v>68</v>
      </c>
      <c r="M947" s="107"/>
      <c r="N947" s="112">
        <f>E947-1</f>
        <v>0</v>
      </c>
      <c r="O947" s="113">
        <f t="shared" si="228"/>
        <v>0</v>
      </c>
      <c r="P947" s="112">
        <f t="shared" si="225"/>
        <v>0</v>
      </c>
      <c r="Q947" s="109"/>
      <c r="R947" s="107"/>
      <c r="S947" s="109" t="s">
        <v>2041</v>
      </c>
      <c r="T947" s="114">
        <v>35</v>
      </c>
      <c r="U947" s="109"/>
      <c r="V947" s="106"/>
      <c r="W947" s="106"/>
      <c r="X947" s="106" t="s">
        <v>55</v>
      </c>
      <c r="Y947" s="63">
        <f t="shared" si="216"/>
        <v>0</v>
      </c>
      <c r="Z947" s="64">
        <f t="shared" si="226"/>
        <v>1</v>
      </c>
    </row>
    <row r="948" spans="1:26" ht="15.75" customHeight="1">
      <c r="A948" s="106">
        <v>20260055</v>
      </c>
      <c r="B948" s="107" t="s">
        <v>173</v>
      </c>
      <c r="C948" s="108">
        <v>46079</v>
      </c>
      <c r="D948" s="108"/>
      <c r="E948" s="106">
        <v>1</v>
      </c>
      <c r="F948" s="106">
        <v>34</v>
      </c>
      <c r="G948" s="106">
        <v>24</v>
      </c>
      <c r="H948" s="107" t="s">
        <v>816</v>
      </c>
      <c r="I948" s="107" t="s">
        <v>194</v>
      </c>
      <c r="J948" s="107" t="s">
        <v>26</v>
      </c>
      <c r="K948" s="108">
        <f t="shared" si="223"/>
        <v>8</v>
      </c>
      <c r="L948" s="108">
        <f t="shared" si="224"/>
        <v>68</v>
      </c>
      <c r="M948" s="107"/>
      <c r="N948" s="112">
        <f>E948-1</f>
        <v>0</v>
      </c>
      <c r="O948" s="113">
        <f t="shared" si="228"/>
        <v>0</v>
      </c>
      <c r="P948" s="112">
        <f t="shared" si="225"/>
        <v>0</v>
      </c>
      <c r="Q948" s="109"/>
      <c r="R948" s="107"/>
      <c r="S948" s="109" t="s">
        <v>2043</v>
      </c>
      <c r="T948" s="114">
        <v>36</v>
      </c>
      <c r="U948" s="109" t="s">
        <v>2044</v>
      </c>
      <c r="V948" s="106"/>
      <c r="W948" s="106"/>
      <c r="X948" s="106" t="s">
        <v>55</v>
      </c>
      <c r="Y948" s="63">
        <f t="shared" ref="Y948:Y1011" si="229">F948/E948</f>
        <v>34</v>
      </c>
      <c r="Z948" s="64">
        <f t="shared" si="226"/>
        <v>1</v>
      </c>
    </row>
    <row r="949" spans="1:26" ht="15.75" customHeight="1">
      <c r="A949" s="106">
        <v>20260055</v>
      </c>
      <c r="B949" s="107" t="s">
        <v>173</v>
      </c>
      <c r="C949" s="108">
        <v>46079</v>
      </c>
      <c r="D949" s="108"/>
      <c r="E949" s="106">
        <v>1</v>
      </c>
      <c r="F949" s="106">
        <v>0</v>
      </c>
      <c r="G949" s="106">
        <v>5</v>
      </c>
      <c r="H949" s="107" t="s">
        <v>816</v>
      </c>
      <c r="I949" s="107" t="s">
        <v>24</v>
      </c>
      <c r="J949" s="107" t="s">
        <v>24</v>
      </c>
      <c r="K949" s="108">
        <f t="shared" si="223"/>
        <v>8</v>
      </c>
      <c r="L949" s="108">
        <f t="shared" si="224"/>
        <v>68</v>
      </c>
      <c r="M949" s="107"/>
      <c r="N949" s="112">
        <f>E949-1</f>
        <v>0</v>
      </c>
      <c r="O949" s="113">
        <f t="shared" si="228"/>
        <v>0</v>
      </c>
      <c r="P949" s="112">
        <f t="shared" si="225"/>
        <v>0</v>
      </c>
      <c r="Q949" s="109"/>
      <c r="R949" s="107"/>
      <c r="S949" s="109" t="s">
        <v>2043</v>
      </c>
      <c r="T949" s="114">
        <v>36</v>
      </c>
      <c r="U949" s="109"/>
      <c r="V949" s="106"/>
      <c r="W949" s="106"/>
      <c r="X949" s="106" t="s">
        <v>55</v>
      </c>
      <c r="Y949" s="63">
        <f t="shared" si="229"/>
        <v>0</v>
      </c>
      <c r="Z949" s="64">
        <f t="shared" si="226"/>
        <v>1</v>
      </c>
    </row>
    <row r="950" spans="1:26" ht="15.75" customHeight="1">
      <c r="A950" s="63">
        <v>20260055</v>
      </c>
      <c r="B950" s="65" t="s">
        <v>173</v>
      </c>
      <c r="C950" s="66">
        <v>46079</v>
      </c>
      <c r="E950" s="63">
        <v>1</v>
      </c>
      <c r="F950" s="68">
        <v>10</v>
      </c>
      <c r="G950" s="69">
        <v>24</v>
      </c>
      <c r="H950" s="65" t="s">
        <v>2045</v>
      </c>
      <c r="I950" s="65" t="s">
        <v>2046</v>
      </c>
      <c r="J950" s="65" t="s">
        <v>26</v>
      </c>
      <c r="K950" s="48">
        <f t="shared" si="223"/>
        <v>8</v>
      </c>
      <c r="L950" s="48">
        <f t="shared" si="224"/>
        <v>68</v>
      </c>
      <c r="N950" s="72">
        <f t="shared" si="227"/>
        <v>1</v>
      </c>
      <c r="O950" s="50">
        <f t="shared" si="228"/>
        <v>10</v>
      </c>
      <c r="P950" s="56">
        <f t="shared" si="225"/>
        <v>24</v>
      </c>
      <c r="S950" s="200" t="s">
        <v>2047</v>
      </c>
      <c r="T950" s="201">
        <v>37</v>
      </c>
      <c r="U950" s="58" t="s">
        <v>2048</v>
      </c>
      <c r="V950" s="46"/>
      <c r="W950" s="46"/>
      <c r="X950" s="62" t="s">
        <v>25</v>
      </c>
      <c r="Y950" s="63">
        <f t="shared" si="229"/>
        <v>10</v>
      </c>
      <c r="Z950" s="64">
        <f t="shared" si="226"/>
        <v>0</v>
      </c>
    </row>
    <row r="951" spans="1:26" ht="15.75" customHeight="1">
      <c r="A951" s="63">
        <v>20260055</v>
      </c>
      <c r="B951" s="65" t="s">
        <v>173</v>
      </c>
      <c r="C951" s="66">
        <v>46079</v>
      </c>
      <c r="E951" s="63">
        <v>1</v>
      </c>
      <c r="F951" s="68">
        <v>19</v>
      </c>
      <c r="G951" s="69">
        <v>24</v>
      </c>
      <c r="H951" s="65" t="s">
        <v>2045</v>
      </c>
      <c r="I951" s="65" t="s">
        <v>208</v>
      </c>
      <c r="J951" s="65" t="s">
        <v>26</v>
      </c>
      <c r="K951" s="48">
        <f t="shared" si="223"/>
        <v>8</v>
      </c>
      <c r="L951" s="48">
        <f t="shared" si="224"/>
        <v>68</v>
      </c>
      <c r="N951" s="72">
        <f t="shared" si="227"/>
        <v>1</v>
      </c>
      <c r="O951" s="50">
        <f t="shared" si="228"/>
        <v>19</v>
      </c>
      <c r="P951" s="56">
        <f t="shared" si="225"/>
        <v>24</v>
      </c>
      <c r="S951" s="200" t="s">
        <v>2047</v>
      </c>
      <c r="T951" s="201">
        <v>37</v>
      </c>
      <c r="U951" s="58"/>
      <c r="V951" s="46"/>
      <c r="W951" s="46"/>
      <c r="X951" s="62" t="s">
        <v>25</v>
      </c>
      <c r="Y951" s="63">
        <f t="shared" si="229"/>
        <v>19</v>
      </c>
      <c r="Z951" s="64">
        <f t="shared" si="226"/>
        <v>0</v>
      </c>
    </row>
    <row r="952" spans="1:26" ht="15.75" customHeight="1">
      <c r="A952" s="63">
        <v>20260055</v>
      </c>
      <c r="B952" s="65" t="s">
        <v>173</v>
      </c>
      <c r="C952" s="66">
        <v>46079</v>
      </c>
      <c r="E952" s="63">
        <v>2</v>
      </c>
      <c r="F952" s="68">
        <v>0</v>
      </c>
      <c r="G952" s="69">
        <v>10</v>
      </c>
      <c r="H952" s="65" t="s">
        <v>2045</v>
      </c>
      <c r="I952" s="65" t="s">
        <v>24</v>
      </c>
      <c r="J952" s="65" t="s">
        <v>24</v>
      </c>
      <c r="K952" s="48">
        <f t="shared" si="223"/>
        <v>8</v>
      </c>
      <c r="L952" s="48">
        <f t="shared" si="224"/>
        <v>68</v>
      </c>
      <c r="N952" s="72">
        <f t="shared" si="227"/>
        <v>2</v>
      </c>
      <c r="O952" s="50">
        <f t="shared" si="228"/>
        <v>0</v>
      </c>
      <c r="P952" s="56">
        <f t="shared" si="225"/>
        <v>10</v>
      </c>
      <c r="S952" s="200" t="s">
        <v>2047</v>
      </c>
      <c r="T952" s="201">
        <v>37</v>
      </c>
      <c r="U952" s="58"/>
      <c r="V952" s="46"/>
      <c r="W952" s="46"/>
      <c r="X952" s="62" t="s">
        <v>25</v>
      </c>
      <c r="Y952" s="63">
        <f t="shared" si="229"/>
        <v>0</v>
      </c>
      <c r="Z952" s="64">
        <f t="shared" si="226"/>
        <v>0</v>
      </c>
    </row>
    <row r="953" spans="1:26" ht="15.75" customHeight="1">
      <c r="A953" s="106">
        <v>20260055</v>
      </c>
      <c r="B953" s="107" t="s">
        <v>173</v>
      </c>
      <c r="C953" s="108">
        <v>46079</v>
      </c>
      <c r="D953" s="108"/>
      <c r="E953" s="106">
        <v>1</v>
      </c>
      <c r="F953" s="106">
        <v>12.67</v>
      </c>
      <c r="G953" s="106">
        <v>24</v>
      </c>
      <c r="H953" s="107" t="s">
        <v>2049</v>
      </c>
      <c r="I953" s="107" t="s">
        <v>42</v>
      </c>
      <c r="J953" s="107" t="s">
        <v>28</v>
      </c>
      <c r="K953" s="108">
        <f t="shared" si="223"/>
        <v>8</v>
      </c>
      <c r="L953" s="108">
        <f t="shared" si="224"/>
        <v>68</v>
      </c>
      <c r="M953" s="107"/>
      <c r="N953" s="112">
        <f>E953-1</f>
        <v>0</v>
      </c>
      <c r="O953" s="113">
        <f t="shared" si="228"/>
        <v>0</v>
      </c>
      <c r="P953" s="112">
        <f t="shared" si="225"/>
        <v>0</v>
      </c>
      <c r="Q953" s="109"/>
      <c r="R953" s="107"/>
      <c r="S953" s="109" t="s">
        <v>2050</v>
      </c>
      <c r="T953" s="114">
        <v>38</v>
      </c>
      <c r="U953" s="109" t="s">
        <v>2051</v>
      </c>
      <c r="V953" s="106"/>
      <c r="W953" s="106"/>
      <c r="X953" s="106" t="s">
        <v>55</v>
      </c>
      <c r="Y953" s="63">
        <f t="shared" si="229"/>
        <v>12.67</v>
      </c>
      <c r="Z953" s="64">
        <f t="shared" si="226"/>
        <v>1</v>
      </c>
    </row>
    <row r="954" spans="1:26" ht="15.75" customHeight="1">
      <c r="A954" s="63">
        <v>20260055</v>
      </c>
      <c r="B954" s="65" t="s">
        <v>173</v>
      </c>
      <c r="C954" s="66">
        <v>46079</v>
      </c>
      <c r="E954" s="63">
        <v>1</v>
      </c>
      <c r="F954" s="68">
        <v>12.47</v>
      </c>
      <c r="G954" s="69">
        <v>24</v>
      </c>
      <c r="H954" s="65" t="s">
        <v>2052</v>
      </c>
      <c r="I954" s="65" t="s">
        <v>42</v>
      </c>
      <c r="J954" s="65" t="s">
        <v>28</v>
      </c>
      <c r="K954" s="48">
        <f t="shared" si="223"/>
        <v>8</v>
      </c>
      <c r="L954" s="48">
        <f t="shared" si="224"/>
        <v>68</v>
      </c>
      <c r="N954" s="72">
        <f t="shared" si="227"/>
        <v>1</v>
      </c>
      <c r="O954" s="50">
        <f t="shared" si="228"/>
        <v>12.47</v>
      </c>
      <c r="P954" s="56">
        <f t="shared" si="225"/>
        <v>24</v>
      </c>
      <c r="S954" s="200" t="s">
        <v>2053</v>
      </c>
      <c r="T954" s="201">
        <v>39</v>
      </c>
      <c r="U954" s="58" t="s">
        <v>2054</v>
      </c>
      <c r="V954" s="46"/>
      <c r="W954" s="46"/>
      <c r="X954" s="62" t="s">
        <v>25</v>
      </c>
      <c r="Y954" s="63">
        <f t="shared" si="229"/>
        <v>12.47</v>
      </c>
      <c r="Z954" s="64">
        <f t="shared" si="226"/>
        <v>0</v>
      </c>
    </row>
    <row r="955" spans="1:26" ht="15.75" customHeight="1">
      <c r="A955" s="106">
        <v>20260055</v>
      </c>
      <c r="B955" s="107" t="s">
        <v>173</v>
      </c>
      <c r="C955" s="108">
        <v>46079</v>
      </c>
      <c r="D955" s="108"/>
      <c r="E955" s="106">
        <v>1</v>
      </c>
      <c r="F955" s="106">
        <v>11.67</v>
      </c>
      <c r="G955" s="106">
        <v>24</v>
      </c>
      <c r="H955" s="107" t="s">
        <v>2055</v>
      </c>
      <c r="I955" s="107" t="s">
        <v>42</v>
      </c>
      <c r="J955" s="107" t="s">
        <v>28</v>
      </c>
      <c r="K955" s="108">
        <f t="shared" si="223"/>
        <v>8</v>
      </c>
      <c r="L955" s="108">
        <f t="shared" si="224"/>
        <v>68</v>
      </c>
      <c r="M955" s="107"/>
      <c r="N955" s="112">
        <f>E955-1</f>
        <v>0</v>
      </c>
      <c r="O955" s="113">
        <f t="shared" si="228"/>
        <v>0</v>
      </c>
      <c r="P955" s="112">
        <f t="shared" si="225"/>
        <v>0</v>
      </c>
      <c r="Q955" s="109"/>
      <c r="R955" s="107"/>
      <c r="S955" s="109" t="s">
        <v>2056</v>
      </c>
      <c r="T955" s="114">
        <v>40</v>
      </c>
      <c r="U955" s="109" t="s">
        <v>2057</v>
      </c>
      <c r="V955" s="106"/>
      <c r="W955" s="106"/>
      <c r="X955" s="106" t="s">
        <v>55</v>
      </c>
      <c r="Y955" s="63">
        <f t="shared" si="229"/>
        <v>11.67</v>
      </c>
    </row>
    <row r="956" spans="1:26" ht="15.75" customHeight="1">
      <c r="A956" s="106">
        <v>20260055</v>
      </c>
      <c r="B956" s="107" t="s">
        <v>173</v>
      </c>
      <c r="C956" s="108">
        <v>46079</v>
      </c>
      <c r="D956" s="108"/>
      <c r="E956" s="106">
        <v>1</v>
      </c>
      <c r="F956" s="106">
        <v>11.67</v>
      </c>
      <c r="G956" s="106">
        <v>24</v>
      </c>
      <c r="H956" s="107" t="s">
        <v>2058</v>
      </c>
      <c r="I956" s="107" t="s">
        <v>42</v>
      </c>
      <c r="J956" s="107" t="s">
        <v>28</v>
      </c>
      <c r="K956" s="108">
        <f t="shared" si="223"/>
        <v>8</v>
      </c>
      <c r="L956" s="108">
        <f t="shared" si="224"/>
        <v>68</v>
      </c>
      <c r="M956" s="107"/>
      <c r="N956" s="112">
        <f>E956-1</f>
        <v>0</v>
      </c>
      <c r="O956" s="113">
        <f t="shared" si="228"/>
        <v>0</v>
      </c>
      <c r="P956" s="112">
        <f t="shared" si="225"/>
        <v>0</v>
      </c>
      <c r="Q956" s="109"/>
      <c r="R956" s="107"/>
      <c r="S956" s="109" t="s">
        <v>2059</v>
      </c>
      <c r="T956" s="114">
        <v>41</v>
      </c>
      <c r="U956" s="109" t="s">
        <v>2060</v>
      </c>
      <c r="V956" s="106"/>
      <c r="W956" s="106"/>
      <c r="X956" s="106" t="s">
        <v>55</v>
      </c>
      <c r="Y956" s="63">
        <f t="shared" si="229"/>
        <v>11.67</v>
      </c>
      <c r="Z956" s="64">
        <f t="shared" ref="Z956:Z964" si="230">E956-N956</f>
        <v>1</v>
      </c>
    </row>
    <row r="957" spans="1:26" ht="15.75" customHeight="1">
      <c r="A957" s="63">
        <v>20260055</v>
      </c>
      <c r="B957" s="65" t="s">
        <v>173</v>
      </c>
      <c r="C957" s="66">
        <v>46079</v>
      </c>
      <c r="E957" s="63">
        <v>1</v>
      </c>
      <c r="F957" s="68">
        <v>9.24</v>
      </c>
      <c r="G957" s="69">
        <v>24</v>
      </c>
      <c r="H957" s="65" t="s">
        <v>2061</v>
      </c>
      <c r="I957" s="65" t="s">
        <v>63</v>
      </c>
      <c r="J957" s="65" t="s">
        <v>28</v>
      </c>
      <c r="K957" s="48">
        <f t="shared" si="223"/>
        <v>8</v>
      </c>
      <c r="L957" s="48">
        <f t="shared" si="224"/>
        <v>68</v>
      </c>
      <c r="N957" s="72">
        <f t="shared" ref="N957:N982" si="231">E957</f>
        <v>1</v>
      </c>
      <c r="O957" s="50">
        <f t="shared" si="228"/>
        <v>9.24</v>
      </c>
      <c r="P957" s="56">
        <f t="shared" si="225"/>
        <v>24</v>
      </c>
      <c r="S957" s="200" t="s">
        <v>2062</v>
      </c>
      <c r="T957" s="201">
        <v>42</v>
      </c>
      <c r="U957" s="58" t="s">
        <v>2063</v>
      </c>
      <c r="V957" s="46"/>
      <c r="W957" s="46"/>
      <c r="X957" s="62" t="s">
        <v>25</v>
      </c>
      <c r="Y957" s="63">
        <f t="shared" si="229"/>
        <v>9.24</v>
      </c>
      <c r="Z957" s="64">
        <f t="shared" si="230"/>
        <v>0</v>
      </c>
    </row>
    <row r="958" spans="1:26" ht="15.75" customHeight="1">
      <c r="A958" s="63">
        <v>20260055</v>
      </c>
      <c r="B958" s="65" t="s">
        <v>173</v>
      </c>
      <c r="C958" s="66">
        <v>46079</v>
      </c>
      <c r="E958" s="63">
        <v>1</v>
      </c>
      <c r="F958" s="68">
        <v>11.3</v>
      </c>
      <c r="G958" s="69">
        <v>24</v>
      </c>
      <c r="H958" s="65" t="s">
        <v>2064</v>
      </c>
      <c r="I958" s="65" t="s">
        <v>42</v>
      </c>
      <c r="J958" s="65" t="s">
        <v>28</v>
      </c>
      <c r="K958" s="48">
        <f t="shared" si="223"/>
        <v>8</v>
      </c>
      <c r="L958" s="48">
        <f t="shared" si="224"/>
        <v>68</v>
      </c>
      <c r="N958" s="72">
        <f>E958-1</f>
        <v>0</v>
      </c>
      <c r="O958" s="50">
        <f t="shared" si="228"/>
        <v>0</v>
      </c>
      <c r="P958" s="56">
        <f t="shared" si="225"/>
        <v>0</v>
      </c>
      <c r="S958" s="200" t="s">
        <v>2065</v>
      </c>
      <c r="T958" s="201">
        <v>43</v>
      </c>
      <c r="U958" s="58" t="s">
        <v>2066</v>
      </c>
      <c r="V958" s="46"/>
      <c r="W958" s="46"/>
      <c r="X958" s="62" t="s">
        <v>55</v>
      </c>
      <c r="Y958" s="63">
        <f t="shared" si="229"/>
        <v>11.3</v>
      </c>
      <c r="Z958" s="64">
        <f t="shared" si="230"/>
        <v>1</v>
      </c>
    </row>
    <row r="959" spans="1:26" ht="15.75" customHeight="1">
      <c r="A959" s="63">
        <v>20260055</v>
      </c>
      <c r="B959" s="65" t="s">
        <v>173</v>
      </c>
      <c r="C959" s="66">
        <v>46079</v>
      </c>
      <c r="E959" s="63">
        <v>1</v>
      </c>
      <c r="F959" s="68">
        <v>9</v>
      </c>
      <c r="G959" s="69">
        <v>24</v>
      </c>
      <c r="H959" s="65" t="s">
        <v>2067</v>
      </c>
      <c r="I959" s="65" t="s">
        <v>42</v>
      </c>
      <c r="J959" s="65" t="s">
        <v>28</v>
      </c>
      <c r="K959" s="48">
        <f t="shared" si="223"/>
        <v>8</v>
      </c>
      <c r="L959" s="48">
        <f t="shared" si="224"/>
        <v>68</v>
      </c>
      <c r="N959" s="72">
        <f t="shared" si="231"/>
        <v>1</v>
      </c>
      <c r="O959" s="50">
        <f t="shared" si="228"/>
        <v>9</v>
      </c>
      <c r="P959" s="56">
        <f t="shared" si="225"/>
        <v>24</v>
      </c>
      <c r="S959" s="200" t="s">
        <v>2068</v>
      </c>
      <c r="T959" s="201">
        <v>44</v>
      </c>
      <c r="U959" s="58" t="s">
        <v>2069</v>
      </c>
      <c r="V959" s="46"/>
      <c r="W959" s="46"/>
      <c r="X959" s="62" t="s">
        <v>25</v>
      </c>
      <c r="Y959" s="63">
        <f t="shared" si="229"/>
        <v>9</v>
      </c>
      <c r="Z959" s="64">
        <f t="shared" si="230"/>
        <v>0</v>
      </c>
    </row>
    <row r="960" spans="1:26" ht="15.75" customHeight="1">
      <c r="A960" s="63">
        <v>20260055</v>
      </c>
      <c r="B960" s="65" t="s">
        <v>173</v>
      </c>
      <c r="C960" s="66">
        <v>46079</v>
      </c>
      <c r="E960" s="63">
        <v>2</v>
      </c>
      <c r="F960" s="68">
        <v>68</v>
      </c>
      <c r="G960" s="69">
        <v>48</v>
      </c>
      <c r="H960" s="65" t="s">
        <v>2070</v>
      </c>
      <c r="I960" s="65" t="s">
        <v>194</v>
      </c>
      <c r="J960" s="65" t="s">
        <v>26</v>
      </c>
      <c r="K960" s="48">
        <f t="shared" si="223"/>
        <v>8</v>
      </c>
      <c r="L960" s="48">
        <f t="shared" si="224"/>
        <v>68</v>
      </c>
      <c r="N960" s="72">
        <f t="shared" si="231"/>
        <v>2</v>
      </c>
      <c r="O960" s="50">
        <f t="shared" si="228"/>
        <v>68</v>
      </c>
      <c r="P960" s="56">
        <f t="shared" si="225"/>
        <v>48</v>
      </c>
      <c r="S960" s="200" t="s">
        <v>2071</v>
      </c>
      <c r="T960" s="201">
        <v>45</v>
      </c>
      <c r="U960" s="58" t="s">
        <v>2072</v>
      </c>
      <c r="V960" s="46"/>
      <c r="W960" s="46"/>
      <c r="X960" s="62" t="s">
        <v>25</v>
      </c>
      <c r="Y960" s="63">
        <f t="shared" si="229"/>
        <v>34</v>
      </c>
      <c r="Z960" s="64">
        <f t="shared" si="230"/>
        <v>0</v>
      </c>
    </row>
    <row r="961" spans="1:26" ht="15.75" customHeight="1">
      <c r="A961" s="63">
        <v>20260055</v>
      </c>
      <c r="B961" s="65" t="s">
        <v>173</v>
      </c>
      <c r="C961" s="66">
        <v>46079</v>
      </c>
      <c r="E961" s="63">
        <v>2</v>
      </c>
      <c r="F961" s="68">
        <v>0</v>
      </c>
      <c r="G961" s="69">
        <v>10</v>
      </c>
      <c r="H961" s="65" t="s">
        <v>2070</v>
      </c>
      <c r="I961" s="65" t="s">
        <v>24</v>
      </c>
      <c r="J961" s="65" t="s">
        <v>24</v>
      </c>
      <c r="K961" s="48">
        <f t="shared" si="223"/>
        <v>8</v>
      </c>
      <c r="L961" s="48">
        <f t="shared" si="224"/>
        <v>68</v>
      </c>
      <c r="N961" s="72">
        <f t="shared" si="231"/>
        <v>2</v>
      </c>
      <c r="O961" s="50">
        <f t="shared" si="228"/>
        <v>0</v>
      </c>
      <c r="P961" s="56">
        <f t="shared" si="225"/>
        <v>10</v>
      </c>
      <c r="S961" s="200" t="s">
        <v>2071</v>
      </c>
      <c r="T961" s="201">
        <v>45</v>
      </c>
      <c r="U961" s="58"/>
      <c r="V961" s="46"/>
      <c r="W961" s="46"/>
      <c r="X961" s="62" t="s">
        <v>25</v>
      </c>
      <c r="Y961" s="63">
        <f t="shared" si="229"/>
        <v>0</v>
      </c>
      <c r="Z961" s="64">
        <f t="shared" si="230"/>
        <v>0</v>
      </c>
    </row>
    <row r="962" spans="1:26" ht="15.75" customHeight="1">
      <c r="A962" s="63">
        <v>20260055</v>
      </c>
      <c r="B962" s="65" t="s">
        <v>173</v>
      </c>
      <c r="C962" s="66">
        <v>46079</v>
      </c>
      <c r="E962" s="63">
        <v>2</v>
      </c>
      <c r="F962" s="68">
        <v>44.2</v>
      </c>
      <c r="G962" s="69">
        <v>48</v>
      </c>
      <c r="H962" s="65" t="s">
        <v>2073</v>
      </c>
      <c r="I962" s="65" t="s">
        <v>194</v>
      </c>
      <c r="J962" s="65" t="s">
        <v>26</v>
      </c>
      <c r="K962" s="48">
        <f t="shared" si="223"/>
        <v>8</v>
      </c>
      <c r="L962" s="48">
        <f t="shared" si="224"/>
        <v>68</v>
      </c>
      <c r="N962" s="72">
        <f t="shared" si="231"/>
        <v>2</v>
      </c>
      <c r="O962" s="50">
        <f t="shared" si="228"/>
        <v>44.2</v>
      </c>
      <c r="P962" s="56">
        <f t="shared" si="225"/>
        <v>48</v>
      </c>
      <c r="S962" s="200" t="s">
        <v>2074</v>
      </c>
      <c r="T962" s="201">
        <v>46</v>
      </c>
      <c r="U962" s="58" t="s">
        <v>2075</v>
      </c>
      <c r="V962" s="46"/>
      <c r="W962" s="46"/>
      <c r="X962" s="62" t="s">
        <v>25</v>
      </c>
      <c r="Y962" s="63">
        <f t="shared" si="229"/>
        <v>22.1</v>
      </c>
      <c r="Z962" s="64">
        <f t="shared" si="230"/>
        <v>0</v>
      </c>
    </row>
    <row r="963" spans="1:26" ht="15.75" customHeight="1">
      <c r="A963" s="63">
        <v>20260055</v>
      </c>
      <c r="B963" s="65" t="s">
        <v>173</v>
      </c>
      <c r="C963" s="66">
        <v>46079</v>
      </c>
      <c r="E963" s="63">
        <v>1</v>
      </c>
      <c r="F963" s="68">
        <v>0</v>
      </c>
      <c r="G963" s="69">
        <v>5</v>
      </c>
      <c r="H963" s="65" t="s">
        <v>2073</v>
      </c>
      <c r="I963" s="65" t="s">
        <v>24</v>
      </c>
      <c r="J963" s="65" t="s">
        <v>24</v>
      </c>
      <c r="K963" s="48">
        <f t="shared" si="223"/>
        <v>8</v>
      </c>
      <c r="L963" s="48">
        <f t="shared" si="224"/>
        <v>68</v>
      </c>
      <c r="N963" s="72">
        <f t="shared" si="231"/>
        <v>1</v>
      </c>
      <c r="O963" s="50">
        <f t="shared" si="228"/>
        <v>0</v>
      </c>
      <c r="P963" s="56">
        <f t="shared" si="225"/>
        <v>5</v>
      </c>
      <c r="S963" s="200" t="s">
        <v>2074</v>
      </c>
      <c r="T963" s="201">
        <v>46</v>
      </c>
      <c r="U963" s="58"/>
      <c r="V963" s="46"/>
      <c r="W963" s="46"/>
      <c r="X963" s="62" t="s">
        <v>25</v>
      </c>
      <c r="Y963" s="63">
        <f t="shared" si="229"/>
        <v>0</v>
      </c>
      <c r="Z963" s="64">
        <f t="shared" si="230"/>
        <v>0</v>
      </c>
    </row>
    <row r="964" spans="1:26" ht="15.75" customHeight="1">
      <c r="A964" s="63">
        <v>20260055</v>
      </c>
      <c r="B964" s="65" t="s">
        <v>173</v>
      </c>
      <c r="C964" s="66">
        <v>46079</v>
      </c>
      <c r="E964" s="63">
        <v>1</v>
      </c>
      <c r="F964" s="68">
        <v>25.47</v>
      </c>
      <c r="G964" s="69">
        <v>24</v>
      </c>
      <c r="H964" s="65" t="s">
        <v>2076</v>
      </c>
      <c r="I964" s="65" t="s">
        <v>42</v>
      </c>
      <c r="J964" s="65" t="s">
        <v>28</v>
      </c>
      <c r="K964" s="48">
        <f t="shared" si="223"/>
        <v>8</v>
      </c>
      <c r="L964" s="48">
        <f t="shared" si="224"/>
        <v>68</v>
      </c>
      <c r="N964" s="72">
        <f t="shared" si="231"/>
        <v>1</v>
      </c>
      <c r="O964" s="50">
        <f t="shared" si="228"/>
        <v>25.47</v>
      </c>
      <c r="P964" s="56">
        <f t="shared" si="225"/>
        <v>24</v>
      </c>
      <c r="S964" s="200" t="s">
        <v>2077</v>
      </c>
      <c r="T964" s="201">
        <v>47</v>
      </c>
      <c r="U964" s="58" t="s">
        <v>2078</v>
      </c>
      <c r="V964" s="46"/>
      <c r="W964" s="46"/>
      <c r="X964" s="62" t="s">
        <v>25</v>
      </c>
      <c r="Y964" s="63">
        <f t="shared" si="229"/>
        <v>25.47</v>
      </c>
      <c r="Z964" s="64">
        <f t="shared" si="230"/>
        <v>0</v>
      </c>
    </row>
    <row r="965" spans="1:26" ht="15.75" customHeight="1">
      <c r="A965" s="106">
        <v>20260055</v>
      </c>
      <c r="B965" s="107" t="s">
        <v>173</v>
      </c>
      <c r="C965" s="108">
        <v>46079</v>
      </c>
      <c r="D965" s="108"/>
      <c r="E965" s="106">
        <v>1</v>
      </c>
      <c r="F965" s="106">
        <v>15</v>
      </c>
      <c r="G965" s="106">
        <v>24</v>
      </c>
      <c r="H965" s="107" t="s">
        <v>2079</v>
      </c>
      <c r="I965" s="107" t="s">
        <v>42</v>
      </c>
      <c r="J965" s="107" t="s">
        <v>28</v>
      </c>
      <c r="K965" s="108">
        <f t="shared" si="223"/>
        <v>8</v>
      </c>
      <c r="L965" s="108">
        <f t="shared" si="224"/>
        <v>68</v>
      </c>
      <c r="M965" s="107"/>
      <c r="N965" s="112">
        <f>E965-1</f>
        <v>0</v>
      </c>
      <c r="O965" s="113">
        <f t="shared" si="228"/>
        <v>0</v>
      </c>
      <c r="P965" s="112">
        <f t="shared" si="225"/>
        <v>0</v>
      </c>
      <c r="Q965" s="109"/>
      <c r="R965" s="107"/>
      <c r="S965" s="109" t="s">
        <v>2080</v>
      </c>
      <c r="T965" s="114">
        <v>48</v>
      </c>
      <c r="U965" s="109" t="s">
        <v>2081</v>
      </c>
      <c r="V965" s="106"/>
      <c r="W965" s="106"/>
      <c r="X965" s="106" t="s">
        <v>55</v>
      </c>
      <c r="Y965" s="63">
        <f t="shared" si="229"/>
        <v>15</v>
      </c>
    </row>
    <row r="966" spans="1:26" ht="15.75" customHeight="1">
      <c r="A966" s="63">
        <v>20260055</v>
      </c>
      <c r="B966" s="65" t="s">
        <v>173</v>
      </c>
      <c r="C966" s="66">
        <v>46079</v>
      </c>
      <c r="E966" s="63">
        <v>1</v>
      </c>
      <c r="F966" s="68">
        <v>13.5</v>
      </c>
      <c r="G966" s="69">
        <v>24</v>
      </c>
      <c r="H966" s="65" t="s">
        <v>2073</v>
      </c>
      <c r="I966" s="65" t="s">
        <v>42</v>
      </c>
      <c r="J966" s="65" t="s">
        <v>28</v>
      </c>
      <c r="K966" s="48">
        <f t="shared" si="223"/>
        <v>8</v>
      </c>
      <c r="L966" s="48">
        <f t="shared" si="224"/>
        <v>68</v>
      </c>
      <c r="N966" s="72">
        <f t="shared" si="231"/>
        <v>1</v>
      </c>
      <c r="O966" s="50">
        <f t="shared" si="228"/>
        <v>13.5</v>
      </c>
      <c r="P966" s="56">
        <f t="shared" si="225"/>
        <v>24</v>
      </c>
      <c r="S966" s="200" t="s">
        <v>2082</v>
      </c>
      <c r="T966" s="201">
        <v>49</v>
      </c>
      <c r="U966" s="58" t="s">
        <v>1981</v>
      </c>
      <c r="V966" s="46"/>
      <c r="W966" s="46"/>
      <c r="X966" s="62" t="s">
        <v>25</v>
      </c>
      <c r="Y966" s="63">
        <f t="shared" si="229"/>
        <v>13.5</v>
      </c>
      <c r="Z966" s="64">
        <f t="shared" ref="Z966" si="232">E966-N966</f>
        <v>0</v>
      </c>
    </row>
    <row r="967" spans="1:26" ht="15.75" customHeight="1">
      <c r="A967" s="106">
        <v>20260055</v>
      </c>
      <c r="B967" s="107" t="s">
        <v>173</v>
      </c>
      <c r="C967" s="108">
        <v>46079</v>
      </c>
      <c r="D967" s="108"/>
      <c r="E967" s="106">
        <v>2</v>
      </c>
      <c r="F967" s="106">
        <v>4.08</v>
      </c>
      <c r="G967" s="106">
        <v>48</v>
      </c>
      <c r="H967" s="107" t="s">
        <v>2083</v>
      </c>
      <c r="I967" s="107" t="s">
        <v>42</v>
      </c>
      <c r="J967" s="107" t="s">
        <v>28</v>
      </c>
      <c r="K967" s="108">
        <f t="shared" si="223"/>
        <v>8</v>
      </c>
      <c r="L967" s="108">
        <f t="shared" si="224"/>
        <v>68</v>
      </c>
      <c r="M967" s="107"/>
      <c r="N967" s="112">
        <f>E967-2</f>
        <v>0</v>
      </c>
      <c r="O967" s="113">
        <f t="shared" si="228"/>
        <v>0</v>
      </c>
      <c r="P967" s="112">
        <f t="shared" si="225"/>
        <v>0</v>
      </c>
      <c r="Q967" s="109"/>
      <c r="R967" s="107"/>
      <c r="S967" s="109" t="s">
        <v>2084</v>
      </c>
      <c r="T967" s="114">
        <v>51</v>
      </c>
      <c r="U967" s="109" t="s">
        <v>2085</v>
      </c>
      <c r="V967" s="106"/>
      <c r="W967" s="106"/>
      <c r="X967" s="106" t="s">
        <v>55</v>
      </c>
      <c r="Y967" s="63">
        <f t="shared" si="229"/>
        <v>2.04</v>
      </c>
    </row>
    <row r="968" spans="1:26" ht="15.75" customHeight="1">
      <c r="A968" s="63">
        <v>20260055</v>
      </c>
      <c r="B968" s="65" t="s">
        <v>173</v>
      </c>
      <c r="C968" s="66">
        <v>46079</v>
      </c>
      <c r="E968" s="63">
        <v>1</v>
      </c>
      <c r="F968" s="68">
        <v>2.35</v>
      </c>
      <c r="G968" s="69">
        <v>24</v>
      </c>
      <c r="H968" s="65" t="s">
        <v>1083</v>
      </c>
      <c r="I968" s="65" t="s">
        <v>42</v>
      </c>
      <c r="J968" s="65" t="s">
        <v>28</v>
      </c>
      <c r="K968" s="48">
        <f t="shared" si="223"/>
        <v>8</v>
      </c>
      <c r="L968" s="48">
        <f t="shared" si="224"/>
        <v>68</v>
      </c>
      <c r="N968" s="72">
        <f t="shared" si="231"/>
        <v>1</v>
      </c>
      <c r="O968" s="50">
        <f t="shared" si="228"/>
        <v>2.35</v>
      </c>
      <c r="P968" s="56">
        <f t="shared" si="225"/>
        <v>24</v>
      </c>
      <c r="S968" s="200" t="s">
        <v>2086</v>
      </c>
      <c r="T968" s="201">
        <v>52</v>
      </c>
      <c r="U968" s="58" t="s">
        <v>2087</v>
      </c>
      <c r="V968" s="46"/>
      <c r="W968" s="46"/>
      <c r="X968" s="62" t="s">
        <v>25</v>
      </c>
      <c r="Y968" s="63">
        <f t="shared" si="229"/>
        <v>2.35</v>
      </c>
      <c r="Z968" s="64">
        <f t="shared" ref="Z968:Z975" si="233">E968-N968</f>
        <v>0</v>
      </c>
    </row>
    <row r="969" spans="1:26" ht="15.75" customHeight="1">
      <c r="A969" s="106">
        <v>20260055</v>
      </c>
      <c r="B969" s="107" t="s">
        <v>173</v>
      </c>
      <c r="C969" s="108">
        <v>46079</v>
      </c>
      <c r="D969" s="108"/>
      <c r="E969" s="106">
        <v>2</v>
      </c>
      <c r="F969" s="106">
        <v>7.64</v>
      </c>
      <c r="G969" s="106">
        <v>48</v>
      </c>
      <c r="H969" s="107" t="s">
        <v>2088</v>
      </c>
      <c r="I969" s="107" t="s">
        <v>42</v>
      </c>
      <c r="J969" s="107" t="s">
        <v>28</v>
      </c>
      <c r="K969" s="108">
        <f t="shared" si="223"/>
        <v>8</v>
      </c>
      <c r="L969" s="108">
        <f t="shared" si="224"/>
        <v>68</v>
      </c>
      <c r="M969" s="107"/>
      <c r="N969" s="112">
        <f>E969-2</f>
        <v>0</v>
      </c>
      <c r="O969" s="113">
        <f t="shared" si="228"/>
        <v>0</v>
      </c>
      <c r="P969" s="112">
        <f t="shared" si="225"/>
        <v>0</v>
      </c>
      <c r="Q969" s="109"/>
      <c r="R969" s="107"/>
      <c r="S969" s="109" t="s">
        <v>2089</v>
      </c>
      <c r="T969" s="114">
        <v>53</v>
      </c>
      <c r="U969" s="109" t="s">
        <v>2090</v>
      </c>
      <c r="V969" s="106"/>
      <c r="W969" s="106"/>
      <c r="X969" s="106" t="s">
        <v>55</v>
      </c>
      <c r="Y969" s="63">
        <f t="shared" si="229"/>
        <v>3.82</v>
      </c>
      <c r="Z969" s="64">
        <f t="shared" si="233"/>
        <v>2</v>
      </c>
    </row>
    <row r="970" spans="1:26" ht="15.75" customHeight="1">
      <c r="A970" s="63">
        <v>20260055</v>
      </c>
      <c r="B970" s="65" t="s">
        <v>173</v>
      </c>
      <c r="C970" s="66">
        <v>46079</v>
      </c>
      <c r="E970" s="63">
        <v>1</v>
      </c>
      <c r="F970" s="68">
        <v>17.399999999999999</v>
      </c>
      <c r="G970" s="69">
        <v>24</v>
      </c>
      <c r="H970" s="65" t="s">
        <v>2091</v>
      </c>
      <c r="I970" s="65" t="s">
        <v>276</v>
      </c>
      <c r="J970" s="65" t="s">
        <v>26</v>
      </c>
      <c r="K970" s="48">
        <f t="shared" si="223"/>
        <v>8</v>
      </c>
      <c r="L970" s="48">
        <f t="shared" si="224"/>
        <v>68</v>
      </c>
      <c r="N970" s="72">
        <f t="shared" si="231"/>
        <v>1</v>
      </c>
      <c r="O970" s="50">
        <f t="shared" si="228"/>
        <v>17.399999999999999</v>
      </c>
      <c r="P970" s="56">
        <f t="shared" si="225"/>
        <v>24</v>
      </c>
      <c r="S970" s="200" t="s">
        <v>2092</v>
      </c>
      <c r="T970" s="201">
        <v>54</v>
      </c>
      <c r="U970" s="58" t="s">
        <v>2093</v>
      </c>
      <c r="V970" s="46"/>
      <c r="W970" s="46"/>
      <c r="X970" s="62" t="s">
        <v>25</v>
      </c>
      <c r="Y970" s="63">
        <f t="shared" si="229"/>
        <v>17.399999999999999</v>
      </c>
      <c r="Z970" s="64">
        <f t="shared" si="233"/>
        <v>0</v>
      </c>
    </row>
    <row r="971" spans="1:26" ht="15.75" customHeight="1">
      <c r="A971" s="63">
        <v>20260055</v>
      </c>
      <c r="B971" s="65" t="s">
        <v>173</v>
      </c>
      <c r="C971" s="66">
        <v>46079</v>
      </c>
      <c r="E971" s="63">
        <v>1</v>
      </c>
      <c r="F971" s="68">
        <v>16.23</v>
      </c>
      <c r="G971" s="69">
        <v>24</v>
      </c>
      <c r="H971" s="65" t="s">
        <v>1244</v>
      </c>
      <c r="I971" s="65" t="s">
        <v>63</v>
      </c>
      <c r="J971" s="65" t="s">
        <v>28</v>
      </c>
      <c r="K971" s="48">
        <f t="shared" ref="K971:K1034" si="234">D971+8</f>
        <v>8</v>
      </c>
      <c r="L971" s="48">
        <f t="shared" ref="L971:L1034" si="235">K971+60</f>
        <v>68</v>
      </c>
      <c r="N971" s="72">
        <f t="shared" si="231"/>
        <v>1</v>
      </c>
      <c r="O971" s="50">
        <f t="shared" si="228"/>
        <v>16.23</v>
      </c>
      <c r="P971" s="56">
        <f t="shared" si="225"/>
        <v>24</v>
      </c>
      <c r="S971" s="200" t="s">
        <v>2094</v>
      </c>
      <c r="T971" s="201">
        <v>55</v>
      </c>
      <c r="U971" s="58" t="s">
        <v>2095</v>
      </c>
      <c r="V971" s="46"/>
      <c r="W971" s="46"/>
      <c r="X971" s="62" t="s">
        <v>25</v>
      </c>
      <c r="Y971" s="63">
        <f t="shared" si="229"/>
        <v>16.23</v>
      </c>
      <c r="Z971" s="64">
        <f t="shared" si="233"/>
        <v>0</v>
      </c>
    </row>
    <row r="972" spans="1:26" ht="15.75" customHeight="1">
      <c r="A972" s="106">
        <v>20260055</v>
      </c>
      <c r="B972" s="107" t="s">
        <v>173</v>
      </c>
      <c r="C972" s="108">
        <v>46079</v>
      </c>
      <c r="D972" s="108"/>
      <c r="E972" s="106">
        <v>2</v>
      </c>
      <c r="F972" s="106">
        <v>23.82</v>
      </c>
      <c r="G972" s="106">
        <v>48</v>
      </c>
      <c r="H972" s="107" t="s">
        <v>2096</v>
      </c>
      <c r="I972" s="107" t="s">
        <v>42</v>
      </c>
      <c r="J972" s="107" t="s">
        <v>28</v>
      </c>
      <c r="K972" s="108">
        <f t="shared" si="234"/>
        <v>8</v>
      </c>
      <c r="L972" s="108">
        <f t="shared" si="235"/>
        <v>68</v>
      </c>
      <c r="M972" s="107"/>
      <c r="N972" s="112">
        <f>E972-2</f>
        <v>0</v>
      </c>
      <c r="O972" s="113">
        <f t="shared" si="228"/>
        <v>0</v>
      </c>
      <c r="P972" s="112">
        <f t="shared" si="225"/>
        <v>0</v>
      </c>
      <c r="Q972" s="109"/>
      <c r="R972" s="107"/>
      <c r="S972" s="109" t="s">
        <v>2097</v>
      </c>
      <c r="T972" s="114">
        <v>56</v>
      </c>
      <c r="U972" s="109" t="s">
        <v>2098</v>
      </c>
      <c r="V972" s="106"/>
      <c r="W972" s="106"/>
      <c r="X972" s="106" t="s">
        <v>55</v>
      </c>
      <c r="Y972" s="63">
        <f t="shared" si="229"/>
        <v>11.91</v>
      </c>
      <c r="Z972" s="64">
        <f t="shared" si="233"/>
        <v>2</v>
      </c>
    </row>
    <row r="973" spans="1:26" ht="15.75" customHeight="1">
      <c r="A973" s="63">
        <v>20260055</v>
      </c>
      <c r="B973" s="65" t="s">
        <v>173</v>
      </c>
      <c r="C973" s="66">
        <v>46079</v>
      </c>
      <c r="E973" s="63">
        <v>1</v>
      </c>
      <c r="F973" s="68">
        <v>7.6</v>
      </c>
      <c r="G973" s="69">
        <v>24</v>
      </c>
      <c r="H973" s="65" t="s">
        <v>2099</v>
      </c>
      <c r="I973" s="65" t="s">
        <v>752</v>
      </c>
      <c r="J973" s="65" t="s">
        <v>26</v>
      </c>
      <c r="K973" s="48">
        <f t="shared" si="234"/>
        <v>8</v>
      </c>
      <c r="L973" s="48">
        <f t="shared" si="235"/>
        <v>68</v>
      </c>
      <c r="N973" s="72">
        <f t="shared" si="231"/>
        <v>1</v>
      </c>
      <c r="O973" s="50">
        <f t="shared" si="228"/>
        <v>7.6</v>
      </c>
      <c r="P973" s="56">
        <f t="shared" si="225"/>
        <v>24</v>
      </c>
      <c r="S973" s="200" t="s">
        <v>2100</v>
      </c>
      <c r="T973" s="201">
        <v>57</v>
      </c>
      <c r="U973" s="58" t="s">
        <v>2101</v>
      </c>
      <c r="V973" s="46"/>
      <c r="W973" s="46"/>
      <c r="X973" s="62" t="s">
        <v>25</v>
      </c>
      <c r="Y973" s="63">
        <f t="shared" si="229"/>
        <v>7.6</v>
      </c>
      <c r="Z973" s="64">
        <f t="shared" si="233"/>
        <v>0</v>
      </c>
    </row>
    <row r="974" spans="1:26" ht="15.75" customHeight="1">
      <c r="A974" s="106">
        <v>20260055</v>
      </c>
      <c r="B974" s="107" t="s">
        <v>173</v>
      </c>
      <c r="C974" s="108">
        <v>46079</v>
      </c>
      <c r="D974" s="108"/>
      <c r="E974" s="106">
        <v>1</v>
      </c>
      <c r="F974" s="106">
        <v>9.32</v>
      </c>
      <c r="G974" s="106">
        <v>24</v>
      </c>
      <c r="H974" s="107" t="s">
        <v>441</v>
      </c>
      <c r="I974" s="107" t="s">
        <v>42</v>
      </c>
      <c r="J974" s="107" t="s">
        <v>28</v>
      </c>
      <c r="K974" s="108">
        <f t="shared" si="234"/>
        <v>8</v>
      </c>
      <c r="L974" s="108">
        <f t="shared" si="235"/>
        <v>68</v>
      </c>
      <c r="M974" s="107"/>
      <c r="N974" s="112">
        <f>E974-1</f>
        <v>0</v>
      </c>
      <c r="O974" s="113">
        <f t="shared" si="228"/>
        <v>0</v>
      </c>
      <c r="P974" s="112">
        <f t="shared" si="225"/>
        <v>0</v>
      </c>
      <c r="Q974" s="109"/>
      <c r="R974" s="107"/>
      <c r="S974" s="109" t="s">
        <v>2102</v>
      </c>
      <c r="T974" s="114">
        <v>58</v>
      </c>
      <c r="U974" s="109" t="s">
        <v>2103</v>
      </c>
      <c r="V974" s="106"/>
      <c r="W974" s="106"/>
      <c r="X974" s="106" t="s">
        <v>55</v>
      </c>
      <c r="Y974" s="63">
        <f t="shared" si="229"/>
        <v>9.32</v>
      </c>
      <c r="Z974" s="64">
        <f t="shared" si="233"/>
        <v>1</v>
      </c>
    </row>
    <row r="975" spans="1:26" ht="15.75" customHeight="1">
      <c r="A975" s="106">
        <v>20260055</v>
      </c>
      <c r="B975" s="107" t="s">
        <v>173</v>
      </c>
      <c r="C975" s="108">
        <v>46079</v>
      </c>
      <c r="D975" s="108"/>
      <c r="E975" s="106">
        <v>1</v>
      </c>
      <c r="F975" s="106">
        <v>9.32</v>
      </c>
      <c r="G975" s="106">
        <v>24</v>
      </c>
      <c r="H975" s="107" t="s">
        <v>786</v>
      </c>
      <c r="I975" s="107" t="s">
        <v>42</v>
      </c>
      <c r="J975" s="107" t="s">
        <v>28</v>
      </c>
      <c r="K975" s="108">
        <f t="shared" si="234"/>
        <v>8</v>
      </c>
      <c r="L975" s="108">
        <f t="shared" si="235"/>
        <v>68</v>
      </c>
      <c r="M975" s="107"/>
      <c r="N975" s="112">
        <f>E975-1</f>
        <v>0</v>
      </c>
      <c r="O975" s="113">
        <f t="shared" si="228"/>
        <v>0</v>
      </c>
      <c r="P975" s="112">
        <f t="shared" si="225"/>
        <v>0</v>
      </c>
      <c r="Q975" s="109"/>
      <c r="R975" s="107"/>
      <c r="S975" s="109" t="s">
        <v>2104</v>
      </c>
      <c r="T975" s="114">
        <v>59</v>
      </c>
      <c r="U975" s="109" t="s">
        <v>2103</v>
      </c>
      <c r="V975" s="106"/>
      <c r="W975" s="106"/>
      <c r="X975" s="106" t="s">
        <v>55</v>
      </c>
      <c r="Y975" s="63">
        <f t="shared" si="229"/>
        <v>9.32</v>
      </c>
      <c r="Z975" s="64">
        <f t="shared" si="233"/>
        <v>1</v>
      </c>
    </row>
    <row r="976" spans="1:26" ht="15.75" customHeight="1">
      <c r="A976" s="106">
        <v>20260055</v>
      </c>
      <c r="B976" s="107" t="s">
        <v>173</v>
      </c>
      <c r="C976" s="108">
        <v>46079</v>
      </c>
      <c r="D976" s="108"/>
      <c r="E976" s="106">
        <v>1</v>
      </c>
      <c r="F976" s="106">
        <v>28.59</v>
      </c>
      <c r="G976" s="106">
        <v>24</v>
      </c>
      <c r="H976" s="107" t="s">
        <v>2105</v>
      </c>
      <c r="I976" s="107" t="s">
        <v>58</v>
      </c>
      <c r="J976" s="107" t="s">
        <v>28</v>
      </c>
      <c r="K976" s="108">
        <f t="shared" si="234"/>
        <v>8</v>
      </c>
      <c r="L976" s="108">
        <f t="shared" si="235"/>
        <v>68</v>
      </c>
      <c r="M976" s="107"/>
      <c r="N976" s="112">
        <f>E9631</f>
        <v>0</v>
      </c>
      <c r="O976" s="113">
        <f t="shared" si="228"/>
        <v>0</v>
      </c>
      <c r="P976" s="112">
        <f t="shared" si="225"/>
        <v>0</v>
      </c>
      <c r="Q976" s="109"/>
      <c r="R976" s="107"/>
      <c r="S976" s="109" t="s">
        <v>2106</v>
      </c>
      <c r="T976" s="114">
        <v>60</v>
      </c>
      <c r="U976" s="109" t="s">
        <v>2107</v>
      </c>
      <c r="V976" s="106"/>
      <c r="W976" s="106"/>
      <c r="X976" s="106" t="s">
        <v>55</v>
      </c>
      <c r="Y976" s="63">
        <f t="shared" si="229"/>
        <v>28.59</v>
      </c>
    </row>
    <row r="977" spans="1:26" ht="15.75" customHeight="1">
      <c r="A977" s="106">
        <v>20260055</v>
      </c>
      <c r="B977" s="107" t="s">
        <v>173</v>
      </c>
      <c r="C977" s="108">
        <v>46079</v>
      </c>
      <c r="D977" s="108"/>
      <c r="E977" s="106">
        <v>1</v>
      </c>
      <c r="F977" s="106">
        <v>0</v>
      </c>
      <c r="G977" s="106">
        <v>5</v>
      </c>
      <c r="H977" s="107" t="s">
        <v>2105</v>
      </c>
      <c r="I977" s="107" t="s">
        <v>24</v>
      </c>
      <c r="J977" s="107" t="s">
        <v>24</v>
      </c>
      <c r="K977" s="108">
        <f t="shared" si="234"/>
        <v>8</v>
      </c>
      <c r="L977" s="108">
        <f t="shared" si="235"/>
        <v>68</v>
      </c>
      <c r="M977" s="107"/>
      <c r="N977" s="112">
        <f>E977-1</f>
        <v>0</v>
      </c>
      <c r="O977" s="113">
        <f t="shared" si="228"/>
        <v>0</v>
      </c>
      <c r="P977" s="112">
        <f t="shared" si="225"/>
        <v>0</v>
      </c>
      <c r="Q977" s="109"/>
      <c r="R977" s="107"/>
      <c r="S977" s="109" t="s">
        <v>2106</v>
      </c>
      <c r="T977" s="114">
        <v>60</v>
      </c>
      <c r="U977" s="109"/>
      <c r="V977" s="106"/>
      <c r="W977" s="106"/>
      <c r="X977" s="106" t="s">
        <v>55</v>
      </c>
      <c r="Y977" s="63">
        <f t="shared" si="229"/>
        <v>0</v>
      </c>
    </row>
    <row r="978" spans="1:26" ht="15.75" customHeight="1">
      <c r="A978" s="63">
        <v>20260055</v>
      </c>
      <c r="B978" s="65" t="s">
        <v>173</v>
      </c>
      <c r="C978" s="66">
        <v>46079</v>
      </c>
      <c r="E978" s="63">
        <v>1</v>
      </c>
      <c r="F978" s="68">
        <v>27.9</v>
      </c>
      <c r="G978" s="69">
        <v>24</v>
      </c>
      <c r="H978" s="65" t="s">
        <v>2108</v>
      </c>
      <c r="I978" s="65" t="s">
        <v>58</v>
      </c>
      <c r="J978" s="65" t="s">
        <v>28</v>
      </c>
      <c r="K978" s="48">
        <f t="shared" si="234"/>
        <v>8</v>
      </c>
      <c r="L978" s="48">
        <f t="shared" si="235"/>
        <v>68</v>
      </c>
      <c r="N978" s="72">
        <f t="shared" si="231"/>
        <v>1</v>
      </c>
      <c r="O978" s="50">
        <f t="shared" si="228"/>
        <v>27.9</v>
      </c>
      <c r="P978" s="56">
        <f t="shared" si="225"/>
        <v>24</v>
      </c>
      <c r="S978" s="200" t="s">
        <v>2109</v>
      </c>
      <c r="T978" s="201">
        <v>61</v>
      </c>
      <c r="U978" s="58" t="s">
        <v>2110</v>
      </c>
      <c r="V978" s="46"/>
      <c r="W978" s="46"/>
      <c r="X978" s="62" t="s">
        <v>25</v>
      </c>
      <c r="Y978" s="63">
        <f t="shared" si="229"/>
        <v>27.9</v>
      </c>
      <c r="Z978" s="64">
        <f t="shared" ref="Z978:Z980" si="236">E978-N978</f>
        <v>0</v>
      </c>
    </row>
    <row r="979" spans="1:26" ht="15.75" customHeight="1">
      <c r="A979" s="63">
        <v>20260055</v>
      </c>
      <c r="B979" s="65" t="s">
        <v>173</v>
      </c>
      <c r="C979" s="66">
        <v>46079</v>
      </c>
      <c r="E979" s="63">
        <v>1</v>
      </c>
      <c r="F979" s="68">
        <v>38.6</v>
      </c>
      <c r="G979" s="69">
        <v>24</v>
      </c>
      <c r="H979" s="65" t="s">
        <v>2111</v>
      </c>
      <c r="I979" s="65" t="s">
        <v>194</v>
      </c>
      <c r="J979" s="65" t="s">
        <v>26</v>
      </c>
      <c r="K979" s="48">
        <f t="shared" si="234"/>
        <v>8</v>
      </c>
      <c r="L979" s="48">
        <f t="shared" si="235"/>
        <v>68</v>
      </c>
      <c r="N979" s="72">
        <f t="shared" si="231"/>
        <v>1</v>
      </c>
      <c r="O979" s="50">
        <f t="shared" si="228"/>
        <v>38.6</v>
      </c>
      <c r="P979" s="56">
        <f t="shared" ref="P979:P1042" si="237">G979/E979*N979</f>
        <v>24</v>
      </c>
      <c r="S979" s="200" t="s">
        <v>2112</v>
      </c>
      <c r="T979" s="201">
        <v>62</v>
      </c>
      <c r="U979" s="58" t="s">
        <v>2113</v>
      </c>
      <c r="V979" s="46"/>
      <c r="W979" s="46"/>
      <c r="X979" s="62" t="s">
        <v>25</v>
      </c>
      <c r="Y979" s="63">
        <f t="shared" si="229"/>
        <v>38.6</v>
      </c>
      <c r="Z979" s="64">
        <f t="shared" si="236"/>
        <v>0</v>
      </c>
    </row>
    <row r="980" spans="1:26" ht="15.75" customHeight="1">
      <c r="A980" s="63">
        <v>20260055</v>
      </c>
      <c r="B980" s="65" t="s">
        <v>173</v>
      </c>
      <c r="C980" s="66">
        <v>46079</v>
      </c>
      <c r="E980" s="63">
        <v>3</v>
      </c>
      <c r="F980" s="68">
        <v>0</v>
      </c>
      <c r="G980" s="69">
        <v>15</v>
      </c>
      <c r="H980" s="65" t="s">
        <v>2111</v>
      </c>
      <c r="I980" s="65" t="s">
        <v>24</v>
      </c>
      <c r="J980" s="65" t="s">
        <v>24</v>
      </c>
      <c r="K980" s="48">
        <f t="shared" si="234"/>
        <v>8</v>
      </c>
      <c r="L980" s="48">
        <f t="shared" si="235"/>
        <v>68</v>
      </c>
      <c r="N980" s="72">
        <f t="shared" si="231"/>
        <v>3</v>
      </c>
      <c r="O980" s="50">
        <f t="shared" si="228"/>
        <v>0</v>
      </c>
      <c r="P980" s="56">
        <f t="shared" si="237"/>
        <v>15</v>
      </c>
      <c r="S980" s="200" t="s">
        <v>2112</v>
      </c>
      <c r="T980" s="201">
        <v>62</v>
      </c>
      <c r="U980" s="58"/>
      <c r="V980" s="46"/>
      <c r="W980" s="46"/>
      <c r="X980" s="62" t="s">
        <v>25</v>
      </c>
      <c r="Y980" s="63">
        <f t="shared" si="229"/>
        <v>0</v>
      </c>
      <c r="Z980" s="64">
        <f t="shared" si="236"/>
        <v>0</v>
      </c>
    </row>
    <row r="981" spans="1:26" ht="15.75" customHeight="1">
      <c r="A981" s="106">
        <v>20260055</v>
      </c>
      <c r="B981" s="107" t="s">
        <v>173</v>
      </c>
      <c r="C981" s="108">
        <v>46079</v>
      </c>
      <c r="D981" s="108"/>
      <c r="E981" s="106">
        <v>2</v>
      </c>
      <c r="F981" s="106">
        <v>25.5</v>
      </c>
      <c r="G981" s="106">
        <v>48</v>
      </c>
      <c r="H981" s="107" t="s">
        <v>2114</v>
      </c>
      <c r="I981" s="107" t="s">
        <v>42</v>
      </c>
      <c r="J981" s="107" t="s">
        <v>28</v>
      </c>
      <c r="K981" s="108">
        <f t="shared" si="234"/>
        <v>8</v>
      </c>
      <c r="L981" s="108">
        <f t="shared" si="235"/>
        <v>68</v>
      </c>
      <c r="M981" s="107"/>
      <c r="N981" s="112">
        <f>E981-2</f>
        <v>0</v>
      </c>
      <c r="O981" s="113">
        <f t="shared" si="228"/>
        <v>0</v>
      </c>
      <c r="P981" s="112">
        <f t="shared" si="237"/>
        <v>0</v>
      </c>
      <c r="Q981" s="109"/>
      <c r="R981" s="107"/>
      <c r="S981" s="109" t="s">
        <v>2115</v>
      </c>
      <c r="T981" s="114">
        <v>63</v>
      </c>
      <c r="U981" s="109" t="s">
        <v>2116</v>
      </c>
      <c r="V981" s="106"/>
      <c r="W981" s="106"/>
      <c r="X981" s="106" t="s">
        <v>55</v>
      </c>
      <c r="Y981" s="63">
        <f t="shared" si="229"/>
        <v>12.75</v>
      </c>
    </row>
    <row r="982" spans="1:26" ht="15.75" customHeight="1">
      <c r="A982" s="63">
        <v>20260055</v>
      </c>
      <c r="B982" s="65" t="s">
        <v>173</v>
      </c>
      <c r="C982" s="66">
        <v>46079</v>
      </c>
      <c r="E982" s="63">
        <v>3</v>
      </c>
      <c r="F982" s="68">
        <v>39</v>
      </c>
      <c r="G982" s="69">
        <v>72</v>
      </c>
      <c r="H982" s="65" t="s">
        <v>2034</v>
      </c>
      <c r="I982" s="65" t="s">
        <v>42</v>
      </c>
      <c r="J982" s="65" t="s">
        <v>28</v>
      </c>
      <c r="K982" s="48">
        <f t="shared" si="234"/>
        <v>8</v>
      </c>
      <c r="L982" s="48">
        <f t="shared" si="235"/>
        <v>68</v>
      </c>
      <c r="N982" s="72">
        <f t="shared" si="231"/>
        <v>3</v>
      </c>
      <c r="O982" s="50">
        <f t="shared" si="228"/>
        <v>39</v>
      </c>
      <c r="P982" s="56">
        <f t="shared" si="237"/>
        <v>72</v>
      </c>
      <c r="S982" s="200" t="s">
        <v>2117</v>
      </c>
      <c r="T982" s="201">
        <v>64</v>
      </c>
      <c r="U982" s="58" t="s">
        <v>2118</v>
      </c>
      <c r="V982" s="46"/>
      <c r="W982" s="46"/>
      <c r="X982" s="62" t="s">
        <v>25</v>
      </c>
      <c r="Y982" s="63">
        <f t="shared" si="229"/>
        <v>13</v>
      </c>
      <c r="Z982" s="64">
        <f t="shared" ref="Z982:Z1038" si="238">E982-N982</f>
        <v>0</v>
      </c>
    </row>
    <row r="983" spans="1:26" ht="15.75" customHeight="1">
      <c r="A983" s="106">
        <v>20260055</v>
      </c>
      <c r="B983" s="107" t="s">
        <v>173</v>
      </c>
      <c r="C983" s="108">
        <v>46079</v>
      </c>
      <c r="D983" s="108"/>
      <c r="E983" s="106">
        <v>1</v>
      </c>
      <c r="F983" s="106">
        <v>12.5</v>
      </c>
      <c r="G983" s="106">
        <v>24</v>
      </c>
      <c r="H983" s="107" t="s">
        <v>2119</v>
      </c>
      <c r="I983" s="107" t="s">
        <v>42</v>
      </c>
      <c r="J983" s="107" t="s">
        <v>28</v>
      </c>
      <c r="K983" s="108">
        <f t="shared" si="234"/>
        <v>8</v>
      </c>
      <c r="L983" s="108">
        <f t="shared" si="235"/>
        <v>68</v>
      </c>
      <c r="M983" s="107"/>
      <c r="N983" s="112">
        <f t="shared" ref="N983:N990" si="239">E983-1</f>
        <v>0</v>
      </c>
      <c r="O983" s="113">
        <f t="shared" si="228"/>
        <v>0</v>
      </c>
      <c r="P983" s="112">
        <f t="shared" si="237"/>
        <v>0</v>
      </c>
      <c r="Q983" s="109"/>
      <c r="R983" s="107"/>
      <c r="S983" s="109" t="s">
        <v>2120</v>
      </c>
      <c r="T983" s="114">
        <v>65</v>
      </c>
      <c r="U983" s="109" t="s">
        <v>2121</v>
      </c>
      <c r="V983" s="106"/>
      <c r="W983" s="106"/>
      <c r="X983" s="106" t="s">
        <v>55</v>
      </c>
      <c r="Y983" s="63">
        <f t="shared" si="229"/>
        <v>12.5</v>
      </c>
      <c r="Z983" s="64">
        <f t="shared" si="238"/>
        <v>1</v>
      </c>
    </row>
    <row r="984" spans="1:26" ht="15.75" customHeight="1">
      <c r="A984" s="106">
        <v>20260055</v>
      </c>
      <c r="B984" s="107" t="s">
        <v>173</v>
      </c>
      <c r="C984" s="108">
        <v>46079</v>
      </c>
      <c r="D984" s="108"/>
      <c r="E984" s="106">
        <v>1</v>
      </c>
      <c r="F984" s="106">
        <v>12.5</v>
      </c>
      <c r="G984" s="106">
        <v>24</v>
      </c>
      <c r="H984" s="107" t="s">
        <v>2122</v>
      </c>
      <c r="I984" s="107" t="s">
        <v>42</v>
      </c>
      <c r="J984" s="107" t="s">
        <v>28</v>
      </c>
      <c r="K984" s="108">
        <f t="shared" si="234"/>
        <v>8</v>
      </c>
      <c r="L984" s="108">
        <f t="shared" si="235"/>
        <v>68</v>
      </c>
      <c r="M984" s="107"/>
      <c r="N984" s="112">
        <f t="shared" si="239"/>
        <v>0</v>
      </c>
      <c r="O984" s="113">
        <f t="shared" si="228"/>
        <v>0</v>
      </c>
      <c r="P984" s="112">
        <f t="shared" si="237"/>
        <v>0</v>
      </c>
      <c r="Q984" s="109"/>
      <c r="R984" s="107"/>
      <c r="S984" s="109" t="s">
        <v>2123</v>
      </c>
      <c r="T984" s="114">
        <v>66</v>
      </c>
      <c r="U984" s="109" t="s">
        <v>2124</v>
      </c>
      <c r="V984" s="106"/>
      <c r="W984" s="106"/>
      <c r="X984" s="106" t="s">
        <v>55</v>
      </c>
      <c r="Y984" s="63">
        <f t="shared" si="229"/>
        <v>12.5</v>
      </c>
      <c r="Z984" s="64">
        <f t="shared" si="238"/>
        <v>1</v>
      </c>
    </row>
    <row r="985" spans="1:26" ht="15.75" customHeight="1">
      <c r="A985" s="106">
        <v>20260055</v>
      </c>
      <c r="B985" s="107" t="s">
        <v>173</v>
      </c>
      <c r="C985" s="108">
        <v>46079</v>
      </c>
      <c r="D985" s="108"/>
      <c r="E985" s="106">
        <v>1</v>
      </c>
      <c r="F985" s="106">
        <v>26.5</v>
      </c>
      <c r="G985" s="106">
        <v>24</v>
      </c>
      <c r="H985" s="107" t="s">
        <v>2125</v>
      </c>
      <c r="I985" s="107" t="s">
        <v>58</v>
      </c>
      <c r="J985" s="107" t="s">
        <v>28</v>
      </c>
      <c r="K985" s="108">
        <f t="shared" si="234"/>
        <v>8</v>
      </c>
      <c r="L985" s="108">
        <f t="shared" si="235"/>
        <v>68</v>
      </c>
      <c r="M985" s="107"/>
      <c r="N985" s="112">
        <f t="shared" si="239"/>
        <v>0</v>
      </c>
      <c r="O985" s="113">
        <f t="shared" si="228"/>
        <v>0</v>
      </c>
      <c r="P985" s="112">
        <f t="shared" si="237"/>
        <v>0</v>
      </c>
      <c r="Q985" s="109"/>
      <c r="R985" s="107"/>
      <c r="S985" s="109" t="s">
        <v>2126</v>
      </c>
      <c r="T985" s="114">
        <v>67</v>
      </c>
      <c r="U985" s="109" t="s">
        <v>2127</v>
      </c>
      <c r="V985" s="106"/>
      <c r="W985" s="106"/>
      <c r="X985" s="106" t="s">
        <v>55</v>
      </c>
      <c r="Y985" s="63">
        <f t="shared" si="229"/>
        <v>26.5</v>
      </c>
      <c r="Z985" s="64">
        <f t="shared" si="238"/>
        <v>1</v>
      </c>
    </row>
    <row r="986" spans="1:26" ht="15.75" customHeight="1">
      <c r="A986" s="106">
        <v>20260055</v>
      </c>
      <c r="B986" s="107" t="s">
        <v>173</v>
      </c>
      <c r="C986" s="108">
        <v>46079</v>
      </c>
      <c r="D986" s="108"/>
      <c r="E986" s="106">
        <v>1</v>
      </c>
      <c r="F986" s="106">
        <v>9</v>
      </c>
      <c r="G986" s="106">
        <v>24</v>
      </c>
      <c r="H986" s="107" t="s">
        <v>775</v>
      </c>
      <c r="I986" s="107" t="s">
        <v>42</v>
      </c>
      <c r="J986" s="107" t="s">
        <v>28</v>
      </c>
      <c r="K986" s="108">
        <f t="shared" si="234"/>
        <v>8</v>
      </c>
      <c r="L986" s="108">
        <f t="shared" si="235"/>
        <v>68</v>
      </c>
      <c r="M986" s="107"/>
      <c r="N986" s="112">
        <f t="shared" si="239"/>
        <v>0</v>
      </c>
      <c r="O986" s="113">
        <f t="shared" si="228"/>
        <v>0</v>
      </c>
      <c r="P986" s="112">
        <f t="shared" si="237"/>
        <v>0</v>
      </c>
      <c r="Q986" s="109"/>
      <c r="R986" s="107"/>
      <c r="S986" s="109" t="s">
        <v>2128</v>
      </c>
      <c r="T986" s="114">
        <v>68</v>
      </c>
      <c r="U986" s="109" t="s">
        <v>2129</v>
      </c>
      <c r="V986" s="106"/>
      <c r="W986" s="106"/>
      <c r="X986" s="106" t="s">
        <v>55</v>
      </c>
      <c r="Y986" s="63">
        <f t="shared" si="229"/>
        <v>9</v>
      </c>
      <c r="Z986" s="64">
        <f t="shared" si="238"/>
        <v>1</v>
      </c>
    </row>
    <row r="987" spans="1:26" ht="15.75" customHeight="1">
      <c r="A987" s="106">
        <v>20260055</v>
      </c>
      <c r="B987" s="107" t="s">
        <v>173</v>
      </c>
      <c r="C987" s="108">
        <v>46079</v>
      </c>
      <c r="D987" s="108"/>
      <c r="E987" s="106">
        <v>1</v>
      </c>
      <c r="F987" s="106">
        <v>15</v>
      </c>
      <c r="G987" s="106">
        <v>24</v>
      </c>
      <c r="H987" s="107" t="s">
        <v>2130</v>
      </c>
      <c r="I987" s="107" t="s">
        <v>42</v>
      </c>
      <c r="J987" s="107" t="s">
        <v>28</v>
      </c>
      <c r="K987" s="108">
        <f t="shared" si="234"/>
        <v>8</v>
      </c>
      <c r="L987" s="108">
        <f t="shared" si="235"/>
        <v>68</v>
      </c>
      <c r="M987" s="107"/>
      <c r="N987" s="112">
        <f t="shared" si="239"/>
        <v>0</v>
      </c>
      <c r="O987" s="113">
        <f t="shared" si="228"/>
        <v>0</v>
      </c>
      <c r="P987" s="112">
        <f t="shared" si="237"/>
        <v>0</v>
      </c>
      <c r="Q987" s="109"/>
      <c r="R987" s="107"/>
      <c r="S987" s="109" t="s">
        <v>2131</v>
      </c>
      <c r="T987" s="114">
        <v>69</v>
      </c>
      <c r="U987" s="109" t="s">
        <v>2132</v>
      </c>
      <c r="V987" s="106"/>
      <c r="W987" s="106"/>
      <c r="X987" s="106" t="s">
        <v>55</v>
      </c>
      <c r="Y987" s="63">
        <f t="shared" si="229"/>
        <v>15</v>
      </c>
      <c r="Z987" s="64">
        <f t="shared" si="238"/>
        <v>1</v>
      </c>
    </row>
    <row r="988" spans="1:26" ht="15.75" customHeight="1">
      <c r="A988" s="106">
        <v>20260055</v>
      </c>
      <c r="B988" s="107" t="s">
        <v>173</v>
      </c>
      <c r="C988" s="108">
        <v>46079</v>
      </c>
      <c r="D988" s="108"/>
      <c r="E988" s="106">
        <v>1</v>
      </c>
      <c r="F988" s="106">
        <v>34</v>
      </c>
      <c r="G988" s="106">
        <v>24</v>
      </c>
      <c r="H988" s="107" t="s">
        <v>2133</v>
      </c>
      <c r="I988" s="107" t="s">
        <v>194</v>
      </c>
      <c r="J988" s="107" t="s">
        <v>26</v>
      </c>
      <c r="K988" s="108">
        <f t="shared" si="234"/>
        <v>8</v>
      </c>
      <c r="L988" s="108">
        <f t="shared" si="235"/>
        <v>68</v>
      </c>
      <c r="M988" s="107"/>
      <c r="N988" s="112">
        <f t="shared" si="239"/>
        <v>0</v>
      </c>
      <c r="O988" s="113">
        <f t="shared" si="228"/>
        <v>0</v>
      </c>
      <c r="P988" s="112">
        <f t="shared" si="237"/>
        <v>0</v>
      </c>
      <c r="Q988" s="109"/>
      <c r="R988" s="107"/>
      <c r="S988" s="109" t="s">
        <v>2134</v>
      </c>
      <c r="T988" s="114">
        <v>70</v>
      </c>
      <c r="U988" s="109" t="s">
        <v>2135</v>
      </c>
      <c r="V988" s="106"/>
      <c r="W988" s="106"/>
      <c r="X988" s="106" t="s">
        <v>55</v>
      </c>
      <c r="Y988" s="63">
        <f t="shared" si="229"/>
        <v>34</v>
      </c>
      <c r="Z988" s="64">
        <f t="shared" si="238"/>
        <v>1</v>
      </c>
    </row>
    <row r="989" spans="1:26" ht="15.75" customHeight="1">
      <c r="A989" s="106">
        <v>20260055</v>
      </c>
      <c r="B989" s="107" t="s">
        <v>173</v>
      </c>
      <c r="C989" s="108">
        <v>46079</v>
      </c>
      <c r="D989" s="108"/>
      <c r="E989" s="106">
        <v>1</v>
      </c>
      <c r="F989" s="106">
        <v>0</v>
      </c>
      <c r="G989" s="106">
        <v>5</v>
      </c>
      <c r="H989" s="107" t="s">
        <v>2133</v>
      </c>
      <c r="I989" s="107" t="s">
        <v>24</v>
      </c>
      <c r="J989" s="107" t="s">
        <v>24</v>
      </c>
      <c r="K989" s="108">
        <f t="shared" si="234"/>
        <v>8</v>
      </c>
      <c r="L989" s="108">
        <f t="shared" si="235"/>
        <v>68</v>
      </c>
      <c r="M989" s="107"/>
      <c r="N989" s="112">
        <f t="shared" si="239"/>
        <v>0</v>
      </c>
      <c r="O989" s="113">
        <f t="shared" si="228"/>
        <v>0</v>
      </c>
      <c r="P989" s="112">
        <f t="shared" si="237"/>
        <v>0</v>
      </c>
      <c r="Q989" s="109"/>
      <c r="R989" s="107"/>
      <c r="S989" s="109" t="s">
        <v>2134</v>
      </c>
      <c r="T989" s="114">
        <v>70</v>
      </c>
      <c r="U989" s="109"/>
      <c r="V989" s="106"/>
      <c r="W989" s="106"/>
      <c r="X989" s="106" t="s">
        <v>55</v>
      </c>
      <c r="Y989" s="63">
        <f t="shared" si="229"/>
        <v>0</v>
      </c>
      <c r="Z989" s="64">
        <f t="shared" si="238"/>
        <v>1</v>
      </c>
    </row>
    <row r="990" spans="1:26" ht="15.75" customHeight="1">
      <c r="A990" s="106">
        <v>20260055</v>
      </c>
      <c r="B990" s="107" t="s">
        <v>173</v>
      </c>
      <c r="C990" s="108">
        <v>46079</v>
      </c>
      <c r="D990" s="108"/>
      <c r="E990" s="106">
        <v>1</v>
      </c>
      <c r="F990" s="106">
        <v>18.5</v>
      </c>
      <c r="G990" s="106">
        <v>24</v>
      </c>
      <c r="H990" s="107" t="s">
        <v>2136</v>
      </c>
      <c r="I990" s="107" t="s">
        <v>42</v>
      </c>
      <c r="J990" s="107" t="s">
        <v>28</v>
      </c>
      <c r="K990" s="108">
        <f t="shared" si="234"/>
        <v>8</v>
      </c>
      <c r="L990" s="108">
        <f t="shared" si="235"/>
        <v>68</v>
      </c>
      <c r="M990" s="107"/>
      <c r="N990" s="112">
        <f t="shared" si="239"/>
        <v>0</v>
      </c>
      <c r="O990" s="113">
        <f t="shared" si="228"/>
        <v>0</v>
      </c>
      <c r="P990" s="112">
        <f t="shared" si="237"/>
        <v>0</v>
      </c>
      <c r="Q990" s="109"/>
      <c r="R990" s="107"/>
      <c r="S990" s="109" t="s">
        <v>2137</v>
      </c>
      <c r="T990" s="114">
        <v>71</v>
      </c>
      <c r="U990" s="109" t="s">
        <v>2138</v>
      </c>
      <c r="V990" s="106"/>
      <c r="W990" s="106"/>
      <c r="X990" s="106" t="s">
        <v>55</v>
      </c>
      <c r="Y990" s="63">
        <f t="shared" si="229"/>
        <v>18.5</v>
      </c>
      <c r="Z990" s="64">
        <f t="shared" si="238"/>
        <v>1</v>
      </c>
    </row>
    <row r="991" spans="1:26" ht="15.75" customHeight="1">
      <c r="A991" s="63">
        <v>20260055</v>
      </c>
      <c r="B991" s="65" t="s">
        <v>173</v>
      </c>
      <c r="C991" s="66">
        <v>46079</v>
      </c>
      <c r="E991" s="63">
        <v>45</v>
      </c>
      <c r="F991" s="68">
        <v>661.01</v>
      </c>
      <c r="G991" s="69">
        <v>1080</v>
      </c>
      <c r="H991" s="65" t="s">
        <v>781</v>
      </c>
      <c r="I991" s="65" t="s">
        <v>42</v>
      </c>
      <c r="J991" s="65" t="s">
        <v>28</v>
      </c>
      <c r="K991" s="48">
        <f t="shared" si="234"/>
        <v>8</v>
      </c>
      <c r="L991" s="48">
        <f t="shared" si="235"/>
        <v>68</v>
      </c>
      <c r="N991" s="72">
        <f t="shared" ref="N991:N1050" si="240">E991</f>
        <v>45</v>
      </c>
      <c r="O991" s="50">
        <f t="shared" si="228"/>
        <v>661.01</v>
      </c>
      <c r="P991" s="56">
        <f t="shared" si="237"/>
        <v>1080</v>
      </c>
      <c r="S991" s="200" t="s">
        <v>2139</v>
      </c>
      <c r="T991" s="201">
        <v>72</v>
      </c>
      <c r="U991" s="58" t="s">
        <v>2140</v>
      </c>
      <c r="V991" s="46"/>
      <c r="W991" s="46"/>
      <c r="X991" s="62" t="s">
        <v>25</v>
      </c>
      <c r="Y991" s="63">
        <f t="shared" si="229"/>
        <v>14.68911111111111</v>
      </c>
      <c r="Z991" s="64">
        <f t="shared" si="238"/>
        <v>0</v>
      </c>
    </row>
    <row r="992" spans="1:26" ht="15.75" customHeight="1">
      <c r="A992" s="63">
        <v>20260055</v>
      </c>
      <c r="B992" s="65" t="s">
        <v>173</v>
      </c>
      <c r="C992" s="66">
        <v>46079</v>
      </c>
      <c r="E992" s="63">
        <v>9</v>
      </c>
      <c r="F992" s="68">
        <v>0</v>
      </c>
      <c r="G992" s="69">
        <v>60</v>
      </c>
      <c r="H992" s="65" t="s">
        <v>781</v>
      </c>
      <c r="I992" s="65" t="s">
        <v>24</v>
      </c>
      <c r="J992" s="65" t="s">
        <v>24</v>
      </c>
      <c r="K992" s="48">
        <f t="shared" si="234"/>
        <v>8</v>
      </c>
      <c r="L992" s="48">
        <f t="shared" si="235"/>
        <v>68</v>
      </c>
      <c r="N992" s="72">
        <f t="shared" si="240"/>
        <v>9</v>
      </c>
      <c r="O992" s="50">
        <f t="shared" si="228"/>
        <v>0</v>
      </c>
      <c r="P992" s="56">
        <f t="shared" si="237"/>
        <v>60</v>
      </c>
      <c r="S992" s="200" t="s">
        <v>2141</v>
      </c>
      <c r="T992" s="201">
        <v>74</v>
      </c>
      <c r="U992" s="58" t="s">
        <v>846</v>
      </c>
      <c r="V992" s="46"/>
      <c r="W992" s="46"/>
      <c r="X992" s="62" t="s">
        <v>25</v>
      </c>
      <c r="Y992" s="63">
        <f t="shared" si="229"/>
        <v>0</v>
      </c>
      <c r="Z992" s="64">
        <f t="shared" si="238"/>
        <v>0</v>
      </c>
    </row>
    <row r="993" spans="1:26" ht="15.75" customHeight="1">
      <c r="A993" s="63">
        <v>20260055</v>
      </c>
      <c r="B993" s="65" t="s">
        <v>173</v>
      </c>
      <c r="C993" s="66">
        <v>46079</v>
      </c>
      <c r="E993" s="63">
        <v>23</v>
      </c>
      <c r="F993" s="68">
        <v>6.7539999999999996</v>
      </c>
      <c r="G993" s="69">
        <v>145</v>
      </c>
      <c r="H993" s="65" t="s">
        <v>781</v>
      </c>
      <c r="I993" s="65" t="s">
        <v>24</v>
      </c>
      <c r="J993" s="65" t="s">
        <v>24</v>
      </c>
      <c r="K993" s="48">
        <f t="shared" si="234"/>
        <v>8</v>
      </c>
      <c r="L993" s="48">
        <f t="shared" si="235"/>
        <v>68</v>
      </c>
      <c r="N993" s="72">
        <f t="shared" si="240"/>
        <v>23</v>
      </c>
      <c r="O993" s="50">
        <f t="shared" si="228"/>
        <v>6.7539999999999987</v>
      </c>
      <c r="P993" s="56">
        <f t="shared" si="237"/>
        <v>145</v>
      </c>
      <c r="S993" s="200" t="s">
        <v>2142</v>
      </c>
      <c r="T993" s="201">
        <v>75</v>
      </c>
      <c r="U993" s="58" t="s">
        <v>846</v>
      </c>
      <c r="V993" s="46"/>
      <c r="W993" s="46"/>
      <c r="X993" s="62" t="s">
        <v>25</v>
      </c>
      <c r="Y993" s="63">
        <f t="shared" si="229"/>
        <v>0.29365217391304343</v>
      </c>
      <c r="Z993" s="64">
        <f t="shared" si="238"/>
        <v>0</v>
      </c>
    </row>
    <row r="994" spans="1:26" ht="15.75" customHeight="1">
      <c r="A994" s="63">
        <v>20260055</v>
      </c>
      <c r="B994" s="65" t="s">
        <v>173</v>
      </c>
      <c r="C994" s="66">
        <v>46079</v>
      </c>
      <c r="E994" s="63">
        <v>3</v>
      </c>
      <c r="F994" s="68">
        <v>43.8</v>
      </c>
      <c r="G994" s="69">
        <v>72</v>
      </c>
      <c r="H994" s="65" t="s">
        <v>2143</v>
      </c>
      <c r="I994" s="65" t="s">
        <v>42</v>
      </c>
      <c r="J994" s="65" t="s">
        <v>28</v>
      </c>
      <c r="K994" s="48">
        <f t="shared" si="234"/>
        <v>8</v>
      </c>
      <c r="L994" s="48">
        <f t="shared" si="235"/>
        <v>68</v>
      </c>
      <c r="N994" s="72">
        <f t="shared" si="240"/>
        <v>3</v>
      </c>
      <c r="O994" s="50">
        <f t="shared" si="228"/>
        <v>43.8</v>
      </c>
      <c r="P994" s="56">
        <f t="shared" si="237"/>
        <v>72</v>
      </c>
      <c r="S994" s="200" t="s">
        <v>2144</v>
      </c>
      <c r="T994" s="201">
        <v>73</v>
      </c>
      <c r="U994" s="58" t="s">
        <v>2145</v>
      </c>
      <c r="V994" s="46"/>
      <c r="W994" s="46"/>
      <c r="X994" s="62" t="s">
        <v>25</v>
      </c>
      <c r="Y994" s="63">
        <f t="shared" si="229"/>
        <v>14.6</v>
      </c>
      <c r="Z994" s="64">
        <f t="shared" si="238"/>
        <v>0</v>
      </c>
    </row>
    <row r="995" spans="1:26" ht="15.75" customHeight="1">
      <c r="A995" s="63">
        <v>20260055</v>
      </c>
      <c r="B995" s="65" t="s">
        <v>173</v>
      </c>
      <c r="C995" s="66">
        <v>46079</v>
      </c>
      <c r="E995" s="63">
        <v>3</v>
      </c>
      <c r="F995" s="68">
        <v>36.880000000000003</v>
      </c>
      <c r="G995" s="69">
        <v>72</v>
      </c>
      <c r="H995" s="65" t="s">
        <v>2146</v>
      </c>
      <c r="I995" s="65" t="s">
        <v>42</v>
      </c>
      <c r="J995" s="65" t="s">
        <v>28</v>
      </c>
      <c r="K995" s="48">
        <f t="shared" si="234"/>
        <v>8</v>
      </c>
      <c r="L995" s="48">
        <f t="shared" si="235"/>
        <v>68</v>
      </c>
      <c r="N995" s="72">
        <f t="shared" si="240"/>
        <v>3</v>
      </c>
      <c r="O995" s="50">
        <f t="shared" si="228"/>
        <v>36.880000000000003</v>
      </c>
      <c r="P995" s="56">
        <f t="shared" si="237"/>
        <v>72</v>
      </c>
      <c r="S995" s="200" t="s">
        <v>2147</v>
      </c>
      <c r="T995" s="201">
        <v>76</v>
      </c>
      <c r="U995" s="58" t="s">
        <v>2148</v>
      </c>
      <c r="V995" s="46"/>
      <c r="W995" s="46"/>
      <c r="X995" s="62" t="s">
        <v>25</v>
      </c>
      <c r="Y995" s="63">
        <f t="shared" si="229"/>
        <v>12.293333333333335</v>
      </c>
      <c r="Z995" s="64">
        <f t="shared" si="238"/>
        <v>0</v>
      </c>
    </row>
    <row r="996" spans="1:26" ht="15.75" customHeight="1">
      <c r="A996" s="63">
        <v>20260055</v>
      </c>
      <c r="B996" s="65" t="s">
        <v>173</v>
      </c>
      <c r="C996" s="66">
        <v>46079</v>
      </c>
      <c r="E996" s="63">
        <v>1</v>
      </c>
      <c r="F996" s="68">
        <v>38.47</v>
      </c>
      <c r="G996" s="69">
        <v>60</v>
      </c>
      <c r="H996" s="65" t="s">
        <v>2149</v>
      </c>
      <c r="I996" s="65" t="s">
        <v>138</v>
      </c>
      <c r="J996" s="65" t="s">
        <v>26</v>
      </c>
      <c r="K996" s="48">
        <f t="shared" si="234"/>
        <v>8</v>
      </c>
      <c r="L996" s="48">
        <f t="shared" si="235"/>
        <v>68</v>
      </c>
      <c r="N996" s="72">
        <f t="shared" si="240"/>
        <v>1</v>
      </c>
      <c r="O996" s="50">
        <f t="shared" si="228"/>
        <v>38.47</v>
      </c>
      <c r="P996" s="56">
        <f t="shared" si="237"/>
        <v>60</v>
      </c>
      <c r="S996" s="200" t="s">
        <v>2150</v>
      </c>
      <c r="T996" s="201">
        <v>77</v>
      </c>
      <c r="U996" s="58" t="s">
        <v>2151</v>
      </c>
      <c r="V996" s="46"/>
      <c r="W996" s="46"/>
      <c r="X996" s="62" t="s">
        <v>25</v>
      </c>
      <c r="Y996" s="63">
        <f t="shared" si="229"/>
        <v>38.47</v>
      </c>
      <c r="Z996" s="64">
        <f t="shared" si="238"/>
        <v>0</v>
      </c>
    </row>
    <row r="997" spans="1:26" ht="15.75" customHeight="1">
      <c r="A997" s="63">
        <v>20260055</v>
      </c>
      <c r="B997" s="65" t="s">
        <v>173</v>
      </c>
      <c r="C997" s="66">
        <v>46079</v>
      </c>
      <c r="E997" s="63">
        <v>2</v>
      </c>
      <c r="F997" s="68">
        <v>16</v>
      </c>
      <c r="G997" s="69">
        <v>48</v>
      </c>
      <c r="H997" s="65" t="s">
        <v>2152</v>
      </c>
      <c r="I997" s="65" t="s">
        <v>42</v>
      </c>
      <c r="J997" s="65" t="s">
        <v>28</v>
      </c>
      <c r="K997" s="48">
        <f t="shared" si="234"/>
        <v>8</v>
      </c>
      <c r="L997" s="48">
        <f t="shared" si="235"/>
        <v>68</v>
      </c>
      <c r="N997" s="72">
        <f t="shared" si="240"/>
        <v>2</v>
      </c>
      <c r="O997" s="50">
        <f t="shared" si="228"/>
        <v>16</v>
      </c>
      <c r="P997" s="56">
        <f t="shared" si="237"/>
        <v>48</v>
      </c>
      <c r="S997" s="200" t="s">
        <v>2153</v>
      </c>
      <c r="T997" s="201">
        <v>78</v>
      </c>
      <c r="U997" s="58" t="s">
        <v>2154</v>
      </c>
      <c r="V997" s="46"/>
      <c r="W997" s="46"/>
      <c r="X997" s="62" t="s">
        <v>25</v>
      </c>
      <c r="Y997" s="63">
        <f t="shared" si="229"/>
        <v>8</v>
      </c>
      <c r="Z997" s="64">
        <f t="shared" si="238"/>
        <v>0</v>
      </c>
    </row>
    <row r="998" spans="1:26" ht="15.75" customHeight="1">
      <c r="A998" s="106">
        <v>20260055</v>
      </c>
      <c r="B998" s="107" t="s">
        <v>173</v>
      </c>
      <c r="C998" s="108">
        <v>46079</v>
      </c>
      <c r="D998" s="108"/>
      <c r="E998" s="106">
        <v>1</v>
      </c>
      <c r="F998" s="106">
        <v>14.32</v>
      </c>
      <c r="G998" s="106">
        <v>24</v>
      </c>
      <c r="H998" s="107" t="s">
        <v>2155</v>
      </c>
      <c r="I998" s="107" t="s">
        <v>42</v>
      </c>
      <c r="J998" s="107" t="s">
        <v>28</v>
      </c>
      <c r="K998" s="108">
        <f t="shared" si="234"/>
        <v>8</v>
      </c>
      <c r="L998" s="108">
        <f t="shared" si="235"/>
        <v>68</v>
      </c>
      <c r="M998" s="107"/>
      <c r="N998" s="112">
        <f>E998-1</f>
        <v>0</v>
      </c>
      <c r="O998" s="113">
        <f t="shared" si="228"/>
        <v>0</v>
      </c>
      <c r="P998" s="112">
        <f t="shared" si="237"/>
        <v>0</v>
      </c>
      <c r="Q998" s="109"/>
      <c r="R998" s="107"/>
      <c r="S998" s="109" t="s">
        <v>2156</v>
      </c>
      <c r="T998" s="114">
        <v>79</v>
      </c>
      <c r="U998" s="109" t="s">
        <v>2157</v>
      </c>
      <c r="V998" s="106"/>
      <c r="W998" s="106"/>
      <c r="X998" s="106" t="s">
        <v>55</v>
      </c>
      <c r="Y998" s="63">
        <f t="shared" si="229"/>
        <v>14.32</v>
      </c>
      <c r="Z998" s="64">
        <f t="shared" si="238"/>
        <v>1</v>
      </c>
    </row>
    <row r="999" spans="1:26" ht="15.75" customHeight="1">
      <c r="A999" s="63">
        <v>20260055</v>
      </c>
      <c r="B999" s="65" t="s">
        <v>173</v>
      </c>
      <c r="C999" s="66">
        <v>46079</v>
      </c>
      <c r="E999" s="63">
        <v>1</v>
      </c>
      <c r="F999" s="68">
        <v>7.5</v>
      </c>
      <c r="G999" s="69">
        <v>24</v>
      </c>
      <c r="H999" s="65" t="s">
        <v>2158</v>
      </c>
      <c r="I999" s="65" t="s">
        <v>42</v>
      </c>
      <c r="J999" s="65" t="s">
        <v>28</v>
      </c>
      <c r="K999" s="48">
        <f t="shared" si="234"/>
        <v>8</v>
      </c>
      <c r="L999" s="48">
        <f t="shared" si="235"/>
        <v>68</v>
      </c>
      <c r="N999" s="72">
        <f t="shared" si="240"/>
        <v>1</v>
      </c>
      <c r="O999" s="50">
        <f t="shared" ref="O999:O1062" si="241">F999/E999*N999</f>
        <v>7.5</v>
      </c>
      <c r="P999" s="56">
        <f t="shared" si="237"/>
        <v>24</v>
      </c>
      <c r="S999" s="200" t="s">
        <v>2159</v>
      </c>
      <c r="T999" s="201">
        <v>80</v>
      </c>
      <c r="U999" s="58" t="s">
        <v>2160</v>
      </c>
      <c r="V999" s="46"/>
      <c r="W999" s="46"/>
      <c r="X999" s="62" t="s">
        <v>25</v>
      </c>
      <c r="Y999" s="63">
        <f t="shared" si="229"/>
        <v>7.5</v>
      </c>
      <c r="Z999" s="64">
        <f t="shared" si="238"/>
        <v>0</v>
      </c>
    </row>
    <row r="1000" spans="1:26" ht="15.75" customHeight="1">
      <c r="A1000" s="63">
        <v>20260055</v>
      </c>
      <c r="B1000" s="65" t="s">
        <v>173</v>
      </c>
      <c r="C1000" s="66">
        <v>46079</v>
      </c>
      <c r="E1000" s="63">
        <v>2</v>
      </c>
      <c r="F1000" s="68">
        <v>45.54</v>
      </c>
      <c r="G1000" s="69">
        <v>48</v>
      </c>
      <c r="H1000" s="65" t="s">
        <v>2161</v>
      </c>
      <c r="I1000" s="65" t="s">
        <v>42</v>
      </c>
      <c r="J1000" s="65" t="s">
        <v>28</v>
      </c>
      <c r="K1000" s="48">
        <f t="shared" si="234"/>
        <v>8</v>
      </c>
      <c r="L1000" s="48">
        <f t="shared" si="235"/>
        <v>68</v>
      </c>
      <c r="N1000" s="72">
        <f t="shared" si="240"/>
        <v>2</v>
      </c>
      <c r="O1000" s="50">
        <f t="shared" si="241"/>
        <v>45.54</v>
      </c>
      <c r="P1000" s="56">
        <f t="shared" si="237"/>
        <v>48</v>
      </c>
      <c r="S1000" s="200" t="s">
        <v>2162</v>
      </c>
      <c r="T1000" s="201">
        <v>81</v>
      </c>
      <c r="U1000" s="58" t="s">
        <v>2163</v>
      </c>
      <c r="V1000" s="46"/>
      <c r="W1000" s="46"/>
      <c r="X1000" s="62" t="s">
        <v>25</v>
      </c>
      <c r="Y1000" s="63">
        <f t="shared" si="229"/>
        <v>22.77</v>
      </c>
      <c r="Z1000" s="64">
        <f t="shared" si="238"/>
        <v>0</v>
      </c>
    </row>
    <row r="1001" spans="1:26" ht="15.75" customHeight="1">
      <c r="A1001" s="63">
        <v>20260055</v>
      </c>
      <c r="B1001" s="65" t="s">
        <v>173</v>
      </c>
      <c r="C1001" s="66">
        <v>46079</v>
      </c>
      <c r="E1001" s="63">
        <v>1</v>
      </c>
      <c r="F1001" s="68">
        <v>17.399999999999999</v>
      </c>
      <c r="G1001" s="69">
        <v>24</v>
      </c>
      <c r="H1001" s="65" t="s">
        <v>1309</v>
      </c>
      <c r="I1001" s="65" t="s">
        <v>276</v>
      </c>
      <c r="J1001" s="65" t="s">
        <v>26</v>
      </c>
      <c r="K1001" s="48">
        <f t="shared" si="234"/>
        <v>8</v>
      </c>
      <c r="L1001" s="48">
        <f t="shared" si="235"/>
        <v>68</v>
      </c>
      <c r="N1001" s="72">
        <f t="shared" si="240"/>
        <v>1</v>
      </c>
      <c r="O1001" s="50">
        <f t="shared" si="241"/>
        <v>17.399999999999999</v>
      </c>
      <c r="P1001" s="56">
        <f t="shared" si="237"/>
        <v>24</v>
      </c>
      <c r="S1001" s="200" t="s">
        <v>2164</v>
      </c>
      <c r="T1001" s="201">
        <v>82</v>
      </c>
      <c r="U1001" s="58" t="s">
        <v>2165</v>
      </c>
      <c r="V1001" s="46"/>
      <c r="W1001" s="46"/>
      <c r="X1001" s="62" t="s">
        <v>25</v>
      </c>
      <c r="Y1001" s="63">
        <f t="shared" si="229"/>
        <v>17.399999999999999</v>
      </c>
      <c r="Z1001" s="64">
        <f t="shared" si="238"/>
        <v>0</v>
      </c>
    </row>
    <row r="1002" spans="1:26" ht="15.75" customHeight="1">
      <c r="A1002" s="106">
        <v>20260055</v>
      </c>
      <c r="B1002" s="107" t="s">
        <v>173</v>
      </c>
      <c r="C1002" s="108">
        <v>46079</v>
      </c>
      <c r="D1002" s="108"/>
      <c r="E1002" s="106">
        <v>1</v>
      </c>
      <c r="F1002" s="106">
        <v>17.399999999999999</v>
      </c>
      <c r="G1002" s="106">
        <v>24</v>
      </c>
      <c r="H1002" s="107" t="s">
        <v>2166</v>
      </c>
      <c r="I1002" s="107" t="s">
        <v>276</v>
      </c>
      <c r="J1002" s="107" t="s">
        <v>26</v>
      </c>
      <c r="K1002" s="108">
        <f t="shared" si="234"/>
        <v>8</v>
      </c>
      <c r="L1002" s="108">
        <f t="shared" si="235"/>
        <v>68</v>
      </c>
      <c r="M1002" s="107"/>
      <c r="N1002" s="112">
        <f>E1002-1</f>
        <v>0</v>
      </c>
      <c r="O1002" s="113">
        <f t="shared" si="241"/>
        <v>0</v>
      </c>
      <c r="P1002" s="112">
        <f t="shared" si="237"/>
        <v>0</v>
      </c>
      <c r="Q1002" s="109"/>
      <c r="R1002" s="107"/>
      <c r="S1002" s="109" t="s">
        <v>2167</v>
      </c>
      <c r="T1002" s="114">
        <v>83</v>
      </c>
      <c r="U1002" s="109" t="s">
        <v>2168</v>
      </c>
      <c r="V1002" s="106"/>
      <c r="W1002" s="106"/>
      <c r="X1002" s="106" t="s">
        <v>55</v>
      </c>
      <c r="Y1002" s="63">
        <f t="shared" si="229"/>
        <v>17.399999999999999</v>
      </c>
      <c r="Z1002" s="64">
        <f t="shared" si="238"/>
        <v>1</v>
      </c>
    </row>
    <row r="1003" spans="1:26" ht="15.75" customHeight="1">
      <c r="A1003" s="106">
        <v>20260055</v>
      </c>
      <c r="B1003" s="107" t="s">
        <v>173</v>
      </c>
      <c r="C1003" s="108">
        <v>46079</v>
      </c>
      <c r="D1003" s="108"/>
      <c r="E1003" s="106">
        <v>2</v>
      </c>
      <c r="F1003" s="106">
        <v>6.7249999999999996</v>
      </c>
      <c r="G1003" s="106">
        <v>48</v>
      </c>
      <c r="H1003" s="107" t="s">
        <v>2169</v>
      </c>
      <c r="I1003" s="107" t="s">
        <v>42</v>
      </c>
      <c r="J1003" s="107" t="s">
        <v>28</v>
      </c>
      <c r="K1003" s="108">
        <f t="shared" si="234"/>
        <v>8</v>
      </c>
      <c r="L1003" s="108">
        <f t="shared" si="235"/>
        <v>68</v>
      </c>
      <c r="M1003" s="107"/>
      <c r="N1003" s="112">
        <f>E1003-2</f>
        <v>0</v>
      </c>
      <c r="O1003" s="113">
        <f t="shared" si="241"/>
        <v>0</v>
      </c>
      <c r="P1003" s="112">
        <f t="shared" si="237"/>
        <v>0</v>
      </c>
      <c r="Q1003" s="109"/>
      <c r="R1003" s="107"/>
      <c r="S1003" s="109" t="s">
        <v>2170</v>
      </c>
      <c r="T1003" s="114">
        <v>84</v>
      </c>
      <c r="U1003" s="109" t="s">
        <v>2171</v>
      </c>
      <c r="V1003" s="106"/>
      <c r="W1003" s="106"/>
      <c r="X1003" s="106" t="s">
        <v>55</v>
      </c>
      <c r="Y1003" s="63">
        <f t="shared" si="229"/>
        <v>3.3624999999999998</v>
      </c>
      <c r="Z1003" s="64">
        <f t="shared" si="238"/>
        <v>2</v>
      </c>
    </row>
    <row r="1004" spans="1:26" ht="15.75" customHeight="1">
      <c r="A1004" s="106">
        <v>20260055</v>
      </c>
      <c r="B1004" s="107" t="s">
        <v>173</v>
      </c>
      <c r="C1004" s="108">
        <v>46079</v>
      </c>
      <c r="D1004" s="108"/>
      <c r="E1004" s="106">
        <v>1</v>
      </c>
      <c r="F1004" s="106">
        <v>16.760000000000002</v>
      </c>
      <c r="G1004" s="106">
        <v>24</v>
      </c>
      <c r="H1004" s="107" t="s">
        <v>2172</v>
      </c>
      <c r="I1004" s="107" t="s">
        <v>63</v>
      </c>
      <c r="J1004" s="107" t="s">
        <v>28</v>
      </c>
      <c r="K1004" s="108">
        <f t="shared" si="234"/>
        <v>8</v>
      </c>
      <c r="L1004" s="108">
        <f t="shared" si="235"/>
        <v>68</v>
      </c>
      <c r="M1004" s="107"/>
      <c r="N1004" s="112">
        <f>E1004-1</f>
        <v>0</v>
      </c>
      <c r="O1004" s="113">
        <f t="shared" si="241"/>
        <v>0</v>
      </c>
      <c r="P1004" s="112">
        <f t="shared" si="237"/>
        <v>0</v>
      </c>
      <c r="Q1004" s="109"/>
      <c r="R1004" s="107"/>
      <c r="S1004" s="109" t="s">
        <v>2173</v>
      </c>
      <c r="T1004" s="114">
        <v>85</v>
      </c>
      <c r="U1004" s="109" t="s">
        <v>2174</v>
      </c>
      <c r="V1004" s="106"/>
      <c r="W1004" s="106"/>
      <c r="X1004" s="106" t="s">
        <v>55</v>
      </c>
      <c r="Y1004" s="63">
        <f t="shared" si="229"/>
        <v>16.760000000000002</v>
      </c>
      <c r="Z1004" s="64">
        <f t="shared" si="238"/>
        <v>1</v>
      </c>
    </row>
    <row r="1005" spans="1:26" ht="15.75" customHeight="1">
      <c r="A1005" s="106">
        <v>20260055</v>
      </c>
      <c r="B1005" s="107" t="s">
        <v>173</v>
      </c>
      <c r="C1005" s="108">
        <v>46079</v>
      </c>
      <c r="D1005" s="108"/>
      <c r="E1005" s="106">
        <v>1</v>
      </c>
      <c r="F1005" s="106">
        <v>16.760000000000002</v>
      </c>
      <c r="G1005" s="106">
        <v>24</v>
      </c>
      <c r="H1005" s="107" t="s">
        <v>2175</v>
      </c>
      <c r="I1005" s="107" t="s">
        <v>63</v>
      </c>
      <c r="J1005" s="107" t="s">
        <v>28</v>
      </c>
      <c r="K1005" s="108">
        <f t="shared" si="234"/>
        <v>8</v>
      </c>
      <c r="L1005" s="108">
        <f t="shared" si="235"/>
        <v>68</v>
      </c>
      <c r="M1005" s="107"/>
      <c r="N1005" s="112">
        <f>E1005-1</f>
        <v>0</v>
      </c>
      <c r="O1005" s="113">
        <f t="shared" si="241"/>
        <v>0</v>
      </c>
      <c r="P1005" s="112">
        <f t="shared" si="237"/>
        <v>0</v>
      </c>
      <c r="Q1005" s="109"/>
      <c r="R1005" s="107"/>
      <c r="S1005" s="109" t="s">
        <v>2176</v>
      </c>
      <c r="T1005" s="114">
        <v>86</v>
      </c>
      <c r="U1005" s="109" t="s">
        <v>2177</v>
      </c>
      <c r="V1005" s="106"/>
      <c r="W1005" s="106"/>
      <c r="X1005" s="106" t="s">
        <v>55</v>
      </c>
      <c r="Y1005" s="63">
        <f t="shared" si="229"/>
        <v>16.760000000000002</v>
      </c>
      <c r="Z1005" s="64">
        <f t="shared" si="238"/>
        <v>1</v>
      </c>
    </row>
    <row r="1006" spans="1:26" ht="15.75" customHeight="1">
      <c r="A1006" s="106">
        <v>20260055</v>
      </c>
      <c r="B1006" s="107" t="s">
        <v>173</v>
      </c>
      <c r="C1006" s="108">
        <v>46079</v>
      </c>
      <c r="D1006" s="108"/>
      <c r="E1006" s="106">
        <v>2</v>
      </c>
      <c r="F1006" s="106">
        <v>12.35</v>
      </c>
      <c r="G1006" s="106">
        <v>48</v>
      </c>
      <c r="H1006" s="107" t="s">
        <v>2178</v>
      </c>
      <c r="I1006" s="107" t="s">
        <v>42</v>
      </c>
      <c r="J1006" s="107" t="s">
        <v>28</v>
      </c>
      <c r="K1006" s="108">
        <f t="shared" si="234"/>
        <v>8</v>
      </c>
      <c r="L1006" s="108">
        <f t="shared" si="235"/>
        <v>68</v>
      </c>
      <c r="M1006" s="107"/>
      <c r="N1006" s="112">
        <f>E1006-2</f>
        <v>0</v>
      </c>
      <c r="O1006" s="113">
        <f t="shared" si="241"/>
        <v>0</v>
      </c>
      <c r="P1006" s="112">
        <f t="shared" si="237"/>
        <v>0</v>
      </c>
      <c r="Q1006" s="109"/>
      <c r="R1006" s="107"/>
      <c r="S1006" s="109" t="s">
        <v>2179</v>
      </c>
      <c r="T1006" s="114">
        <v>105</v>
      </c>
      <c r="U1006" s="109" t="s">
        <v>2180</v>
      </c>
      <c r="V1006" s="106"/>
      <c r="W1006" s="106"/>
      <c r="X1006" s="106" t="s">
        <v>55</v>
      </c>
      <c r="Y1006" s="63">
        <f t="shared" si="229"/>
        <v>6.1749999999999998</v>
      </c>
      <c r="Z1006" s="64">
        <f t="shared" si="238"/>
        <v>2</v>
      </c>
    </row>
    <row r="1007" spans="1:26" ht="15.75" customHeight="1">
      <c r="A1007" s="63">
        <v>20260055</v>
      </c>
      <c r="B1007" s="65" t="s">
        <v>173</v>
      </c>
      <c r="C1007" s="66">
        <v>46079</v>
      </c>
      <c r="E1007" s="63">
        <v>1</v>
      </c>
      <c r="F1007" s="68">
        <v>13.5</v>
      </c>
      <c r="G1007" s="69">
        <v>24</v>
      </c>
      <c r="H1007" s="65" t="s">
        <v>2181</v>
      </c>
      <c r="I1007" s="65" t="s">
        <v>42</v>
      </c>
      <c r="J1007" s="65" t="s">
        <v>28</v>
      </c>
      <c r="K1007" s="48">
        <f t="shared" si="234"/>
        <v>8</v>
      </c>
      <c r="L1007" s="48">
        <f t="shared" si="235"/>
        <v>68</v>
      </c>
      <c r="N1007" s="72">
        <f t="shared" si="240"/>
        <v>1</v>
      </c>
      <c r="O1007" s="50">
        <f t="shared" si="241"/>
        <v>13.5</v>
      </c>
      <c r="P1007" s="56">
        <f t="shared" si="237"/>
        <v>24</v>
      </c>
      <c r="S1007" s="200" t="s">
        <v>2182</v>
      </c>
      <c r="T1007" s="201">
        <v>106</v>
      </c>
      <c r="U1007" s="58" t="s">
        <v>2183</v>
      </c>
      <c r="V1007" s="46"/>
      <c r="W1007" s="46"/>
      <c r="X1007" s="62" t="s">
        <v>25</v>
      </c>
      <c r="Y1007" s="63">
        <f t="shared" si="229"/>
        <v>13.5</v>
      </c>
      <c r="Z1007" s="64">
        <f t="shared" si="238"/>
        <v>0</v>
      </c>
    </row>
    <row r="1008" spans="1:26" ht="15.75" customHeight="1">
      <c r="A1008" s="106">
        <v>20260055</v>
      </c>
      <c r="B1008" s="107" t="s">
        <v>173</v>
      </c>
      <c r="C1008" s="108">
        <v>46079</v>
      </c>
      <c r="D1008" s="108"/>
      <c r="E1008" s="106">
        <v>6</v>
      </c>
      <c r="F1008" s="106">
        <v>48</v>
      </c>
      <c r="G1008" s="106">
        <v>144</v>
      </c>
      <c r="H1008" s="107" t="s">
        <v>2184</v>
      </c>
      <c r="I1008" s="107" t="s">
        <v>42</v>
      </c>
      <c r="J1008" s="107" t="s">
        <v>28</v>
      </c>
      <c r="K1008" s="108">
        <f t="shared" si="234"/>
        <v>8</v>
      </c>
      <c r="L1008" s="108">
        <f t="shared" si="235"/>
        <v>68</v>
      </c>
      <c r="M1008" s="107"/>
      <c r="N1008" s="112">
        <f>E1008-6</f>
        <v>0</v>
      </c>
      <c r="O1008" s="113">
        <f t="shared" si="241"/>
        <v>0</v>
      </c>
      <c r="P1008" s="112">
        <f t="shared" si="237"/>
        <v>0</v>
      </c>
      <c r="Q1008" s="109"/>
      <c r="R1008" s="107"/>
      <c r="S1008" s="109" t="s">
        <v>2185</v>
      </c>
      <c r="T1008" s="114">
        <v>107</v>
      </c>
      <c r="U1008" s="109" t="s">
        <v>2186</v>
      </c>
      <c r="V1008" s="106"/>
      <c r="W1008" s="106"/>
      <c r="X1008" s="106" t="s">
        <v>55</v>
      </c>
      <c r="Y1008" s="63">
        <f t="shared" si="229"/>
        <v>8</v>
      </c>
      <c r="Z1008" s="64">
        <f t="shared" si="238"/>
        <v>6</v>
      </c>
    </row>
    <row r="1009" spans="1:26" ht="15.75" customHeight="1">
      <c r="A1009" s="63">
        <v>20260055</v>
      </c>
      <c r="B1009" s="65" t="s">
        <v>173</v>
      </c>
      <c r="C1009" s="66">
        <v>46079</v>
      </c>
      <c r="E1009" s="63">
        <v>1</v>
      </c>
      <c r="F1009" s="68">
        <v>17.5</v>
      </c>
      <c r="G1009" s="69">
        <v>24</v>
      </c>
      <c r="H1009" s="65" t="s">
        <v>2181</v>
      </c>
      <c r="I1009" s="65" t="s">
        <v>42</v>
      </c>
      <c r="J1009" s="65" t="s">
        <v>28</v>
      </c>
      <c r="K1009" s="48">
        <f t="shared" si="234"/>
        <v>8</v>
      </c>
      <c r="L1009" s="48">
        <f t="shared" si="235"/>
        <v>68</v>
      </c>
      <c r="N1009" s="72">
        <f t="shared" si="240"/>
        <v>1</v>
      </c>
      <c r="O1009" s="50">
        <f t="shared" si="241"/>
        <v>17.5</v>
      </c>
      <c r="P1009" s="56">
        <f t="shared" si="237"/>
        <v>24</v>
      </c>
      <c r="S1009" s="200" t="s">
        <v>2187</v>
      </c>
      <c r="T1009" s="201">
        <v>108</v>
      </c>
      <c r="U1009" s="58" t="s">
        <v>2188</v>
      </c>
      <c r="V1009" s="46"/>
      <c r="W1009" s="46"/>
      <c r="X1009" s="62" t="s">
        <v>25</v>
      </c>
      <c r="Y1009" s="63">
        <f t="shared" si="229"/>
        <v>17.5</v>
      </c>
      <c r="Z1009" s="64">
        <f t="shared" si="238"/>
        <v>0</v>
      </c>
    </row>
    <row r="1010" spans="1:26" ht="15.75" customHeight="1">
      <c r="A1010" s="63">
        <v>20260055</v>
      </c>
      <c r="B1010" s="65" t="s">
        <v>173</v>
      </c>
      <c r="C1010" s="66">
        <v>46079</v>
      </c>
      <c r="E1010" s="63">
        <v>1</v>
      </c>
      <c r="F1010" s="68">
        <v>28.745166666666702</v>
      </c>
      <c r="G1010" s="69">
        <v>40</v>
      </c>
      <c r="H1010" s="65" t="s">
        <v>2189</v>
      </c>
      <c r="I1010" s="65" t="s">
        <v>206</v>
      </c>
      <c r="J1010" s="65" t="s">
        <v>26</v>
      </c>
      <c r="K1010" s="48">
        <f t="shared" si="234"/>
        <v>8</v>
      </c>
      <c r="L1010" s="48">
        <f t="shared" si="235"/>
        <v>68</v>
      </c>
      <c r="N1010" s="72">
        <f t="shared" si="240"/>
        <v>1</v>
      </c>
      <c r="O1010" s="50">
        <f t="shared" si="241"/>
        <v>28.745166666666702</v>
      </c>
      <c r="P1010" s="56">
        <f t="shared" si="237"/>
        <v>40</v>
      </c>
      <c r="S1010" s="200" t="s">
        <v>2190</v>
      </c>
      <c r="T1010" s="201">
        <v>109</v>
      </c>
      <c r="U1010" s="58" t="s">
        <v>2191</v>
      </c>
      <c r="V1010" s="46"/>
      <c r="W1010" s="46"/>
      <c r="X1010" s="62" t="s">
        <v>25</v>
      </c>
      <c r="Y1010" s="63">
        <f t="shared" si="229"/>
        <v>28.745166666666702</v>
      </c>
      <c r="Z1010" s="64">
        <f t="shared" si="238"/>
        <v>0</v>
      </c>
    </row>
    <row r="1011" spans="1:26" ht="15.75" customHeight="1">
      <c r="A1011" s="63">
        <v>20260055</v>
      </c>
      <c r="B1011" s="65" t="s">
        <v>173</v>
      </c>
      <c r="C1011" s="66">
        <v>46079</v>
      </c>
      <c r="E1011" s="63">
        <v>2</v>
      </c>
      <c r="F1011" s="68">
        <v>57.490333333333297</v>
      </c>
      <c r="G1011" s="69">
        <v>48</v>
      </c>
      <c r="H1011" s="65" t="s">
        <v>2189</v>
      </c>
      <c r="I1011" s="65" t="s">
        <v>208</v>
      </c>
      <c r="J1011" s="65" t="s">
        <v>26</v>
      </c>
      <c r="K1011" s="48">
        <f t="shared" si="234"/>
        <v>8</v>
      </c>
      <c r="L1011" s="48">
        <f t="shared" si="235"/>
        <v>68</v>
      </c>
      <c r="N1011" s="72">
        <f t="shared" si="240"/>
        <v>2</v>
      </c>
      <c r="O1011" s="50">
        <f t="shared" si="241"/>
        <v>57.490333333333297</v>
      </c>
      <c r="P1011" s="56">
        <f t="shared" si="237"/>
        <v>48</v>
      </c>
      <c r="S1011" s="200" t="s">
        <v>2190</v>
      </c>
      <c r="T1011" s="201">
        <v>109</v>
      </c>
      <c r="U1011" s="58"/>
      <c r="V1011" s="46"/>
      <c r="W1011" s="46"/>
      <c r="X1011" s="62" t="s">
        <v>25</v>
      </c>
      <c r="Y1011" s="63">
        <f t="shared" si="229"/>
        <v>28.745166666666648</v>
      </c>
      <c r="Z1011" s="64">
        <f t="shared" si="238"/>
        <v>0</v>
      </c>
    </row>
    <row r="1012" spans="1:26" ht="15.75" customHeight="1">
      <c r="A1012" s="63">
        <v>20260055</v>
      </c>
      <c r="B1012" s="65" t="s">
        <v>173</v>
      </c>
      <c r="C1012" s="66">
        <v>46079</v>
      </c>
      <c r="E1012" s="63">
        <v>3</v>
      </c>
      <c r="F1012" s="68">
        <v>86.235500000000002</v>
      </c>
      <c r="G1012" s="69">
        <v>72</v>
      </c>
      <c r="H1012" s="65" t="s">
        <v>2189</v>
      </c>
      <c r="I1012" s="65" t="s">
        <v>446</v>
      </c>
      <c r="J1012" s="65" t="s">
        <v>26</v>
      </c>
      <c r="K1012" s="48">
        <f t="shared" si="234"/>
        <v>8</v>
      </c>
      <c r="L1012" s="48">
        <f t="shared" si="235"/>
        <v>68</v>
      </c>
      <c r="N1012" s="72">
        <f t="shared" si="240"/>
        <v>3</v>
      </c>
      <c r="O1012" s="50">
        <f t="shared" si="241"/>
        <v>86.235500000000002</v>
      </c>
      <c r="P1012" s="56">
        <f t="shared" si="237"/>
        <v>72</v>
      </c>
      <c r="S1012" s="200" t="s">
        <v>2190</v>
      </c>
      <c r="T1012" s="201">
        <v>109</v>
      </c>
      <c r="U1012" s="58"/>
      <c r="V1012" s="46"/>
      <c r="W1012" s="46"/>
      <c r="X1012" s="62" t="s">
        <v>25</v>
      </c>
      <c r="Y1012" s="63">
        <f t="shared" ref="Y1012:Y1075" si="242">F1012/E1012</f>
        <v>28.745166666666666</v>
      </c>
      <c r="Z1012" s="64">
        <f t="shared" si="238"/>
        <v>0</v>
      </c>
    </row>
    <row r="1013" spans="1:26" ht="15.75" customHeight="1">
      <c r="A1013" s="63">
        <v>20260055</v>
      </c>
      <c r="B1013" s="65" t="s">
        <v>173</v>
      </c>
      <c r="C1013" s="66">
        <v>46079</v>
      </c>
      <c r="E1013" s="63">
        <v>14</v>
      </c>
      <c r="F1013" s="68">
        <v>0</v>
      </c>
      <c r="G1013" s="69">
        <v>80</v>
      </c>
      <c r="H1013" s="65" t="s">
        <v>2189</v>
      </c>
      <c r="I1013" s="65" t="s">
        <v>24</v>
      </c>
      <c r="J1013" s="65" t="s">
        <v>24</v>
      </c>
      <c r="K1013" s="48">
        <f t="shared" si="234"/>
        <v>8</v>
      </c>
      <c r="L1013" s="48">
        <f t="shared" si="235"/>
        <v>68</v>
      </c>
      <c r="N1013" s="72">
        <f t="shared" si="240"/>
        <v>14</v>
      </c>
      <c r="O1013" s="50">
        <f t="shared" si="241"/>
        <v>0</v>
      </c>
      <c r="P1013" s="56">
        <f t="shared" si="237"/>
        <v>80</v>
      </c>
      <c r="S1013" s="200" t="s">
        <v>2190</v>
      </c>
      <c r="T1013" s="201">
        <v>109</v>
      </c>
      <c r="U1013" s="58"/>
      <c r="V1013" s="46"/>
      <c r="W1013" s="46"/>
      <c r="X1013" s="62" t="s">
        <v>25</v>
      </c>
      <c r="Y1013" s="63">
        <f t="shared" si="242"/>
        <v>0</v>
      </c>
      <c r="Z1013" s="64">
        <f t="shared" si="238"/>
        <v>0</v>
      </c>
    </row>
    <row r="1014" spans="1:26" ht="15.75" customHeight="1">
      <c r="A1014" s="63">
        <v>20260055</v>
      </c>
      <c r="B1014" s="65" t="s">
        <v>173</v>
      </c>
      <c r="C1014" s="66">
        <v>46079</v>
      </c>
      <c r="E1014" s="63">
        <v>1</v>
      </c>
      <c r="F1014" s="68">
        <v>20.445</v>
      </c>
      <c r="G1014" s="69">
        <v>40</v>
      </c>
      <c r="H1014" s="65" t="s">
        <v>2189</v>
      </c>
      <c r="I1014" s="65" t="s">
        <v>206</v>
      </c>
      <c r="J1014" s="65" t="s">
        <v>26</v>
      </c>
      <c r="K1014" s="48">
        <f t="shared" si="234"/>
        <v>8</v>
      </c>
      <c r="L1014" s="48">
        <f t="shared" si="235"/>
        <v>68</v>
      </c>
      <c r="N1014" s="72">
        <f t="shared" si="240"/>
        <v>1</v>
      </c>
      <c r="O1014" s="50">
        <f t="shared" si="241"/>
        <v>20.445</v>
      </c>
      <c r="P1014" s="56">
        <f t="shared" si="237"/>
        <v>40</v>
      </c>
      <c r="S1014" s="200" t="s">
        <v>2192</v>
      </c>
      <c r="T1014" s="201">
        <v>110</v>
      </c>
      <c r="U1014" s="58" t="s">
        <v>2193</v>
      </c>
      <c r="V1014" s="46"/>
      <c r="W1014" s="46"/>
      <c r="X1014" s="62" t="s">
        <v>25</v>
      </c>
      <c r="Y1014" s="63">
        <f t="shared" si="242"/>
        <v>20.445</v>
      </c>
      <c r="Z1014" s="64">
        <f t="shared" si="238"/>
        <v>0</v>
      </c>
    </row>
    <row r="1015" spans="1:26" ht="15.75" customHeight="1">
      <c r="A1015" s="63">
        <v>20260055</v>
      </c>
      <c r="B1015" s="65" t="s">
        <v>173</v>
      </c>
      <c r="C1015" s="66">
        <v>46079</v>
      </c>
      <c r="E1015" s="63">
        <v>2</v>
      </c>
      <c r="F1015" s="68">
        <v>40.89</v>
      </c>
      <c r="G1015" s="69">
        <v>48</v>
      </c>
      <c r="H1015" s="65" t="s">
        <v>2189</v>
      </c>
      <c r="I1015" s="65" t="s">
        <v>208</v>
      </c>
      <c r="J1015" s="65" t="s">
        <v>26</v>
      </c>
      <c r="K1015" s="48">
        <f t="shared" si="234"/>
        <v>8</v>
      </c>
      <c r="L1015" s="48">
        <f t="shared" si="235"/>
        <v>68</v>
      </c>
      <c r="N1015" s="72">
        <f t="shared" si="240"/>
        <v>2</v>
      </c>
      <c r="O1015" s="50">
        <f t="shared" si="241"/>
        <v>40.89</v>
      </c>
      <c r="P1015" s="56">
        <f t="shared" si="237"/>
        <v>48</v>
      </c>
      <c r="S1015" s="200" t="s">
        <v>2192</v>
      </c>
      <c r="T1015" s="201">
        <v>110</v>
      </c>
      <c r="U1015" s="58"/>
      <c r="V1015" s="46"/>
      <c r="W1015" s="46"/>
      <c r="X1015" s="62" t="s">
        <v>25</v>
      </c>
      <c r="Y1015" s="63">
        <f t="shared" si="242"/>
        <v>20.445</v>
      </c>
      <c r="Z1015" s="64">
        <f t="shared" si="238"/>
        <v>0</v>
      </c>
    </row>
    <row r="1016" spans="1:26" ht="15.75" customHeight="1">
      <c r="A1016" s="63">
        <v>20260055</v>
      </c>
      <c r="B1016" s="65" t="s">
        <v>173</v>
      </c>
      <c r="C1016" s="66">
        <v>46079</v>
      </c>
      <c r="E1016" s="63">
        <v>1</v>
      </c>
      <c r="F1016" s="68">
        <v>20.445</v>
      </c>
      <c r="G1016" s="69">
        <v>24</v>
      </c>
      <c r="H1016" s="65" t="s">
        <v>2189</v>
      </c>
      <c r="I1016" s="65" t="s">
        <v>276</v>
      </c>
      <c r="J1016" s="65" t="s">
        <v>26</v>
      </c>
      <c r="K1016" s="48">
        <f t="shared" si="234"/>
        <v>8</v>
      </c>
      <c r="L1016" s="48">
        <f t="shared" si="235"/>
        <v>68</v>
      </c>
      <c r="N1016" s="72">
        <f t="shared" si="240"/>
        <v>1</v>
      </c>
      <c r="O1016" s="50">
        <f t="shared" si="241"/>
        <v>20.445</v>
      </c>
      <c r="P1016" s="56">
        <f t="shared" si="237"/>
        <v>24</v>
      </c>
      <c r="S1016" s="200" t="s">
        <v>2192</v>
      </c>
      <c r="T1016" s="201">
        <v>110</v>
      </c>
      <c r="U1016" s="58"/>
      <c r="V1016" s="46"/>
      <c r="W1016" s="46"/>
      <c r="X1016" s="62" t="s">
        <v>25</v>
      </c>
      <c r="Y1016" s="63">
        <f t="shared" si="242"/>
        <v>20.445</v>
      </c>
      <c r="Z1016" s="64">
        <f t="shared" si="238"/>
        <v>0</v>
      </c>
    </row>
    <row r="1017" spans="1:26" ht="15.75" customHeight="1">
      <c r="A1017" s="63">
        <v>20260055</v>
      </c>
      <c r="B1017" s="65" t="s">
        <v>173</v>
      </c>
      <c r="C1017" s="66">
        <v>46079</v>
      </c>
      <c r="E1017" s="63">
        <v>2</v>
      </c>
      <c r="F1017" s="68">
        <v>68.36</v>
      </c>
      <c r="G1017" s="69">
        <v>48</v>
      </c>
      <c r="H1017" s="65" t="s">
        <v>2194</v>
      </c>
      <c r="I1017" s="65" t="s">
        <v>194</v>
      </c>
      <c r="J1017" s="65" t="s">
        <v>26</v>
      </c>
      <c r="K1017" s="48">
        <f t="shared" si="234"/>
        <v>8</v>
      </c>
      <c r="L1017" s="48">
        <f t="shared" si="235"/>
        <v>68</v>
      </c>
      <c r="N1017" s="72">
        <f t="shared" si="240"/>
        <v>2</v>
      </c>
      <c r="O1017" s="50">
        <f t="shared" si="241"/>
        <v>68.36</v>
      </c>
      <c r="P1017" s="56">
        <f t="shared" si="237"/>
        <v>48</v>
      </c>
      <c r="S1017" s="200" t="s">
        <v>2195</v>
      </c>
      <c r="T1017" s="201">
        <v>111</v>
      </c>
      <c r="U1017" s="58" t="s">
        <v>2196</v>
      </c>
      <c r="V1017" s="46"/>
      <c r="W1017" s="46"/>
      <c r="X1017" s="62" t="s">
        <v>25</v>
      </c>
      <c r="Y1017" s="63">
        <f t="shared" si="242"/>
        <v>34.18</v>
      </c>
      <c r="Z1017" s="64">
        <f t="shared" si="238"/>
        <v>0</v>
      </c>
    </row>
    <row r="1018" spans="1:26" ht="15.75" customHeight="1">
      <c r="A1018" s="63">
        <v>20260055</v>
      </c>
      <c r="B1018" s="65" t="s">
        <v>173</v>
      </c>
      <c r="C1018" s="66">
        <v>46079</v>
      </c>
      <c r="E1018" s="63">
        <v>6</v>
      </c>
      <c r="F1018" s="68">
        <v>0</v>
      </c>
      <c r="G1018" s="69">
        <v>30</v>
      </c>
      <c r="H1018" s="65" t="s">
        <v>2194</v>
      </c>
      <c r="I1018" s="65" t="s">
        <v>24</v>
      </c>
      <c r="J1018" s="65" t="s">
        <v>24</v>
      </c>
      <c r="K1018" s="48">
        <f t="shared" si="234"/>
        <v>8</v>
      </c>
      <c r="L1018" s="48">
        <f t="shared" si="235"/>
        <v>68</v>
      </c>
      <c r="N1018" s="72">
        <f t="shared" si="240"/>
        <v>6</v>
      </c>
      <c r="O1018" s="50">
        <f t="shared" si="241"/>
        <v>0</v>
      </c>
      <c r="P1018" s="56">
        <f t="shared" si="237"/>
        <v>30</v>
      </c>
      <c r="S1018" s="200" t="s">
        <v>2195</v>
      </c>
      <c r="T1018" s="201">
        <v>111</v>
      </c>
      <c r="U1018" s="58"/>
      <c r="V1018" s="46"/>
      <c r="W1018" s="46"/>
      <c r="X1018" s="62" t="s">
        <v>25</v>
      </c>
      <c r="Y1018" s="63">
        <f t="shared" si="242"/>
        <v>0</v>
      </c>
      <c r="Z1018" s="64">
        <f t="shared" si="238"/>
        <v>0</v>
      </c>
    </row>
    <row r="1019" spans="1:26" ht="15.75" customHeight="1">
      <c r="A1019" s="63">
        <v>20260055</v>
      </c>
      <c r="B1019" s="65" t="s">
        <v>173</v>
      </c>
      <c r="C1019" s="66">
        <v>46079</v>
      </c>
      <c r="E1019" s="63">
        <v>1</v>
      </c>
      <c r="F1019" s="68">
        <v>12.67</v>
      </c>
      <c r="G1019" s="69">
        <v>24</v>
      </c>
      <c r="H1019" s="65" t="s">
        <v>2197</v>
      </c>
      <c r="I1019" s="65" t="s">
        <v>42</v>
      </c>
      <c r="J1019" s="65" t="s">
        <v>28</v>
      </c>
      <c r="K1019" s="48">
        <f t="shared" si="234"/>
        <v>8</v>
      </c>
      <c r="L1019" s="48">
        <f t="shared" si="235"/>
        <v>68</v>
      </c>
      <c r="N1019" s="72">
        <f t="shared" si="240"/>
        <v>1</v>
      </c>
      <c r="O1019" s="50">
        <f t="shared" si="241"/>
        <v>12.67</v>
      </c>
      <c r="P1019" s="56">
        <f t="shared" si="237"/>
        <v>24</v>
      </c>
      <c r="S1019" s="200" t="s">
        <v>2198</v>
      </c>
      <c r="T1019" s="201">
        <v>112</v>
      </c>
      <c r="U1019" s="58" t="s">
        <v>2199</v>
      </c>
      <c r="V1019" s="46"/>
      <c r="W1019" s="46"/>
      <c r="X1019" s="62" t="s">
        <v>25</v>
      </c>
      <c r="Y1019" s="63">
        <f t="shared" si="242"/>
        <v>12.67</v>
      </c>
      <c r="Z1019" s="64">
        <f t="shared" si="238"/>
        <v>0</v>
      </c>
    </row>
    <row r="1020" spans="1:26" ht="15.75" customHeight="1">
      <c r="A1020" s="63">
        <v>20260055</v>
      </c>
      <c r="B1020" s="65" t="s">
        <v>173</v>
      </c>
      <c r="C1020" s="66">
        <v>46079</v>
      </c>
      <c r="E1020" s="63">
        <v>2</v>
      </c>
      <c r="F1020" s="68">
        <v>25.2</v>
      </c>
      <c r="G1020" s="69">
        <v>48</v>
      </c>
      <c r="H1020" s="65" t="s">
        <v>2194</v>
      </c>
      <c r="I1020" s="65" t="s">
        <v>42</v>
      </c>
      <c r="J1020" s="65" t="s">
        <v>28</v>
      </c>
      <c r="K1020" s="48">
        <f t="shared" si="234"/>
        <v>8</v>
      </c>
      <c r="L1020" s="48">
        <f t="shared" si="235"/>
        <v>68</v>
      </c>
      <c r="N1020" s="72">
        <f t="shared" si="240"/>
        <v>2</v>
      </c>
      <c r="O1020" s="50">
        <f t="shared" si="241"/>
        <v>25.2</v>
      </c>
      <c r="P1020" s="56">
        <f t="shared" si="237"/>
        <v>48</v>
      </c>
      <c r="S1020" s="200" t="s">
        <v>2200</v>
      </c>
      <c r="T1020" s="201">
        <v>113</v>
      </c>
      <c r="U1020" s="58" t="s">
        <v>2201</v>
      </c>
      <c r="V1020" s="46"/>
      <c r="W1020" s="46"/>
      <c r="X1020" s="62" t="s">
        <v>25</v>
      </c>
      <c r="Y1020" s="63">
        <f t="shared" si="242"/>
        <v>12.6</v>
      </c>
      <c r="Z1020" s="64">
        <f t="shared" si="238"/>
        <v>0</v>
      </c>
    </row>
    <row r="1021" spans="1:26" ht="15.75" customHeight="1">
      <c r="A1021" s="106">
        <v>20260055</v>
      </c>
      <c r="B1021" s="107" t="s">
        <v>173</v>
      </c>
      <c r="C1021" s="108">
        <v>46079</v>
      </c>
      <c r="D1021" s="108"/>
      <c r="E1021" s="106">
        <v>1</v>
      </c>
      <c r="F1021" s="106">
        <v>14.4</v>
      </c>
      <c r="G1021" s="106">
        <v>24</v>
      </c>
      <c r="H1021" s="107" t="s">
        <v>1412</v>
      </c>
      <c r="I1021" s="107" t="s">
        <v>63</v>
      </c>
      <c r="J1021" s="107" t="s">
        <v>28</v>
      </c>
      <c r="K1021" s="108">
        <f t="shared" si="234"/>
        <v>8</v>
      </c>
      <c r="L1021" s="108">
        <f t="shared" si="235"/>
        <v>68</v>
      </c>
      <c r="M1021" s="107"/>
      <c r="N1021" s="112">
        <f>E1021-1</f>
        <v>0</v>
      </c>
      <c r="O1021" s="113">
        <f t="shared" si="241"/>
        <v>0</v>
      </c>
      <c r="P1021" s="112">
        <f t="shared" si="237"/>
        <v>0</v>
      </c>
      <c r="Q1021" s="109"/>
      <c r="R1021" s="107"/>
      <c r="S1021" s="109" t="s">
        <v>2202</v>
      </c>
      <c r="T1021" s="114">
        <v>114</v>
      </c>
      <c r="U1021" s="109" t="s">
        <v>2203</v>
      </c>
      <c r="V1021" s="106"/>
      <c r="W1021" s="106"/>
      <c r="X1021" s="106" t="s">
        <v>55</v>
      </c>
      <c r="Y1021" s="63">
        <f t="shared" si="242"/>
        <v>14.4</v>
      </c>
      <c r="Z1021" s="64">
        <f t="shared" si="238"/>
        <v>1</v>
      </c>
    </row>
    <row r="1022" spans="1:26" ht="15.75" customHeight="1">
      <c r="A1022" s="63">
        <v>20260055</v>
      </c>
      <c r="B1022" s="65" t="s">
        <v>173</v>
      </c>
      <c r="C1022" s="66">
        <v>46079</v>
      </c>
      <c r="E1022" s="63">
        <v>1</v>
      </c>
      <c r="F1022" s="68">
        <v>12.3</v>
      </c>
      <c r="G1022" s="69">
        <v>24</v>
      </c>
      <c r="H1022" s="65" t="s">
        <v>2204</v>
      </c>
      <c r="I1022" s="65" t="s">
        <v>276</v>
      </c>
      <c r="J1022" s="65" t="s">
        <v>26</v>
      </c>
      <c r="K1022" s="48">
        <f t="shared" si="234"/>
        <v>8</v>
      </c>
      <c r="L1022" s="48">
        <f t="shared" si="235"/>
        <v>68</v>
      </c>
      <c r="N1022" s="72">
        <f t="shared" si="240"/>
        <v>1</v>
      </c>
      <c r="O1022" s="50">
        <f t="shared" si="241"/>
        <v>12.3</v>
      </c>
      <c r="P1022" s="56">
        <f t="shared" si="237"/>
        <v>24</v>
      </c>
      <c r="S1022" s="200" t="s">
        <v>2205</v>
      </c>
      <c r="T1022" s="201">
        <v>115</v>
      </c>
      <c r="U1022" s="58" t="s">
        <v>2206</v>
      </c>
      <c r="V1022" s="46"/>
      <c r="W1022" s="46"/>
      <c r="X1022" s="62" t="s">
        <v>25</v>
      </c>
      <c r="Y1022" s="63">
        <f t="shared" si="242"/>
        <v>12.3</v>
      </c>
      <c r="Z1022" s="64">
        <f t="shared" si="238"/>
        <v>0</v>
      </c>
    </row>
    <row r="1023" spans="1:26" ht="15.75" customHeight="1">
      <c r="A1023" s="63">
        <v>20260055</v>
      </c>
      <c r="B1023" s="65" t="s">
        <v>173</v>
      </c>
      <c r="C1023" s="66">
        <v>46079</v>
      </c>
      <c r="E1023" s="63">
        <v>1</v>
      </c>
      <c r="F1023" s="68">
        <v>17.399999999999999</v>
      </c>
      <c r="G1023" s="69">
        <v>24</v>
      </c>
      <c r="H1023" s="65" t="s">
        <v>2204</v>
      </c>
      <c r="I1023" s="65" t="s">
        <v>276</v>
      </c>
      <c r="J1023" s="65" t="s">
        <v>26</v>
      </c>
      <c r="K1023" s="48">
        <f t="shared" si="234"/>
        <v>8</v>
      </c>
      <c r="L1023" s="48">
        <f t="shared" si="235"/>
        <v>68</v>
      </c>
      <c r="N1023" s="72">
        <f t="shared" si="240"/>
        <v>1</v>
      </c>
      <c r="O1023" s="50">
        <f t="shared" si="241"/>
        <v>17.399999999999999</v>
      </c>
      <c r="P1023" s="56">
        <f t="shared" si="237"/>
        <v>24</v>
      </c>
      <c r="S1023" s="200" t="s">
        <v>2207</v>
      </c>
      <c r="T1023" s="201">
        <v>116</v>
      </c>
      <c r="U1023" s="58" t="s">
        <v>2208</v>
      </c>
      <c r="V1023" s="46"/>
      <c r="W1023" s="46"/>
      <c r="X1023" s="62" t="s">
        <v>25</v>
      </c>
      <c r="Y1023" s="63">
        <f t="shared" si="242"/>
        <v>17.399999999999999</v>
      </c>
      <c r="Z1023" s="64">
        <f t="shared" si="238"/>
        <v>0</v>
      </c>
    </row>
    <row r="1024" spans="1:26" ht="15.75" customHeight="1">
      <c r="A1024" s="63">
        <v>20260055</v>
      </c>
      <c r="B1024" s="65" t="s">
        <v>173</v>
      </c>
      <c r="C1024" s="66">
        <v>46079</v>
      </c>
      <c r="E1024" s="63">
        <v>1</v>
      </c>
      <c r="F1024" s="68">
        <v>34.18</v>
      </c>
      <c r="G1024" s="69">
        <v>24</v>
      </c>
      <c r="H1024" s="65" t="s">
        <v>2209</v>
      </c>
      <c r="I1024" s="65" t="s">
        <v>194</v>
      </c>
      <c r="J1024" s="65" t="s">
        <v>26</v>
      </c>
      <c r="K1024" s="48">
        <f t="shared" si="234"/>
        <v>8</v>
      </c>
      <c r="L1024" s="48">
        <f t="shared" si="235"/>
        <v>68</v>
      </c>
      <c r="N1024" s="72">
        <f t="shared" si="240"/>
        <v>1</v>
      </c>
      <c r="O1024" s="50">
        <f t="shared" si="241"/>
        <v>34.18</v>
      </c>
      <c r="P1024" s="56">
        <f t="shared" si="237"/>
        <v>24</v>
      </c>
      <c r="S1024" s="200" t="s">
        <v>2210</v>
      </c>
      <c r="T1024" s="201">
        <v>117</v>
      </c>
      <c r="U1024" s="58" t="s">
        <v>2211</v>
      </c>
      <c r="V1024" s="46"/>
      <c r="W1024" s="46"/>
      <c r="X1024" s="62" t="s">
        <v>25</v>
      </c>
      <c r="Y1024" s="63">
        <f t="shared" si="242"/>
        <v>34.18</v>
      </c>
      <c r="Z1024" s="64">
        <f t="shared" si="238"/>
        <v>0</v>
      </c>
    </row>
    <row r="1025" spans="1:26" ht="15.75" customHeight="1">
      <c r="A1025" s="63">
        <v>20260055</v>
      </c>
      <c r="B1025" s="65" t="s">
        <v>173</v>
      </c>
      <c r="C1025" s="66">
        <v>46079</v>
      </c>
      <c r="E1025" s="63">
        <v>3</v>
      </c>
      <c r="F1025" s="68">
        <v>0</v>
      </c>
      <c r="G1025" s="69">
        <v>15</v>
      </c>
      <c r="H1025" s="65" t="s">
        <v>2209</v>
      </c>
      <c r="I1025" s="65" t="s">
        <v>24</v>
      </c>
      <c r="J1025" s="65" t="s">
        <v>24</v>
      </c>
      <c r="K1025" s="48">
        <f t="shared" si="234"/>
        <v>8</v>
      </c>
      <c r="L1025" s="48">
        <f t="shared" si="235"/>
        <v>68</v>
      </c>
      <c r="N1025" s="72">
        <f t="shared" si="240"/>
        <v>3</v>
      </c>
      <c r="O1025" s="50">
        <f t="shared" si="241"/>
        <v>0</v>
      </c>
      <c r="P1025" s="56">
        <f t="shared" si="237"/>
        <v>15</v>
      </c>
      <c r="S1025" s="200" t="s">
        <v>2210</v>
      </c>
      <c r="T1025" s="201">
        <v>117</v>
      </c>
      <c r="U1025" s="58"/>
      <c r="V1025" s="46"/>
      <c r="W1025" s="46"/>
      <c r="X1025" s="62" t="s">
        <v>25</v>
      </c>
      <c r="Y1025" s="63">
        <f t="shared" si="242"/>
        <v>0</v>
      </c>
      <c r="Z1025" s="64">
        <f t="shared" si="238"/>
        <v>0</v>
      </c>
    </row>
    <row r="1026" spans="1:26" ht="15.75" customHeight="1">
      <c r="A1026" s="63">
        <v>20260055</v>
      </c>
      <c r="B1026" s="65" t="s">
        <v>173</v>
      </c>
      <c r="C1026" s="66">
        <v>46079</v>
      </c>
      <c r="E1026" s="63">
        <v>1</v>
      </c>
      <c r="F1026" s="68">
        <v>34.18</v>
      </c>
      <c r="G1026" s="69">
        <v>24</v>
      </c>
      <c r="H1026" s="65" t="s">
        <v>2212</v>
      </c>
      <c r="I1026" s="65" t="s">
        <v>194</v>
      </c>
      <c r="J1026" s="65" t="s">
        <v>26</v>
      </c>
      <c r="K1026" s="48">
        <f t="shared" si="234"/>
        <v>8</v>
      </c>
      <c r="L1026" s="48">
        <f t="shared" si="235"/>
        <v>68</v>
      </c>
      <c r="N1026" s="72">
        <f t="shared" si="240"/>
        <v>1</v>
      </c>
      <c r="O1026" s="50">
        <f t="shared" si="241"/>
        <v>34.18</v>
      </c>
      <c r="P1026" s="56">
        <f t="shared" si="237"/>
        <v>24</v>
      </c>
      <c r="S1026" s="200" t="s">
        <v>2213</v>
      </c>
      <c r="T1026" s="201">
        <v>118</v>
      </c>
      <c r="U1026" s="58" t="s">
        <v>2211</v>
      </c>
      <c r="V1026" s="46"/>
      <c r="W1026" s="46"/>
      <c r="X1026" s="62" t="s">
        <v>25</v>
      </c>
      <c r="Y1026" s="63">
        <f t="shared" si="242"/>
        <v>34.18</v>
      </c>
      <c r="Z1026" s="64">
        <f t="shared" si="238"/>
        <v>0</v>
      </c>
    </row>
    <row r="1027" spans="1:26" ht="15.75" customHeight="1">
      <c r="A1027" s="63">
        <v>20260055</v>
      </c>
      <c r="B1027" s="65" t="s">
        <v>173</v>
      </c>
      <c r="C1027" s="66">
        <v>46079</v>
      </c>
      <c r="E1027" s="63">
        <v>3</v>
      </c>
      <c r="F1027" s="68">
        <v>0</v>
      </c>
      <c r="G1027" s="69">
        <v>15</v>
      </c>
      <c r="H1027" s="65" t="s">
        <v>2212</v>
      </c>
      <c r="I1027" s="65" t="s">
        <v>24</v>
      </c>
      <c r="J1027" s="65" t="s">
        <v>24</v>
      </c>
      <c r="K1027" s="48">
        <f t="shared" si="234"/>
        <v>8</v>
      </c>
      <c r="L1027" s="48">
        <f t="shared" si="235"/>
        <v>68</v>
      </c>
      <c r="N1027" s="72">
        <f t="shared" si="240"/>
        <v>3</v>
      </c>
      <c r="O1027" s="50">
        <f t="shared" si="241"/>
        <v>0</v>
      </c>
      <c r="P1027" s="56">
        <f t="shared" si="237"/>
        <v>15</v>
      </c>
      <c r="S1027" s="200" t="s">
        <v>2213</v>
      </c>
      <c r="T1027" s="201">
        <v>118</v>
      </c>
      <c r="U1027" s="58"/>
      <c r="V1027" s="46"/>
      <c r="W1027" s="46"/>
      <c r="X1027" s="62" t="s">
        <v>25</v>
      </c>
      <c r="Y1027" s="63">
        <f t="shared" si="242"/>
        <v>0</v>
      </c>
      <c r="Z1027" s="64">
        <f t="shared" si="238"/>
        <v>0</v>
      </c>
    </row>
    <row r="1028" spans="1:26" ht="15.75" customHeight="1">
      <c r="A1028" s="63">
        <v>20260055</v>
      </c>
      <c r="B1028" s="65" t="s">
        <v>173</v>
      </c>
      <c r="C1028" s="66">
        <v>46079</v>
      </c>
      <c r="E1028" s="63">
        <v>1</v>
      </c>
      <c r="F1028" s="68">
        <v>12.3</v>
      </c>
      <c r="G1028" s="69">
        <v>24</v>
      </c>
      <c r="H1028" s="65" t="s">
        <v>2214</v>
      </c>
      <c r="I1028" s="65" t="s">
        <v>208</v>
      </c>
      <c r="J1028" s="65" t="s">
        <v>26</v>
      </c>
      <c r="K1028" s="48">
        <f t="shared" si="234"/>
        <v>8</v>
      </c>
      <c r="L1028" s="48">
        <f t="shared" si="235"/>
        <v>68</v>
      </c>
      <c r="N1028" s="72">
        <f t="shared" si="240"/>
        <v>1</v>
      </c>
      <c r="O1028" s="50">
        <f t="shared" si="241"/>
        <v>12.3</v>
      </c>
      <c r="P1028" s="56">
        <f t="shared" si="237"/>
        <v>24</v>
      </c>
      <c r="S1028" s="200" t="s">
        <v>2215</v>
      </c>
      <c r="T1028" s="201">
        <v>119</v>
      </c>
      <c r="U1028" s="58" t="s">
        <v>2216</v>
      </c>
      <c r="V1028" s="46"/>
      <c r="W1028" s="46"/>
      <c r="X1028" s="62" t="s">
        <v>25</v>
      </c>
      <c r="Y1028" s="63">
        <f t="shared" si="242"/>
        <v>12.3</v>
      </c>
      <c r="Z1028" s="64">
        <f t="shared" si="238"/>
        <v>0</v>
      </c>
    </row>
    <row r="1029" spans="1:26" ht="15.75" customHeight="1">
      <c r="A1029" s="63">
        <v>20260055</v>
      </c>
      <c r="B1029" s="65" t="s">
        <v>173</v>
      </c>
      <c r="C1029" s="66">
        <v>46079</v>
      </c>
      <c r="E1029" s="63">
        <v>1</v>
      </c>
      <c r="F1029" s="68">
        <v>10.9</v>
      </c>
      <c r="G1029" s="69">
        <v>24</v>
      </c>
      <c r="H1029" s="65" t="s">
        <v>2064</v>
      </c>
      <c r="I1029" s="65" t="s">
        <v>42</v>
      </c>
      <c r="J1029" s="65" t="s">
        <v>28</v>
      </c>
      <c r="K1029" s="48">
        <f t="shared" si="234"/>
        <v>8</v>
      </c>
      <c r="L1029" s="48">
        <f t="shared" si="235"/>
        <v>68</v>
      </c>
      <c r="N1029" s="72">
        <f t="shared" si="240"/>
        <v>1</v>
      </c>
      <c r="O1029" s="50">
        <f t="shared" si="241"/>
        <v>10.9</v>
      </c>
      <c r="P1029" s="56">
        <f t="shared" si="237"/>
        <v>24</v>
      </c>
      <c r="S1029" s="200" t="s">
        <v>2217</v>
      </c>
      <c r="T1029" s="201">
        <v>120</v>
      </c>
      <c r="U1029" s="58" t="s">
        <v>2218</v>
      </c>
      <c r="V1029" s="46"/>
      <c r="W1029" s="46"/>
      <c r="X1029" s="62" t="s">
        <v>25</v>
      </c>
      <c r="Y1029" s="63">
        <f t="shared" si="242"/>
        <v>10.9</v>
      </c>
      <c r="Z1029" s="64">
        <f t="shared" si="238"/>
        <v>0</v>
      </c>
    </row>
    <row r="1030" spans="1:26" ht="15.75" customHeight="1">
      <c r="A1030" s="63">
        <v>20260055</v>
      </c>
      <c r="B1030" s="65" t="s">
        <v>173</v>
      </c>
      <c r="C1030" s="66">
        <v>46079</v>
      </c>
      <c r="E1030" s="63">
        <v>1</v>
      </c>
      <c r="F1030" s="68">
        <v>9.0299999999999994</v>
      </c>
      <c r="G1030" s="69">
        <v>24</v>
      </c>
      <c r="H1030" s="65" t="s">
        <v>842</v>
      </c>
      <c r="I1030" s="65" t="s">
        <v>42</v>
      </c>
      <c r="J1030" s="65" t="s">
        <v>28</v>
      </c>
      <c r="K1030" s="48">
        <f t="shared" si="234"/>
        <v>8</v>
      </c>
      <c r="L1030" s="48">
        <f t="shared" si="235"/>
        <v>68</v>
      </c>
      <c r="N1030" s="72">
        <f t="shared" si="240"/>
        <v>1</v>
      </c>
      <c r="O1030" s="50">
        <f t="shared" si="241"/>
        <v>9.0299999999999994</v>
      </c>
      <c r="P1030" s="56">
        <f t="shared" si="237"/>
        <v>24</v>
      </c>
      <c r="S1030" s="200" t="s">
        <v>2219</v>
      </c>
      <c r="T1030" s="201">
        <v>121</v>
      </c>
      <c r="U1030" s="58" t="s">
        <v>2029</v>
      </c>
      <c r="V1030" s="46"/>
      <c r="W1030" s="46"/>
      <c r="X1030" s="62" t="s">
        <v>25</v>
      </c>
      <c r="Y1030" s="63">
        <f t="shared" si="242"/>
        <v>9.0299999999999994</v>
      </c>
      <c r="Z1030" s="64">
        <f t="shared" si="238"/>
        <v>0</v>
      </c>
    </row>
    <row r="1031" spans="1:26" ht="15.75" customHeight="1">
      <c r="A1031" s="63">
        <v>20260055</v>
      </c>
      <c r="B1031" s="65" t="s">
        <v>173</v>
      </c>
      <c r="C1031" s="66">
        <v>46079</v>
      </c>
      <c r="E1031" s="63">
        <v>1</v>
      </c>
      <c r="F1031" s="68">
        <v>0</v>
      </c>
      <c r="G1031" s="69">
        <v>5</v>
      </c>
      <c r="H1031" s="65" t="s">
        <v>842</v>
      </c>
      <c r="I1031" s="65" t="s">
        <v>24</v>
      </c>
      <c r="J1031" s="65" t="s">
        <v>24</v>
      </c>
      <c r="K1031" s="48">
        <f t="shared" si="234"/>
        <v>8</v>
      </c>
      <c r="L1031" s="48">
        <f t="shared" si="235"/>
        <v>68</v>
      </c>
      <c r="N1031" s="72">
        <f t="shared" si="240"/>
        <v>1</v>
      </c>
      <c r="O1031" s="50">
        <f t="shared" si="241"/>
        <v>0</v>
      </c>
      <c r="P1031" s="56">
        <f t="shared" si="237"/>
        <v>5</v>
      </c>
      <c r="S1031" s="200" t="s">
        <v>2219</v>
      </c>
      <c r="T1031" s="201">
        <v>121</v>
      </c>
      <c r="U1031" s="58"/>
      <c r="V1031" s="46"/>
      <c r="W1031" s="46"/>
      <c r="X1031" s="62" t="s">
        <v>25</v>
      </c>
      <c r="Y1031" s="63">
        <f t="shared" si="242"/>
        <v>0</v>
      </c>
      <c r="Z1031" s="64">
        <f t="shared" si="238"/>
        <v>0</v>
      </c>
    </row>
    <row r="1032" spans="1:26" ht="15.75" customHeight="1">
      <c r="A1032" s="63">
        <v>20260055</v>
      </c>
      <c r="B1032" s="65" t="s">
        <v>173</v>
      </c>
      <c r="C1032" s="66">
        <v>46079</v>
      </c>
      <c r="E1032" s="63">
        <v>1</v>
      </c>
      <c r="F1032" s="68">
        <v>9.0299999999999994</v>
      </c>
      <c r="G1032" s="69">
        <v>24</v>
      </c>
      <c r="H1032" s="65" t="s">
        <v>2220</v>
      </c>
      <c r="I1032" s="65" t="s">
        <v>42</v>
      </c>
      <c r="J1032" s="65" t="s">
        <v>28</v>
      </c>
      <c r="K1032" s="48">
        <f t="shared" si="234"/>
        <v>8</v>
      </c>
      <c r="L1032" s="48">
        <f t="shared" si="235"/>
        <v>68</v>
      </c>
      <c r="N1032" s="72">
        <f t="shared" si="240"/>
        <v>1</v>
      </c>
      <c r="O1032" s="50">
        <f t="shared" si="241"/>
        <v>9.0299999999999994</v>
      </c>
      <c r="P1032" s="56">
        <f t="shared" si="237"/>
        <v>24</v>
      </c>
      <c r="S1032" s="200" t="s">
        <v>2221</v>
      </c>
      <c r="T1032" s="201">
        <v>122</v>
      </c>
      <c r="U1032" s="58" t="s">
        <v>2029</v>
      </c>
      <c r="V1032" s="46"/>
      <c r="W1032" s="46"/>
      <c r="X1032" s="62" t="s">
        <v>25</v>
      </c>
      <c r="Y1032" s="63">
        <f t="shared" si="242"/>
        <v>9.0299999999999994</v>
      </c>
      <c r="Z1032" s="64">
        <f t="shared" si="238"/>
        <v>0</v>
      </c>
    </row>
    <row r="1033" spans="1:26" ht="15.75" customHeight="1">
      <c r="A1033" s="63">
        <v>20260055</v>
      </c>
      <c r="B1033" s="65" t="s">
        <v>173</v>
      </c>
      <c r="C1033" s="66">
        <v>46079</v>
      </c>
      <c r="E1033" s="63">
        <v>1</v>
      </c>
      <c r="F1033" s="68">
        <v>0</v>
      </c>
      <c r="G1033" s="69">
        <v>5</v>
      </c>
      <c r="H1033" s="65" t="s">
        <v>2220</v>
      </c>
      <c r="I1033" s="65" t="s">
        <v>24</v>
      </c>
      <c r="J1033" s="65" t="s">
        <v>24</v>
      </c>
      <c r="K1033" s="48">
        <f t="shared" si="234"/>
        <v>8</v>
      </c>
      <c r="L1033" s="48">
        <f t="shared" si="235"/>
        <v>68</v>
      </c>
      <c r="N1033" s="72">
        <f t="shared" si="240"/>
        <v>1</v>
      </c>
      <c r="O1033" s="50">
        <f t="shared" si="241"/>
        <v>0</v>
      </c>
      <c r="P1033" s="56">
        <f t="shared" si="237"/>
        <v>5</v>
      </c>
      <c r="S1033" s="200" t="s">
        <v>2221</v>
      </c>
      <c r="T1033" s="201">
        <v>122</v>
      </c>
      <c r="U1033" s="58"/>
      <c r="V1033" s="46"/>
      <c r="W1033" s="46"/>
      <c r="X1033" s="62" t="s">
        <v>25</v>
      </c>
      <c r="Y1033" s="63">
        <f t="shared" si="242"/>
        <v>0</v>
      </c>
      <c r="Z1033" s="64">
        <f t="shared" si="238"/>
        <v>0</v>
      </c>
    </row>
    <row r="1034" spans="1:26" ht="15.75" customHeight="1">
      <c r="A1034" s="63">
        <v>20260055</v>
      </c>
      <c r="B1034" s="65" t="s">
        <v>173</v>
      </c>
      <c r="C1034" s="66">
        <v>46079</v>
      </c>
      <c r="E1034" s="63">
        <v>2</v>
      </c>
      <c r="F1034" s="68">
        <v>19.399999999999999</v>
      </c>
      <c r="G1034" s="69">
        <v>48</v>
      </c>
      <c r="H1034" s="65" t="s">
        <v>2222</v>
      </c>
      <c r="I1034" s="65" t="s">
        <v>42</v>
      </c>
      <c r="J1034" s="65" t="s">
        <v>28</v>
      </c>
      <c r="K1034" s="48">
        <f t="shared" si="234"/>
        <v>8</v>
      </c>
      <c r="L1034" s="48">
        <f t="shared" si="235"/>
        <v>68</v>
      </c>
      <c r="N1034" s="72">
        <f t="shared" si="240"/>
        <v>2</v>
      </c>
      <c r="O1034" s="50">
        <f t="shared" si="241"/>
        <v>19.399999999999999</v>
      </c>
      <c r="P1034" s="56">
        <f t="shared" si="237"/>
        <v>48</v>
      </c>
      <c r="S1034" s="200" t="s">
        <v>2223</v>
      </c>
      <c r="T1034" s="201">
        <v>123</v>
      </c>
      <c r="U1034" s="58" t="s">
        <v>2224</v>
      </c>
      <c r="V1034" s="46"/>
      <c r="W1034" s="46"/>
      <c r="X1034" s="62" t="s">
        <v>25</v>
      </c>
      <c r="Y1034" s="63">
        <f t="shared" si="242"/>
        <v>9.6999999999999993</v>
      </c>
      <c r="Z1034" s="64">
        <f t="shared" si="238"/>
        <v>0</v>
      </c>
    </row>
    <row r="1035" spans="1:26" ht="15.75" customHeight="1">
      <c r="A1035" s="63">
        <v>20260055</v>
      </c>
      <c r="B1035" s="65" t="s">
        <v>173</v>
      </c>
      <c r="C1035" s="66">
        <v>46079</v>
      </c>
      <c r="E1035" s="63">
        <v>2</v>
      </c>
      <c r="F1035" s="68">
        <v>19.399999999999999</v>
      </c>
      <c r="G1035" s="69">
        <v>48</v>
      </c>
      <c r="H1035" s="65" t="s">
        <v>2222</v>
      </c>
      <c r="I1035" s="65" t="s">
        <v>42</v>
      </c>
      <c r="J1035" s="65" t="s">
        <v>28</v>
      </c>
      <c r="K1035" s="48">
        <f t="shared" ref="K1035:K1098" si="243">D1035+8</f>
        <v>8</v>
      </c>
      <c r="L1035" s="48">
        <f t="shared" ref="L1035:L1098" si="244">K1035+60</f>
        <v>68</v>
      </c>
      <c r="N1035" s="72">
        <f t="shared" si="240"/>
        <v>2</v>
      </c>
      <c r="O1035" s="50">
        <f t="shared" si="241"/>
        <v>19.399999999999999</v>
      </c>
      <c r="P1035" s="56">
        <f t="shared" si="237"/>
        <v>48</v>
      </c>
      <c r="S1035" s="200" t="s">
        <v>2225</v>
      </c>
      <c r="T1035" s="201">
        <v>124</v>
      </c>
      <c r="U1035" s="58" t="s">
        <v>2224</v>
      </c>
      <c r="V1035" s="46"/>
      <c r="W1035" s="46"/>
      <c r="X1035" s="62" t="s">
        <v>25</v>
      </c>
      <c r="Y1035" s="63">
        <f t="shared" si="242"/>
        <v>9.6999999999999993</v>
      </c>
      <c r="Z1035" s="64">
        <f t="shared" si="238"/>
        <v>0</v>
      </c>
    </row>
    <row r="1036" spans="1:26" ht="15.75" customHeight="1">
      <c r="A1036" s="63">
        <v>20260055</v>
      </c>
      <c r="B1036" s="65" t="s">
        <v>173</v>
      </c>
      <c r="C1036" s="66">
        <v>46079</v>
      </c>
      <c r="E1036" s="63">
        <v>1</v>
      </c>
      <c r="F1036" s="68">
        <v>0.41599999999999998</v>
      </c>
      <c r="G1036" s="69">
        <v>5</v>
      </c>
      <c r="H1036" s="65" t="s">
        <v>2222</v>
      </c>
      <c r="I1036" s="65" t="s">
        <v>24</v>
      </c>
      <c r="J1036" s="65" t="s">
        <v>24</v>
      </c>
      <c r="K1036" s="48">
        <f t="shared" si="243"/>
        <v>8</v>
      </c>
      <c r="L1036" s="48">
        <f t="shared" si="244"/>
        <v>68</v>
      </c>
      <c r="N1036" s="72">
        <f t="shared" si="240"/>
        <v>1</v>
      </c>
      <c r="O1036" s="50">
        <f t="shared" si="241"/>
        <v>0.41599999999999998</v>
      </c>
      <c r="P1036" s="56">
        <f t="shared" si="237"/>
        <v>5</v>
      </c>
      <c r="S1036" s="200" t="s">
        <v>2226</v>
      </c>
      <c r="T1036" s="201">
        <v>146</v>
      </c>
      <c r="U1036" s="58" t="s">
        <v>1745</v>
      </c>
      <c r="V1036" s="46"/>
      <c r="W1036" s="46"/>
      <c r="X1036" s="62" t="s">
        <v>25</v>
      </c>
      <c r="Y1036" s="63">
        <f t="shared" si="242"/>
        <v>0.41599999999999998</v>
      </c>
      <c r="Z1036" s="64">
        <f t="shared" si="238"/>
        <v>0</v>
      </c>
    </row>
    <row r="1037" spans="1:26" ht="15.75" customHeight="1">
      <c r="A1037" s="63">
        <v>20260055</v>
      </c>
      <c r="B1037" s="65" t="s">
        <v>173</v>
      </c>
      <c r="C1037" s="66">
        <v>46079</v>
      </c>
      <c r="E1037" s="63">
        <v>2</v>
      </c>
      <c r="F1037" s="68">
        <v>0.497</v>
      </c>
      <c r="G1037" s="69">
        <v>10</v>
      </c>
      <c r="H1037" s="65" t="s">
        <v>2222</v>
      </c>
      <c r="I1037" s="65" t="s">
        <v>24</v>
      </c>
      <c r="J1037" s="65" t="s">
        <v>24</v>
      </c>
      <c r="K1037" s="48">
        <f t="shared" si="243"/>
        <v>8</v>
      </c>
      <c r="L1037" s="48">
        <f t="shared" si="244"/>
        <v>68</v>
      </c>
      <c r="N1037" s="72">
        <f t="shared" si="240"/>
        <v>2</v>
      </c>
      <c r="O1037" s="50">
        <f t="shared" si="241"/>
        <v>0.497</v>
      </c>
      <c r="P1037" s="56">
        <f t="shared" si="237"/>
        <v>10</v>
      </c>
      <c r="S1037" s="200" t="s">
        <v>2227</v>
      </c>
      <c r="T1037" s="201">
        <v>147</v>
      </c>
      <c r="U1037" s="58" t="s">
        <v>1745</v>
      </c>
      <c r="V1037" s="46"/>
      <c r="W1037" s="46"/>
      <c r="X1037" s="62" t="s">
        <v>25</v>
      </c>
      <c r="Y1037" s="63">
        <f t="shared" si="242"/>
        <v>0.2485</v>
      </c>
      <c r="Z1037" s="64">
        <f t="shared" si="238"/>
        <v>0</v>
      </c>
    </row>
    <row r="1038" spans="1:26" ht="15.75" customHeight="1">
      <c r="A1038" s="63">
        <v>20260055</v>
      </c>
      <c r="B1038" s="65" t="s">
        <v>173</v>
      </c>
      <c r="C1038" s="66">
        <v>46079</v>
      </c>
      <c r="E1038" s="63">
        <v>2</v>
      </c>
      <c r="F1038" s="68">
        <v>32.799999999999997</v>
      </c>
      <c r="G1038" s="69">
        <v>48</v>
      </c>
      <c r="H1038" s="65" t="s">
        <v>2228</v>
      </c>
      <c r="I1038" s="65" t="s">
        <v>42</v>
      </c>
      <c r="J1038" s="65" t="s">
        <v>28</v>
      </c>
      <c r="K1038" s="48">
        <f t="shared" si="243"/>
        <v>8</v>
      </c>
      <c r="L1038" s="48">
        <f t="shared" si="244"/>
        <v>68</v>
      </c>
      <c r="N1038" s="72">
        <f t="shared" si="240"/>
        <v>2</v>
      </c>
      <c r="O1038" s="50">
        <f t="shared" si="241"/>
        <v>32.799999999999997</v>
      </c>
      <c r="P1038" s="56">
        <f t="shared" si="237"/>
        <v>48</v>
      </c>
      <c r="S1038" s="200" t="s">
        <v>2229</v>
      </c>
      <c r="T1038" s="201">
        <v>125</v>
      </c>
      <c r="U1038" s="58" t="s">
        <v>2230</v>
      </c>
      <c r="V1038" s="46"/>
      <c r="W1038" s="46"/>
      <c r="X1038" s="62" t="s">
        <v>25</v>
      </c>
      <c r="Y1038" s="63">
        <f t="shared" si="242"/>
        <v>16.399999999999999</v>
      </c>
      <c r="Z1038" s="64">
        <f t="shared" si="238"/>
        <v>0</v>
      </c>
    </row>
    <row r="1039" spans="1:26" ht="15.75" customHeight="1">
      <c r="A1039" s="106">
        <v>20260055</v>
      </c>
      <c r="B1039" s="107" t="s">
        <v>173</v>
      </c>
      <c r="C1039" s="108">
        <v>46079</v>
      </c>
      <c r="D1039" s="108"/>
      <c r="E1039" s="106">
        <v>4</v>
      </c>
      <c r="F1039" s="106">
        <v>29.6</v>
      </c>
      <c r="G1039" s="106">
        <v>96</v>
      </c>
      <c r="H1039" s="107" t="s">
        <v>2231</v>
      </c>
      <c r="I1039" s="107" t="s">
        <v>42</v>
      </c>
      <c r="J1039" s="107" t="s">
        <v>28</v>
      </c>
      <c r="K1039" s="108">
        <f t="shared" si="243"/>
        <v>8</v>
      </c>
      <c r="L1039" s="108">
        <f t="shared" si="244"/>
        <v>68</v>
      </c>
      <c r="M1039" s="107"/>
      <c r="N1039" s="112">
        <f>E1039-4</f>
        <v>0</v>
      </c>
      <c r="O1039" s="113">
        <f t="shared" si="241"/>
        <v>0</v>
      </c>
      <c r="P1039" s="112">
        <f t="shared" si="237"/>
        <v>0</v>
      </c>
      <c r="Q1039" s="109"/>
      <c r="R1039" s="107"/>
      <c r="S1039" s="109" t="s">
        <v>2232</v>
      </c>
      <c r="T1039" s="114">
        <v>126</v>
      </c>
      <c r="U1039" s="109" t="s">
        <v>2233</v>
      </c>
      <c r="V1039" s="106"/>
      <c r="W1039" s="106"/>
      <c r="X1039" s="106" t="s">
        <v>55</v>
      </c>
      <c r="Y1039" s="63">
        <f t="shared" si="242"/>
        <v>7.4</v>
      </c>
    </row>
    <row r="1040" spans="1:26" ht="15.75" customHeight="1">
      <c r="A1040" s="63">
        <v>20260055</v>
      </c>
      <c r="B1040" s="65" t="s">
        <v>173</v>
      </c>
      <c r="C1040" s="66">
        <v>46079</v>
      </c>
      <c r="E1040" s="63">
        <v>1</v>
      </c>
      <c r="F1040" s="68">
        <v>12.53</v>
      </c>
      <c r="G1040" s="69">
        <v>24</v>
      </c>
      <c r="H1040" s="65" t="s">
        <v>748</v>
      </c>
      <c r="I1040" s="65" t="s">
        <v>42</v>
      </c>
      <c r="J1040" s="65" t="s">
        <v>28</v>
      </c>
      <c r="K1040" s="48">
        <f t="shared" si="243"/>
        <v>8</v>
      </c>
      <c r="L1040" s="48">
        <f t="shared" si="244"/>
        <v>68</v>
      </c>
      <c r="N1040" s="72">
        <f t="shared" si="240"/>
        <v>1</v>
      </c>
      <c r="O1040" s="50">
        <f t="shared" si="241"/>
        <v>12.53</v>
      </c>
      <c r="P1040" s="56">
        <f t="shared" si="237"/>
        <v>24</v>
      </c>
      <c r="S1040" s="200" t="s">
        <v>2234</v>
      </c>
      <c r="T1040" s="201">
        <v>127</v>
      </c>
      <c r="U1040" s="58" t="s">
        <v>2235</v>
      </c>
      <c r="V1040" s="46"/>
      <c r="W1040" s="46"/>
      <c r="X1040" s="62" t="s">
        <v>25</v>
      </c>
      <c r="Y1040" s="63">
        <f t="shared" si="242"/>
        <v>12.53</v>
      </c>
      <c r="Z1040" s="64">
        <f t="shared" ref="Z1040:Z1050" si="245">E1040-N1040</f>
        <v>0</v>
      </c>
    </row>
    <row r="1041" spans="1:26" ht="15.75" customHeight="1">
      <c r="A1041" s="63">
        <v>20260055</v>
      </c>
      <c r="B1041" s="65" t="s">
        <v>173</v>
      </c>
      <c r="C1041" s="66">
        <v>46079</v>
      </c>
      <c r="E1041" s="63">
        <v>4</v>
      </c>
      <c r="F1041" s="68">
        <v>69.599999999999994</v>
      </c>
      <c r="G1041" s="69">
        <v>96</v>
      </c>
      <c r="H1041" s="65" t="s">
        <v>2228</v>
      </c>
      <c r="I1041" s="65" t="s">
        <v>276</v>
      </c>
      <c r="J1041" s="65" t="s">
        <v>26</v>
      </c>
      <c r="K1041" s="48">
        <f t="shared" si="243"/>
        <v>8</v>
      </c>
      <c r="L1041" s="48">
        <f t="shared" si="244"/>
        <v>68</v>
      </c>
      <c r="N1041" s="72">
        <f t="shared" si="240"/>
        <v>4</v>
      </c>
      <c r="O1041" s="50">
        <f t="shared" si="241"/>
        <v>69.599999999999994</v>
      </c>
      <c r="P1041" s="56">
        <f t="shared" si="237"/>
        <v>96</v>
      </c>
      <c r="S1041" s="200" t="s">
        <v>2236</v>
      </c>
      <c r="T1041" s="201">
        <v>128</v>
      </c>
      <c r="U1041" s="58" t="s">
        <v>2237</v>
      </c>
      <c r="V1041" s="46"/>
      <c r="W1041" s="46"/>
      <c r="X1041" s="62" t="s">
        <v>25</v>
      </c>
      <c r="Y1041" s="63">
        <f t="shared" si="242"/>
        <v>17.399999999999999</v>
      </c>
      <c r="Z1041" s="64">
        <f t="shared" si="245"/>
        <v>0</v>
      </c>
    </row>
    <row r="1042" spans="1:26" ht="15.75" customHeight="1">
      <c r="A1042" s="63">
        <v>20260055</v>
      </c>
      <c r="B1042" s="65" t="s">
        <v>173</v>
      </c>
      <c r="C1042" s="66">
        <v>46079</v>
      </c>
      <c r="E1042" s="63">
        <v>1</v>
      </c>
      <c r="F1042" s="68">
        <v>12.33</v>
      </c>
      <c r="G1042" s="69">
        <v>24</v>
      </c>
      <c r="H1042" s="65" t="s">
        <v>2238</v>
      </c>
      <c r="I1042" s="65" t="s">
        <v>42</v>
      </c>
      <c r="J1042" s="65" t="s">
        <v>28</v>
      </c>
      <c r="K1042" s="48">
        <f t="shared" si="243"/>
        <v>8</v>
      </c>
      <c r="L1042" s="48">
        <f t="shared" si="244"/>
        <v>68</v>
      </c>
      <c r="N1042" s="72">
        <f t="shared" si="240"/>
        <v>1</v>
      </c>
      <c r="O1042" s="50">
        <f t="shared" si="241"/>
        <v>12.33</v>
      </c>
      <c r="P1042" s="56">
        <f t="shared" si="237"/>
        <v>24</v>
      </c>
      <c r="S1042" s="200" t="s">
        <v>2239</v>
      </c>
      <c r="T1042" s="201">
        <v>129</v>
      </c>
      <c r="U1042" s="58" t="s">
        <v>2240</v>
      </c>
      <c r="V1042" s="46"/>
      <c r="W1042" s="46"/>
      <c r="X1042" s="62" t="s">
        <v>25</v>
      </c>
      <c r="Y1042" s="63">
        <f t="shared" si="242"/>
        <v>12.33</v>
      </c>
      <c r="Z1042" s="64">
        <f t="shared" si="245"/>
        <v>0</v>
      </c>
    </row>
    <row r="1043" spans="1:26" ht="15.75" customHeight="1">
      <c r="A1043" s="63">
        <v>20260055</v>
      </c>
      <c r="B1043" s="65" t="s">
        <v>173</v>
      </c>
      <c r="C1043" s="66">
        <v>46079</v>
      </c>
      <c r="E1043" s="63">
        <v>1</v>
      </c>
      <c r="F1043" s="68">
        <v>33.799999999999997</v>
      </c>
      <c r="G1043" s="69">
        <v>24</v>
      </c>
      <c r="H1043" s="65" t="s">
        <v>2030</v>
      </c>
      <c r="I1043" s="65" t="s">
        <v>194</v>
      </c>
      <c r="J1043" s="65" t="s">
        <v>26</v>
      </c>
      <c r="K1043" s="48">
        <f t="shared" si="243"/>
        <v>8</v>
      </c>
      <c r="L1043" s="48">
        <f t="shared" si="244"/>
        <v>68</v>
      </c>
      <c r="N1043" s="72">
        <f t="shared" si="240"/>
        <v>1</v>
      </c>
      <c r="O1043" s="50">
        <f t="shared" si="241"/>
        <v>33.799999999999997</v>
      </c>
      <c r="P1043" s="56">
        <f t="shared" ref="P1043:P1102" si="246">G1043/E1043*N1043</f>
        <v>24</v>
      </c>
      <c r="S1043" s="200" t="s">
        <v>2241</v>
      </c>
      <c r="T1043" s="201">
        <v>130</v>
      </c>
      <c r="U1043" s="58" t="s">
        <v>2042</v>
      </c>
      <c r="V1043" s="46"/>
      <c r="W1043" s="46"/>
      <c r="X1043" s="62" t="s">
        <v>25</v>
      </c>
      <c r="Y1043" s="63">
        <f t="shared" si="242"/>
        <v>33.799999999999997</v>
      </c>
      <c r="Z1043" s="64">
        <f t="shared" si="245"/>
        <v>0</v>
      </c>
    </row>
    <row r="1044" spans="1:26" ht="15.75" customHeight="1">
      <c r="A1044" s="63">
        <v>20260055</v>
      </c>
      <c r="B1044" s="65" t="s">
        <v>173</v>
      </c>
      <c r="C1044" s="66">
        <v>46079</v>
      </c>
      <c r="E1044" s="63">
        <v>1</v>
      </c>
      <c r="F1044" s="68">
        <v>0</v>
      </c>
      <c r="G1044" s="69">
        <v>5</v>
      </c>
      <c r="H1044" s="65" t="s">
        <v>2030</v>
      </c>
      <c r="I1044" s="65" t="s">
        <v>24</v>
      </c>
      <c r="J1044" s="65" t="s">
        <v>24</v>
      </c>
      <c r="K1044" s="48">
        <f t="shared" si="243"/>
        <v>8</v>
      </c>
      <c r="L1044" s="48">
        <f t="shared" si="244"/>
        <v>68</v>
      </c>
      <c r="N1044" s="72">
        <f t="shared" si="240"/>
        <v>1</v>
      </c>
      <c r="O1044" s="50">
        <f t="shared" si="241"/>
        <v>0</v>
      </c>
      <c r="P1044" s="56">
        <f t="shared" si="246"/>
        <v>5</v>
      </c>
      <c r="S1044" s="200" t="s">
        <v>2241</v>
      </c>
      <c r="T1044" s="201">
        <v>130</v>
      </c>
      <c r="U1044" s="58"/>
      <c r="V1044" s="46"/>
      <c r="W1044" s="46"/>
      <c r="X1044" s="62" t="s">
        <v>25</v>
      </c>
      <c r="Y1044" s="63">
        <f t="shared" si="242"/>
        <v>0</v>
      </c>
      <c r="Z1044" s="64">
        <f t="shared" si="245"/>
        <v>0</v>
      </c>
    </row>
    <row r="1045" spans="1:26" ht="15.75" customHeight="1">
      <c r="A1045" s="63">
        <v>20260055</v>
      </c>
      <c r="B1045" s="65" t="s">
        <v>173</v>
      </c>
      <c r="C1045" s="66">
        <v>46079</v>
      </c>
      <c r="E1045" s="63">
        <v>1</v>
      </c>
      <c r="F1045" s="68">
        <v>17.52</v>
      </c>
      <c r="G1045" s="69">
        <v>24</v>
      </c>
      <c r="H1045" s="65" t="s">
        <v>2011</v>
      </c>
      <c r="I1045" s="65" t="s">
        <v>276</v>
      </c>
      <c r="J1045" s="65" t="s">
        <v>26</v>
      </c>
      <c r="K1045" s="48">
        <f t="shared" si="243"/>
        <v>8</v>
      </c>
      <c r="L1045" s="48">
        <f t="shared" si="244"/>
        <v>68</v>
      </c>
      <c r="N1045" s="72">
        <f t="shared" si="240"/>
        <v>1</v>
      </c>
      <c r="O1045" s="50">
        <f t="shared" si="241"/>
        <v>17.52</v>
      </c>
      <c r="P1045" s="56">
        <f t="shared" si="246"/>
        <v>24</v>
      </c>
      <c r="S1045" s="200" t="s">
        <v>2242</v>
      </c>
      <c r="T1045" s="201">
        <v>131</v>
      </c>
      <c r="U1045" s="58" t="s">
        <v>2208</v>
      </c>
      <c r="V1045" s="46"/>
      <c r="W1045" s="46"/>
      <c r="X1045" s="62" t="s">
        <v>25</v>
      </c>
      <c r="Y1045" s="63">
        <f t="shared" si="242"/>
        <v>17.52</v>
      </c>
      <c r="Z1045" s="64">
        <f t="shared" si="245"/>
        <v>0</v>
      </c>
    </row>
    <row r="1046" spans="1:26" ht="15.75" customHeight="1">
      <c r="A1046" s="106">
        <v>20260055</v>
      </c>
      <c r="B1046" s="107" t="s">
        <v>173</v>
      </c>
      <c r="C1046" s="108">
        <v>46079</v>
      </c>
      <c r="D1046" s="108"/>
      <c r="E1046" s="106">
        <v>1</v>
      </c>
      <c r="F1046" s="106">
        <v>27.5</v>
      </c>
      <c r="G1046" s="106">
        <v>24</v>
      </c>
      <c r="H1046" s="107" t="s">
        <v>2243</v>
      </c>
      <c r="I1046" s="107" t="s">
        <v>63</v>
      </c>
      <c r="J1046" s="107" t="s">
        <v>28</v>
      </c>
      <c r="K1046" s="108">
        <f t="shared" si="243"/>
        <v>8</v>
      </c>
      <c r="L1046" s="108">
        <f t="shared" si="244"/>
        <v>68</v>
      </c>
      <c r="M1046" s="107"/>
      <c r="N1046" s="112">
        <f>E1046-1</f>
        <v>0</v>
      </c>
      <c r="O1046" s="113">
        <f t="shared" si="241"/>
        <v>0</v>
      </c>
      <c r="P1046" s="112">
        <f t="shared" si="246"/>
        <v>0</v>
      </c>
      <c r="Q1046" s="109"/>
      <c r="R1046" s="107"/>
      <c r="S1046" s="109" t="s">
        <v>2244</v>
      </c>
      <c r="T1046" s="114">
        <v>132</v>
      </c>
      <c r="U1046" s="109" t="s">
        <v>2245</v>
      </c>
      <c r="V1046" s="106"/>
      <c r="W1046" s="106"/>
      <c r="X1046" s="106" t="s">
        <v>55</v>
      </c>
      <c r="Y1046" s="63">
        <f t="shared" si="242"/>
        <v>27.5</v>
      </c>
      <c r="Z1046" s="64">
        <f t="shared" si="245"/>
        <v>1</v>
      </c>
    </row>
    <row r="1047" spans="1:26" ht="15.75" customHeight="1">
      <c r="A1047" s="106">
        <v>20260055</v>
      </c>
      <c r="B1047" s="107" t="s">
        <v>173</v>
      </c>
      <c r="C1047" s="108">
        <v>46079</v>
      </c>
      <c r="D1047" s="108"/>
      <c r="E1047" s="106">
        <v>13</v>
      </c>
      <c r="F1047" s="106">
        <v>77.501000000000005</v>
      </c>
      <c r="G1047" s="106">
        <v>85</v>
      </c>
      <c r="H1047" s="107" t="s">
        <v>2246</v>
      </c>
      <c r="I1047" s="107" t="s">
        <v>24</v>
      </c>
      <c r="J1047" s="107" t="s">
        <v>24</v>
      </c>
      <c r="K1047" s="108">
        <f t="shared" si="243"/>
        <v>8</v>
      </c>
      <c r="L1047" s="108">
        <f t="shared" si="244"/>
        <v>68</v>
      </c>
      <c r="M1047" s="107"/>
      <c r="N1047" s="112">
        <f>E1047-5-3-5</f>
        <v>0</v>
      </c>
      <c r="O1047" s="113">
        <f t="shared" si="241"/>
        <v>0</v>
      </c>
      <c r="P1047" s="112">
        <f t="shared" si="246"/>
        <v>0</v>
      </c>
      <c r="Q1047" s="109"/>
      <c r="R1047" s="107"/>
      <c r="S1047" s="109" t="s">
        <v>2247</v>
      </c>
      <c r="T1047" s="114">
        <v>133</v>
      </c>
      <c r="U1047" s="109" t="s">
        <v>2248</v>
      </c>
      <c r="V1047" s="106"/>
      <c r="W1047" s="106"/>
      <c r="X1047" s="106" t="s">
        <v>55</v>
      </c>
      <c r="Y1047" s="63">
        <f t="shared" si="242"/>
        <v>5.961615384615385</v>
      </c>
      <c r="Z1047" s="64">
        <f t="shared" si="245"/>
        <v>13</v>
      </c>
    </row>
    <row r="1048" spans="1:26" ht="15.75" customHeight="1">
      <c r="A1048" s="63">
        <v>20260055</v>
      </c>
      <c r="B1048" s="65" t="s">
        <v>173</v>
      </c>
      <c r="C1048" s="66">
        <v>46079</v>
      </c>
      <c r="E1048" s="63">
        <v>5</v>
      </c>
      <c r="F1048" s="68">
        <v>23.76</v>
      </c>
      <c r="G1048" s="69">
        <v>120</v>
      </c>
      <c r="H1048" s="65" t="s">
        <v>2249</v>
      </c>
      <c r="I1048" s="65" t="s">
        <v>446</v>
      </c>
      <c r="J1048" s="65" t="s">
        <v>26</v>
      </c>
      <c r="K1048" s="48">
        <f t="shared" si="243"/>
        <v>8</v>
      </c>
      <c r="L1048" s="48">
        <f t="shared" si="244"/>
        <v>68</v>
      </c>
      <c r="N1048" s="72">
        <f t="shared" si="240"/>
        <v>5</v>
      </c>
      <c r="O1048" s="50">
        <f t="shared" si="241"/>
        <v>23.760000000000005</v>
      </c>
      <c r="P1048" s="56">
        <f t="shared" si="246"/>
        <v>120</v>
      </c>
      <c r="S1048" s="200" t="s">
        <v>2250</v>
      </c>
      <c r="T1048" s="201">
        <v>134</v>
      </c>
      <c r="U1048" s="58" t="s">
        <v>2251</v>
      </c>
      <c r="V1048" s="46"/>
      <c r="W1048" s="46"/>
      <c r="X1048" s="62" t="s">
        <v>25</v>
      </c>
      <c r="Y1048" s="63">
        <f t="shared" si="242"/>
        <v>4.7520000000000007</v>
      </c>
      <c r="Z1048" s="64">
        <f t="shared" si="245"/>
        <v>0</v>
      </c>
    </row>
    <row r="1049" spans="1:26" ht="15.75" customHeight="1">
      <c r="A1049" s="63">
        <v>20260055</v>
      </c>
      <c r="B1049" s="65" t="s">
        <v>173</v>
      </c>
      <c r="C1049" s="66">
        <v>46079</v>
      </c>
      <c r="E1049" s="63">
        <v>1</v>
      </c>
      <c r="F1049" s="68">
        <v>0</v>
      </c>
      <c r="G1049" s="69">
        <v>5</v>
      </c>
      <c r="H1049" s="65" t="s">
        <v>2249</v>
      </c>
      <c r="I1049" s="65" t="s">
        <v>24</v>
      </c>
      <c r="J1049" s="65" t="s">
        <v>24</v>
      </c>
      <c r="K1049" s="48">
        <f t="shared" si="243"/>
        <v>8</v>
      </c>
      <c r="L1049" s="48">
        <f t="shared" si="244"/>
        <v>68</v>
      </c>
      <c r="N1049" s="72">
        <f t="shared" si="240"/>
        <v>1</v>
      </c>
      <c r="O1049" s="50">
        <f t="shared" si="241"/>
        <v>0</v>
      </c>
      <c r="P1049" s="56">
        <f t="shared" si="246"/>
        <v>5</v>
      </c>
      <c r="S1049" s="200" t="s">
        <v>2250</v>
      </c>
      <c r="T1049" s="201">
        <v>134</v>
      </c>
      <c r="U1049" s="58"/>
      <c r="V1049" s="46"/>
      <c r="W1049" s="46"/>
      <c r="X1049" s="62" t="s">
        <v>25</v>
      </c>
      <c r="Y1049" s="63">
        <f t="shared" si="242"/>
        <v>0</v>
      </c>
      <c r="Z1049" s="64">
        <f t="shared" si="245"/>
        <v>0</v>
      </c>
    </row>
    <row r="1050" spans="1:26" ht="15.75" customHeight="1">
      <c r="A1050" s="63">
        <v>20260055</v>
      </c>
      <c r="B1050" s="65" t="s">
        <v>173</v>
      </c>
      <c r="C1050" s="66">
        <v>46079</v>
      </c>
      <c r="E1050" s="63">
        <v>2</v>
      </c>
      <c r="F1050" s="68">
        <v>10.8</v>
      </c>
      <c r="G1050" s="69">
        <v>48</v>
      </c>
      <c r="H1050" s="65" t="s">
        <v>2252</v>
      </c>
      <c r="I1050" s="65" t="s">
        <v>42</v>
      </c>
      <c r="J1050" s="65" t="s">
        <v>28</v>
      </c>
      <c r="K1050" s="48">
        <f t="shared" si="243"/>
        <v>8</v>
      </c>
      <c r="L1050" s="48">
        <f t="shared" si="244"/>
        <v>68</v>
      </c>
      <c r="N1050" s="72">
        <f t="shared" si="240"/>
        <v>2</v>
      </c>
      <c r="O1050" s="50">
        <f t="shared" si="241"/>
        <v>10.8</v>
      </c>
      <c r="P1050" s="56">
        <f t="shared" si="246"/>
        <v>48</v>
      </c>
      <c r="S1050" s="200" t="s">
        <v>2253</v>
      </c>
      <c r="T1050" s="201">
        <v>135</v>
      </c>
      <c r="U1050" s="58" t="s">
        <v>2254</v>
      </c>
      <c r="V1050" s="46"/>
      <c r="W1050" s="46"/>
      <c r="X1050" s="62" t="s">
        <v>25</v>
      </c>
      <c r="Y1050" s="63">
        <f t="shared" si="242"/>
        <v>5.4</v>
      </c>
      <c r="Z1050" s="64">
        <f t="shared" si="245"/>
        <v>0</v>
      </c>
    </row>
    <row r="1051" spans="1:26" ht="15.75" customHeight="1">
      <c r="A1051" s="106">
        <v>20260055</v>
      </c>
      <c r="B1051" s="107" t="s">
        <v>173</v>
      </c>
      <c r="C1051" s="108">
        <v>46079</v>
      </c>
      <c r="D1051" s="108"/>
      <c r="E1051" s="106">
        <v>1</v>
      </c>
      <c r="F1051" s="106">
        <v>8.9600000000000009</v>
      </c>
      <c r="G1051" s="106">
        <v>24</v>
      </c>
      <c r="H1051" s="107" t="s">
        <v>2255</v>
      </c>
      <c r="I1051" s="107" t="s">
        <v>42</v>
      </c>
      <c r="J1051" s="107" t="s">
        <v>28</v>
      </c>
      <c r="K1051" s="108">
        <f t="shared" si="243"/>
        <v>8</v>
      </c>
      <c r="L1051" s="108">
        <f t="shared" si="244"/>
        <v>68</v>
      </c>
      <c r="M1051" s="107"/>
      <c r="N1051" s="112">
        <f>E1051-1</f>
        <v>0</v>
      </c>
      <c r="O1051" s="113">
        <f t="shared" si="241"/>
        <v>0</v>
      </c>
      <c r="P1051" s="112">
        <f t="shared" si="246"/>
        <v>0</v>
      </c>
      <c r="Q1051" s="109"/>
      <c r="R1051" s="107"/>
      <c r="S1051" s="109" t="s">
        <v>2256</v>
      </c>
      <c r="T1051" s="114">
        <v>136</v>
      </c>
      <c r="U1051" s="109" t="s">
        <v>2257</v>
      </c>
      <c r="V1051" s="106"/>
      <c r="W1051" s="106"/>
      <c r="X1051" s="106" t="s">
        <v>55</v>
      </c>
      <c r="Y1051" s="63">
        <f t="shared" si="242"/>
        <v>8.9600000000000009</v>
      </c>
    </row>
    <row r="1052" spans="1:26" ht="15.75" customHeight="1">
      <c r="A1052" s="106">
        <v>20260055</v>
      </c>
      <c r="B1052" s="107" t="s">
        <v>173</v>
      </c>
      <c r="C1052" s="108">
        <v>46079</v>
      </c>
      <c r="D1052" s="108"/>
      <c r="E1052" s="106">
        <v>1</v>
      </c>
      <c r="F1052" s="106">
        <v>9</v>
      </c>
      <c r="G1052" s="106">
        <v>24</v>
      </c>
      <c r="H1052" s="107" t="s">
        <v>2258</v>
      </c>
      <c r="I1052" s="107" t="s">
        <v>42</v>
      </c>
      <c r="J1052" s="107" t="s">
        <v>28</v>
      </c>
      <c r="K1052" s="108">
        <f t="shared" si="243"/>
        <v>8</v>
      </c>
      <c r="L1052" s="108">
        <f t="shared" si="244"/>
        <v>68</v>
      </c>
      <c r="M1052" s="107"/>
      <c r="N1052" s="112">
        <f>E1052-1</f>
        <v>0</v>
      </c>
      <c r="O1052" s="113">
        <f t="shared" si="241"/>
        <v>0</v>
      </c>
      <c r="P1052" s="112">
        <f t="shared" si="246"/>
        <v>0</v>
      </c>
      <c r="Q1052" s="109"/>
      <c r="R1052" s="107"/>
      <c r="S1052" s="109" t="s">
        <v>2259</v>
      </c>
      <c r="T1052" s="114">
        <v>137</v>
      </c>
      <c r="U1052" s="109" t="s">
        <v>2260</v>
      </c>
      <c r="V1052" s="106"/>
      <c r="W1052" s="106"/>
      <c r="X1052" s="106" t="s">
        <v>55</v>
      </c>
      <c r="Y1052" s="63">
        <f t="shared" si="242"/>
        <v>9</v>
      </c>
      <c r="Z1052" s="64">
        <f t="shared" ref="Z1052:Z1073" si="247">E1052-N1052</f>
        <v>1</v>
      </c>
    </row>
    <row r="1053" spans="1:26" ht="15.75" customHeight="1">
      <c r="A1053" s="106">
        <v>20260055</v>
      </c>
      <c r="B1053" s="107" t="s">
        <v>173</v>
      </c>
      <c r="C1053" s="108">
        <v>46079</v>
      </c>
      <c r="D1053" s="108"/>
      <c r="E1053" s="106">
        <v>2</v>
      </c>
      <c r="F1053" s="106">
        <v>64.888000000000005</v>
      </c>
      <c r="G1053" s="106">
        <v>48</v>
      </c>
      <c r="H1053" s="107" t="s">
        <v>2261</v>
      </c>
      <c r="I1053" s="107" t="s">
        <v>194</v>
      </c>
      <c r="J1053" s="107" t="s">
        <v>26</v>
      </c>
      <c r="K1053" s="108">
        <f t="shared" si="243"/>
        <v>8</v>
      </c>
      <c r="L1053" s="108">
        <f t="shared" si="244"/>
        <v>68</v>
      </c>
      <c r="M1053" s="107"/>
      <c r="N1053" s="112">
        <f>E1053-2</f>
        <v>0</v>
      </c>
      <c r="O1053" s="113">
        <f t="shared" si="241"/>
        <v>0</v>
      </c>
      <c r="P1053" s="112">
        <f t="shared" si="246"/>
        <v>0</v>
      </c>
      <c r="Q1053" s="109"/>
      <c r="R1053" s="107"/>
      <c r="S1053" s="109" t="s">
        <v>2262</v>
      </c>
      <c r="T1053" s="114">
        <v>138</v>
      </c>
      <c r="U1053" s="109" t="s">
        <v>2263</v>
      </c>
      <c r="V1053" s="106"/>
      <c r="W1053" s="106"/>
      <c r="X1053" s="106" t="s">
        <v>55</v>
      </c>
      <c r="Y1053" s="63">
        <f t="shared" si="242"/>
        <v>32.444000000000003</v>
      </c>
      <c r="Z1053" s="64">
        <f t="shared" si="247"/>
        <v>2</v>
      </c>
    </row>
    <row r="1054" spans="1:26" ht="15.75" customHeight="1">
      <c r="A1054" s="106">
        <v>20260055</v>
      </c>
      <c r="B1054" s="107" t="s">
        <v>173</v>
      </c>
      <c r="C1054" s="108">
        <v>46079</v>
      </c>
      <c r="D1054" s="108"/>
      <c r="E1054" s="106">
        <v>6</v>
      </c>
      <c r="F1054" s="106">
        <v>0</v>
      </c>
      <c r="G1054" s="106">
        <v>30</v>
      </c>
      <c r="H1054" s="107" t="s">
        <v>2261</v>
      </c>
      <c r="I1054" s="107" t="s">
        <v>24</v>
      </c>
      <c r="J1054" s="107" t="s">
        <v>24</v>
      </c>
      <c r="K1054" s="108">
        <f t="shared" si="243"/>
        <v>8</v>
      </c>
      <c r="L1054" s="108">
        <f t="shared" si="244"/>
        <v>68</v>
      </c>
      <c r="M1054" s="107"/>
      <c r="N1054" s="112">
        <f>E1054-6</f>
        <v>0</v>
      </c>
      <c r="O1054" s="113">
        <f t="shared" si="241"/>
        <v>0</v>
      </c>
      <c r="P1054" s="112">
        <f t="shared" si="246"/>
        <v>0</v>
      </c>
      <c r="Q1054" s="109"/>
      <c r="R1054" s="107"/>
      <c r="S1054" s="109" t="s">
        <v>2262</v>
      </c>
      <c r="T1054" s="114">
        <v>138</v>
      </c>
      <c r="U1054" s="109"/>
      <c r="V1054" s="106"/>
      <c r="W1054" s="106"/>
      <c r="X1054" s="106" t="s">
        <v>55</v>
      </c>
      <c r="Y1054" s="63">
        <f t="shared" si="242"/>
        <v>0</v>
      </c>
      <c r="Z1054" s="64">
        <f t="shared" si="247"/>
        <v>6</v>
      </c>
    </row>
    <row r="1055" spans="1:26" ht="15.75" customHeight="1">
      <c r="A1055" s="63">
        <v>20260055</v>
      </c>
      <c r="B1055" s="65" t="s">
        <v>173</v>
      </c>
      <c r="C1055" s="66">
        <v>46079</v>
      </c>
      <c r="E1055" s="63">
        <v>1</v>
      </c>
      <c r="F1055" s="68">
        <v>26</v>
      </c>
      <c r="G1055" s="69">
        <v>24</v>
      </c>
      <c r="H1055" s="65" t="s">
        <v>2264</v>
      </c>
      <c r="I1055" s="65" t="s">
        <v>208</v>
      </c>
      <c r="J1055" s="65" t="s">
        <v>26</v>
      </c>
      <c r="K1055" s="48">
        <f t="shared" si="243"/>
        <v>8</v>
      </c>
      <c r="L1055" s="48">
        <f t="shared" si="244"/>
        <v>68</v>
      </c>
      <c r="N1055" s="72">
        <f t="shared" ref="N1055:N1101" si="248">E1055</f>
        <v>1</v>
      </c>
      <c r="O1055" s="50">
        <f t="shared" si="241"/>
        <v>26</v>
      </c>
      <c r="P1055" s="56">
        <f t="shared" si="246"/>
        <v>24</v>
      </c>
      <c r="S1055" s="200" t="s">
        <v>2265</v>
      </c>
      <c r="T1055" s="201">
        <v>139</v>
      </c>
      <c r="U1055" s="58" t="s">
        <v>2266</v>
      </c>
      <c r="V1055" s="46"/>
      <c r="W1055" s="46"/>
      <c r="X1055" s="62" t="s">
        <v>25</v>
      </c>
      <c r="Y1055" s="63">
        <f t="shared" si="242"/>
        <v>26</v>
      </c>
      <c r="Z1055" s="64">
        <f t="shared" si="247"/>
        <v>0</v>
      </c>
    </row>
    <row r="1056" spans="1:26" ht="15.75" customHeight="1">
      <c r="A1056" s="63">
        <v>20260055</v>
      </c>
      <c r="B1056" s="65" t="s">
        <v>173</v>
      </c>
      <c r="C1056" s="66">
        <v>46079</v>
      </c>
      <c r="E1056" s="63">
        <v>2</v>
      </c>
      <c r="F1056" s="68">
        <v>46</v>
      </c>
      <c r="G1056" s="69">
        <v>48</v>
      </c>
      <c r="H1056" s="65" t="s">
        <v>2267</v>
      </c>
      <c r="I1056" s="65" t="s">
        <v>208</v>
      </c>
      <c r="J1056" s="65" t="s">
        <v>26</v>
      </c>
      <c r="K1056" s="48">
        <f t="shared" si="243"/>
        <v>8</v>
      </c>
      <c r="L1056" s="48">
        <f t="shared" si="244"/>
        <v>68</v>
      </c>
      <c r="N1056" s="72">
        <f t="shared" si="248"/>
        <v>2</v>
      </c>
      <c r="O1056" s="50">
        <f t="shared" si="241"/>
        <v>46</v>
      </c>
      <c r="P1056" s="56">
        <f t="shared" si="246"/>
        <v>48</v>
      </c>
      <c r="S1056" s="200" t="s">
        <v>2268</v>
      </c>
      <c r="T1056" s="201">
        <v>140</v>
      </c>
      <c r="U1056" s="58" t="s">
        <v>2269</v>
      </c>
      <c r="V1056" s="46"/>
      <c r="W1056" s="46"/>
      <c r="X1056" s="62" t="s">
        <v>25</v>
      </c>
      <c r="Y1056" s="63">
        <f t="shared" si="242"/>
        <v>23</v>
      </c>
      <c r="Z1056" s="64">
        <f t="shared" si="247"/>
        <v>0</v>
      </c>
    </row>
    <row r="1057" spans="1:26" ht="15.75" customHeight="1">
      <c r="A1057" s="63">
        <v>20260055</v>
      </c>
      <c r="B1057" s="65" t="s">
        <v>173</v>
      </c>
      <c r="C1057" s="66">
        <v>46079</v>
      </c>
      <c r="E1057" s="63">
        <v>1</v>
      </c>
      <c r="F1057" s="68">
        <v>16</v>
      </c>
      <c r="G1057" s="69">
        <v>24</v>
      </c>
      <c r="H1057" s="65" t="s">
        <v>2270</v>
      </c>
      <c r="I1057" s="65" t="s">
        <v>42</v>
      </c>
      <c r="J1057" s="65" t="s">
        <v>28</v>
      </c>
      <c r="K1057" s="48">
        <f t="shared" si="243"/>
        <v>8</v>
      </c>
      <c r="L1057" s="48">
        <f t="shared" si="244"/>
        <v>68</v>
      </c>
      <c r="N1057" s="72">
        <f t="shared" si="248"/>
        <v>1</v>
      </c>
      <c r="O1057" s="50">
        <f t="shared" si="241"/>
        <v>16</v>
      </c>
      <c r="P1057" s="56">
        <f t="shared" si="246"/>
        <v>24</v>
      </c>
      <c r="S1057" s="200" t="s">
        <v>2271</v>
      </c>
      <c r="T1057" s="201">
        <v>141</v>
      </c>
      <c r="U1057" s="58" t="s">
        <v>2272</v>
      </c>
      <c r="V1057" s="46"/>
      <c r="W1057" s="46"/>
      <c r="X1057" s="62" t="s">
        <v>25</v>
      </c>
      <c r="Y1057" s="63">
        <f t="shared" si="242"/>
        <v>16</v>
      </c>
      <c r="Z1057" s="64">
        <f t="shared" si="247"/>
        <v>0</v>
      </c>
    </row>
    <row r="1058" spans="1:26" ht="15.75" customHeight="1">
      <c r="A1058" s="63">
        <v>20260055</v>
      </c>
      <c r="B1058" s="65" t="s">
        <v>173</v>
      </c>
      <c r="C1058" s="66">
        <v>46079</v>
      </c>
      <c r="E1058" s="63">
        <v>1</v>
      </c>
      <c r="F1058" s="68">
        <v>20</v>
      </c>
      <c r="G1058" s="69">
        <v>24</v>
      </c>
      <c r="H1058" s="65" t="s">
        <v>2264</v>
      </c>
      <c r="I1058" s="65" t="s">
        <v>208</v>
      </c>
      <c r="J1058" s="65" t="s">
        <v>26</v>
      </c>
      <c r="K1058" s="48">
        <f t="shared" si="243"/>
        <v>8</v>
      </c>
      <c r="L1058" s="48">
        <f t="shared" si="244"/>
        <v>68</v>
      </c>
      <c r="N1058" s="72">
        <f t="shared" si="248"/>
        <v>1</v>
      </c>
      <c r="O1058" s="50">
        <f t="shared" si="241"/>
        <v>20</v>
      </c>
      <c r="P1058" s="56">
        <f t="shared" si="246"/>
        <v>24</v>
      </c>
      <c r="S1058" s="200" t="s">
        <v>2273</v>
      </c>
      <c r="T1058" s="201">
        <v>142</v>
      </c>
      <c r="U1058" s="58" t="s">
        <v>2266</v>
      </c>
      <c r="V1058" s="46"/>
      <c r="W1058" s="46"/>
      <c r="X1058" s="62" t="s">
        <v>25</v>
      </c>
      <c r="Y1058" s="63">
        <f t="shared" si="242"/>
        <v>20</v>
      </c>
      <c r="Z1058" s="64">
        <f t="shared" si="247"/>
        <v>0</v>
      </c>
    </row>
    <row r="1059" spans="1:26" ht="15.75" customHeight="1">
      <c r="A1059" s="63">
        <v>20260055</v>
      </c>
      <c r="B1059" s="65" t="s">
        <v>173</v>
      </c>
      <c r="C1059" s="66">
        <v>46079</v>
      </c>
      <c r="E1059" s="63">
        <v>2</v>
      </c>
      <c r="F1059" s="68">
        <v>30</v>
      </c>
      <c r="G1059" s="69">
        <v>48</v>
      </c>
      <c r="H1059" s="65" t="s">
        <v>2274</v>
      </c>
      <c r="I1059" s="65" t="s">
        <v>208</v>
      </c>
      <c r="J1059" s="65" t="s">
        <v>26</v>
      </c>
      <c r="K1059" s="48">
        <f t="shared" si="243"/>
        <v>8</v>
      </c>
      <c r="L1059" s="48">
        <f t="shared" si="244"/>
        <v>68</v>
      </c>
      <c r="N1059" s="72">
        <f t="shared" si="248"/>
        <v>2</v>
      </c>
      <c r="O1059" s="50">
        <f t="shared" si="241"/>
        <v>30</v>
      </c>
      <c r="P1059" s="56">
        <f t="shared" si="246"/>
        <v>48</v>
      </c>
      <c r="S1059" s="200" t="s">
        <v>2275</v>
      </c>
      <c r="T1059" s="201">
        <v>143</v>
      </c>
      <c r="U1059" s="58" t="s">
        <v>2276</v>
      </c>
      <c r="V1059" s="46"/>
      <c r="W1059" s="46"/>
      <c r="X1059" s="62" t="s">
        <v>25</v>
      </c>
      <c r="Y1059" s="63">
        <f t="shared" si="242"/>
        <v>15</v>
      </c>
      <c r="Z1059" s="64">
        <f t="shared" si="247"/>
        <v>0</v>
      </c>
    </row>
    <row r="1060" spans="1:26" ht="15.75" customHeight="1">
      <c r="A1060" s="63">
        <v>20260055</v>
      </c>
      <c r="B1060" s="65" t="s">
        <v>173</v>
      </c>
      <c r="C1060" s="66">
        <v>46079</v>
      </c>
      <c r="E1060" s="63">
        <v>1</v>
      </c>
      <c r="F1060" s="68">
        <v>32.5</v>
      </c>
      <c r="G1060" s="69">
        <v>40</v>
      </c>
      <c r="H1060" s="65" t="s">
        <v>2274</v>
      </c>
      <c r="I1060" s="65" t="s">
        <v>206</v>
      </c>
      <c r="J1060" s="65" t="s">
        <v>26</v>
      </c>
      <c r="K1060" s="48">
        <f t="shared" si="243"/>
        <v>8</v>
      </c>
      <c r="L1060" s="48">
        <f t="shared" si="244"/>
        <v>68</v>
      </c>
      <c r="N1060" s="72">
        <f t="shared" si="248"/>
        <v>1</v>
      </c>
      <c r="O1060" s="50">
        <f t="shared" si="241"/>
        <v>32.5</v>
      </c>
      <c r="P1060" s="56">
        <f t="shared" si="246"/>
        <v>40</v>
      </c>
      <c r="S1060" s="200" t="s">
        <v>2275</v>
      </c>
      <c r="T1060" s="201">
        <v>143</v>
      </c>
      <c r="U1060" s="58"/>
      <c r="V1060" s="46"/>
      <c r="W1060" s="46"/>
      <c r="X1060" s="62" t="s">
        <v>25</v>
      </c>
      <c r="Y1060" s="63">
        <f t="shared" si="242"/>
        <v>32.5</v>
      </c>
      <c r="Z1060" s="64">
        <f t="shared" si="247"/>
        <v>0</v>
      </c>
    </row>
    <row r="1061" spans="1:26" ht="15.75" customHeight="1">
      <c r="A1061" s="63">
        <v>20260055</v>
      </c>
      <c r="B1061" s="65" t="s">
        <v>173</v>
      </c>
      <c r="C1061" s="66">
        <v>46079</v>
      </c>
      <c r="E1061" s="63">
        <v>1</v>
      </c>
      <c r="F1061" s="68">
        <v>24.38</v>
      </c>
      <c r="G1061" s="69">
        <v>24</v>
      </c>
      <c r="H1061" s="65" t="s">
        <v>2277</v>
      </c>
      <c r="I1061" s="65" t="s">
        <v>194</v>
      </c>
      <c r="J1061" s="65" t="s">
        <v>26</v>
      </c>
      <c r="K1061" s="48">
        <f t="shared" si="243"/>
        <v>8</v>
      </c>
      <c r="L1061" s="48">
        <f t="shared" si="244"/>
        <v>68</v>
      </c>
      <c r="N1061" s="72">
        <f t="shared" si="248"/>
        <v>1</v>
      </c>
      <c r="O1061" s="50">
        <f t="shared" si="241"/>
        <v>24.38</v>
      </c>
      <c r="P1061" s="56">
        <f t="shared" si="246"/>
        <v>24</v>
      </c>
      <c r="S1061" s="200" t="s">
        <v>2278</v>
      </c>
      <c r="T1061" s="201">
        <v>144</v>
      </c>
      <c r="U1061" s="58" t="s">
        <v>2279</v>
      </c>
      <c r="V1061" s="46"/>
      <c r="W1061" s="46"/>
      <c r="X1061" s="62" t="s">
        <v>25</v>
      </c>
      <c r="Y1061" s="63">
        <f t="shared" si="242"/>
        <v>24.38</v>
      </c>
      <c r="Z1061" s="64">
        <f t="shared" si="247"/>
        <v>0</v>
      </c>
    </row>
    <row r="1062" spans="1:26" ht="15.75" customHeight="1">
      <c r="A1062" s="63">
        <v>20260055</v>
      </c>
      <c r="B1062" s="65" t="s">
        <v>173</v>
      </c>
      <c r="C1062" s="66">
        <v>46079</v>
      </c>
      <c r="E1062" s="63">
        <v>1</v>
      </c>
      <c r="F1062" s="68">
        <v>0</v>
      </c>
      <c r="G1062" s="69">
        <v>5</v>
      </c>
      <c r="H1062" s="65" t="s">
        <v>2277</v>
      </c>
      <c r="I1062" s="65" t="s">
        <v>24</v>
      </c>
      <c r="J1062" s="65" t="s">
        <v>24</v>
      </c>
      <c r="K1062" s="48">
        <f t="shared" si="243"/>
        <v>8</v>
      </c>
      <c r="L1062" s="48">
        <f t="shared" si="244"/>
        <v>68</v>
      </c>
      <c r="N1062" s="72">
        <f t="shared" si="248"/>
        <v>1</v>
      </c>
      <c r="O1062" s="50">
        <f t="shared" si="241"/>
        <v>0</v>
      </c>
      <c r="P1062" s="56">
        <f t="shared" si="246"/>
        <v>5</v>
      </c>
      <c r="S1062" s="200" t="s">
        <v>2278</v>
      </c>
      <c r="T1062" s="201">
        <v>144</v>
      </c>
      <c r="U1062" s="58"/>
      <c r="V1062" s="46"/>
      <c r="W1062" s="46"/>
      <c r="X1062" s="62" t="s">
        <v>25</v>
      </c>
      <c r="Y1062" s="63">
        <f t="shared" si="242"/>
        <v>0</v>
      </c>
      <c r="Z1062" s="64">
        <f t="shared" si="247"/>
        <v>0</v>
      </c>
    </row>
    <row r="1063" spans="1:26" ht="15.75" customHeight="1">
      <c r="A1063" s="63">
        <v>20260055</v>
      </c>
      <c r="B1063" s="65" t="s">
        <v>173</v>
      </c>
      <c r="C1063" s="66">
        <v>46079</v>
      </c>
      <c r="E1063" s="63">
        <v>1</v>
      </c>
      <c r="F1063" s="68">
        <v>12.27</v>
      </c>
      <c r="G1063" s="69">
        <v>24</v>
      </c>
      <c r="H1063" s="65" t="s">
        <v>2280</v>
      </c>
      <c r="I1063" s="65" t="s">
        <v>42</v>
      </c>
      <c r="J1063" s="65" t="s">
        <v>28</v>
      </c>
      <c r="K1063" s="48">
        <f t="shared" si="243"/>
        <v>8</v>
      </c>
      <c r="L1063" s="48">
        <f t="shared" si="244"/>
        <v>68</v>
      </c>
      <c r="N1063" s="72">
        <f t="shared" si="248"/>
        <v>1</v>
      </c>
      <c r="O1063" s="50">
        <f t="shared" ref="O1063:O1102" si="249">F1063/E1063*N1063</f>
        <v>12.27</v>
      </c>
      <c r="P1063" s="56">
        <f t="shared" si="246"/>
        <v>24</v>
      </c>
      <c r="S1063" s="200" t="s">
        <v>2281</v>
      </c>
      <c r="T1063" s="201">
        <v>145</v>
      </c>
      <c r="U1063" s="58" t="s">
        <v>2282</v>
      </c>
      <c r="V1063" s="46"/>
      <c r="W1063" s="46"/>
      <c r="X1063" s="62" t="s">
        <v>25</v>
      </c>
      <c r="Y1063" s="63">
        <f t="shared" si="242"/>
        <v>12.27</v>
      </c>
      <c r="Z1063" s="64">
        <f t="shared" si="247"/>
        <v>0</v>
      </c>
    </row>
    <row r="1064" spans="1:26" ht="15.75" customHeight="1">
      <c r="A1064" s="63">
        <v>20260055</v>
      </c>
      <c r="B1064" s="65" t="s">
        <v>173</v>
      </c>
      <c r="C1064" s="66">
        <v>46079</v>
      </c>
      <c r="E1064" s="63">
        <v>1</v>
      </c>
      <c r="F1064" s="68">
        <v>9.8000000000000007</v>
      </c>
      <c r="G1064" s="69">
        <v>24</v>
      </c>
      <c r="H1064" s="65" t="s">
        <v>2283</v>
      </c>
      <c r="I1064" s="65" t="s">
        <v>42</v>
      </c>
      <c r="J1064" s="65" t="s">
        <v>28</v>
      </c>
      <c r="K1064" s="48">
        <f t="shared" si="243"/>
        <v>8</v>
      </c>
      <c r="L1064" s="48">
        <f t="shared" si="244"/>
        <v>68</v>
      </c>
      <c r="N1064" s="72">
        <f t="shared" si="248"/>
        <v>1</v>
      </c>
      <c r="O1064" s="50">
        <f t="shared" si="249"/>
        <v>9.8000000000000007</v>
      </c>
      <c r="P1064" s="56">
        <f t="shared" si="246"/>
        <v>24</v>
      </c>
      <c r="S1064" s="200" t="s">
        <v>2284</v>
      </c>
      <c r="T1064" s="201">
        <v>148</v>
      </c>
      <c r="U1064" s="58" t="s">
        <v>2285</v>
      </c>
      <c r="V1064" s="46"/>
      <c r="W1064" s="46"/>
      <c r="X1064" s="62" t="s">
        <v>25</v>
      </c>
      <c r="Y1064" s="63">
        <f t="shared" si="242"/>
        <v>9.8000000000000007</v>
      </c>
      <c r="Z1064" s="64">
        <f t="shared" si="247"/>
        <v>0</v>
      </c>
    </row>
    <row r="1065" spans="1:26" ht="15.75" customHeight="1">
      <c r="A1065" s="106">
        <v>20260055</v>
      </c>
      <c r="B1065" s="107" t="s">
        <v>173</v>
      </c>
      <c r="C1065" s="108">
        <v>46079</v>
      </c>
      <c r="D1065" s="108"/>
      <c r="E1065" s="106">
        <v>1</v>
      </c>
      <c r="F1065" s="106">
        <v>12.747999999999999</v>
      </c>
      <c r="G1065" s="106">
        <v>24</v>
      </c>
      <c r="H1065" s="107" t="s">
        <v>2286</v>
      </c>
      <c r="I1065" s="107" t="s">
        <v>882</v>
      </c>
      <c r="J1065" s="107" t="s">
        <v>26</v>
      </c>
      <c r="K1065" s="108">
        <f t="shared" si="243"/>
        <v>8</v>
      </c>
      <c r="L1065" s="108">
        <f t="shared" si="244"/>
        <v>68</v>
      </c>
      <c r="M1065" s="107"/>
      <c r="N1065" s="112">
        <f>E1065-1</f>
        <v>0</v>
      </c>
      <c r="O1065" s="113">
        <f t="shared" si="249"/>
        <v>0</v>
      </c>
      <c r="P1065" s="112">
        <f t="shared" si="246"/>
        <v>0</v>
      </c>
      <c r="Q1065" s="109"/>
      <c r="R1065" s="107"/>
      <c r="S1065" s="109" t="s">
        <v>2287</v>
      </c>
      <c r="T1065" s="114">
        <v>149</v>
      </c>
      <c r="U1065" s="109" t="s">
        <v>2288</v>
      </c>
      <c r="V1065" s="106"/>
      <c r="W1065" s="106"/>
      <c r="X1065" s="106" t="s">
        <v>55</v>
      </c>
      <c r="Y1065" s="63">
        <f t="shared" si="242"/>
        <v>12.747999999999999</v>
      </c>
      <c r="Z1065" s="64">
        <f t="shared" si="247"/>
        <v>1</v>
      </c>
    </row>
    <row r="1066" spans="1:26" ht="15.75" customHeight="1">
      <c r="A1066" s="106">
        <v>20260055</v>
      </c>
      <c r="B1066" s="107" t="s">
        <v>173</v>
      </c>
      <c r="C1066" s="108">
        <v>46079</v>
      </c>
      <c r="D1066" s="108"/>
      <c r="E1066" s="106">
        <v>3</v>
      </c>
      <c r="F1066" s="106">
        <v>0</v>
      </c>
      <c r="G1066" s="106">
        <v>15</v>
      </c>
      <c r="H1066" s="107" t="s">
        <v>2286</v>
      </c>
      <c r="I1066" s="107" t="s">
        <v>24</v>
      </c>
      <c r="J1066" s="107" t="s">
        <v>24</v>
      </c>
      <c r="K1066" s="108">
        <f t="shared" si="243"/>
        <v>8</v>
      </c>
      <c r="L1066" s="108">
        <f t="shared" si="244"/>
        <v>68</v>
      </c>
      <c r="M1066" s="107"/>
      <c r="N1066" s="112">
        <f>E1066-3</f>
        <v>0</v>
      </c>
      <c r="O1066" s="113">
        <f t="shared" si="249"/>
        <v>0</v>
      </c>
      <c r="P1066" s="112">
        <f t="shared" si="246"/>
        <v>0</v>
      </c>
      <c r="Q1066" s="109"/>
      <c r="R1066" s="107"/>
      <c r="S1066" s="109" t="s">
        <v>2287</v>
      </c>
      <c r="T1066" s="114">
        <v>149</v>
      </c>
      <c r="U1066" s="109"/>
      <c r="V1066" s="106"/>
      <c r="W1066" s="106"/>
      <c r="X1066" s="106" t="s">
        <v>55</v>
      </c>
      <c r="Y1066" s="63">
        <f t="shared" si="242"/>
        <v>0</v>
      </c>
      <c r="Z1066" s="64">
        <f t="shared" si="247"/>
        <v>3</v>
      </c>
    </row>
    <row r="1067" spans="1:26" ht="15.75" customHeight="1">
      <c r="A1067" s="106">
        <v>20260055</v>
      </c>
      <c r="B1067" s="107" t="s">
        <v>173</v>
      </c>
      <c r="C1067" s="108">
        <v>46079</v>
      </c>
      <c r="D1067" s="108"/>
      <c r="E1067" s="106">
        <v>2</v>
      </c>
      <c r="F1067" s="106">
        <v>10.86</v>
      </c>
      <c r="G1067" s="106">
        <v>48</v>
      </c>
      <c r="H1067" s="107" t="s">
        <v>2289</v>
      </c>
      <c r="I1067" s="107" t="s">
        <v>42</v>
      </c>
      <c r="J1067" s="107" t="s">
        <v>28</v>
      </c>
      <c r="K1067" s="108">
        <f t="shared" si="243"/>
        <v>8</v>
      </c>
      <c r="L1067" s="108">
        <f t="shared" si="244"/>
        <v>68</v>
      </c>
      <c r="M1067" s="107"/>
      <c r="N1067" s="112">
        <f>E1067-2</f>
        <v>0</v>
      </c>
      <c r="O1067" s="113">
        <f t="shared" si="249"/>
        <v>0</v>
      </c>
      <c r="P1067" s="112">
        <f t="shared" si="246"/>
        <v>0</v>
      </c>
      <c r="Q1067" s="109"/>
      <c r="R1067" s="107"/>
      <c r="S1067" s="109" t="s">
        <v>2290</v>
      </c>
      <c r="T1067" s="114">
        <v>150</v>
      </c>
      <c r="U1067" s="109" t="s">
        <v>2291</v>
      </c>
      <c r="V1067" s="106"/>
      <c r="W1067" s="106"/>
      <c r="X1067" s="106" t="s">
        <v>55</v>
      </c>
      <c r="Y1067" s="63">
        <f t="shared" si="242"/>
        <v>5.43</v>
      </c>
      <c r="Z1067" s="64">
        <f t="shared" si="247"/>
        <v>2</v>
      </c>
    </row>
    <row r="1068" spans="1:26" ht="15.75" customHeight="1">
      <c r="A1068" s="106">
        <v>20260055</v>
      </c>
      <c r="B1068" s="107" t="s">
        <v>173</v>
      </c>
      <c r="C1068" s="108">
        <v>46079</v>
      </c>
      <c r="D1068" s="108"/>
      <c r="E1068" s="106">
        <v>1</v>
      </c>
      <c r="F1068" s="106">
        <v>26</v>
      </c>
      <c r="G1068" s="106">
        <v>24</v>
      </c>
      <c r="H1068" s="107" t="s">
        <v>1291</v>
      </c>
      <c r="I1068" s="107" t="s">
        <v>208</v>
      </c>
      <c r="J1068" s="107" t="s">
        <v>26</v>
      </c>
      <c r="K1068" s="108">
        <f t="shared" si="243"/>
        <v>8</v>
      </c>
      <c r="L1068" s="108">
        <f t="shared" si="244"/>
        <v>68</v>
      </c>
      <c r="M1068" s="107"/>
      <c r="N1068" s="112">
        <f>E1068-1</f>
        <v>0</v>
      </c>
      <c r="O1068" s="113">
        <f t="shared" si="249"/>
        <v>0</v>
      </c>
      <c r="P1068" s="112">
        <f t="shared" si="246"/>
        <v>0</v>
      </c>
      <c r="Q1068" s="109"/>
      <c r="R1068" s="107"/>
      <c r="S1068" s="109" t="s">
        <v>2292</v>
      </c>
      <c r="T1068" s="114">
        <v>151</v>
      </c>
      <c r="U1068" s="109" t="s">
        <v>2293</v>
      </c>
      <c r="V1068" s="106"/>
      <c r="W1068" s="106"/>
      <c r="X1068" s="106" t="s">
        <v>55</v>
      </c>
      <c r="Y1068" s="63">
        <f t="shared" si="242"/>
        <v>26</v>
      </c>
      <c r="Z1068" s="64">
        <f t="shared" si="247"/>
        <v>1</v>
      </c>
    </row>
    <row r="1069" spans="1:26" ht="15.75" customHeight="1">
      <c r="A1069" s="63">
        <v>20260055</v>
      </c>
      <c r="B1069" s="65" t="s">
        <v>173</v>
      </c>
      <c r="C1069" s="66">
        <v>46079</v>
      </c>
      <c r="E1069" s="63">
        <v>1</v>
      </c>
      <c r="F1069" s="68">
        <v>34.15</v>
      </c>
      <c r="G1069" s="69">
        <v>24</v>
      </c>
      <c r="H1069" s="65" t="s">
        <v>2289</v>
      </c>
      <c r="I1069" s="65" t="s">
        <v>194</v>
      </c>
      <c r="J1069" s="65" t="s">
        <v>26</v>
      </c>
      <c r="K1069" s="48">
        <f t="shared" si="243"/>
        <v>8</v>
      </c>
      <c r="L1069" s="48">
        <f t="shared" si="244"/>
        <v>68</v>
      </c>
      <c r="N1069" s="72">
        <f t="shared" si="248"/>
        <v>1</v>
      </c>
      <c r="O1069" s="50">
        <f t="shared" si="249"/>
        <v>34.15</v>
      </c>
      <c r="P1069" s="56">
        <f t="shared" si="246"/>
        <v>24</v>
      </c>
      <c r="S1069" s="200" t="s">
        <v>2294</v>
      </c>
      <c r="T1069" s="201">
        <v>152</v>
      </c>
      <c r="U1069" s="58" t="s">
        <v>2295</v>
      </c>
      <c r="V1069" s="46"/>
      <c r="W1069" s="46"/>
      <c r="X1069" s="62" t="s">
        <v>25</v>
      </c>
      <c r="Y1069" s="63">
        <f t="shared" si="242"/>
        <v>34.15</v>
      </c>
      <c r="Z1069" s="64">
        <f t="shared" si="247"/>
        <v>0</v>
      </c>
    </row>
    <row r="1070" spans="1:26" ht="15.75" customHeight="1">
      <c r="A1070" s="63">
        <v>20260055</v>
      </c>
      <c r="B1070" s="65" t="s">
        <v>173</v>
      </c>
      <c r="C1070" s="66">
        <v>46079</v>
      </c>
      <c r="E1070" s="63">
        <v>4</v>
      </c>
      <c r="F1070" s="68">
        <v>0</v>
      </c>
      <c r="G1070" s="69">
        <v>20</v>
      </c>
      <c r="H1070" s="65" t="s">
        <v>2289</v>
      </c>
      <c r="I1070" s="65" t="s">
        <v>24</v>
      </c>
      <c r="J1070" s="65" t="s">
        <v>24</v>
      </c>
      <c r="K1070" s="48">
        <f t="shared" si="243"/>
        <v>8</v>
      </c>
      <c r="L1070" s="48">
        <f t="shared" si="244"/>
        <v>68</v>
      </c>
      <c r="N1070" s="72">
        <f t="shared" si="248"/>
        <v>4</v>
      </c>
      <c r="O1070" s="50">
        <f t="shared" si="249"/>
        <v>0</v>
      </c>
      <c r="P1070" s="56">
        <f t="shared" si="246"/>
        <v>20</v>
      </c>
      <c r="S1070" s="200" t="s">
        <v>2294</v>
      </c>
      <c r="T1070" s="201">
        <v>152</v>
      </c>
      <c r="U1070" s="58"/>
      <c r="V1070" s="46"/>
      <c r="W1070" s="46"/>
      <c r="X1070" s="62" t="s">
        <v>25</v>
      </c>
      <c r="Y1070" s="63">
        <f t="shared" si="242"/>
        <v>0</v>
      </c>
      <c r="Z1070" s="64">
        <f t="shared" si="247"/>
        <v>0</v>
      </c>
    </row>
    <row r="1071" spans="1:26" ht="15.75" customHeight="1">
      <c r="A1071" s="63">
        <v>20260055</v>
      </c>
      <c r="B1071" s="65" t="s">
        <v>173</v>
      </c>
      <c r="C1071" s="66">
        <v>46079</v>
      </c>
      <c r="E1071" s="63">
        <v>1</v>
      </c>
      <c r="F1071" s="68">
        <v>23.92</v>
      </c>
      <c r="G1071" s="69">
        <v>24</v>
      </c>
      <c r="H1071" s="65" t="s">
        <v>2296</v>
      </c>
      <c r="I1071" s="65" t="s">
        <v>194</v>
      </c>
      <c r="J1071" s="65" t="s">
        <v>26</v>
      </c>
      <c r="K1071" s="48">
        <f t="shared" si="243"/>
        <v>8</v>
      </c>
      <c r="L1071" s="48">
        <f t="shared" si="244"/>
        <v>68</v>
      </c>
      <c r="N1071" s="72">
        <f t="shared" si="248"/>
        <v>1</v>
      </c>
      <c r="O1071" s="50">
        <f t="shared" si="249"/>
        <v>23.92</v>
      </c>
      <c r="P1071" s="56">
        <f t="shared" si="246"/>
        <v>24</v>
      </c>
      <c r="S1071" s="200" t="s">
        <v>2297</v>
      </c>
      <c r="T1071" s="201">
        <v>154</v>
      </c>
      <c r="U1071" s="58" t="s">
        <v>2298</v>
      </c>
      <c r="V1071" s="46"/>
      <c r="W1071" s="46"/>
      <c r="X1071" s="62" t="s">
        <v>25</v>
      </c>
      <c r="Y1071" s="63">
        <f t="shared" si="242"/>
        <v>23.92</v>
      </c>
      <c r="Z1071" s="64">
        <f t="shared" si="247"/>
        <v>0</v>
      </c>
    </row>
    <row r="1072" spans="1:26" ht="15.75" customHeight="1">
      <c r="A1072" s="63">
        <v>20260055</v>
      </c>
      <c r="B1072" s="65" t="s">
        <v>173</v>
      </c>
      <c r="C1072" s="66">
        <v>46079</v>
      </c>
      <c r="E1072" s="63">
        <v>1</v>
      </c>
      <c r="F1072" s="68">
        <v>0</v>
      </c>
      <c r="G1072" s="69">
        <v>5</v>
      </c>
      <c r="H1072" s="65" t="s">
        <v>2296</v>
      </c>
      <c r="I1072" s="65" t="s">
        <v>24</v>
      </c>
      <c r="J1072" s="65" t="s">
        <v>24</v>
      </c>
      <c r="K1072" s="48">
        <f t="shared" si="243"/>
        <v>8</v>
      </c>
      <c r="L1072" s="48">
        <f t="shared" si="244"/>
        <v>68</v>
      </c>
      <c r="N1072" s="72">
        <f t="shared" si="248"/>
        <v>1</v>
      </c>
      <c r="O1072" s="50">
        <f t="shared" si="249"/>
        <v>0</v>
      </c>
      <c r="P1072" s="56">
        <f t="shared" si="246"/>
        <v>5</v>
      </c>
      <c r="S1072" s="200" t="s">
        <v>2297</v>
      </c>
      <c r="T1072" s="201">
        <v>154</v>
      </c>
      <c r="U1072" s="58"/>
      <c r="V1072" s="46"/>
      <c r="W1072" s="46"/>
      <c r="X1072" s="62" t="s">
        <v>25</v>
      </c>
      <c r="Y1072" s="63">
        <f t="shared" si="242"/>
        <v>0</v>
      </c>
      <c r="Z1072" s="64">
        <f t="shared" si="247"/>
        <v>0</v>
      </c>
    </row>
    <row r="1073" spans="1:26" ht="15.75" customHeight="1">
      <c r="A1073" s="106">
        <v>20260055</v>
      </c>
      <c r="B1073" s="107" t="s">
        <v>173</v>
      </c>
      <c r="C1073" s="108">
        <v>46079</v>
      </c>
      <c r="D1073" s="108"/>
      <c r="E1073" s="106">
        <v>2</v>
      </c>
      <c r="F1073" s="106">
        <v>25.7</v>
      </c>
      <c r="G1073" s="106">
        <v>48</v>
      </c>
      <c r="H1073" s="107" t="s">
        <v>2299</v>
      </c>
      <c r="I1073" s="107" t="s">
        <v>42</v>
      </c>
      <c r="J1073" s="107" t="s">
        <v>28</v>
      </c>
      <c r="K1073" s="108">
        <f t="shared" si="243"/>
        <v>8</v>
      </c>
      <c r="L1073" s="108">
        <f t="shared" si="244"/>
        <v>68</v>
      </c>
      <c r="M1073" s="107"/>
      <c r="N1073" s="112">
        <f>E1073-2</f>
        <v>0</v>
      </c>
      <c r="O1073" s="113">
        <f t="shared" si="249"/>
        <v>0</v>
      </c>
      <c r="P1073" s="112">
        <f t="shared" si="246"/>
        <v>0</v>
      </c>
      <c r="Q1073" s="109"/>
      <c r="R1073" s="107"/>
      <c r="S1073" s="109" t="s">
        <v>2300</v>
      </c>
      <c r="T1073" s="114">
        <v>155</v>
      </c>
      <c r="U1073" s="109" t="s">
        <v>2301</v>
      </c>
      <c r="V1073" s="106"/>
      <c r="W1073" s="106"/>
      <c r="X1073" s="106" t="s">
        <v>55</v>
      </c>
      <c r="Y1073" s="63">
        <f t="shared" si="242"/>
        <v>12.85</v>
      </c>
      <c r="Z1073" s="64">
        <f t="shared" si="247"/>
        <v>2</v>
      </c>
    </row>
    <row r="1074" spans="1:26" ht="15.75" customHeight="1">
      <c r="A1074" s="106">
        <v>20260055</v>
      </c>
      <c r="B1074" s="107" t="s">
        <v>173</v>
      </c>
      <c r="C1074" s="108">
        <v>46079</v>
      </c>
      <c r="D1074" s="108"/>
      <c r="E1074" s="106">
        <v>1</v>
      </c>
      <c r="F1074" s="106">
        <v>9</v>
      </c>
      <c r="G1074" s="106">
        <v>24</v>
      </c>
      <c r="H1074" s="107" t="s">
        <v>2302</v>
      </c>
      <c r="I1074" s="107" t="s">
        <v>42</v>
      </c>
      <c r="J1074" s="107" t="s">
        <v>28</v>
      </c>
      <c r="K1074" s="108">
        <f t="shared" si="243"/>
        <v>8</v>
      </c>
      <c r="L1074" s="108">
        <f t="shared" si="244"/>
        <v>68</v>
      </c>
      <c r="M1074" s="107"/>
      <c r="N1074" s="112">
        <f>E1074-1</f>
        <v>0</v>
      </c>
      <c r="O1074" s="113">
        <f t="shared" si="249"/>
        <v>0</v>
      </c>
      <c r="P1074" s="112">
        <f t="shared" si="246"/>
        <v>0</v>
      </c>
      <c r="Q1074" s="109"/>
      <c r="R1074" s="107"/>
      <c r="S1074" s="109" t="s">
        <v>2303</v>
      </c>
      <c r="T1074" s="114">
        <v>156</v>
      </c>
      <c r="U1074" s="109" t="s">
        <v>2304</v>
      </c>
      <c r="V1074" s="106"/>
      <c r="W1074" s="106"/>
      <c r="X1074" s="106" t="s">
        <v>55</v>
      </c>
      <c r="Y1074" s="63">
        <f t="shared" si="242"/>
        <v>9</v>
      </c>
    </row>
    <row r="1075" spans="1:26" ht="15.75" customHeight="1">
      <c r="A1075" s="106">
        <v>20260055</v>
      </c>
      <c r="B1075" s="107" t="s">
        <v>173</v>
      </c>
      <c r="C1075" s="108">
        <v>46079</v>
      </c>
      <c r="D1075" s="108"/>
      <c r="E1075" s="106">
        <v>1</v>
      </c>
      <c r="F1075" s="106">
        <v>16</v>
      </c>
      <c r="G1075" s="106">
        <v>24</v>
      </c>
      <c r="H1075" s="107" t="s">
        <v>2305</v>
      </c>
      <c r="I1075" s="107" t="s">
        <v>42</v>
      </c>
      <c r="J1075" s="107" t="s">
        <v>28</v>
      </c>
      <c r="K1075" s="108">
        <f t="shared" si="243"/>
        <v>8</v>
      </c>
      <c r="L1075" s="108">
        <f t="shared" si="244"/>
        <v>68</v>
      </c>
      <c r="M1075" s="107"/>
      <c r="N1075" s="112">
        <f>E1075-1</f>
        <v>0</v>
      </c>
      <c r="O1075" s="113">
        <f t="shared" si="249"/>
        <v>0</v>
      </c>
      <c r="P1075" s="112">
        <f t="shared" si="246"/>
        <v>0</v>
      </c>
      <c r="Q1075" s="109"/>
      <c r="R1075" s="107"/>
      <c r="S1075" s="109" t="s">
        <v>2306</v>
      </c>
      <c r="T1075" s="114">
        <v>157</v>
      </c>
      <c r="U1075" s="109" t="s">
        <v>2051</v>
      </c>
      <c r="V1075" s="106"/>
      <c r="W1075" s="106"/>
      <c r="X1075" s="106" t="s">
        <v>55</v>
      </c>
      <c r="Y1075" s="63">
        <f t="shared" si="242"/>
        <v>16</v>
      </c>
    </row>
    <row r="1076" spans="1:26" ht="15.75" customHeight="1">
      <c r="A1076" s="63">
        <v>20260055</v>
      </c>
      <c r="B1076" s="65" t="s">
        <v>173</v>
      </c>
      <c r="C1076" s="66">
        <v>46079</v>
      </c>
      <c r="E1076" s="63">
        <v>1</v>
      </c>
      <c r="F1076" s="68">
        <v>6.4</v>
      </c>
      <c r="G1076" s="69">
        <v>24</v>
      </c>
      <c r="H1076" s="65" t="s">
        <v>2307</v>
      </c>
      <c r="I1076" s="65" t="s">
        <v>42</v>
      </c>
      <c r="J1076" s="65" t="s">
        <v>28</v>
      </c>
      <c r="K1076" s="48">
        <f t="shared" si="243"/>
        <v>8</v>
      </c>
      <c r="L1076" s="48">
        <f t="shared" si="244"/>
        <v>68</v>
      </c>
      <c r="N1076" s="72">
        <f t="shared" si="248"/>
        <v>1</v>
      </c>
      <c r="O1076" s="50">
        <f t="shared" si="249"/>
        <v>6.4</v>
      </c>
      <c r="P1076" s="56">
        <f t="shared" si="246"/>
        <v>24</v>
      </c>
      <c r="S1076" s="200" t="s">
        <v>2308</v>
      </c>
      <c r="T1076" s="201">
        <v>158</v>
      </c>
      <c r="U1076" s="58" t="s">
        <v>2309</v>
      </c>
      <c r="V1076" s="46"/>
      <c r="W1076" s="46"/>
      <c r="X1076" s="62" t="s">
        <v>25</v>
      </c>
      <c r="Y1076" s="63">
        <f t="shared" ref="Y1076:Y1139" si="250">F1076/E1076</f>
        <v>6.4</v>
      </c>
      <c r="Z1076" s="64">
        <f t="shared" ref="Z1076:Z1084" si="251">E1076-N1076</f>
        <v>0</v>
      </c>
    </row>
    <row r="1077" spans="1:26" ht="15.75" customHeight="1">
      <c r="A1077" s="106">
        <v>20260055</v>
      </c>
      <c r="B1077" s="107" t="s">
        <v>173</v>
      </c>
      <c r="C1077" s="108">
        <v>46079</v>
      </c>
      <c r="D1077" s="108"/>
      <c r="E1077" s="106">
        <v>1</v>
      </c>
      <c r="F1077" s="106">
        <v>20</v>
      </c>
      <c r="G1077" s="106">
        <v>24</v>
      </c>
      <c r="H1077" s="107" t="s">
        <v>2310</v>
      </c>
      <c r="I1077" s="107" t="s">
        <v>276</v>
      </c>
      <c r="J1077" s="107" t="s">
        <v>26</v>
      </c>
      <c r="K1077" s="108">
        <f t="shared" si="243"/>
        <v>8</v>
      </c>
      <c r="L1077" s="108">
        <f t="shared" si="244"/>
        <v>68</v>
      </c>
      <c r="M1077" s="107"/>
      <c r="N1077" s="112">
        <f>E1077-1</f>
        <v>0</v>
      </c>
      <c r="O1077" s="113">
        <f t="shared" si="249"/>
        <v>0</v>
      </c>
      <c r="P1077" s="112">
        <f t="shared" si="246"/>
        <v>0</v>
      </c>
      <c r="Q1077" s="109"/>
      <c r="R1077" s="107"/>
      <c r="S1077" s="109" t="s">
        <v>2311</v>
      </c>
      <c r="T1077" s="114">
        <v>159</v>
      </c>
      <c r="U1077" s="109" t="s">
        <v>2312</v>
      </c>
      <c r="V1077" s="106"/>
      <c r="W1077" s="106"/>
      <c r="X1077" s="106" t="s">
        <v>55</v>
      </c>
      <c r="Y1077" s="63">
        <f t="shared" si="250"/>
        <v>20</v>
      </c>
      <c r="Z1077" s="64">
        <f t="shared" si="251"/>
        <v>1</v>
      </c>
    </row>
    <row r="1078" spans="1:26" ht="15.75" customHeight="1">
      <c r="A1078" s="106">
        <v>20260055</v>
      </c>
      <c r="B1078" s="107" t="s">
        <v>173</v>
      </c>
      <c r="C1078" s="108">
        <v>46079</v>
      </c>
      <c r="D1078" s="108"/>
      <c r="E1078" s="106">
        <v>1</v>
      </c>
      <c r="F1078" s="106">
        <v>28.57</v>
      </c>
      <c r="G1078" s="106">
        <v>60</v>
      </c>
      <c r="H1078" s="107" t="s">
        <v>2310</v>
      </c>
      <c r="I1078" s="107" t="s">
        <v>138</v>
      </c>
      <c r="J1078" s="107" t="s">
        <v>26</v>
      </c>
      <c r="K1078" s="108">
        <f t="shared" si="243"/>
        <v>8</v>
      </c>
      <c r="L1078" s="108">
        <f t="shared" si="244"/>
        <v>68</v>
      </c>
      <c r="M1078" s="107"/>
      <c r="N1078" s="112">
        <f>E1078-1</f>
        <v>0</v>
      </c>
      <c r="O1078" s="113">
        <f t="shared" si="249"/>
        <v>0</v>
      </c>
      <c r="P1078" s="112">
        <f t="shared" si="246"/>
        <v>0</v>
      </c>
      <c r="Q1078" s="109"/>
      <c r="R1078" s="107"/>
      <c r="S1078" s="109" t="s">
        <v>2311</v>
      </c>
      <c r="T1078" s="114">
        <v>159</v>
      </c>
      <c r="U1078" s="109"/>
      <c r="V1078" s="106"/>
      <c r="W1078" s="106"/>
      <c r="X1078" s="106" t="s">
        <v>55</v>
      </c>
      <c r="Y1078" s="63">
        <f t="shared" si="250"/>
        <v>28.57</v>
      </c>
      <c r="Z1078" s="64">
        <f t="shared" si="251"/>
        <v>1</v>
      </c>
    </row>
    <row r="1079" spans="1:26" ht="15.75" customHeight="1">
      <c r="A1079" s="106">
        <v>20260055</v>
      </c>
      <c r="B1079" s="107" t="s">
        <v>173</v>
      </c>
      <c r="C1079" s="108">
        <v>46079</v>
      </c>
      <c r="D1079" s="108"/>
      <c r="E1079" s="106">
        <v>1</v>
      </c>
      <c r="F1079" s="106">
        <v>0</v>
      </c>
      <c r="G1079" s="106">
        <v>5</v>
      </c>
      <c r="H1079" s="107" t="s">
        <v>2310</v>
      </c>
      <c r="I1079" s="107" t="s">
        <v>24</v>
      </c>
      <c r="J1079" s="107" t="s">
        <v>24</v>
      </c>
      <c r="K1079" s="108">
        <f t="shared" si="243"/>
        <v>8</v>
      </c>
      <c r="L1079" s="108">
        <f t="shared" si="244"/>
        <v>68</v>
      </c>
      <c r="M1079" s="107"/>
      <c r="N1079" s="112">
        <f>E1079-1</f>
        <v>0</v>
      </c>
      <c r="O1079" s="113">
        <f t="shared" si="249"/>
        <v>0</v>
      </c>
      <c r="P1079" s="112">
        <f t="shared" si="246"/>
        <v>0</v>
      </c>
      <c r="Q1079" s="109"/>
      <c r="R1079" s="107"/>
      <c r="S1079" s="109" t="s">
        <v>2311</v>
      </c>
      <c r="T1079" s="114">
        <v>159</v>
      </c>
      <c r="U1079" s="109"/>
      <c r="V1079" s="106"/>
      <c r="W1079" s="106"/>
      <c r="X1079" s="106" t="s">
        <v>55</v>
      </c>
      <c r="Y1079" s="63">
        <f t="shared" si="250"/>
        <v>0</v>
      </c>
      <c r="Z1079" s="64">
        <f t="shared" si="251"/>
        <v>1</v>
      </c>
    </row>
    <row r="1080" spans="1:26" ht="15.75" customHeight="1">
      <c r="A1080" s="63">
        <v>20260055</v>
      </c>
      <c r="B1080" s="65" t="s">
        <v>173</v>
      </c>
      <c r="C1080" s="66">
        <v>46079</v>
      </c>
      <c r="E1080" s="63">
        <v>1</v>
      </c>
      <c r="F1080" s="68">
        <v>16.5</v>
      </c>
      <c r="G1080" s="69">
        <v>40</v>
      </c>
      <c r="H1080" s="65" t="s">
        <v>2313</v>
      </c>
      <c r="I1080" s="65" t="s">
        <v>206</v>
      </c>
      <c r="J1080" s="65" t="s">
        <v>26</v>
      </c>
      <c r="K1080" s="48">
        <f t="shared" si="243"/>
        <v>8</v>
      </c>
      <c r="L1080" s="48">
        <f t="shared" si="244"/>
        <v>68</v>
      </c>
      <c r="N1080" s="72">
        <f t="shared" si="248"/>
        <v>1</v>
      </c>
      <c r="O1080" s="50">
        <f t="shared" si="249"/>
        <v>16.5</v>
      </c>
      <c r="P1080" s="56">
        <f t="shared" si="246"/>
        <v>40</v>
      </c>
      <c r="S1080" s="200" t="s">
        <v>2314</v>
      </c>
      <c r="T1080" s="201">
        <v>160</v>
      </c>
      <c r="U1080" s="58" t="s">
        <v>2315</v>
      </c>
      <c r="V1080" s="46"/>
      <c r="W1080" s="46"/>
      <c r="X1080" s="62" t="s">
        <v>25</v>
      </c>
      <c r="Y1080" s="63">
        <f t="shared" si="250"/>
        <v>16.5</v>
      </c>
      <c r="Z1080" s="64">
        <f t="shared" si="251"/>
        <v>0</v>
      </c>
    </row>
    <row r="1081" spans="1:26" ht="15.75" customHeight="1">
      <c r="A1081" s="63">
        <v>20260055</v>
      </c>
      <c r="B1081" s="65" t="s">
        <v>173</v>
      </c>
      <c r="C1081" s="66">
        <v>46079</v>
      </c>
      <c r="E1081" s="63">
        <v>1</v>
      </c>
      <c r="F1081" s="68">
        <v>51.295999999999999</v>
      </c>
      <c r="G1081" s="69">
        <v>24</v>
      </c>
      <c r="H1081" s="65" t="s">
        <v>2189</v>
      </c>
      <c r="I1081" s="65" t="s">
        <v>194</v>
      </c>
      <c r="J1081" s="65" t="s">
        <v>26</v>
      </c>
      <c r="K1081" s="48">
        <f t="shared" si="243"/>
        <v>8</v>
      </c>
      <c r="L1081" s="48">
        <f t="shared" si="244"/>
        <v>68</v>
      </c>
      <c r="N1081" s="72">
        <f t="shared" si="248"/>
        <v>1</v>
      </c>
      <c r="O1081" s="50">
        <f t="shared" si="249"/>
        <v>51.295999999999999</v>
      </c>
      <c r="P1081" s="56">
        <f t="shared" si="246"/>
        <v>24</v>
      </c>
      <c r="S1081" s="200" t="s">
        <v>2316</v>
      </c>
      <c r="T1081" s="201">
        <v>161</v>
      </c>
      <c r="U1081" s="58" t="s">
        <v>2317</v>
      </c>
      <c r="V1081" s="46"/>
      <c r="W1081" s="46"/>
      <c r="X1081" s="62" t="s">
        <v>25</v>
      </c>
      <c r="Y1081" s="63">
        <f t="shared" si="250"/>
        <v>51.295999999999999</v>
      </c>
      <c r="Z1081" s="64">
        <f t="shared" si="251"/>
        <v>0</v>
      </c>
    </row>
    <row r="1082" spans="1:26" ht="15.75" customHeight="1">
      <c r="A1082" s="63">
        <v>20260055</v>
      </c>
      <c r="B1082" s="65" t="s">
        <v>173</v>
      </c>
      <c r="C1082" s="66">
        <v>46079</v>
      </c>
      <c r="E1082" s="63">
        <v>3</v>
      </c>
      <c r="F1082" s="68">
        <v>0</v>
      </c>
      <c r="G1082" s="69">
        <v>15</v>
      </c>
      <c r="H1082" s="65" t="s">
        <v>2189</v>
      </c>
      <c r="I1082" s="65" t="s">
        <v>24</v>
      </c>
      <c r="J1082" s="65" t="s">
        <v>24</v>
      </c>
      <c r="K1082" s="48">
        <f t="shared" si="243"/>
        <v>8</v>
      </c>
      <c r="L1082" s="48">
        <f t="shared" si="244"/>
        <v>68</v>
      </c>
      <c r="N1082" s="72">
        <f t="shared" si="248"/>
        <v>3</v>
      </c>
      <c r="O1082" s="50">
        <f t="shared" si="249"/>
        <v>0</v>
      </c>
      <c r="P1082" s="56">
        <f t="shared" si="246"/>
        <v>15</v>
      </c>
      <c r="S1082" s="200" t="s">
        <v>2316</v>
      </c>
      <c r="T1082" s="201">
        <v>161</v>
      </c>
      <c r="U1082" s="58"/>
      <c r="V1082" s="46"/>
      <c r="W1082" s="46"/>
      <c r="X1082" s="62" t="s">
        <v>25</v>
      </c>
      <c r="Y1082" s="63">
        <f t="shared" si="250"/>
        <v>0</v>
      </c>
      <c r="Z1082" s="64">
        <f t="shared" si="251"/>
        <v>0</v>
      </c>
    </row>
    <row r="1083" spans="1:26" ht="15.75" customHeight="1">
      <c r="A1083" s="63">
        <v>20260055</v>
      </c>
      <c r="B1083" s="65" t="s">
        <v>173</v>
      </c>
      <c r="C1083" s="66">
        <v>46079</v>
      </c>
      <c r="E1083" s="63">
        <v>1</v>
      </c>
      <c r="F1083" s="68">
        <v>50.265999999999998</v>
      </c>
      <c r="G1083" s="69">
        <v>24</v>
      </c>
      <c r="H1083" s="65" t="s">
        <v>2189</v>
      </c>
      <c r="I1083" s="65" t="s">
        <v>194</v>
      </c>
      <c r="J1083" s="65" t="s">
        <v>26</v>
      </c>
      <c r="K1083" s="48">
        <f t="shared" si="243"/>
        <v>8</v>
      </c>
      <c r="L1083" s="48">
        <f t="shared" si="244"/>
        <v>68</v>
      </c>
      <c r="N1083" s="72">
        <f t="shared" si="248"/>
        <v>1</v>
      </c>
      <c r="O1083" s="50">
        <f t="shared" si="249"/>
        <v>50.265999999999998</v>
      </c>
      <c r="P1083" s="56">
        <f t="shared" si="246"/>
        <v>24</v>
      </c>
      <c r="S1083" s="200" t="s">
        <v>2318</v>
      </c>
      <c r="T1083" s="201">
        <v>162</v>
      </c>
      <c r="U1083" s="58" t="s">
        <v>2319</v>
      </c>
      <c r="V1083" s="46"/>
      <c r="W1083" s="46"/>
      <c r="X1083" s="62" t="s">
        <v>25</v>
      </c>
      <c r="Y1083" s="63">
        <f t="shared" si="250"/>
        <v>50.265999999999998</v>
      </c>
      <c r="Z1083" s="64">
        <f t="shared" si="251"/>
        <v>0</v>
      </c>
    </row>
    <row r="1084" spans="1:26" ht="15.75" customHeight="1">
      <c r="A1084" s="63">
        <v>20260055</v>
      </c>
      <c r="B1084" s="65" t="s">
        <v>173</v>
      </c>
      <c r="C1084" s="66">
        <v>46079</v>
      </c>
      <c r="E1084" s="63">
        <v>1</v>
      </c>
      <c r="F1084" s="68">
        <v>0</v>
      </c>
      <c r="G1084" s="69">
        <v>5</v>
      </c>
      <c r="H1084" s="65" t="s">
        <v>2189</v>
      </c>
      <c r="I1084" s="65" t="s">
        <v>24</v>
      </c>
      <c r="J1084" s="65" t="s">
        <v>24</v>
      </c>
      <c r="K1084" s="48">
        <f t="shared" si="243"/>
        <v>8</v>
      </c>
      <c r="L1084" s="48">
        <f t="shared" si="244"/>
        <v>68</v>
      </c>
      <c r="N1084" s="72">
        <f t="shared" si="248"/>
        <v>1</v>
      </c>
      <c r="O1084" s="50">
        <f t="shared" si="249"/>
        <v>0</v>
      </c>
      <c r="P1084" s="56">
        <f t="shared" si="246"/>
        <v>5</v>
      </c>
      <c r="S1084" s="200" t="s">
        <v>2318</v>
      </c>
      <c r="T1084" s="201">
        <v>162</v>
      </c>
      <c r="U1084" s="58"/>
      <c r="V1084" s="46"/>
      <c r="W1084" s="46"/>
      <c r="X1084" s="62" t="s">
        <v>25</v>
      </c>
      <c r="Y1084" s="63">
        <f t="shared" si="250"/>
        <v>0</v>
      </c>
      <c r="Z1084" s="64">
        <f t="shared" si="251"/>
        <v>0</v>
      </c>
    </row>
    <row r="1085" spans="1:26" ht="15.75" customHeight="1">
      <c r="A1085" s="106">
        <v>20260055</v>
      </c>
      <c r="B1085" s="107" t="s">
        <v>173</v>
      </c>
      <c r="C1085" s="108">
        <v>46079</v>
      </c>
      <c r="D1085" s="108"/>
      <c r="E1085" s="106">
        <v>1</v>
      </c>
      <c r="F1085" s="106">
        <v>26</v>
      </c>
      <c r="G1085" s="106">
        <v>24</v>
      </c>
      <c r="H1085" s="107" t="s">
        <v>2320</v>
      </c>
      <c r="I1085" s="107" t="s">
        <v>58</v>
      </c>
      <c r="J1085" s="107" t="s">
        <v>28</v>
      </c>
      <c r="K1085" s="108">
        <f t="shared" si="243"/>
        <v>8</v>
      </c>
      <c r="L1085" s="108">
        <f t="shared" si="244"/>
        <v>68</v>
      </c>
      <c r="M1085" s="107"/>
      <c r="N1085" s="112">
        <f>E1085-1</f>
        <v>0</v>
      </c>
      <c r="O1085" s="113">
        <f t="shared" si="249"/>
        <v>0</v>
      </c>
      <c r="P1085" s="112">
        <f t="shared" si="246"/>
        <v>0</v>
      </c>
      <c r="Q1085" s="109"/>
      <c r="R1085" s="107"/>
      <c r="S1085" s="109" t="s">
        <v>2321</v>
      </c>
      <c r="T1085" s="114">
        <v>164</v>
      </c>
      <c r="U1085" s="109" t="s">
        <v>2322</v>
      </c>
      <c r="V1085" s="106"/>
      <c r="W1085" s="106"/>
      <c r="X1085" s="106" t="s">
        <v>55</v>
      </c>
      <c r="Y1085" s="63">
        <f t="shared" si="250"/>
        <v>26</v>
      </c>
    </row>
    <row r="1086" spans="1:26" ht="15.75" customHeight="1">
      <c r="A1086" s="106">
        <v>20260055</v>
      </c>
      <c r="B1086" s="107" t="s">
        <v>173</v>
      </c>
      <c r="C1086" s="108">
        <v>46079</v>
      </c>
      <c r="D1086" s="108"/>
      <c r="E1086" s="106">
        <v>10</v>
      </c>
      <c r="F1086" s="106">
        <v>134.56</v>
      </c>
      <c r="G1086" s="106">
        <v>400</v>
      </c>
      <c r="H1086" s="107" t="s">
        <v>1809</v>
      </c>
      <c r="I1086" s="107" t="s">
        <v>24</v>
      </c>
      <c r="J1086" s="107" t="s">
        <v>24</v>
      </c>
      <c r="K1086" s="108">
        <f t="shared" si="243"/>
        <v>8</v>
      </c>
      <c r="L1086" s="108">
        <f t="shared" si="244"/>
        <v>68</v>
      </c>
      <c r="M1086" s="107"/>
      <c r="N1086" s="112">
        <f>E1086-6-4</f>
        <v>0</v>
      </c>
      <c r="O1086" s="113">
        <f t="shared" si="249"/>
        <v>0</v>
      </c>
      <c r="P1086" s="112">
        <f t="shared" si="246"/>
        <v>0</v>
      </c>
      <c r="Q1086" s="109"/>
      <c r="R1086" s="107"/>
      <c r="S1086" s="109" t="s">
        <v>2323</v>
      </c>
      <c r="T1086" s="114">
        <v>174</v>
      </c>
      <c r="U1086" s="109" t="s">
        <v>2324</v>
      </c>
      <c r="V1086" s="106"/>
      <c r="W1086" s="106"/>
      <c r="X1086" s="106" t="s">
        <v>55</v>
      </c>
      <c r="Y1086" s="63">
        <f t="shared" si="250"/>
        <v>13.456</v>
      </c>
      <c r="Z1086" s="64">
        <f t="shared" ref="Z1086:Z1149" si="252">E1086-N1086</f>
        <v>10</v>
      </c>
    </row>
    <row r="1087" spans="1:26" ht="15.75" customHeight="1">
      <c r="A1087" s="106">
        <v>20260055</v>
      </c>
      <c r="B1087" s="107" t="s">
        <v>173</v>
      </c>
      <c r="C1087" s="108">
        <v>46079</v>
      </c>
      <c r="D1087" s="108"/>
      <c r="E1087" s="106">
        <v>15</v>
      </c>
      <c r="F1087" s="106">
        <v>201.84</v>
      </c>
      <c r="G1087" s="106">
        <v>600</v>
      </c>
      <c r="H1087" s="107" t="s">
        <v>1809</v>
      </c>
      <c r="I1087" s="107" t="s">
        <v>24</v>
      </c>
      <c r="J1087" s="107" t="s">
        <v>24</v>
      </c>
      <c r="K1087" s="108">
        <f t="shared" si="243"/>
        <v>8</v>
      </c>
      <c r="L1087" s="108">
        <f t="shared" si="244"/>
        <v>68</v>
      </c>
      <c r="M1087" s="107"/>
      <c r="N1087" s="112">
        <f>E1087-3-12</f>
        <v>0</v>
      </c>
      <c r="O1087" s="113">
        <f t="shared" si="249"/>
        <v>0</v>
      </c>
      <c r="P1087" s="112">
        <f t="shared" si="246"/>
        <v>0</v>
      </c>
      <c r="Q1087" s="109"/>
      <c r="R1087" s="107"/>
      <c r="S1087" s="109" t="s">
        <v>2325</v>
      </c>
      <c r="T1087" s="114">
        <v>175</v>
      </c>
      <c r="U1087" s="109" t="s">
        <v>2326</v>
      </c>
      <c r="V1087" s="106"/>
      <c r="W1087" s="106"/>
      <c r="X1087" s="106" t="s">
        <v>55</v>
      </c>
      <c r="Y1087" s="63">
        <f t="shared" si="250"/>
        <v>13.456</v>
      </c>
      <c r="Z1087" s="64">
        <f t="shared" si="252"/>
        <v>15</v>
      </c>
    </row>
    <row r="1088" spans="1:26" ht="15.75" customHeight="1">
      <c r="A1088" s="63">
        <v>20260055</v>
      </c>
      <c r="B1088" s="65" t="s">
        <v>173</v>
      </c>
      <c r="C1088" s="66">
        <v>46079</v>
      </c>
      <c r="E1088" s="63">
        <v>465</v>
      </c>
      <c r="F1088" s="68">
        <v>1043.96</v>
      </c>
      <c r="G1088" s="69">
        <v>302.25</v>
      </c>
      <c r="H1088" s="65" t="s">
        <v>2327</v>
      </c>
      <c r="I1088" s="65" t="s">
        <v>402</v>
      </c>
      <c r="J1088" s="65" t="s">
        <v>123</v>
      </c>
      <c r="K1088" s="48">
        <f t="shared" si="243"/>
        <v>8</v>
      </c>
      <c r="L1088" s="48">
        <f t="shared" si="244"/>
        <v>68</v>
      </c>
      <c r="N1088" s="72">
        <f t="shared" si="248"/>
        <v>465</v>
      </c>
      <c r="O1088" s="50">
        <f t="shared" si="249"/>
        <v>1043.96</v>
      </c>
      <c r="P1088" s="56">
        <f t="shared" si="246"/>
        <v>302.25</v>
      </c>
      <c r="S1088" s="200" t="s">
        <v>2328</v>
      </c>
      <c r="T1088" s="201">
        <v>50</v>
      </c>
      <c r="U1088" s="58" t="s">
        <v>402</v>
      </c>
      <c r="V1088" s="46"/>
      <c r="W1088" s="46"/>
      <c r="X1088" s="62" t="s">
        <v>25</v>
      </c>
      <c r="Y1088" s="63">
        <f t="shared" si="250"/>
        <v>2.2450752688172044</v>
      </c>
      <c r="Z1088" s="64">
        <f t="shared" si="252"/>
        <v>0</v>
      </c>
    </row>
    <row r="1089" spans="1:26" ht="15.75" customHeight="1">
      <c r="A1089" s="63">
        <v>20260055</v>
      </c>
      <c r="B1089" s="65" t="s">
        <v>173</v>
      </c>
      <c r="C1089" s="66">
        <v>46079</v>
      </c>
      <c r="E1089" s="63">
        <v>700</v>
      </c>
      <c r="F1089" s="68">
        <v>751.2</v>
      </c>
      <c r="G1089" s="69">
        <v>455</v>
      </c>
      <c r="H1089" s="65" t="s">
        <v>2329</v>
      </c>
      <c r="I1089" s="65" t="s">
        <v>303</v>
      </c>
      <c r="J1089" s="65" t="s">
        <v>123</v>
      </c>
      <c r="K1089" s="48">
        <f t="shared" si="243"/>
        <v>8</v>
      </c>
      <c r="L1089" s="48">
        <f t="shared" si="244"/>
        <v>68</v>
      </c>
      <c r="N1089" s="72">
        <f t="shared" si="248"/>
        <v>700</v>
      </c>
      <c r="O1089" s="50">
        <f t="shared" si="249"/>
        <v>751.2</v>
      </c>
      <c r="P1089" s="56">
        <f t="shared" si="246"/>
        <v>455</v>
      </c>
      <c r="S1089" s="200" t="s">
        <v>2330</v>
      </c>
      <c r="T1089" s="201">
        <v>87</v>
      </c>
      <c r="U1089" s="58" t="s">
        <v>545</v>
      </c>
      <c r="V1089" s="46"/>
      <c r="W1089" s="46"/>
      <c r="X1089" s="62" t="s">
        <v>25</v>
      </c>
      <c r="Y1089" s="63">
        <f t="shared" si="250"/>
        <v>1.0731428571428572</v>
      </c>
      <c r="Z1089" s="64">
        <f t="shared" si="252"/>
        <v>0</v>
      </c>
    </row>
    <row r="1090" spans="1:26" ht="15.75" customHeight="1">
      <c r="A1090" s="63">
        <v>20260055</v>
      </c>
      <c r="B1090" s="65" t="s">
        <v>173</v>
      </c>
      <c r="C1090" s="66">
        <v>46079</v>
      </c>
      <c r="E1090" s="63">
        <v>449</v>
      </c>
      <c r="F1090" s="68">
        <v>874.04899999999998</v>
      </c>
      <c r="G1090" s="69">
        <v>291.85000000000002</v>
      </c>
      <c r="H1090" s="65" t="s">
        <v>2329</v>
      </c>
      <c r="I1090" s="65" t="s">
        <v>910</v>
      </c>
      <c r="J1090" s="65" t="s">
        <v>123</v>
      </c>
      <c r="K1090" s="48">
        <f t="shared" si="243"/>
        <v>8</v>
      </c>
      <c r="L1090" s="48">
        <f t="shared" si="244"/>
        <v>68</v>
      </c>
      <c r="N1090" s="72">
        <f t="shared" si="248"/>
        <v>449</v>
      </c>
      <c r="O1090" s="50">
        <f t="shared" si="249"/>
        <v>874.04899999999998</v>
      </c>
      <c r="P1090" s="56">
        <f t="shared" si="246"/>
        <v>291.85000000000002</v>
      </c>
      <c r="S1090" s="200" t="s">
        <v>2331</v>
      </c>
      <c r="T1090" s="201">
        <v>93</v>
      </c>
      <c r="U1090" s="58" t="s">
        <v>912</v>
      </c>
      <c r="V1090" s="46"/>
      <c r="W1090" s="46"/>
      <c r="X1090" s="62" t="s">
        <v>25</v>
      </c>
      <c r="Y1090" s="63">
        <f t="shared" si="250"/>
        <v>1.9466570155902003</v>
      </c>
      <c r="Z1090" s="64">
        <f t="shared" si="252"/>
        <v>0</v>
      </c>
    </row>
    <row r="1091" spans="1:26" ht="15.75" customHeight="1">
      <c r="A1091" s="63">
        <v>20260055</v>
      </c>
      <c r="B1091" s="65" t="s">
        <v>173</v>
      </c>
      <c r="C1091" s="66">
        <v>46079</v>
      </c>
      <c r="E1091" s="63">
        <v>1132</v>
      </c>
      <c r="F1091" s="68">
        <v>1192.396</v>
      </c>
      <c r="G1091" s="69">
        <v>735.8</v>
      </c>
      <c r="H1091" s="65" t="s">
        <v>2329</v>
      </c>
      <c r="I1091" s="65" t="s">
        <v>910</v>
      </c>
      <c r="J1091" s="65" t="s">
        <v>123</v>
      </c>
      <c r="K1091" s="48">
        <f t="shared" si="243"/>
        <v>8</v>
      </c>
      <c r="L1091" s="48">
        <f t="shared" si="244"/>
        <v>68</v>
      </c>
      <c r="N1091" s="72">
        <f t="shared" si="248"/>
        <v>1132</v>
      </c>
      <c r="O1091" s="50">
        <f t="shared" si="249"/>
        <v>1192.396</v>
      </c>
      <c r="P1091" s="56">
        <f t="shared" si="246"/>
        <v>735.8</v>
      </c>
      <c r="S1091" s="200" t="s">
        <v>2332</v>
      </c>
      <c r="T1091" s="201">
        <v>96</v>
      </c>
      <c r="U1091" s="58" t="s">
        <v>912</v>
      </c>
      <c r="V1091" s="46"/>
      <c r="W1091" s="46"/>
      <c r="X1091" s="62" t="s">
        <v>25</v>
      </c>
      <c r="Y1091" s="63">
        <f t="shared" si="250"/>
        <v>1.0533533568904594</v>
      </c>
      <c r="Z1091" s="64">
        <f t="shared" si="252"/>
        <v>0</v>
      </c>
    </row>
    <row r="1092" spans="1:26" ht="15.75" customHeight="1">
      <c r="A1092" s="206">
        <v>20260055</v>
      </c>
      <c r="B1092" s="207" t="s">
        <v>173</v>
      </c>
      <c r="C1092" s="208">
        <v>46079</v>
      </c>
      <c r="D1092" s="208"/>
      <c r="E1092" s="206">
        <v>447</v>
      </c>
      <c r="F1092" s="210">
        <v>939.66200000000003</v>
      </c>
      <c r="G1092" s="211">
        <v>290.55</v>
      </c>
      <c r="H1092" s="207" t="s">
        <v>2333</v>
      </c>
      <c r="I1092" s="207" t="s">
        <v>402</v>
      </c>
      <c r="J1092" s="207" t="s">
        <v>123</v>
      </c>
      <c r="K1092" s="213">
        <f t="shared" si="243"/>
        <v>8</v>
      </c>
      <c r="L1092" s="213">
        <f t="shared" si="244"/>
        <v>68</v>
      </c>
      <c r="M1092" s="207"/>
      <c r="N1092" s="215">
        <f>E1092-20-40</f>
        <v>387</v>
      </c>
      <c r="O1092" s="216">
        <f t="shared" si="249"/>
        <v>813.53287248322147</v>
      </c>
      <c r="P1092" s="218">
        <f t="shared" si="246"/>
        <v>251.55</v>
      </c>
      <c r="S1092" s="200" t="s">
        <v>2334</v>
      </c>
      <c r="T1092" s="201">
        <v>88</v>
      </c>
      <c r="U1092" s="58" t="s">
        <v>402</v>
      </c>
      <c r="V1092" s="46"/>
      <c r="W1092" s="46"/>
      <c r="X1092" s="182" t="s">
        <v>76</v>
      </c>
      <c r="Y1092" s="63">
        <f t="shared" si="250"/>
        <v>2.102152125279642</v>
      </c>
      <c r="Z1092" s="64">
        <f t="shared" si="252"/>
        <v>60</v>
      </c>
    </row>
    <row r="1093" spans="1:26" ht="15.75" customHeight="1">
      <c r="A1093" s="206">
        <v>20260055</v>
      </c>
      <c r="B1093" s="207" t="s">
        <v>173</v>
      </c>
      <c r="C1093" s="208">
        <v>46079</v>
      </c>
      <c r="D1093" s="208"/>
      <c r="E1093" s="206">
        <v>750</v>
      </c>
      <c r="F1093" s="210">
        <v>768.44200000000001</v>
      </c>
      <c r="G1093" s="211">
        <v>487.5</v>
      </c>
      <c r="H1093" s="207" t="s">
        <v>2335</v>
      </c>
      <c r="I1093" s="207" t="s">
        <v>2336</v>
      </c>
      <c r="J1093" s="207" t="s">
        <v>123</v>
      </c>
      <c r="K1093" s="213">
        <f t="shared" si="243"/>
        <v>8</v>
      </c>
      <c r="L1093" s="213">
        <f t="shared" si="244"/>
        <v>68</v>
      </c>
      <c r="M1093" s="207"/>
      <c r="N1093" s="215">
        <f>E1093-130-116-220-150</f>
        <v>134</v>
      </c>
      <c r="O1093" s="216">
        <f t="shared" si="249"/>
        <v>137.29497066666667</v>
      </c>
      <c r="P1093" s="218">
        <f t="shared" si="246"/>
        <v>87.100000000000009</v>
      </c>
      <c r="S1093" s="200" t="s">
        <v>2337</v>
      </c>
      <c r="T1093" s="201">
        <v>89</v>
      </c>
      <c r="U1093" s="58" t="s">
        <v>2338</v>
      </c>
      <c r="V1093" s="46"/>
      <c r="W1093" s="46"/>
      <c r="X1093" s="182" t="s">
        <v>76</v>
      </c>
      <c r="Y1093" s="63">
        <f t="shared" si="250"/>
        <v>1.0245893333333334</v>
      </c>
      <c r="Z1093" s="64">
        <f t="shared" si="252"/>
        <v>616</v>
      </c>
    </row>
    <row r="1094" spans="1:26" ht="15.75" customHeight="1">
      <c r="A1094" s="63">
        <v>20260055</v>
      </c>
      <c r="B1094" s="65" t="s">
        <v>173</v>
      </c>
      <c r="C1094" s="66">
        <v>46079</v>
      </c>
      <c r="E1094" s="63">
        <v>446</v>
      </c>
      <c r="F1094" s="68">
        <v>964.92899999999997</v>
      </c>
      <c r="G1094" s="69">
        <v>289.89999999999998</v>
      </c>
      <c r="H1094" s="65" t="s">
        <v>2335</v>
      </c>
      <c r="I1094" s="65" t="s">
        <v>402</v>
      </c>
      <c r="J1094" s="65" t="s">
        <v>123</v>
      </c>
      <c r="K1094" s="48">
        <f t="shared" si="243"/>
        <v>8</v>
      </c>
      <c r="L1094" s="48">
        <f t="shared" si="244"/>
        <v>68</v>
      </c>
      <c r="N1094" s="72">
        <f t="shared" si="248"/>
        <v>446</v>
      </c>
      <c r="O1094" s="50">
        <f t="shared" si="249"/>
        <v>964.92899999999997</v>
      </c>
      <c r="P1094" s="56">
        <f t="shared" si="246"/>
        <v>289.89999999999998</v>
      </c>
      <c r="S1094" s="200" t="s">
        <v>2339</v>
      </c>
      <c r="T1094" s="201">
        <v>90</v>
      </c>
      <c r="U1094" s="58" t="s">
        <v>402</v>
      </c>
      <c r="V1094" s="46"/>
      <c r="W1094" s="46"/>
      <c r="X1094" s="62" t="s">
        <v>25</v>
      </c>
      <c r="Y1094" s="63">
        <f t="shared" si="250"/>
        <v>2.1635179372197308</v>
      </c>
      <c r="Z1094" s="64">
        <f t="shared" si="252"/>
        <v>0</v>
      </c>
    </row>
    <row r="1095" spans="1:26" ht="15.75" customHeight="1">
      <c r="A1095" s="206">
        <v>20260055</v>
      </c>
      <c r="B1095" s="207" t="s">
        <v>173</v>
      </c>
      <c r="C1095" s="208">
        <v>46079</v>
      </c>
      <c r="D1095" s="208"/>
      <c r="E1095" s="206">
        <v>600</v>
      </c>
      <c r="F1095" s="210">
        <v>568.16999999999996</v>
      </c>
      <c r="G1095" s="211">
        <v>390</v>
      </c>
      <c r="H1095" s="207" t="s">
        <v>2340</v>
      </c>
      <c r="I1095" s="207" t="s">
        <v>2336</v>
      </c>
      <c r="J1095" s="207" t="s">
        <v>123</v>
      </c>
      <c r="K1095" s="213">
        <f t="shared" si="243"/>
        <v>8</v>
      </c>
      <c r="L1095" s="213">
        <f t="shared" si="244"/>
        <v>68</v>
      </c>
      <c r="M1095" s="207"/>
      <c r="N1095" s="215">
        <f>E1095-204-85-13</f>
        <v>298</v>
      </c>
      <c r="O1095" s="216">
        <f t="shared" si="249"/>
        <v>282.19110000000001</v>
      </c>
      <c r="P1095" s="218">
        <f t="shared" si="246"/>
        <v>193.70000000000002</v>
      </c>
      <c r="S1095" s="200" t="s">
        <v>2341</v>
      </c>
      <c r="T1095" s="201">
        <v>91</v>
      </c>
      <c r="U1095" s="58" t="s">
        <v>2338</v>
      </c>
      <c r="V1095" s="46"/>
      <c r="W1095" s="46"/>
      <c r="X1095" s="182" t="s">
        <v>76</v>
      </c>
      <c r="Y1095" s="63">
        <f t="shared" si="250"/>
        <v>0.94694999999999996</v>
      </c>
      <c r="Z1095" s="64">
        <f t="shared" si="252"/>
        <v>302</v>
      </c>
    </row>
    <row r="1096" spans="1:26" ht="15.75" customHeight="1">
      <c r="A1096" s="63">
        <v>20260055</v>
      </c>
      <c r="B1096" s="65" t="s">
        <v>173</v>
      </c>
      <c r="C1096" s="66">
        <v>46079</v>
      </c>
      <c r="E1096" s="63">
        <v>350</v>
      </c>
      <c r="F1096" s="68">
        <v>354.37900000000002</v>
      </c>
      <c r="G1096" s="69">
        <v>227.5</v>
      </c>
      <c r="H1096" s="65" t="s">
        <v>2342</v>
      </c>
      <c r="I1096" s="65" t="s">
        <v>402</v>
      </c>
      <c r="J1096" s="65" t="s">
        <v>123</v>
      </c>
      <c r="K1096" s="48">
        <f t="shared" si="243"/>
        <v>8</v>
      </c>
      <c r="L1096" s="48">
        <f t="shared" si="244"/>
        <v>68</v>
      </c>
      <c r="N1096" s="72">
        <f t="shared" si="248"/>
        <v>350</v>
      </c>
      <c r="O1096" s="50">
        <f t="shared" si="249"/>
        <v>354.37900000000008</v>
      </c>
      <c r="P1096" s="56">
        <f t="shared" si="246"/>
        <v>227.5</v>
      </c>
      <c r="S1096" s="200" t="s">
        <v>2343</v>
      </c>
      <c r="T1096" s="201">
        <v>92</v>
      </c>
      <c r="U1096" s="58" t="s">
        <v>2344</v>
      </c>
      <c r="V1096" s="46"/>
      <c r="W1096" s="46"/>
      <c r="X1096" s="62" t="s">
        <v>25</v>
      </c>
      <c r="Y1096" s="63">
        <f t="shared" si="250"/>
        <v>1.0125114285714287</v>
      </c>
      <c r="Z1096" s="64">
        <f t="shared" si="252"/>
        <v>0</v>
      </c>
    </row>
    <row r="1097" spans="1:26" ht="15.75" customHeight="1">
      <c r="A1097" s="63">
        <v>20260055</v>
      </c>
      <c r="B1097" s="65" t="s">
        <v>173</v>
      </c>
      <c r="C1097" s="66">
        <v>46079</v>
      </c>
      <c r="E1097" s="63">
        <v>1432</v>
      </c>
      <c r="F1097" s="68">
        <v>2920.107</v>
      </c>
      <c r="G1097" s="69">
        <v>930.8</v>
      </c>
      <c r="H1097" s="65" t="s">
        <v>1549</v>
      </c>
      <c r="I1097" s="65" t="s">
        <v>910</v>
      </c>
      <c r="J1097" s="65" t="s">
        <v>123</v>
      </c>
      <c r="K1097" s="48">
        <f t="shared" si="243"/>
        <v>8</v>
      </c>
      <c r="L1097" s="48">
        <f t="shared" si="244"/>
        <v>68</v>
      </c>
      <c r="N1097" s="72">
        <f t="shared" si="248"/>
        <v>1432</v>
      </c>
      <c r="O1097" s="50">
        <f t="shared" si="249"/>
        <v>2920.107</v>
      </c>
      <c r="P1097" s="56">
        <f t="shared" si="246"/>
        <v>930.80000000000007</v>
      </c>
      <c r="S1097" s="200" t="s">
        <v>2345</v>
      </c>
      <c r="T1097" s="201">
        <v>94</v>
      </c>
      <c r="U1097" s="58" t="s">
        <v>910</v>
      </c>
      <c r="V1097" s="46"/>
      <c r="W1097" s="46"/>
      <c r="X1097" s="62" t="s">
        <v>25</v>
      </c>
      <c r="Y1097" s="63">
        <f t="shared" si="250"/>
        <v>2.0391808659217876</v>
      </c>
      <c r="Z1097" s="64">
        <f t="shared" si="252"/>
        <v>0</v>
      </c>
    </row>
    <row r="1098" spans="1:26" ht="15.75" customHeight="1">
      <c r="A1098" s="63">
        <v>20260055</v>
      </c>
      <c r="B1098" s="65" t="s">
        <v>173</v>
      </c>
      <c r="C1098" s="66">
        <v>46079</v>
      </c>
      <c r="E1098" s="63">
        <v>410</v>
      </c>
      <c r="F1098" s="68">
        <v>394.91</v>
      </c>
      <c r="G1098" s="69">
        <v>266.5</v>
      </c>
      <c r="H1098" s="65" t="s">
        <v>2346</v>
      </c>
      <c r="I1098" s="65" t="s">
        <v>402</v>
      </c>
      <c r="J1098" s="65" t="s">
        <v>123</v>
      </c>
      <c r="K1098" s="48">
        <f t="shared" si="243"/>
        <v>8</v>
      </c>
      <c r="L1098" s="48">
        <f t="shared" si="244"/>
        <v>68</v>
      </c>
      <c r="N1098" s="72">
        <f t="shared" si="248"/>
        <v>410</v>
      </c>
      <c r="O1098" s="50">
        <f t="shared" si="249"/>
        <v>394.91</v>
      </c>
      <c r="P1098" s="56">
        <f t="shared" si="246"/>
        <v>266.5</v>
      </c>
      <c r="S1098" s="200" t="s">
        <v>2347</v>
      </c>
      <c r="T1098" s="201">
        <v>95</v>
      </c>
      <c r="U1098" s="58" t="s">
        <v>402</v>
      </c>
      <c r="V1098" s="46"/>
      <c r="W1098" s="46"/>
      <c r="X1098" s="62" t="s">
        <v>25</v>
      </c>
      <c r="Y1098" s="63">
        <f t="shared" si="250"/>
        <v>0.96319512195121959</v>
      </c>
      <c r="Z1098" s="64">
        <f t="shared" si="252"/>
        <v>0</v>
      </c>
    </row>
    <row r="1099" spans="1:26" ht="15.75" customHeight="1">
      <c r="A1099" s="63">
        <v>20260055</v>
      </c>
      <c r="B1099" s="65" t="s">
        <v>173</v>
      </c>
      <c r="C1099" s="66">
        <v>46079</v>
      </c>
      <c r="E1099" s="63">
        <v>170</v>
      </c>
      <c r="F1099" s="68">
        <v>140.28</v>
      </c>
      <c r="G1099" s="69">
        <v>110.5</v>
      </c>
      <c r="H1099" s="65" t="s">
        <v>2348</v>
      </c>
      <c r="I1099" s="65" t="s">
        <v>2349</v>
      </c>
      <c r="J1099" s="65" t="s">
        <v>123</v>
      </c>
      <c r="K1099" s="48">
        <f t="shared" ref="K1099:K1162" si="253">D1099+8</f>
        <v>8</v>
      </c>
      <c r="L1099" s="48">
        <f t="shared" ref="L1099:L1162" si="254">K1099+60</f>
        <v>68</v>
      </c>
      <c r="N1099" s="72">
        <f t="shared" si="248"/>
        <v>170</v>
      </c>
      <c r="O1099" s="50">
        <f t="shared" si="249"/>
        <v>140.28</v>
      </c>
      <c r="P1099" s="56">
        <f t="shared" si="246"/>
        <v>110.5</v>
      </c>
      <c r="S1099" s="200" t="s">
        <v>2350</v>
      </c>
      <c r="T1099" s="201">
        <v>97</v>
      </c>
      <c r="U1099" s="58" t="s">
        <v>2351</v>
      </c>
      <c r="V1099" s="46"/>
      <c r="W1099" s="46"/>
      <c r="X1099" s="62" t="s">
        <v>25</v>
      </c>
      <c r="Y1099" s="63">
        <f t="shared" si="250"/>
        <v>0.82517647058823529</v>
      </c>
      <c r="Z1099" s="64">
        <f t="shared" si="252"/>
        <v>0</v>
      </c>
    </row>
    <row r="1100" spans="1:26" ht="15.75" customHeight="1">
      <c r="A1100" s="63">
        <v>20260055</v>
      </c>
      <c r="B1100" s="65" t="s">
        <v>173</v>
      </c>
      <c r="C1100" s="66">
        <v>46079</v>
      </c>
      <c r="E1100" s="63">
        <v>719</v>
      </c>
      <c r="F1100" s="68">
        <v>664.68399999999997</v>
      </c>
      <c r="G1100" s="69">
        <v>467.35</v>
      </c>
      <c r="H1100" s="65" t="s">
        <v>2352</v>
      </c>
      <c r="I1100" s="65" t="s">
        <v>910</v>
      </c>
      <c r="J1100" s="65" t="s">
        <v>123</v>
      </c>
      <c r="K1100" s="48">
        <f t="shared" si="253"/>
        <v>8</v>
      </c>
      <c r="L1100" s="48">
        <f t="shared" si="254"/>
        <v>68</v>
      </c>
      <c r="N1100" s="72">
        <f t="shared" si="248"/>
        <v>719</v>
      </c>
      <c r="O1100" s="50">
        <f t="shared" si="249"/>
        <v>664.68399999999997</v>
      </c>
      <c r="P1100" s="56">
        <f t="shared" si="246"/>
        <v>467.35</v>
      </c>
      <c r="S1100" s="200" t="s">
        <v>2353</v>
      </c>
      <c r="T1100" s="201">
        <v>98</v>
      </c>
      <c r="U1100" s="58" t="s">
        <v>912</v>
      </c>
      <c r="V1100" s="46"/>
      <c r="W1100" s="46"/>
      <c r="X1100" s="62" t="s">
        <v>25</v>
      </c>
      <c r="Y1100" s="63">
        <f t="shared" si="250"/>
        <v>0.92445618915159944</v>
      </c>
      <c r="Z1100" s="64">
        <f t="shared" si="252"/>
        <v>0</v>
      </c>
    </row>
    <row r="1101" spans="1:26" ht="15.75" customHeight="1">
      <c r="A1101" s="63">
        <v>20260055</v>
      </c>
      <c r="B1101" s="65" t="s">
        <v>173</v>
      </c>
      <c r="C1101" s="66">
        <v>46079</v>
      </c>
      <c r="E1101" s="63">
        <v>1250</v>
      </c>
      <c r="F1101" s="68">
        <v>2299.2260000000001</v>
      </c>
      <c r="G1101" s="69">
        <v>812.5</v>
      </c>
      <c r="H1101" s="65" t="s">
        <v>2354</v>
      </c>
      <c r="I1101" s="65" t="s">
        <v>402</v>
      </c>
      <c r="J1101" s="65" t="s">
        <v>123</v>
      </c>
      <c r="K1101" s="48">
        <f t="shared" si="253"/>
        <v>8</v>
      </c>
      <c r="L1101" s="48">
        <f t="shared" si="254"/>
        <v>68</v>
      </c>
      <c r="N1101" s="72">
        <f t="shared" si="248"/>
        <v>1250</v>
      </c>
      <c r="O1101" s="50">
        <f t="shared" si="249"/>
        <v>2299.2260000000001</v>
      </c>
      <c r="P1101" s="56">
        <f t="shared" si="246"/>
        <v>812.5</v>
      </c>
      <c r="S1101" s="200" t="s">
        <v>2355</v>
      </c>
      <c r="T1101" s="201">
        <v>99</v>
      </c>
      <c r="U1101" s="58" t="s">
        <v>402</v>
      </c>
      <c r="V1101" s="46"/>
      <c r="W1101" s="46"/>
      <c r="X1101" s="62" t="s">
        <v>25</v>
      </c>
      <c r="Y1101" s="63">
        <f t="shared" si="250"/>
        <v>1.8393808</v>
      </c>
      <c r="Z1101" s="64">
        <f t="shared" si="252"/>
        <v>0</v>
      </c>
    </row>
    <row r="1102" spans="1:26" ht="15.75" customHeight="1">
      <c r="A1102" s="206">
        <v>20260055</v>
      </c>
      <c r="B1102" s="207" t="s">
        <v>173</v>
      </c>
      <c r="C1102" s="208">
        <v>46079</v>
      </c>
      <c r="D1102" s="208"/>
      <c r="E1102" s="206">
        <v>600</v>
      </c>
      <c r="F1102" s="210">
        <v>1360.864</v>
      </c>
      <c r="G1102" s="211">
        <v>390</v>
      </c>
      <c r="H1102" s="207" t="s">
        <v>2356</v>
      </c>
      <c r="I1102" s="207" t="s">
        <v>402</v>
      </c>
      <c r="J1102" s="207" t="s">
        <v>123</v>
      </c>
      <c r="K1102" s="213">
        <f t="shared" si="253"/>
        <v>8</v>
      </c>
      <c r="L1102" s="213">
        <f t="shared" si="254"/>
        <v>68</v>
      </c>
      <c r="M1102" s="207"/>
      <c r="N1102" s="215">
        <f>E1102-117</f>
        <v>483</v>
      </c>
      <c r="O1102" s="216">
        <f t="shared" si="249"/>
        <v>1095.4955199999999</v>
      </c>
      <c r="P1102" s="218">
        <f t="shared" si="246"/>
        <v>313.95</v>
      </c>
      <c r="S1102" s="200" t="s">
        <v>2357</v>
      </c>
      <c r="T1102" s="201">
        <v>100</v>
      </c>
      <c r="U1102" s="58" t="s">
        <v>402</v>
      </c>
      <c r="V1102" s="46"/>
      <c r="W1102" s="46"/>
      <c r="X1102" s="99" t="s">
        <v>76</v>
      </c>
      <c r="Y1102" s="63">
        <f t="shared" si="250"/>
        <v>2.2681066666666667</v>
      </c>
      <c r="Z1102" s="64">
        <f t="shared" si="252"/>
        <v>117</v>
      </c>
    </row>
    <row r="1103" spans="1:26" ht="15.75" customHeight="1">
      <c r="A1103" s="63">
        <v>20260055</v>
      </c>
      <c r="B1103" s="65" t="s">
        <v>173</v>
      </c>
      <c r="C1103" s="66">
        <v>46079</v>
      </c>
      <c r="E1103" s="63">
        <v>1376</v>
      </c>
      <c r="F1103" s="68">
        <v>2500.337</v>
      </c>
      <c r="G1103" s="69">
        <v>894.4</v>
      </c>
      <c r="H1103" s="65" t="s">
        <v>2352</v>
      </c>
      <c r="I1103" s="65" t="s">
        <v>402</v>
      </c>
      <c r="J1103" s="65" t="s">
        <v>123</v>
      </c>
      <c r="K1103" s="48">
        <f t="shared" si="253"/>
        <v>8</v>
      </c>
      <c r="L1103" s="48">
        <f t="shared" si="254"/>
        <v>68</v>
      </c>
      <c r="N1103" s="215">
        <f>E1103</f>
        <v>1376</v>
      </c>
      <c r="S1103" s="200" t="s">
        <v>2358</v>
      </c>
      <c r="T1103" s="201">
        <v>101</v>
      </c>
      <c r="U1103" s="58" t="s">
        <v>402</v>
      </c>
      <c r="V1103" s="46"/>
      <c r="W1103" s="46"/>
      <c r="X1103" s="62" t="s">
        <v>25</v>
      </c>
      <c r="Y1103" s="63">
        <f t="shared" si="250"/>
        <v>1.8171053779069768</v>
      </c>
      <c r="Z1103" s="64">
        <f t="shared" si="252"/>
        <v>0</v>
      </c>
    </row>
    <row r="1104" spans="1:26" ht="15.75" customHeight="1">
      <c r="A1104" s="206">
        <v>20260055</v>
      </c>
      <c r="B1104" s="207" t="s">
        <v>173</v>
      </c>
      <c r="C1104" s="208">
        <v>46079</v>
      </c>
      <c r="D1104" s="208"/>
      <c r="E1104" s="206">
        <v>300</v>
      </c>
      <c r="F1104" s="210">
        <v>667.42700000000002</v>
      </c>
      <c r="G1104" s="211">
        <v>195</v>
      </c>
      <c r="H1104" s="207" t="s">
        <v>2359</v>
      </c>
      <c r="I1104" s="207" t="s">
        <v>402</v>
      </c>
      <c r="J1104" s="207" t="s">
        <v>123</v>
      </c>
      <c r="K1104" s="213">
        <f t="shared" si="253"/>
        <v>8</v>
      </c>
      <c r="L1104" s="213">
        <f t="shared" si="254"/>
        <v>68</v>
      </c>
      <c r="M1104" s="207"/>
      <c r="N1104" s="289">
        <f>E1104-100</f>
        <v>200</v>
      </c>
      <c r="O1104" s="207"/>
      <c r="P1104" s="290"/>
      <c r="S1104" s="200" t="s">
        <v>2360</v>
      </c>
      <c r="T1104" s="201">
        <v>102</v>
      </c>
      <c r="U1104" s="58" t="s">
        <v>402</v>
      </c>
      <c r="V1104" s="46"/>
      <c r="W1104" s="46"/>
      <c r="X1104" s="99" t="s">
        <v>76</v>
      </c>
      <c r="Y1104" s="63">
        <f t="shared" si="250"/>
        <v>2.2247566666666669</v>
      </c>
      <c r="Z1104" s="64">
        <f t="shared" si="252"/>
        <v>100</v>
      </c>
    </row>
    <row r="1105" spans="1:26" ht="15.75" customHeight="1">
      <c r="A1105" s="63">
        <v>20260055</v>
      </c>
      <c r="B1105" s="65" t="s">
        <v>173</v>
      </c>
      <c r="C1105" s="66">
        <v>46079</v>
      </c>
      <c r="E1105" s="63">
        <v>450</v>
      </c>
      <c r="F1105" s="68">
        <v>472.66199999999998</v>
      </c>
      <c r="G1105" s="69">
        <v>292.5</v>
      </c>
      <c r="H1105" s="65" t="s">
        <v>2359</v>
      </c>
      <c r="I1105" s="65" t="s">
        <v>303</v>
      </c>
      <c r="J1105" s="65" t="s">
        <v>123</v>
      </c>
      <c r="K1105" s="48">
        <f t="shared" si="253"/>
        <v>8</v>
      </c>
      <c r="L1105" s="48">
        <f t="shared" si="254"/>
        <v>68</v>
      </c>
      <c r="N1105" s="215">
        <f t="shared" ref="N1105:N1116" si="255">E1105</f>
        <v>450</v>
      </c>
      <c r="S1105" s="200" t="s">
        <v>2361</v>
      </c>
      <c r="T1105" s="201">
        <v>103</v>
      </c>
      <c r="U1105" s="58" t="s">
        <v>545</v>
      </c>
      <c r="V1105" s="46"/>
      <c r="W1105" s="46"/>
      <c r="X1105" s="62" t="s">
        <v>25</v>
      </c>
      <c r="Y1105" s="63">
        <f t="shared" si="250"/>
        <v>1.05036</v>
      </c>
      <c r="Z1105" s="64">
        <f t="shared" si="252"/>
        <v>0</v>
      </c>
    </row>
    <row r="1106" spans="1:26" ht="15.75" customHeight="1">
      <c r="A1106" s="63">
        <v>20260055</v>
      </c>
      <c r="B1106" s="65" t="s">
        <v>173</v>
      </c>
      <c r="C1106" s="66">
        <v>46079</v>
      </c>
      <c r="E1106" s="63">
        <v>170</v>
      </c>
      <c r="F1106" s="68">
        <v>227.47800000000001</v>
      </c>
      <c r="G1106" s="69">
        <v>110.5</v>
      </c>
      <c r="H1106" s="65" t="s">
        <v>2359</v>
      </c>
      <c r="I1106" s="65" t="s">
        <v>402</v>
      </c>
      <c r="J1106" s="65" t="s">
        <v>123</v>
      </c>
      <c r="K1106" s="48">
        <f t="shared" si="253"/>
        <v>8</v>
      </c>
      <c r="L1106" s="48">
        <f t="shared" si="254"/>
        <v>68</v>
      </c>
      <c r="N1106" s="215">
        <f t="shared" si="255"/>
        <v>170</v>
      </c>
      <c r="S1106" s="200" t="s">
        <v>2362</v>
      </c>
      <c r="T1106" s="201">
        <v>104</v>
      </c>
      <c r="U1106" s="58" t="s">
        <v>2363</v>
      </c>
      <c r="V1106" s="46"/>
      <c r="W1106" s="46"/>
      <c r="X1106" s="62" t="s">
        <v>25</v>
      </c>
      <c r="Y1106" s="63">
        <f t="shared" si="250"/>
        <v>1.3381058823529413</v>
      </c>
      <c r="Z1106" s="64">
        <f t="shared" si="252"/>
        <v>0</v>
      </c>
    </row>
    <row r="1107" spans="1:26" ht="15.75" customHeight="1">
      <c r="A1107" s="63">
        <v>20260055</v>
      </c>
      <c r="B1107" s="65" t="s">
        <v>173</v>
      </c>
      <c r="C1107" s="66">
        <v>46079</v>
      </c>
      <c r="E1107" s="63">
        <v>610</v>
      </c>
      <c r="F1107" s="68">
        <v>637</v>
      </c>
      <c r="G1107" s="69">
        <v>396.5</v>
      </c>
      <c r="H1107" s="65" t="s">
        <v>2364</v>
      </c>
      <c r="I1107" s="65" t="s">
        <v>303</v>
      </c>
      <c r="J1107" s="65" t="s">
        <v>123</v>
      </c>
      <c r="K1107" s="48">
        <f t="shared" si="253"/>
        <v>8</v>
      </c>
      <c r="L1107" s="48">
        <f t="shared" si="254"/>
        <v>68</v>
      </c>
      <c r="N1107" s="215">
        <f t="shared" si="255"/>
        <v>610</v>
      </c>
      <c r="S1107" s="200" t="s">
        <v>2365</v>
      </c>
      <c r="T1107" s="201">
        <v>153</v>
      </c>
      <c r="U1107" s="58" t="s">
        <v>545</v>
      </c>
      <c r="V1107" s="46"/>
      <c r="W1107" s="46"/>
      <c r="X1107" s="62" t="s">
        <v>25</v>
      </c>
      <c r="Y1107" s="63">
        <f t="shared" si="250"/>
        <v>1.0442622950819671</v>
      </c>
      <c r="Z1107" s="64">
        <f t="shared" si="252"/>
        <v>0</v>
      </c>
    </row>
    <row r="1108" spans="1:26" ht="15.75" customHeight="1">
      <c r="A1108" s="63">
        <v>20260055</v>
      </c>
      <c r="B1108" s="65" t="s">
        <v>173</v>
      </c>
      <c r="C1108" s="66">
        <v>46079</v>
      </c>
      <c r="E1108" s="63">
        <v>120</v>
      </c>
      <c r="F1108" s="68">
        <v>222.3</v>
      </c>
      <c r="G1108" s="69">
        <v>78</v>
      </c>
      <c r="H1108" s="65" t="s">
        <v>2366</v>
      </c>
      <c r="I1108" s="65" t="s">
        <v>402</v>
      </c>
      <c r="J1108" s="65" t="s">
        <v>123</v>
      </c>
      <c r="K1108" s="48">
        <f t="shared" si="253"/>
        <v>8</v>
      </c>
      <c r="L1108" s="48">
        <f t="shared" si="254"/>
        <v>68</v>
      </c>
      <c r="N1108" s="215">
        <f t="shared" si="255"/>
        <v>120</v>
      </c>
      <c r="S1108" s="200" t="s">
        <v>2367</v>
      </c>
      <c r="T1108" s="201">
        <v>163</v>
      </c>
      <c r="U1108" s="58" t="s">
        <v>2368</v>
      </c>
      <c r="V1108" s="46"/>
      <c r="W1108" s="46"/>
      <c r="X1108" s="62" t="s">
        <v>25</v>
      </c>
      <c r="Y1108" s="63">
        <f t="shared" si="250"/>
        <v>1.8525</v>
      </c>
      <c r="Z1108" s="64">
        <f t="shared" si="252"/>
        <v>0</v>
      </c>
    </row>
    <row r="1109" spans="1:26" ht="15.75" customHeight="1">
      <c r="A1109" s="63">
        <v>20260055</v>
      </c>
      <c r="B1109" s="65" t="s">
        <v>173</v>
      </c>
      <c r="C1109" s="66">
        <v>46079</v>
      </c>
      <c r="E1109" s="63">
        <v>148</v>
      </c>
      <c r="F1109" s="68">
        <v>1901.4949999999999</v>
      </c>
      <c r="G1109" s="69">
        <v>118.4</v>
      </c>
      <c r="H1109" s="65" t="s">
        <v>664</v>
      </c>
      <c r="I1109" s="65" t="s">
        <v>72</v>
      </c>
      <c r="J1109" s="65" t="s">
        <v>72</v>
      </c>
      <c r="K1109" s="48">
        <f t="shared" si="253"/>
        <v>8</v>
      </c>
      <c r="L1109" s="48">
        <f t="shared" si="254"/>
        <v>68</v>
      </c>
      <c r="N1109" s="72">
        <f t="shared" si="255"/>
        <v>148</v>
      </c>
      <c r="O1109" s="50">
        <f t="shared" ref="O1109:O1117" si="256">F1109/E1109*N1109</f>
        <v>1901.4949999999999</v>
      </c>
      <c r="P1109" s="56">
        <f t="shared" ref="P1109:P1117" si="257">G1109/E1109*N1109</f>
        <v>118.4</v>
      </c>
      <c r="S1109" s="200" t="s">
        <v>2369</v>
      </c>
      <c r="T1109" s="201">
        <v>165</v>
      </c>
      <c r="U1109" s="58" t="s">
        <v>1564</v>
      </c>
      <c r="V1109" s="46"/>
      <c r="W1109" s="46"/>
      <c r="X1109" s="62" t="s">
        <v>25</v>
      </c>
      <c r="Y1109" s="63">
        <f t="shared" si="250"/>
        <v>12.847939189189189</v>
      </c>
      <c r="Z1109" s="64">
        <f t="shared" si="252"/>
        <v>0</v>
      </c>
    </row>
    <row r="1110" spans="1:26" ht="15.75" customHeight="1">
      <c r="A1110" s="63">
        <v>20260055</v>
      </c>
      <c r="B1110" s="65" t="s">
        <v>173</v>
      </c>
      <c r="C1110" s="66">
        <v>46079</v>
      </c>
      <c r="E1110" s="63">
        <v>281</v>
      </c>
      <c r="F1110" s="68">
        <v>3001.1889999999999</v>
      </c>
      <c r="G1110" s="69">
        <v>224.8</v>
      </c>
      <c r="H1110" s="65" t="s">
        <v>1565</v>
      </c>
      <c r="I1110" s="65" t="s">
        <v>72</v>
      </c>
      <c r="J1110" s="65" t="s">
        <v>72</v>
      </c>
      <c r="K1110" s="48">
        <f t="shared" si="253"/>
        <v>8</v>
      </c>
      <c r="L1110" s="48">
        <f t="shared" si="254"/>
        <v>68</v>
      </c>
      <c r="N1110" s="72">
        <f t="shared" si="255"/>
        <v>281</v>
      </c>
      <c r="O1110" s="50">
        <f t="shared" si="256"/>
        <v>3001.1889999999999</v>
      </c>
      <c r="P1110" s="56">
        <f t="shared" si="257"/>
        <v>224.8</v>
      </c>
      <c r="S1110" s="200" t="s">
        <v>2370</v>
      </c>
      <c r="T1110" s="201">
        <v>166</v>
      </c>
      <c r="U1110" s="58" t="s">
        <v>538</v>
      </c>
      <c r="V1110" s="46"/>
      <c r="W1110" s="46"/>
      <c r="X1110" s="62" t="s">
        <v>25</v>
      </c>
      <c r="Y1110" s="63">
        <f t="shared" si="250"/>
        <v>10.680387900355871</v>
      </c>
      <c r="Z1110" s="64">
        <f t="shared" si="252"/>
        <v>0</v>
      </c>
    </row>
    <row r="1111" spans="1:26" ht="15.75" customHeight="1">
      <c r="A1111" s="63">
        <v>20260055</v>
      </c>
      <c r="B1111" s="65" t="s">
        <v>173</v>
      </c>
      <c r="C1111" s="66">
        <v>46079</v>
      </c>
      <c r="E1111" s="63">
        <v>242</v>
      </c>
      <c r="F1111" s="68">
        <v>2990.7449999999999</v>
      </c>
      <c r="G1111" s="69">
        <v>193.6</v>
      </c>
      <c r="H1111" s="65" t="s">
        <v>2371</v>
      </c>
      <c r="I1111" s="65" t="s">
        <v>72</v>
      </c>
      <c r="J1111" s="65" t="s">
        <v>72</v>
      </c>
      <c r="K1111" s="48">
        <f t="shared" si="253"/>
        <v>8</v>
      </c>
      <c r="L1111" s="48">
        <f t="shared" si="254"/>
        <v>68</v>
      </c>
      <c r="N1111" s="72">
        <f t="shared" si="255"/>
        <v>242</v>
      </c>
      <c r="O1111" s="50">
        <f t="shared" si="256"/>
        <v>2990.7449999999999</v>
      </c>
      <c r="P1111" s="56">
        <f t="shared" si="257"/>
        <v>193.6</v>
      </c>
      <c r="S1111" s="200" t="s">
        <v>2372</v>
      </c>
      <c r="T1111" s="201">
        <v>167</v>
      </c>
      <c r="U1111" s="58" t="s">
        <v>538</v>
      </c>
      <c r="V1111" s="46"/>
      <c r="W1111" s="46"/>
      <c r="X1111" s="62" t="s">
        <v>25</v>
      </c>
      <c r="Y1111" s="63">
        <f t="shared" si="250"/>
        <v>12.358450413223141</v>
      </c>
      <c r="Z1111" s="64">
        <f t="shared" si="252"/>
        <v>0</v>
      </c>
    </row>
    <row r="1112" spans="1:26" ht="15.75" customHeight="1">
      <c r="A1112" s="63">
        <v>20260055</v>
      </c>
      <c r="B1112" s="65" t="s">
        <v>173</v>
      </c>
      <c r="C1112" s="66">
        <v>46079</v>
      </c>
      <c r="E1112" s="63">
        <v>33</v>
      </c>
      <c r="F1112" s="68">
        <v>520.69500000000005</v>
      </c>
      <c r="G1112" s="69">
        <v>26.4</v>
      </c>
      <c r="H1112" s="65" t="s">
        <v>2373</v>
      </c>
      <c r="I1112" s="65" t="s">
        <v>72</v>
      </c>
      <c r="J1112" s="65" t="s">
        <v>72</v>
      </c>
      <c r="K1112" s="48">
        <f t="shared" si="253"/>
        <v>8</v>
      </c>
      <c r="L1112" s="48">
        <f t="shared" si="254"/>
        <v>68</v>
      </c>
      <c r="N1112" s="72">
        <f t="shared" si="255"/>
        <v>33</v>
      </c>
      <c r="O1112" s="50">
        <f t="shared" si="256"/>
        <v>520.69500000000005</v>
      </c>
      <c r="P1112" s="56">
        <f t="shared" si="257"/>
        <v>26.4</v>
      </c>
      <c r="S1112" s="200" t="s">
        <v>2374</v>
      </c>
      <c r="T1112" s="201">
        <v>168</v>
      </c>
      <c r="U1112" s="58" t="s">
        <v>538</v>
      </c>
      <c r="V1112" s="46"/>
      <c r="W1112" s="46"/>
      <c r="X1112" s="62" t="s">
        <v>25</v>
      </c>
      <c r="Y1112" s="63">
        <f t="shared" si="250"/>
        <v>15.778636363636366</v>
      </c>
      <c r="Z1112" s="64">
        <f t="shared" si="252"/>
        <v>0</v>
      </c>
    </row>
    <row r="1113" spans="1:26" ht="15.75" customHeight="1">
      <c r="A1113" s="63">
        <v>20260055</v>
      </c>
      <c r="B1113" s="65" t="s">
        <v>173</v>
      </c>
      <c r="C1113" s="66">
        <v>46079</v>
      </c>
      <c r="E1113" s="63">
        <v>61</v>
      </c>
      <c r="F1113" s="68">
        <v>962.53499999999997</v>
      </c>
      <c r="G1113" s="69">
        <v>48.8</v>
      </c>
      <c r="H1113" s="65" t="s">
        <v>434</v>
      </c>
      <c r="I1113" s="65" t="s">
        <v>72</v>
      </c>
      <c r="J1113" s="65" t="s">
        <v>72</v>
      </c>
      <c r="K1113" s="48">
        <f t="shared" si="253"/>
        <v>8</v>
      </c>
      <c r="L1113" s="48">
        <f t="shared" si="254"/>
        <v>68</v>
      </c>
      <c r="N1113" s="72">
        <f t="shared" si="255"/>
        <v>61</v>
      </c>
      <c r="O1113" s="50">
        <f t="shared" si="256"/>
        <v>962.53499999999997</v>
      </c>
      <c r="P1113" s="56">
        <f t="shared" si="257"/>
        <v>48.8</v>
      </c>
      <c r="S1113" s="200" t="s">
        <v>2375</v>
      </c>
      <c r="T1113" s="201">
        <v>169</v>
      </c>
      <c r="U1113" s="58" t="s">
        <v>538</v>
      </c>
      <c r="V1113" s="46"/>
      <c r="W1113" s="46"/>
      <c r="X1113" s="62" t="s">
        <v>25</v>
      </c>
      <c r="Y1113" s="63">
        <f t="shared" si="250"/>
        <v>15.779262295081967</v>
      </c>
      <c r="Z1113" s="64">
        <f t="shared" si="252"/>
        <v>0</v>
      </c>
    </row>
    <row r="1114" spans="1:26" ht="15.75" customHeight="1">
      <c r="A1114" s="63">
        <v>20260055</v>
      </c>
      <c r="B1114" s="65" t="s">
        <v>173</v>
      </c>
      <c r="C1114" s="66">
        <v>46079</v>
      </c>
      <c r="E1114" s="63">
        <v>931</v>
      </c>
      <c r="F1114" s="68">
        <v>8543.69</v>
      </c>
      <c r="G1114" s="69">
        <v>744.8</v>
      </c>
      <c r="H1114" s="65" t="s">
        <v>928</v>
      </c>
      <c r="I1114" s="65" t="s">
        <v>72</v>
      </c>
      <c r="J1114" s="65" t="s">
        <v>72</v>
      </c>
      <c r="K1114" s="48">
        <f t="shared" si="253"/>
        <v>8</v>
      </c>
      <c r="L1114" s="48">
        <f t="shared" si="254"/>
        <v>68</v>
      </c>
      <c r="N1114" s="72">
        <f t="shared" si="255"/>
        <v>931</v>
      </c>
      <c r="O1114" s="50">
        <f t="shared" si="256"/>
        <v>8543.69</v>
      </c>
      <c r="P1114" s="56">
        <f t="shared" si="257"/>
        <v>744.8</v>
      </c>
      <c r="S1114" s="200" t="s">
        <v>2376</v>
      </c>
      <c r="T1114" s="201">
        <v>170</v>
      </c>
      <c r="U1114" s="58" t="s">
        <v>666</v>
      </c>
      <c r="V1114" s="46"/>
      <c r="W1114" s="46"/>
      <c r="X1114" s="62" t="s">
        <v>25</v>
      </c>
      <c r="Y1114" s="63">
        <f t="shared" si="250"/>
        <v>9.176895810955962</v>
      </c>
      <c r="Z1114" s="64">
        <f t="shared" si="252"/>
        <v>0</v>
      </c>
    </row>
    <row r="1115" spans="1:26" ht="15.75" customHeight="1">
      <c r="A1115" s="63">
        <v>20260055</v>
      </c>
      <c r="B1115" s="65" t="s">
        <v>173</v>
      </c>
      <c r="C1115" s="66">
        <v>46079</v>
      </c>
      <c r="E1115" s="63">
        <v>64</v>
      </c>
      <c r="F1115" s="68">
        <v>651.13</v>
      </c>
      <c r="G1115" s="69">
        <v>51.2</v>
      </c>
      <c r="H1115" s="65" t="s">
        <v>2377</v>
      </c>
      <c r="I1115" s="65" t="s">
        <v>72</v>
      </c>
      <c r="J1115" s="65" t="s">
        <v>72</v>
      </c>
      <c r="K1115" s="48">
        <f t="shared" si="253"/>
        <v>8</v>
      </c>
      <c r="L1115" s="48">
        <f t="shared" si="254"/>
        <v>68</v>
      </c>
      <c r="N1115" s="72">
        <f t="shared" si="255"/>
        <v>64</v>
      </c>
      <c r="O1115" s="50">
        <f t="shared" si="256"/>
        <v>651.13</v>
      </c>
      <c r="P1115" s="56">
        <f t="shared" si="257"/>
        <v>51.2</v>
      </c>
      <c r="S1115" s="200" t="s">
        <v>2378</v>
      </c>
      <c r="T1115" s="201">
        <v>171</v>
      </c>
      <c r="U1115" s="58" t="s">
        <v>1908</v>
      </c>
      <c r="V1115" s="46"/>
      <c r="W1115" s="46"/>
      <c r="X1115" s="62" t="s">
        <v>25</v>
      </c>
      <c r="Y1115" s="63">
        <f t="shared" si="250"/>
        <v>10.17390625</v>
      </c>
      <c r="Z1115" s="64">
        <f t="shared" si="252"/>
        <v>0</v>
      </c>
    </row>
    <row r="1116" spans="1:26" ht="15.75" customHeight="1">
      <c r="A1116" s="63">
        <v>20260055</v>
      </c>
      <c r="B1116" s="65" t="s">
        <v>173</v>
      </c>
      <c r="C1116" s="66">
        <v>46079</v>
      </c>
      <c r="E1116" s="63">
        <v>284</v>
      </c>
      <c r="F1116" s="68">
        <v>254.41399999999999</v>
      </c>
      <c r="H1116" s="65" t="s">
        <v>920</v>
      </c>
      <c r="I1116" s="65" t="s">
        <v>52</v>
      </c>
      <c r="J1116" s="65" t="s">
        <v>52</v>
      </c>
      <c r="K1116" s="48">
        <f t="shared" si="253"/>
        <v>8</v>
      </c>
      <c r="L1116" s="48">
        <f t="shared" si="254"/>
        <v>68</v>
      </c>
      <c r="N1116" s="72">
        <f t="shared" si="255"/>
        <v>284</v>
      </c>
      <c r="O1116" s="50">
        <f t="shared" si="256"/>
        <v>254.41399999999999</v>
      </c>
      <c r="P1116" s="56">
        <f t="shared" si="257"/>
        <v>0</v>
      </c>
      <c r="Q1116" s="224" t="s">
        <v>1888</v>
      </c>
      <c r="S1116" s="200" t="s">
        <v>2379</v>
      </c>
      <c r="T1116" s="201">
        <v>172</v>
      </c>
      <c r="U1116" s="58" t="s">
        <v>2380</v>
      </c>
      <c r="V1116" s="46"/>
      <c r="W1116" s="46"/>
      <c r="X1116" s="62" t="s">
        <v>25</v>
      </c>
      <c r="Y1116" s="63">
        <f t="shared" si="250"/>
        <v>0.89582394366197182</v>
      </c>
      <c r="Z1116" s="64">
        <f t="shared" si="252"/>
        <v>0</v>
      </c>
    </row>
    <row r="1117" spans="1:26" ht="15.75" customHeight="1">
      <c r="A1117" s="291">
        <v>20260055</v>
      </c>
      <c r="B1117" s="292" t="s">
        <v>173</v>
      </c>
      <c r="C1117" s="293">
        <v>46079</v>
      </c>
      <c r="D1117" s="293"/>
      <c r="E1117" s="291">
        <v>7933</v>
      </c>
      <c r="F1117" s="294">
        <v>4235.4759999999997</v>
      </c>
      <c r="G1117" s="295"/>
      <c r="H1117" s="292" t="s">
        <v>1581</v>
      </c>
      <c r="I1117" s="292" t="s">
        <v>52</v>
      </c>
      <c r="J1117" s="292" t="s">
        <v>52</v>
      </c>
      <c r="K1117" s="296">
        <f t="shared" si="253"/>
        <v>8</v>
      </c>
      <c r="L1117" s="296">
        <f t="shared" si="254"/>
        <v>68</v>
      </c>
      <c r="M1117" s="292"/>
      <c r="N1117" s="297">
        <f>E1117-785-833-608-1092-215</f>
        <v>4400</v>
      </c>
      <c r="O1117" s="298">
        <f t="shared" si="256"/>
        <v>2349.1862347157444</v>
      </c>
      <c r="P1117" s="56">
        <f t="shared" si="257"/>
        <v>0</v>
      </c>
      <c r="Q1117" s="224" t="s">
        <v>1888</v>
      </c>
      <c r="S1117" s="200" t="s">
        <v>2381</v>
      </c>
      <c r="T1117" s="201">
        <v>173</v>
      </c>
      <c r="U1117" s="58" t="s">
        <v>1211</v>
      </c>
      <c r="V1117" s="46"/>
      <c r="W1117" s="46"/>
      <c r="X1117" s="182" t="s">
        <v>76</v>
      </c>
      <c r="Y1117" s="63">
        <f t="shared" si="250"/>
        <v>0.53390596243539645</v>
      </c>
      <c r="Z1117" s="64">
        <f t="shared" si="252"/>
        <v>3533</v>
      </c>
    </row>
    <row r="1118" spans="1:26" ht="15.75" customHeight="1">
      <c r="A1118" s="87">
        <v>20260075</v>
      </c>
      <c r="B1118" s="88" t="s">
        <v>2382</v>
      </c>
      <c r="C1118" s="89">
        <v>46091</v>
      </c>
      <c r="E1118" s="63">
        <v>20</v>
      </c>
      <c r="F1118" s="68">
        <v>489.95</v>
      </c>
      <c r="G1118" s="69">
        <v>16</v>
      </c>
      <c r="H1118" s="65" t="s">
        <v>928</v>
      </c>
      <c r="I1118" s="65" t="s">
        <v>72</v>
      </c>
      <c r="J1118" s="65" t="s">
        <v>72</v>
      </c>
      <c r="K1118" s="48">
        <f t="shared" si="253"/>
        <v>8</v>
      </c>
      <c r="L1118" s="48">
        <f t="shared" si="254"/>
        <v>68</v>
      </c>
      <c r="N1118" s="215">
        <f t="shared" ref="N1118:N1132" si="258">E1118</f>
        <v>20</v>
      </c>
      <c r="S1118" s="200" t="s">
        <v>2383</v>
      </c>
      <c r="T1118" s="201">
        <v>1</v>
      </c>
      <c r="U1118" s="58" t="s">
        <v>666</v>
      </c>
      <c r="V1118" s="46"/>
      <c r="W1118" s="46"/>
      <c r="X1118" s="62" t="s">
        <v>25</v>
      </c>
      <c r="Y1118" s="63">
        <f t="shared" si="250"/>
        <v>24.497499999999999</v>
      </c>
      <c r="Z1118" s="64">
        <f t="shared" si="252"/>
        <v>0</v>
      </c>
    </row>
    <row r="1119" spans="1:26" ht="15.75" customHeight="1">
      <c r="A1119" s="63">
        <v>20260075</v>
      </c>
      <c r="B1119" s="65" t="s">
        <v>2382</v>
      </c>
      <c r="C1119" s="66">
        <v>46091</v>
      </c>
      <c r="E1119" s="63">
        <v>469</v>
      </c>
      <c r="F1119" s="68">
        <v>8543.99</v>
      </c>
      <c r="G1119" s="69">
        <v>375.2</v>
      </c>
      <c r="H1119" s="65" t="s">
        <v>928</v>
      </c>
      <c r="I1119" s="65" t="s">
        <v>72</v>
      </c>
      <c r="J1119" s="65" t="s">
        <v>72</v>
      </c>
      <c r="K1119" s="48">
        <f t="shared" si="253"/>
        <v>8</v>
      </c>
      <c r="L1119" s="48">
        <f t="shared" si="254"/>
        <v>68</v>
      </c>
      <c r="N1119" s="215">
        <f t="shared" si="258"/>
        <v>469</v>
      </c>
      <c r="S1119" s="200" t="s">
        <v>2384</v>
      </c>
      <c r="T1119" s="201">
        <v>2</v>
      </c>
      <c r="U1119" s="58" t="s">
        <v>666</v>
      </c>
      <c r="V1119" s="46"/>
      <c r="W1119" s="46"/>
      <c r="X1119" s="62" t="s">
        <v>25</v>
      </c>
      <c r="Y1119" s="63">
        <f t="shared" si="250"/>
        <v>18.217462686567163</v>
      </c>
      <c r="Z1119" s="64">
        <f t="shared" si="252"/>
        <v>0</v>
      </c>
    </row>
    <row r="1120" spans="1:26" ht="15.75" customHeight="1">
      <c r="A1120" s="63">
        <v>20260075</v>
      </c>
      <c r="B1120" s="65" t="s">
        <v>2382</v>
      </c>
      <c r="C1120" s="66">
        <v>46091</v>
      </c>
      <c r="E1120" s="63">
        <v>495</v>
      </c>
      <c r="F1120" s="68">
        <v>5993.0050000000001</v>
      </c>
      <c r="G1120" s="69">
        <v>396</v>
      </c>
      <c r="H1120" s="65" t="s">
        <v>823</v>
      </c>
      <c r="I1120" s="65" t="s">
        <v>72</v>
      </c>
      <c r="J1120" s="65" t="s">
        <v>72</v>
      </c>
      <c r="K1120" s="48">
        <f t="shared" si="253"/>
        <v>8</v>
      </c>
      <c r="L1120" s="48">
        <f t="shared" si="254"/>
        <v>68</v>
      </c>
      <c r="N1120" s="215">
        <f t="shared" si="258"/>
        <v>495</v>
      </c>
      <c r="S1120" s="200" t="s">
        <v>2385</v>
      </c>
      <c r="T1120" s="201">
        <v>3</v>
      </c>
      <c r="U1120" s="58" t="s">
        <v>2386</v>
      </c>
      <c r="V1120" s="46"/>
      <c r="W1120" s="46"/>
      <c r="X1120" s="62" t="s">
        <v>25</v>
      </c>
      <c r="Y1120" s="63">
        <f t="shared" si="250"/>
        <v>12.107080808080807</v>
      </c>
      <c r="Z1120" s="64">
        <f t="shared" si="252"/>
        <v>0</v>
      </c>
    </row>
    <row r="1121" spans="1:26" ht="15.75" customHeight="1">
      <c r="A1121" s="63">
        <v>20260075</v>
      </c>
      <c r="B1121" s="65" t="s">
        <v>2382</v>
      </c>
      <c r="C1121" s="66">
        <v>46091</v>
      </c>
      <c r="E1121" s="63">
        <v>350</v>
      </c>
      <c r="F1121" s="68">
        <v>4200.17</v>
      </c>
      <c r="G1121" s="69">
        <v>280</v>
      </c>
      <c r="H1121" s="65" t="s">
        <v>1561</v>
      </c>
      <c r="I1121" s="65" t="s">
        <v>72</v>
      </c>
      <c r="J1121" s="65" t="s">
        <v>72</v>
      </c>
      <c r="K1121" s="48">
        <f t="shared" si="253"/>
        <v>8</v>
      </c>
      <c r="L1121" s="48">
        <f t="shared" si="254"/>
        <v>68</v>
      </c>
      <c r="N1121" s="215">
        <f t="shared" si="258"/>
        <v>350</v>
      </c>
      <c r="S1121" s="200" t="s">
        <v>2387</v>
      </c>
      <c r="T1121" s="201">
        <v>4</v>
      </c>
      <c r="U1121" s="58" t="s">
        <v>538</v>
      </c>
      <c r="V1121" s="46"/>
      <c r="W1121" s="46"/>
      <c r="X1121" s="62" t="s">
        <v>25</v>
      </c>
      <c r="Y1121" s="63">
        <f t="shared" si="250"/>
        <v>12.000485714285714</v>
      </c>
      <c r="Z1121" s="64">
        <f t="shared" si="252"/>
        <v>0</v>
      </c>
    </row>
    <row r="1122" spans="1:26" ht="15.75" customHeight="1">
      <c r="A1122" s="63">
        <v>20260075</v>
      </c>
      <c r="B1122" s="65" t="s">
        <v>2382</v>
      </c>
      <c r="C1122" s="66">
        <v>46091</v>
      </c>
      <c r="E1122" s="63">
        <v>112</v>
      </c>
      <c r="F1122" s="68">
        <v>1384.49</v>
      </c>
      <c r="G1122" s="69">
        <v>89.6</v>
      </c>
      <c r="H1122" s="65" t="s">
        <v>2388</v>
      </c>
      <c r="I1122" s="65" t="s">
        <v>72</v>
      </c>
      <c r="J1122" s="65" t="s">
        <v>72</v>
      </c>
      <c r="K1122" s="48">
        <f t="shared" si="253"/>
        <v>8</v>
      </c>
      <c r="L1122" s="48">
        <f t="shared" si="254"/>
        <v>68</v>
      </c>
      <c r="N1122" s="215">
        <f t="shared" si="258"/>
        <v>112</v>
      </c>
      <c r="S1122" s="200" t="s">
        <v>2389</v>
      </c>
      <c r="T1122" s="201">
        <v>5</v>
      </c>
      <c r="U1122" s="58" t="s">
        <v>538</v>
      </c>
      <c r="V1122" s="46"/>
      <c r="W1122" s="46"/>
      <c r="X1122" s="62" t="s">
        <v>25</v>
      </c>
      <c r="Y1122" s="63">
        <f t="shared" si="250"/>
        <v>12.361517857142857</v>
      </c>
      <c r="Z1122" s="64">
        <f t="shared" si="252"/>
        <v>0</v>
      </c>
    </row>
    <row r="1123" spans="1:26" ht="15.75" customHeight="1">
      <c r="A1123" s="63">
        <v>20260075</v>
      </c>
      <c r="B1123" s="65" t="s">
        <v>2382</v>
      </c>
      <c r="C1123" s="66">
        <v>46091</v>
      </c>
      <c r="E1123" s="63">
        <v>254</v>
      </c>
      <c r="F1123" s="68">
        <v>3053.8850000000002</v>
      </c>
      <c r="G1123" s="69">
        <v>203.2</v>
      </c>
      <c r="H1123" s="65" t="s">
        <v>2390</v>
      </c>
      <c r="I1123" s="65" t="s">
        <v>72</v>
      </c>
      <c r="J1123" s="65" t="s">
        <v>72</v>
      </c>
      <c r="K1123" s="48">
        <f t="shared" si="253"/>
        <v>8</v>
      </c>
      <c r="L1123" s="48">
        <f t="shared" si="254"/>
        <v>68</v>
      </c>
      <c r="N1123" s="215">
        <f t="shared" si="258"/>
        <v>254</v>
      </c>
      <c r="S1123" s="200" t="s">
        <v>2391</v>
      </c>
      <c r="T1123" s="201">
        <v>6</v>
      </c>
      <c r="U1123" s="58" t="s">
        <v>2392</v>
      </c>
      <c r="V1123" s="46"/>
      <c r="W1123" s="46"/>
      <c r="X1123" s="62" t="s">
        <v>25</v>
      </c>
      <c r="Y1123" s="63">
        <f t="shared" si="250"/>
        <v>12.023169291338583</v>
      </c>
      <c r="Z1123" s="64">
        <f t="shared" si="252"/>
        <v>0</v>
      </c>
    </row>
    <row r="1124" spans="1:26" ht="15.75" customHeight="1">
      <c r="A1124" s="63">
        <v>20260075</v>
      </c>
      <c r="B1124" s="65" t="s">
        <v>2382</v>
      </c>
      <c r="C1124" s="66">
        <v>46091</v>
      </c>
      <c r="E1124" s="63">
        <v>410</v>
      </c>
      <c r="F1124" s="68">
        <v>830.45</v>
      </c>
      <c r="G1124" s="69">
        <v>266.5</v>
      </c>
      <c r="H1124" s="65" t="s">
        <v>1541</v>
      </c>
      <c r="I1124" s="65" t="s">
        <v>402</v>
      </c>
      <c r="J1124" s="65" t="s">
        <v>123</v>
      </c>
      <c r="K1124" s="48">
        <f t="shared" si="253"/>
        <v>8</v>
      </c>
      <c r="L1124" s="48">
        <f t="shared" si="254"/>
        <v>68</v>
      </c>
      <c r="N1124" s="215">
        <f t="shared" si="258"/>
        <v>410</v>
      </c>
      <c r="S1124" s="200" t="s">
        <v>2393</v>
      </c>
      <c r="T1124" s="201">
        <v>66</v>
      </c>
      <c r="U1124" s="58" t="s">
        <v>1543</v>
      </c>
      <c r="V1124" s="46"/>
      <c r="W1124" s="46"/>
      <c r="X1124" s="62" t="s">
        <v>25</v>
      </c>
      <c r="Y1124" s="63">
        <f t="shared" si="250"/>
        <v>2.0254878048780487</v>
      </c>
      <c r="Z1124" s="64">
        <f t="shared" si="252"/>
        <v>0</v>
      </c>
    </row>
    <row r="1125" spans="1:26" ht="15.75" customHeight="1">
      <c r="A1125" s="63">
        <v>20260075</v>
      </c>
      <c r="B1125" s="65" t="s">
        <v>2382</v>
      </c>
      <c r="C1125" s="66">
        <v>46091</v>
      </c>
      <c r="E1125" s="63">
        <v>384</v>
      </c>
      <c r="F1125" s="68">
        <v>456.96</v>
      </c>
      <c r="G1125" s="69">
        <v>249.6</v>
      </c>
      <c r="H1125" s="65" t="s">
        <v>2394</v>
      </c>
      <c r="I1125" s="65" t="s">
        <v>402</v>
      </c>
      <c r="J1125" s="65" t="s">
        <v>123</v>
      </c>
      <c r="K1125" s="48">
        <f t="shared" si="253"/>
        <v>8</v>
      </c>
      <c r="L1125" s="48">
        <f t="shared" si="254"/>
        <v>68</v>
      </c>
      <c r="N1125" s="215">
        <f t="shared" si="258"/>
        <v>384</v>
      </c>
      <c r="S1125" s="200" t="s">
        <v>2395</v>
      </c>
      <c r="T1125" s="201">
        <v>67</v>
      </c>
      <c r="U1125" s="58" t="s">
        <v>1543</v>
      </c>
      <c r="V1125" s="46"/>
      <c r="W1125" s="46"/>
      <c r="X1125" s="62" t="s">
        <v>25</v>
      </c>
      <c r="Y1125" s="63">
        <f t="shared" si="250"/>
        <v>1.19</v>
      </c>
      <c r="Z1125" s="64">
        <f t="shared" si="252"/>
        <v>0</v>
      </c>
    </row>
    <row r="1126" spans="1:26" ht="15.75" customHeight="1">
      <c r="A1126" s="63">
        <v>20260075</v>
      </c>
      <c r="B1126" s="65" t="s">
        <v>2382</v>
      </c>
      <c r="C1126" s="66">
        <v>46091</v>
      </c>
      <c r="E1126" s="63">
        <v>334</v>
      </c>
      <c r="F1126" s="68">
        <v>674.69399999999996</v>
      </c>
      <c r="G1126" s="69">
        <v>217.1</v>
      </c>
      <c r="H1126" s="65" t="s">
        <v>2396</v>
      </c>
      <c r="I1126" s="65" t="s">
        <v>2397</v>
      </c>
      <c r="J1126" s="65" t="s">
        <v>123</v>
      </c>
      <c r="K1126" s="48">
        <f t="shared" si="253"/>
        <v>8</v>
      </c>
      <c r="L1126" s="48">
        <f t="shared" si="254"/>
        <v>68</v>
      </c>
      <c r="N1126" s="215">
        <f t="shared" si="258"/>
        <v>334</v>
      </c>
      <c r="S1126" s="200" t="s">
        <v>2398</v>
      </c>
      <c r="T1126" s="201">
        <v>93</v>
      </c>
      <c r="U1126" s="58" t="s">
        <v>2399</v>
      </c>
      <c r="V1126" s="46"/>
      <c r="W1126" s="46"/>
      <c r="X1126" s="62" t="s">
        <v>25</v>
      </c>
      <c r="Y1126" s="63">
        <f t="shared" si="250"/>
        <v>2.0200419161676644</v>
      </c>
      <c r="Z1126" s="64">
        <f t="shared" si="252"/>
        <v>0</v>
      </c>
    </row>
    <row r="1127" spans="1:26" ht="15.75" customHeight="1">
      <c r="A1127" s="63">
        <v>20260075</v>
      </c>
      <c r="B1127" s="65" t="s">
        <v>2382</v>
      </c>
      <c r="C1127" s="66">
        <v>46091</v>
      </c>
      <c r="E1127" s="63">
        <v>574</v>
      </c>
      <c r="F1127" s="68">
        <v>1188.627</v>
      </c>
      <c r="G1127" s="69">
        <v>373.1</v>
      </c>
      <c r="H1127" s="65" t="s">
        <v>2335</v>
      </c>
      <c r="I1127" s="65" t="s">
        <v>402</v>
      </c>
      <c r="J1127" s="65" t="s">
        <v>123</v>
      </c>
      <c r="K1127" s="48">
        <f t="shared" si="253"/>
        <v>8</v>
      </c>
      <c r="L1127" s="48">
        <f t="shared" si="254"/>
        <v>68</v>
      </c>
      <c r="N1127" s="215">
        <f t="shared" si="258"/>
        <v>574</v>
      </c>
      <c r="S1127" s="200" t="s">
        <v>2400</v>
      </c>
      <c r="T1127" s="201">
        <v>94</v>
      </c>
      <c r="U1127" s="58" t="s">
        <v>402</v>
      </c>
      <c r="V1127" s="46"/>
      <c r="W1127" s="46"/>
      <c r="X1127" s="62" t="s">
        <v>25</v>
      </c>
      <c r="Y1127" s="63">
        <f t="shared" si="250"/>
        <v>2.0707787456445992</v>
      </c>
      <c r="Z1127" s="64">
        <f t="shared" si="252"/>
        <v>0</v>
      </c>
    </row>
    <row r="1128" spans="1:26" ht="15.75" customHeight="1">
      <c r="A1128" s="63">
        <v>20260075</v>
      </c>
      <c r="B1128" s="65" t="s">
        <v>2382</v>
      </c>
      <c r="C1128" s="66">
        <v>46091</v>
      </c>
      <c r="E1128" s="63">
        <v>199</v>
      </c>
      <c r="F1128" s="68">
        <v>463.89499999999998</v>
      </c>
      <c r="G1128" s="69">
        <v>129.35</v>
      </c>
      <c r="H1128" s="65" t="s">
        <v>2401</v>
      </c>
      <c r="I1128" s="65" t="s">
        <v>402</v>
      </c>
      <c r="J1128" s="65" t="s">
        <v>123</v>
      </c>
      <c r="K1128" s="48">
        <f t="shared" si="253"/>
        <v>8</v>
      </c>
      <c r="L1128" s="48">
        <f t="shared" si="254"/>
        <v>68</v>
      </c>
      <c r="N1128" s="215">
        <f t="shared" si="258"/>
        <v>199</v>
      </c>
      <c r="S1128" s="200" t="s">
        <v>2402</v>
      </c>
      <c r="T1128" s="201">
        <v>95</v>
      </c>
      <c r="U1128" s="58" t="s">
        <v>402</v>
      </c>
      <c r="V1128" s="46"/>
      <c r="W1128" s="46"/>
      <c r="X1128" s="62" t="s">
        <v>25</v>
      </c>
      <c r="Y1128" s="63">
        <f t="shared" si="250"/>
        <v>2.3311306532663316</v>
      </c>
      <c r="Z1128" s="64">
        <f t="shared" si="252"/>
        <v>0</v>
      </c>
    </row>
    <row r="1129" spans="1:26" ht="15.75" customHeight="1">
      <c r="A1129" s="63">
        <v>20260075</v>
      </c>
      <c r="B1129" s="65" t="s">
        <v>2382</v>
      </c>
      <c r="C1129" s="66">
        <v>46091</v>
      </c>
      <c r="E1129" s="63">
        <v>200</v>
      </c>
      <c r="F1129" s="68">
        <v>467.49900000000002</v>
      </c>
      <c r="G1129" s="69">
        <v>130</v>
      </c>
      <c r="H1129" s="65" t="s">
        <v>2403</v>
      </c>
      <c r="I1129" s="65" t="s">
        <v>402</v>
      </c>
      <c r="J1129" s="65" t="s">
        <v>123</v>
      </c>
      <c r="K1129" s="48">
        <f t="shared" si="253"/>
        <v>8</v>
      </c>
      <c r="L1129" s="48">
        <f t="shared" si="254"/>
        <v>68</v>
      </c>
      <c r="N1129" s="215">
        <f t="shared" si="258"/>
        <v>200</v>
      </c>
      <c r="S1129" s="200" t="s">
        <v>2404</v>
      </c>
      <c r="T1129" s="201">
        <v>96</v>
      </c>
      <c r="U1129" s="58" t="s">
        <v>402</v>
      </c>
      <c r="V1129" s="46"/>
      <c r="W1129" s="46"/>
      <c r="X1129" s="62" t="s">
        <v>25</v>
      </c>
      <c r="Y1129" s="63">
        <f t="shared" si="250"/>
        <v>2.3374950000000001</v>
      </c>
      <c r="Z1129" s="64">
        <f t="shared" si="252"/>
        <v>0</v>
      </c>
    </row>
    <row r="1130" spans="1:26" ht="15.75" customHeight="1">
      <c r="A1130" s="63">
        <v>20260075</v>
      </c>
      <c r="B1130" s="65" t="s">
        <v>2382</v>
      </c>
      <c r="C1130" s="66">
        <v>46091</v>
      </c>
      <c r="E1130" s="63">
        <v>208</v>
      </c>
      <c r="F1130" s="68">
        <v>378.70800000000003</v>
      </c>
      <c r="G1130" s="69">
        <v>135.19999999999999</v>
      </c>
      <c r="H1130" s="65" t="s">
        <v>2405</v>
      </c>
      <c r="I1130" s="65" t="s">
        <v>402</v>
      </c>
      <c r="J1130" s="65" t="s">
        <v>123</v>
      </c>
      <c r="K1130" s="48">
        <f t="shared" si="253"/>
        <v>8</v>
      </c>
      <c r="L1130" s="48">
        <f t="shared" si="254"/>
        <v>68</v>
      </c>
      <c r="N1130" s="215">
        <f t="shared" si="258"/>
        <v>208</v>
      </c>
      <c r="S1130" s="200" t="s">
        <v>2406</v>
      </c>
      <c r="T1130" s="201">
        <v>97</v>
      </c>
      <c r="U1130" s="58" t="s">
        <v>2407</v>
      </c>
      <c r="V1130" s="46"/>
      <c r="W1130" s="46"/>
      <c r="X1130" s="62" t="s">
        <v>25</v>
      </c>
      <c r="Y1130" s="63">
        <f t="shared" si="250"/>
        <v>1.8207115384615387</v>
      </c>
      <c r="Z1130" s="64">
        <f t="shared" si="252"/>
        <v>0</v>
      </c>
    </row>
    <row r="1131" spans="1:26" ht="15.75" customHeight="1">
      <c r="A1131" s="63">
        <v>20260075</v>
      </c>
      <c r="B1131" s="65" t="s">
        <v>2382</v>
      </c>
      <c r="C1131" s="66">
        <v>46091</v>
      </c>
      <c r="E1131" s="63">
        <v>212</v>
      </c>
      <c r="F1131" s="68">
        <v>492.577</v>
      </c>
      <c r="G1131" s="69">
        <v>137.80000000000001</v>
      </c>
      <c r="H1131" s="65" t="s">
        <v>2408</v>
      </c>
      <c r="I1131" s="65" t="s">
        <v>402</v>
      </c>
      <c r="J1131" s="65" t="s">
        <v>123</v>
      </c>
      <c r="K1131" s="48">
        <f t="shared" si="253"/>
        <v>8</v>
      </c>
      <c r="L1131" s="48">
        <f t="shared" si="254"/>
        <v>68</v>
      </c>
      <c r="N1131" s="215">
        <f t="shared" si="258"/>
        <v>212</v>
      </c>
      <c r="S1131" s="200" t="s">
        <v>2409</v>
      </c>
      <c r="T1131" s="201">
        <v>98</v>
      </c>
      <c r="U1131" s="58" t="s">
        <v>402</v>
      </c>
      <c r="V1131" s="46"/>
      <c r="W1131" s="46"/>
      <c r="X1131" s="62" t="s">
        <v>25</v>
      </c>
      <c r="Y1131" s="63">
        <f t="shared" si="250"/>
        <v>2.3234764150943397</v>
      </c>
      <c r="Z1131" s="64">
        <f t="shared" si="252"/>
        <v>0</v>
      </c>
    </row>
    <row r="1132" spans="1:26" ht="15.75" customHeight="1">
      <c r="A1132" s="63">
        <v>20260075</v>
      </c>
      <c r="B1132" s="65" t="s">
        <v>2382</v>
      </c>
      <c r="C1132" s="66">
        <v>46091</v>
      </c>
      <c r="E1132" s="63">
        <v>243</v>
      </c>
      <c r="F1132" s="68">
        <v>267.3</v>
      </c>
      <c r="G1132" s="69">
        <v>157.94999999999999</v>
      </c>
      <c r="H1132" s="65" t="s">
        <v>2410</v>
      </c>
      <c r="I1132" s="65" t="s">
        <v>303</v>
      </c>
      <c r="J1132" s="65" t="s">
        <v>123</v>
      </c>
      <c r="K1132" s="48">
        <f t="shared" si="253"/>
        <v>8</v>
      </c>
      <c r="L1132" s="48">
        <f t="shared" si="254"/>
        <v>68</v>
      </c>
      <c r="N1132" s="215">
        <f t="shared" si="258"/>
        <v>243</v>
      </c>
      <c r="S1132" s="200" t="s">
        <v>2411</v>
      </c>
      <c r="T1132" s="201">
        <v>99</v>
      </c>
      <c r="U1132" s="58" t="s">
        <v>545</v>
      </c>
      <c r="V1132" s="46"/>
      <c r="W1132" s="46"/>
      <c r="X1132" s="62" t="s">
        <v>25</v>
      </c>
      <c r="Y1132" s="63">
        <f t="shared" si="250"/>
        <v>1.1000000000000001</v>
      </c>
      <c r="Z1132" s="64">
        <f t="shared" si="252"/>
        <v>0</v>
      </c>
    </row>
    <row r="1133" spans="1:26" ht="15.75" customHeight="1">
      <c r="A1133" s="63">
        <v>20260075</v>
      </c>
      <c r="B1133" s="65" t="s">
        <v>2382</v>
      </c>
      <c r="C1133" s="66">
        <v>46091</v>
      </c>
      <c r="E1133" s="63">
        <v>1223</v>
      </c>
      <c r="F1133" s="68">
        <v>1315.84</v>
      </c>
      <c r="G1133" s="69">
        <v>794.95</v>
      </c>
      <c r="H1133" s="65" t="s">
        <v>2412</v>
      </c>
      <c r="I1133" s="65" t="s">
        <v>303</v>
      </c>
      <c r="J1133" s="65" t="s">
        <v>123</v>
      </c>
      <c r="K1133" s="48">
        <f t="shared" si="253"/>
        <v>8</v>
      </c>
      <c r="L1133" s="48">
        <f t="shared" si="254"/>
        <v>68</v>
      </c>
      <c r="N1133" s="215">
        <f>E1133</f>
        <v>1223</v>
      </c>
      <c r="O1133" s="216">
        <f t="shared" ref="O1133" si="259">F1133/E1133*N1133</f>
        <v>1315.84</v>
      </c>
      <c r="P1133" s="218">
        <f t="shared" ref="P1133" si="260">G1133/E1133*N1133</f>
        <v>794.95</v>
      </c>
      <c r="S1133" s="200" t="s">
        <v>2413</v>
      </c>
      <c r="T1133" s="201">
        <v>100</v>
      </c>
      <c r="U1133" s="58" t="s">
        <v>545</v>
      </c>
      <c r="V1133" s="46"/>
      <c r="W1133" s="46"/>
      <c r="X1133" s="62" t="s">
        <v>25</v>
      </c>
      <c r="Y1133" s="63">
        <f t="shared" si="250"/>
        <v>1.0759116925592804</v>
      </c>
      <c r="Z1133" s="64">
        <f t="shared" si="252"/>
        <v>0</v>
      </c>
    </row>
    <row r="1134" spans="1:26" ht="15.75" customHeight="1">
      <c r="A1134" s="63">
        <v>20260075</v>
      </c>
      <c r="B1134" s="65" t="s">
        <v>2382</v>
      </c>
      <c r="C1134" s="66">
        <v>46091</v>
      </c>
      <c r="E1134" s="63">
        <v>570</v>
      </c>
      <c r="F1134" s="68">
        <v>1056.2339999999999</v>
      </c>
      <c r="G1134" s="69">
        <v>370.5</v>
      </c>
      <c r="H1134" s="65" t="s">
        <v>2414</v>
      </c>
      <c r="I1134" s="65" t="s">
        <v>402</v>
      </c>
      <c r="J1134" s="65" t="s">
        <v>123</v>
      </c>
      <c r="K1134" s="48">
        <f t="shared" si="253"/>
        <v>8</v>
      </c>
      <c r="L1134" s="48">
        <f t="shared" si="254"/>
        <v>68</v>
      </c>
      <c r="N1134" s="215">
        <f t="shared" ref="N1134:N1147" si="261">E1134</f>
        <v>570</v>
      </c>
      <c r="S1134" s="200" t="s">
        <v>2415</v>
      </c>
      <c r="T1134" s="201">
        <v>101</v>
      </c>
      <c r="U1134" s="58" t="s">
        <v>2407</v>
      </c>
      <c r="V1134" s="46"/>
      <c r="W1134" s="46"/>
      <c r="X1134" s="62" t="s">
        <v>25</v>
      </c>
      <c r="Y1134" s="63">
        <f t="shared" si="250"/>
        <v>1.8530421052631578</v>
      </c>
      <c r="Z1134" s="64">
        <f t="shared" si="252"/>
        <v>0</v>
      </c>
    </row>
    <row r="1135" spans="1:26" ht="15.75" customHeight="1">
      <c r="A1135" s="63">
        <v>20260075</v>
      </c>
      <c r="B1135" s="65" t="s">
        <v>2382</v>
      </c>
      <c r="C1135" s="66">
        <v>46091</v>
      </c>
      <c r="E1135" s="63">
        <v>1062</v>
      </c>
      <c r="F1135" s="68">
        <v>1147.72</v>
      </c>
      <c r="G1135" s="69">
        <v>690.3</v>
      </c>
      <c r="H1135" s="65" t="s">
        <v>2352</v>
      </c>
      <c r="I1135" s="65" t="s">
        <v>303</v>
      </c>
      <c r="J1135" s="65" t="s">
        <v>123</v>
      </c>
      <c r="K1135" s="48">
        <f t="shared" si="253"/>
        <v>8</v>
      </c>
      <c r="L1135" s="48">
        <f t="shared" si="254"/>
        <v>68</v>
      </c>
      <c r="N1135" s="215">
        <f t="shared" si="261"/>
        <v>1062</v>
      </c>
      <c r="S1135" s="200" t="s">
        <v>2416</v>
      </c>
      <c r="T1135" s="201">
        <v>102</v>
      </c>
      <c r="U1135" s="58" t="s">
        <v>545</v>
      </c>
      <c r="V1135" s="46"/>
      <c r="W1135" s="46"/>
      <c r="X1135" s="62" t="s">
        <v>25</v>
      </c>
      <c r="Y1135" s="63">
        <f t="shared" si="250"/>
        <v>1.0807156308851225</v>
      </c>
      <c r="Z1135" s="64">
        <f t="shared" si="252"/>
        <v>0</v>
      </c>
    </row>
    <row r="1136" spans="1:26" ht="15.75" customHeight="1">
      <c r="A1136" s="63">
        <v>20260075</v>
      </c>
      <c r="B1136" s="65" t="s">
        <v>2382</v>
      </c>
      <c r="C1136" s="66">
        <v>46091</v>
      </c>
      <c r="E1136" s="63">
        <v>1048</v>
      </c>
      <c r="F1136" s="68">
        <v>1656.92</v>
      </c>
      <c r="G1136" s="69">
        <v>681.2</v>
      </c>
      <c r="H1136" s="65" t="s">
        <v>2417</v>
      </c>
      <c r="I1136" s="65" t="s">
        <v>402</v>
      </c>
      <c r="J1136" s="65" t="s">
        <v>123</v>
      </c>
      <c r="K1136" s="48">
        <f t="shared" si="253"/>
        <v>8</v>
      </c>
      <c r="L1136" s="48">
        <f t="shared" si="254"/>
        <v>68</v>
      </c>
      <c r="N1136" s="215">
        <f t="shared" si="261"/>
        <v>1048</v>
      </c>
      <c r="S1136" s="200" t="s">
        <v>2418</v>
      </c>
      <c r="T1136" s="201">
        <v>103</v>
      </c>
      <c r="U1136" s="58" t="s">
        <v>2419</v>
      </c>
      <c r="V1136" s="46"/>
      <c r="W1136" s="46"/>
      <c r="X1136" s="62" t="s">
        <v>25</v>
      </c>
      <c r="Y1136" s="63">
        <f t="shared" si="250"/>
        <v>1.581030534351145</v>
      </c>
      <c r="Z1136" s="64">
        <f t="shared" si="252"/>
        <v>0</v>
      </c>
    </row>
    <row r="1137" spans="1:26" ht="15.75" customHeight="1">
      <c r="A1137" s="63">
        <v>20260075</v>
      </c>
      <c r="B1137" s="65" t="s">
        <v>2382</v>
      </c>
      <c r="C1137" s="66">
        <v>46091</v>
      </c>
      <c r="E1137" s="63">
        <v>140</v>
      </c>
      <c r="F1137" s="68">
        <v>172.13499999999999</v>
      </c>
      <c r="G1137" s="69">
        <v>91</v>
      </c>
      <c r="H1137" s="65" t="s">
        <v>2420</v>
      </c>
      <c r="I1137" s="65" t="s">
        <v>402</v>
      </c>
      <c r="J1137" s="65" t="s">
        <v>123</v>
      </c>
      <c r="K1137" s="48">
        <f t="shared" si="253"/>
        <v>8</v>
      </c>
      <c r="L1137" s="48">
        <f t="shared" si="254"/>
        <v>68</v>
      </c>
      <c r="N1137" s="215">
        <f t="shared" si="261"/>
        <v>140</v>
      </c>
      <c r="S1137" s="200" t="s">
        <v>2421</v>
      </c>
      <c r="T1137" s="201">
        <v>104</v>
      </c>
      <c r="U1137" s="58" t="s">
        <v>2422</v>
      </c>
      <c r="V1137" s="46"/>
      <c r="W1137" s="46"/>
      <c r="X1137" s="62" t="s">
        <v>25</v>
      </c>
      <c r="Y1137" s="63">
        <f t="shared" si="250"/>
        <v>1.2295357142857142</v>
      </c>
      <c r="Z1137" s="64">
        <f t="shared" si="252"/>
        <v>0</v>
      </c>
    </row>
    <row r="1138" spans="1:26" ht="15.75" customHeight="1">
      <c r="A1138" s="63">
        <v>20260075</v>
      </c>
      <c r="B1138" s="65" t="s">
        <v>2382</v>
      </c>
      <c r="C1138" s="66">
        <v>46091</v>
      </c>
      <c r="E1138" s="63">
        <v>1100</v>
      </c>
      <c r="F1138" s="68">
        <v>2549.0540000000001</v>
      </c>
      <c r="G1138" s="69">
        <v>715</v>
      </c>
      <c r="H1138" s="65" t="s">
        <v>2420</v>
      </c>
      <c r="I1138" s="65" t="s">
        <v>402</v>
      </c>
      <c r="J1138" s="65" t="s">
        <v>123</v>
      </c>
      <c r="K1138" s="48">
        <f t="shared" si="253"/>
        <v>8</v>
      </c>
      <c r="L1138" s="48">
        <f t="shared" si="254"/>
        <v>68</v>
      </c>
      <c r="N1138" s="215">
        <f t="shared" si="261"/>
        <v>1100</v>
      </c>
      <c r="S1138" s="200" t="s">
        <v>2423</v>
      </c>
      <c r="T1138" s="201">
        <v>105</v>
      </c>
      <c r="U1138" s="58" t="s">
        <v>402</v>
      </c>
      <c r="V1138" s="46"/>
      <c r="W1138" s="46"/>
      <c r="X1138" s="62" t="s">
        <v>25</v>
      </c>
      <c r="Y1138" s="63">
        <f t="shared" si="250"/>
        <v>2.3173218181818185</v>
      </c>
      <c r="Z1138" s="64">
        <f t="shared" si="252"/>
        <v>0</v>
      </c>
    </row>
    <row r="1139" spans="1:26" ht="15.75" customHeight="1">
      <c r="A1139" s="63">
        <v>20260075</v>
      </c>
      <c r="B1139" s="65" t="s">
        <v>2382</v>
      </c>
      <c r="C1139" s="66">
        <v>46091</v>
      </c>
      <c r="E1139" s="63">
        <v>900</v>
      </c>
      <c r="F1139" s="68">
        <v>2142.7240000000002</v>
      </c>
      <c r="G1139" s="69">
        <v>585</v>
      </c>
      <c r="H1139" s="65" t="s">
        <v>909</v>
      </c>
      <c r="I1139" s="65" t="s">
        <v>402</v>
      </c>
      <c r="J1139" s="65" t="s">
        <v>123</v>
      </c>
      <c r="K1139" s="48">
        <f t="shared" si="253"/>
        <v>8</v>
      </c>
      <c r="L1139" s="48">
        <f t="shared" si="254"/>
        <v>68</v>
      </c>
      <c r="N1139" s="215">
        <f t="shared" si="261"/>
        <v>900</v>
      </c>
      <c r="S1139" s="200" t="s">
        <v>2424</v>
      </c>
      <c r="T1139" s="201">
        <v>106</v>
      </c>
      <c r="U1139" s="58" t="s">
        <v>402</v>
      </c>
      <c r="V1139" s="46"/>
      <c r="W1139" s="46"/>
      <c r="X1139" s="62" t="s">
        <v>25</v>
      </c>
      <c r="Y1139" s="63">
        <f t="shared" si="250"/>
        <v>2.3808044444444447</v>
      </c>
      <c r="Z1139" s="64">
        <f t="shared" si="252"/>
        <v>0</v>
      </c>
    </row>
    <row r="1140" spans="1:26" ht="15.75" customHeight="1">
      <c r="A1140" s="63">
        <v>20260075</v>
      </c>
      <c r="B1140" s="65" t="s">
        <v>2382</v>
      </c>
      <c r="C1140" s="66">
        <v>46091</v>
      </c>
      <c r="E1140" s="63">
        <v>687</v>
      </c>
      <c r="F1140" s="68">
        <v>726.9</v>
      </c>
      <c r="G1140" s="69">
        <v>446.55</v>
      </c>
      <c r="H1140" s="65" t="s">
        <v>2364</v>
      </c>
      <c r="I1140" s="65" t="s">
        <v>303</v>
      </c>
      <c r="J1140" s="65" t="s">
        <v>123</v>
      </c>
      <c r="K1140" s="48">
        <f t="shared" si="253"/>
        <v>8</v>
      </c>
      <c r="L1140" s="48">
        <f t="shared" si="254"/>
        <v>68</v>
      </c>
      <c r="N1140" s="215">
        <f t="shared" si="261"/>
        <v>687</v>
      </c>
      <c r="S1140" s="200" t="s">
        <v>2425</v>
      </c>
      <c r="T1140" s="201">
        <v>107</v>
      </c>
      <c r="U1140" s="58" t="s">
        <v>545</v>
      </c>
      <c r="V1140" s="46"/>
      <c r="W1140" s="46"/>
      <c r="X1140" s="62" t="s">
        <v>25</v>
      </c>
      <c r="Y1140" s="63">
        <f t="shared" ref="Y1140:Y1203" si="262">F1140/E1140</f>
        <v>1.0580786026200872</v>
      </c>
      <c r="Z1140" s="64">
        <f t="shared" si="252"/>
        <v>0</v>
      </c>
    </row>
    <row r="1141" spans="1:26" ht="15.75" customHeight="1">
      <c r="A1141" s="63">
        <v>20260075</v>
      </c>
      <c r="B1141" s="65" t="s">
        <v>2382</v>
      </c>
      <c r="C1141" s="66">
        <v>46091</v>
      </c>
      <c r="E1141" s="63">
        <v>710</v>
      </c>
      <c r="F1141" s="68">
        <v>964.77599999999995</v>
      </c>
      <c r="G1141" s="69">
        <v>461.5</v>
      </c>
      <c r="H1141" s="65" t="s">
        <v>906</v>
      </c>
      <c r="I1141" s="65" t="s">
        <v>402</v>
      </c>
      <c r="J1141" s="65" t="s">
        <v>123</v>
      </c>
      <c r="K1141" s="48">
        <f t="shared" si="253"/>
        <v>8</v>
      </c>
      <c r="L1141" s="48">
        <f t="shared" si="254"/>
        <v>68</v>
      </c>
      <c r="N1141" s="215">
        <f t="shared" si="261"/>
        <v>710</v>
      </c>
      <c r="S1141" s="200" t="s">
        <v>2426</v>
      </c>
      <c r="T1141" s="201">
        <v>108</v>
      </c>
      <c r="U1141" s="58" t="s">
        <v>2427</v>
      </c>
      <c r="V1141" s="46"/>
      <c r="W1141" s="46"/>
      <c r="X1141" s="62" t="s">
        <v>25</v>
      </c>
      <c r="Y1141" s="63">
        <f t="shared" si="262"/>
        <v>1.3588394366197183</v>
      </c>
      <c r="Z1141" s="64">
        <f t="shared" si="252"/>
        <v>0</v>
      </c>
    </row>
    <row r="1142" spans="1:26" ht="15.75" customHeight="1">
      <c r="A1142" s="63">
        <v>20260075</v>
      </c>
      <c r="B1142" s="65" t="s">
        <v>2382</v>
      </c>
      <c r="C1142" s="66">
        <v>46091</v>
      </c>
      <c r="E1142" s="63">
        <v>540</v>
      </c>
      <c r="F1142" s="68">
        <v>681.43499999999995</v>
      </c>
      <c r="G1142" s="69">
        <v>351</v>
      </c>
      <c r="H1142" s="65" t="s">
        <v>906</v>
      </c>
      <c r="I1142" s="65" t="s">
        <v>402</v>
      </c>
      <c r="J1142" s="65" t="s">
        <v>123</v>
      </c>
      <c r="K1142" s="48">
        <f t="shared" si="253"/>
        <v>8</v>
      </c>
      <c r="L1142" s="48">
        <f t="shared" si="254"/>
        <v>68</v>
      </c>
      <c r="N1142" s="215">
        <f t="shared" si="261"/>
        <v>540</v>
      </c>
      <c r="S1142" s="200" t="s">
        <v>2428</v>
      </c>
      <c r="T1142" s="201">
        <v>109</v>
      </c>
      <c r="U1142" s="58" t="s">
        <v>2429</v>
      </c>
      <c r="V1142" s="46"/>
      <c r="W1142" s="46"/>
      <c r="X1142" s="62" t="s">
        <v>25</v>
      </c>
      <c r="Y1142" s="63">
        <f t="shared" si="262"/>
        <v>1.2619166666666666</v>
      </c>
      <c r="Z1142" s="64">
        <f t="shared" si="252"/>
        <v>0</v>
      </c>
    </row>
    <row r="1143" spans="1:26" ht="15.75" customHeight="1">
      <c r="A1143" s="63">
        <v>20260075</v>
      </c>
      <c r="B1143" s="65" t="s">
        <v>2382</v>
      </c>
      <c r="C1143" s="66">
        <v>46091</v>
      </c>
      <c r="E1143" s="63">
        <v>560</v>
      </c>
      <c r="F1143" s="68">
        <v>1273.6669999999999</v>
      </c>
      <c r="G1143" s="69">
        <v>364</v>
      </c>
      <c r="H1143" s="65" t="s">
        <v>2359</v>
      </c>
      <c r="I1143" s="65" t="s">
        <v>402</v>
      </c>
      <c r="J1143" s="65" t="s">
        <v>123</v>
      </c>
      <c r="K1143" s="48">
        <f t="shared" si="253"/>
        <v>8</v>
      </c>
      <c r="L1143" s="48">
        <f t="shared" si="254"/>
        <v>68</v>
      </c>
      <c r="N1143" s="215">
        <f t="shared" si="261"/>
        <v>560</v>
      </c>
      <c r="S1143" s="200" t="s">
        <v>2430</v>
      </c>
      <c r="T1143" s="201">
        <v>110</v>
      </c>
      <c r="U1143" s="58" t="s">
        <v>402</v>
      </c>
      <c r="V1143" s="46"/>
      <c r="W1143" s="46"/>
      <c r="X1143" s="62" t="s">
        <v>25</v>
      </c>
      <c r="Y1143" s="63">
        <f t="shared" si="262"/>
        <v>2.2744053571428569</v>
      </c>
      <c r="Z1143" s="64">
        <f t="shared" si="252"/>
        <v>0</v>
      </c>
    </row>
    <row r="1144" spans="1:26" ht="15.75" customHeight="1">
      <c r="A1144" s="63">
        <v>20260075</v>
      </c>
      <c r="B1144" s="65" t="s">
        <v>2382</v>
      </c>
      <c r="C1144" s="66">
        <v>46091</v>
      </c>
      <c r="E1144" s="63">
        <v>550</v>
      </c>
      <c r="F1144" s="68">
        <v>579</v>
      </c>
      <c r="G1144" s="69">
        <v>357.5</v>
      </c>
      <c r="H1144" s="65" t="s">
        <v>2359</v>
      </c>
      <c r="I1144" s="65" t="s">
        <v>303</v>
      </c>
      <c r="J1144" s="65" t="s">
        <v>123</v>
      </c>
      <c r="K1144" s="48">
        <f t="shared" si="253"/>
        <v>8</v>
      </c>
      <c r="L1144" s="48">
        <f t="shared" si="254"/>
        <v>68</v>
      </c>
      <c r="N1144" s="215">
        <f t="shared" si="261"/>
        <v>550</v>
      </c>
      <c r="S1144" s="200" t="s">
        <v>2431</v>
      </c>
      <c r="T1144" s="201">
        <v>111</v>
      </c>
      <c r="U1144" s="58" t="s">
        <v>545</v>
      </c>
      <c r="V1144" s="46"/>
      <c r="W1144" s="46"/>
      <c r="X1144" s="62" t="s">
        <v>25</v>
      </c>
      <c r="Y1144" s="63">
        <f t="shared" si="262"/>
        <v>1.0527272727272727</v>
      </c>
      <c r="Z1144" s="64">
        <f t="shared" si="252"/>
        <v>0</v>
      </c>
    </row>
    <row r="1145" spans="1:26" ht="15.75" customHeight="1">
      <c r="A1145" s="63">
        <v>20260075</v>
      </c>
      <c r="B1145" s="65" t="s">
        <v>2382</v>
      </c>
      <c r="C1145" s="66">
        <v>46091</v>
      </c>
      <c r="E1145" s="63">
        <v>385</v>
      </c>
      <c r="F1145" s="68">
        <v>470.19299999999998</v>
      </c>
      <c r="G1145" s="69">
        <v>250.25</v>
      </c>
      <c r="H1145" s="65" t="s">
        <v>2359</v>
      </c>
      <c r="I1145" s="65" t="s">
        <v>303</v>
      </c>
      <c r="J1145" s="65" t="s">
        <v>123</v>
      </c>
      <c r="K1145" s="48">
        <f t="shared" si="253"/>
        <v>8</v>
      </c>
      <c r="L1145" s="48">
        <f t="shared" si="254"/>
        <v>68</v>
      </c>
      <c r="N1145" s="215">
        <f t="shared" si="261"/>
        <v>385</v>
      </c>
      <c r="S1145" s="200" t="s">
        <v>2432</v>
      </c>
      <c r="T1145" s="201">
        <v>112</v>
      </c>
      <c r="U1145" s="58" t="s">
        <v>2433</v>
      </c>
      <c r="V1145" s="46"/>
      <c r="W1145" s="46"/>
      <c r="X1145" s="62" t="s">
        <v>25</v>
      </c>
      <c r="Y1145" s="63">
        <f t="shared" si="262"/>
        <v>1.2212805194805194</v>
      </c>
      <c r="Z1145" s="64">
        <f t="shared" si="252"/>
        <v>0</v>
      </c>
    </row>
    <row r="1146" spans="1:26" ht="15.75" customHeight="1">
      <c r="A1146" s="63">
        <v>20260075</v>
      </c>
      <c r="B1146" s="65" t="s">
        <v>2382</v>
      </c>
      <c r="C1146" s="66">
        <v>46091</v>
      </c>
      <c r="E1146" s="63">
        <v>1100</v>
      </c>
      <c r="F1146" s="68">
        <v>1176</v>
      </c>
      <c r="G1146" s="69">
        <v>715</v>
      </c>
      <c r="H1146" s="65" t="s">
        <v>2364</v>
      </c>
      <c r="I1146" s="65" t="s">
        <v>303</v>
      </c>
      <c r="J1146" s="65" t="s">
        <v>123</v>
      </c>
      <c r="K1146" s="48">
        <f t="shared" si="253"/>
        <v>8</v>
      </c>
      <c r="L1146" s="48">
        <f t="shared" si="254"/>
        <v>68</v>
      </c>
      <c r="N1146" s="215">
        <f t="shared" si="261"/>
        <v>1100</v>
      </c>
      <c r="S1146" s="200" t="s">
        <v>2434</v>
      </c>
      <c r="T1146" s="201">
        <v>113</v>
      </c>
      <c r="U1146" s="58" t="s">
        <v>545</v>
      </c>
      <c r="V1146" s="46"/>
      <c r="W1146" s="46"/>
      <c r="X1146" s="62" t="s">
        <v>25</v>
      </c>
      <c r="Y1146" s="63">
        <f t="shared" si="262"/>
        <v>1.0690909090909091</v>
      </c>
      <c r="Z1146" s="64">
        <f t="shared" si="252"/>
        <v>0</v>
      </c>
    </row>
    <row r="1147" spans="1:26" ht="15.75" customHeight="1">
      <c r="A1147" s="63">
        <v>20260075</v>
      </c>
      <c r="B1147" s="65" t="s">
        <v>2382</v>
      </c>
      <c r="C1147" s="66">
        <v>46091</v>
      </c>
      <c r="E1147" s="63">
        <v>500</v>
      </c>
      <c r="F1147" s="68">
        <v>780.91700000000003</v>
      </c>
      <c r="G1147" s="69">
        <v>325</v>
      </c>
      <c r="H1147" s="65" t="s">
        <v>2435</v>
      </c>
      <c r="I1147" s="65" t="s">
        <v>402</v>
      </c>
      <c r="J1147" s="65" t="s">
        <v>123</v>
      </c>
      <c r="K1147" s="48">
        <f t="shared" si="253"/>
        <v>8</v>
      </c>
      <c r="L1147" s="48">
        <f t="shared" si="254"/>
        <v>68</v>
      </c>
      <c r="N1147" s="215">
        <f t="shared" si="261"/>
        <v>500</v>
      </c>
      <c r="S1147" s="200" t="s">
        <v>2436</v>
      </c>
      <c r="T1147" s="201">
        <v>114</v>
      </c>
      <c r="U1147" s="58" t="s">
        <v>2437</v>
      </c>
      <c r="V1147" s="46"/>
      <c r="W1147" s="46"/>
      <c r="X1147" s="62" t="s">
        <v>25</v>
      </c>
      <c r="Y1147" s="63">
        <f t="shared" si="262"/>
        <v>1.5618340000000002</v>
      </c>
      <c r="Z1147" s="64">
        <f t="shared" si="252"/>
        <v>0</v>
      </c>
    </row>
    <row r="1148" spans="1:26" ht="15.75" customHeight="1">
      <c r="A1148" s="63">
        <v>20260075</v>
      </c>
      <c r="B1148" s="65" t="s">
        <v>2382</v>
      </c>
      <c r="C1148" s="66">
        <v>46091</v>
      </c>
      <c r="E1148" s="63">
        <v>2</v>
      </c>
      <c r="F1148" s="68">
        <v>5.18</v>
      </c>
      <c r="G1148" s="69">
        <v>48</v>
      </c>
      <c r="H1148" s="65" t="s">
        <v>2438</v>
      </c>
      <c r="I1148" s="65" t="s">
        <v>42</v>
      </c>
      <c r="J1148" s="65" t="s">
        <v>28</v>
      </c>
      <c r="K1148" s="48">
        <f t="shared" si="253"/>
        <v>8</v>
      </c>
      <c r="L1148" s="48">
        <f t="shared" si="254"/>
        <v>68</v>
      </c>
      <c r="N1148" s="72">
        <f>E1148</f>
        <v>2</v>
      </c>
      <c r="O1148" s="50">
        <f t="shared" ref="O1148:O1211" si="263">F1148/E1148*N1148</f>
        <v>5.18</v>
      </c>
      <c r="P1148" s="56">
        <f t="shared" ref="P1148:P1211" si="264">G1148/E1148*N1148</f>
        <v>48</v>
      </c>
      <c r="S1148" s="200" t="s">
        <v>2439</v>
      </c>
      <c r="T1148" s="201">
        <v>7</v>
      </c>
      <c r="U1148" s="58" t="s">
        <v>2440</v>
      </c>
      <c r="V1148" s="46"/>
      <c r="W1148" s="46"/>
      <c r="X1148" s="62" t="s">
        <v>25</v>
      </c>
      <c r="Y1148" s="63">
        <f t="shared" si="262"/>
        <v>2.59</v>
      </c>
      <c r="Z1148" s="64">
        <f t="shared" si="252"/>
        <v>0</v>
      </c>
    </row>
    <row r="1149" spans="1:26" ht="15.75" customHeight="1">
      <c r="A1149" s="63">
        <v>20260075</v>
      </c>
      <c r="B1149" s="65" t="s">
        <v>2382</v>
      </c>
      <c r="C1149" s="66">
        <v>46091</v>
      </c>
      <c r="E1149" s="63">
        <v>3</v>
      </c>
      <c r="F1149" s="68">
        <v>8.6999999999999993</v>
      </c>
      <c r="G1149" s="69">
        <v>72</v>
      </c>
      <c r="H1149" s="65" t="s">
        <v>2441</v>
      </c>
      <c r="I1149" s="65" t="s">
        <v>42</v>
      </c>
      <c r="J1149" s="65" t="s">
        <v>28</v>
      </c>
      <c r="K1149" s="48">
        <f t="shared" si="253"/>
        <v>8</v>
      </c>
      <c r="L1149" s="48">
        <f t="shared" si="254"/>
        <v>68</v>
      </c>
      <c r="N1149" s="72">
        <f t="shared" ref="N1149:N1212" si="265">E1149</f>
        <v>3</v>
      </c>
      <c r="O1149" s="50">
        <f t="shared" si="263"/>
        <v>8.6999999999999993</v>
      </c>
      <c r="P1149" s="56">
        <f t="shared" si="264"/>
        <v>72</v>
      </c>
      <c r="S1149" s="200" t="s">
        <v>2442</v>
      </c>
      <c r="T1149" s="201">
        <v>8</v>
      </c>
      <c r="U1149" s="58" t="s">
        <v>2443</v>
      </c>
      <c r="V1149" s="46"/>
      <c r="W1149" s="46"/>
      <c r="X1149" s="62" t="s">
        <v>25</v>
      </c>
      <c r="Y1149" s="63">
        <f t="shared" si="262"/>
        <v>2.9</v>
      </c>
      <c r="Z1149" s="64">
        <f t="shared" si="252"/>
        <v>0</v>
      </c>
    </row>
    <row r="1150" spans="1:26" ht="15.75" customHeight="1">
      <c r="A1150" s="63">
        <v>20260075</v>
      </c>
      <c r="B1150" s="65" t="s">
        <v>2382</v>
      </c>
      <c r="C1150" s="66">
        <v>46091</v>
      </c>
      <c r="E1150" s="63">
        <v>2</v>
      </c>
      <c r="F1150" s="68">
        <v>49.465000000000003</v>
      </c>
      <c r="G1150" s="69">
        <v>48</v>
      </c>
      <c r="H1150" s="65" t="s">
        <v>2444</v>
      </c>
      <c r="I1150" s="65" t="s">
        <v>194</v>
      </c>
      <c r="J1150" s="65" t="s">
        <v>26</v>
      </c>
      <c r="K1150" s="48">
        <f t="shared" si="253"/>
        <v>8</v>
      </c>
      <c r="L1150" s="48">
        <f t="shared" si="254"/>
        <v>68</v>
      </c>
      <c r="N1150" s="72">
        <f t="shared" si="265"/>
        <v>2</v>
      </c>
      <c r="O1150" s="50">
        <f t="shared" si="263"/>
        <v>49.465000000000003</v>
      </c>
      <c r="P1150" s="56">
        <f t="shared" si="264"/>
        <v>48</v>
      </c>
      <c r="S1150" s="200" t="s">
        <v>2445</v>
      </c>
      <c r="T1150" s="201">
        <v>9</v>
      </c>
      <c r="U1150" s="58" t="s">
        <v>2446</v>
      </c>
      <c r="V1150" s="46"/>
      <c r="W1150" s="46"/>
      <c r="X1150" s="62" t="s">
        <v>25</v>
      </c>
      <c r="Y1150" s="63">
        <f t="shared" si="262"/>
        <v>24.732500000000002</v>
      </c>
      <c r="Z1150" s="64">
        <f t="shared" ref="Z1150:Z1213" si="266">E1150-N1150</f>
        <v>0</v>
      </c>
    </row>
    <row r="1151" spans="1:26" ht="15.75" customHeight="1">
      <c r="A1151" s="63">
        <v>20260075</v>
      </c>
      <c r="B1151" s="65" t="s">
        <v>2382</v>
      </c>
      <c r="C1151" s="66">
        <v>46091</v>
      </c>
      <c r="E1151" s="63">
        <v>3</v>
      </c>
      <c r="F1151" s="68">
        <v>0</v>
      </c>
      <c r="G1151" s="69">
        <v>15</v>
      </c>
      <c r="H1151" s="65" t="s">
        <v>2444</v>
      </c>
      <c r="I1151" s="65" t="s">
        <v>24</v>
      </c>
      <c r="J1151" s="65" t="s">
        <v>24</v>
      </c>
      <c r="K1151" s="48">
        <f t="shared" si="253"/>
        <v>8</v>
      </c>
      <c r="L1151" s="48">
        <f t="shared" si="254"/>
        <v>68</v>
      </c>
      <c r="N1151" s="72">
        <f t="shared" si="265"/>
        <v>3</v>
      </c>
      <c r="O1151" s="50">
        <f t="shared" si="263"/>
        <v>0</v>
      </c>
      <c r="P1151" s="56">
        <f t="shared" si="264"/>
        <v>15</v>
      </c>
      <c r="S1151" s="200" t="s">
        <v>2445</v>
      </c>
      <c r="T1151" s="201">
        <v>9</v>
      </c>
      <c r="U1151" s="58"/>
      <c r="V1151" s="46"/>
      <c r="W1151" s="46"/>
      <c r="X1151" s="62" t="s">
        <v>25</v>
      </c>
      <c r="Y1151" s="63">
        <f t="shared" si="262"/>
        <v>0</v>
      </c>
      <c r="Z1151" s="64">
        <f t="shared" si="266"/>
        <v>0</v>
      </c>
    </row>
    <row r="1152" spans="1:26" ht="15.75" customHeight="1">
      <c r="A1152" s="63">
        <v>20260075</v>
      </c>
      <c r="B1152" s="65" t="s">
        <v>2382</v>
      </c>
      <c r="C1152" s="66">
        <v>46091</v>
      </c>
      <c r="E1152" s="63">
        <v>1</v>
      </c>
      <c r="F1152" s="68">
        <v>21</v>
      </c>
      <c r="G1152" s="69">
        <v>24</v>
      </c>
      <c r="H1152" s="65" t="s">
        <v>2447</v>
      </c>
      <c r="I1152" s="65" t="s">
        <v>2046</v>
      </c>
      <c r="J1152" s="65" t="s">
        <v>26</v>
      </c>
      <c r="K1152" s="48">
        <f t="shared" si="253"/>
        <v>8</v>
      </c>
      <c r="L1152" s="48">
        <f t="shared" si="254"/>
        <v>68</v>
      </c>
      <c r="N1152" s="72">
        <f t="shared" si="265"/>
        <v>1</v>
      </c>
      <c r="O1152" s="50">
        <f t="shared" si="263"/>
        <v>21</v>
      </c>
      <c r="P1152" s="56">
        <f t="shared" si="264"/>
        <v>24</v>
      </c>
      <c r="S1152" s="200" t="s">
        <v>2448</v>
      </c>
      <c r="T1152" s="201">
        <v>10</v>
      </c>
      <c r="U1152" s="58" t="s">
        <v>2449</v>
      </c>
      <c r="V1152" s="46"/>
      <c r="W1152" s="46"/>
      <c r="X1152" s="62" t="s">
        <v>25</v>
      </c>
      <c r="Y1152" s="63">
        <f t="shared" si="262"/>
        <v>21</v>
      </c>
      <c r="Z1152" s="64">
        <f t="shared" si="266"/>
        <v>0</v>
      </c>
    </row>
    <row r="1153" spans="1:26" ht="15.75" customHeight="1">
      <c r="A1153" s="63">
        <v>20260075</v>
      </c>
      <c r="B1153" s="65" t="s">
        <v>2382</v>
      </c>
      <c r="C1153" s="66">
        <v>46091</v>
      </c>
      <c r="E1153" s="63">
        <v>2</v>
      </c>
      <c r="F1153" s="68">
        <v>0</v>
      </c>
      <c r="G1153" s="69">
        <v>10</v>
      </c>
      <c r="H1153" s="65" t="s">
        <v>2447</v>
      </c>
      <c r="I1153" s="65" t="s">
        <v>24</v>
      </c>
      <c r="J1153" s="65" t="s">
        <v>24</v>
      </c>
      <c r="K1153" s="48">
        <f t="shared" si="253"/>
        <v>8</v>
      </c>
      <c r="L1153" s="48">
        <f t="shared" si="254"/>
        <v>68</v>
      </c>
      <c r="N1153" s="72">
        <f t="shared" si="265"/>
        <v>2</v>
      </c>
      <c r="O1153" s="50">
        <f t="shared" si="263"/>
        <v>0</v>
      </c>
      <c r="P1153" s="56">
        <f t="shared" si="264"/>
        <v>10</v>
      </c>
      <c r="S1153" s="200" t="s">
        <v>2448</v>
      </c>
      <c r="T1153" s="201">
        <v>10</v>
      </c>
      <c r="U1153" s="58"/>
      <c r="V1153" s="46"/>
      <c r="W1153" s="46"/>
      <c r="X1153" s="62" t="s">
        <v>25</v>
      </c>
      <c r="Y1153" s="63">
        <f t="shared" si="262"/>
        <v>0</v>
      </c>
      <c r="Z1153" s="64">
        <f t="shared" si="266"/>
        <v>0</v>
      </c>
    </row>
    <row r="1154" spans="1:26" ht="15.75" customHeight="1">
      <c r="A1154" s="63">
        <v>20260075</v>
      </c>
      <c r="B1154" s="65" t="s">
        <v>2382</v>
      </c>
      <c r="C1154" s="66">
        <v>46091</v>
      </c>
      <c r="E1154" s="63">
        <v>2</v>
      </c>
      <c r="F1154" s="68">
        <v>5.4</v>
      </c>
      <c r="G1154" s="69">
        <v>48</v>
      </c>
      <c r="H1154" s="65" t="s">
        <v>1095</v>
      </c>
      <c r="I1154" s="65" t="s">
        <v>42</v>
      </c>
      <c r="J1154" s="65" t="s">
        <v>28</v>
      </c>
      <c r="K1154" s="48">
        <f t="shared" si="253"/>
        <v>8</v>
      </c>
      <c r="L1154" s="48">
        <f t="shared" si="254"/>
        <v>68</v>
      </c>
      <c r="N1154" s="72">
        <f t="shared" si="265"/>
        <v>2</v>
      </c>
      <c r="O1154" s="50">
        <f t="shared" si="263"/>
        <v>5.4</v>
      </c>
      <c r="P1154" s="56">
        <f t="shared" si="264"/>
        <v>48</v>
      </c>
      <c r="S1154" s="200" t="s">
        <v>2450</v>
      </c>
      <c r="T1154" s="201">
        <v>11</v>
      </c>
      <c r="U1154" s="58" t="s">
        <v>2451</v>
      </c>
      <c r="V1154" s="46"/>
      <c r="W1154" s="46"/>
      <c r="X1154" s="62" t="s">
        <v>25</v>
      </c>
      <c r="Y1154" s="63">
        <f t="shared" si="262"/>
        <v>2.7</v>
      </c>
      <c r="Z1154" s="64">
        <f t="shared" si="266"/>
        <v>0</v>
      </c>
    </row>
    <row r="1155" spans="1:26" ht="15.75" customHeight="1">
      <c r="A1155" s="63">
        <v>20260075</v>
      </c>
      <c r="B1155" s="65" t="s">
        <v>2382</v>
      </c>
      <c r="C1155" s="66">
        <v>46091</v>
      </c>
      <c r="E1155" s="63">
        <v>1</v>
      </c>
      <c r="F1155" s="68">
        <v>24.6</v>
      </c>
      <c r="G1155" s="69">
        <v>24</v>
      </c>
      <c r="H1155" s="65" t="s">
        <v>2452</v>
      </c>
      <c r="I1155" s="65" t="s">
        <v>194</v>
      </c>
      <c r="J1155" s="65" t="s">
        <v>26</v>
      </c>
      <c r="K1155" s="48">
        <f t="shared" si="253"/>
        <v>8</v>
      </c>
      <c r="L1155" s="48">
        <f t="shared" si="254"/>
        <v>68</v>
      </c>
      <c r="N1155" s="72">
        <f t="shared" si="265"/>
        <v>1</v>
      </c>
      <c r="O1155" s="50">
        <f t="shared" si="263"/>
        <v>24.6</v>
      </c>
      <c r="P1155" s="56">
        <f t="shared" si="264"/>
        <v>24</v>
      </c>
      <c r="S1155" s="200" t="s">
        <v>2453</v>
      </c>
      <c r="T1155" s="201">
        <v>12</v>
      </c>
      <c r="U1155" s="58" t="s">
        <v>2454</v>
      </c>
      <c r="V1155" s="46"/>
      <c r="W1155" s="46"/>
      <c r="X1155" s="62" t="s">
        <v>25</v>
      </c>
      <c r="Y1155" s="63">
        <f t="shared" si="262"/>
        <v>24.6</v>
      </c>
      <c r="Z1155" s="64">
        <f t="shared" si="266"/>
        <v>0</v>
      </c>
    </row>
    <row r="1156" spans="1:26" ht="15.75" customHeight="1">
      <c r="A1156" s="63">
        <v>20260075</v>
      </c>
      <c r="B1156" s="65" t="s">
        <v>2382</v>
      </c>
      <c r="C1156" s="66">
        <v>46091</v>
      </c>
      <c r="E1156" s="63">
        <v>1</v>
      </c>
      <c r="F1156" s="68">
        <v>0</v>
      </c>
      <c r="G1156" s="69">
        <v>5</v>
      </c>
      <c r="H1156" s="65" t="s">
        <v>2452</v>
      </c>
      <c r="I1156" s="65" t="s">
        <v>24</v>
      </c>
      <c r="J1156" s="65" t="s">
        <v>24</v>
      </c>
      <c r="K1156" s="48">
        <f t="shared" si="253"/>
        <v>8</v>
      </c>
      <c r="L1156" s="48">
        <f t="shared" si="254"/>
        <v>68</v>
      </c>
      <c r="N1156" s="72">
        <f t="shared" si="265"/>
        <v>1</v>
      </c>
      <c r="O1156" s="50">
        <f t="shared" si="263"/>
        <v>0</v>
      </c>
      <c r="P1156" s="56">
        <f t="shared" si="264"/>
        <v>5</v>
      </c>
      <c r="S1156" s="200" t="s">
        <v>2453</v>
      </c>
      <c r="T1156" s="201">
        <v>12</v>
      </c>
      <c r="U1156" s="58"/>
      <c r="V1156" s="46"/>
      <c r="W1156" s="46"/>
      <c r="X1156" s="62" t="s">
        <v>25</v>
      </c>
      <c r="Y1156" s="63">
        <f t="shared" si="262"/>
        <v>0</v>
      </c>
      <c r="Z1156" s="64">
        <f t="shared" si="266"/>
        <v>0</v>
      </c>
    </row>
    <row r="1157" spans="1:26" ht="15.75" customHeight="1">
      <c r="A1157" s="63">
        <v>20260075</v>
      </c>
      <c r="B1157" s="65" t="s">
        <v>2382</v>
      </c>
      <c r="C1157" s="66">
        <v>46091</v>
      </c>
      <c r="E1157" s="63">
        <v>1</v>
      </c>
      <c r="F1157" s="68">
        <v>38.04</v>
      </c>
      <c r="G1157" s="69">
        <v>24</v>
      </c>
      <c r="H1157" s="65" t="s">
        <v>2455</v>
      </c>
      <c r="I1157" s="65" t="s">
        <v>194</v>
      </c>
      <c r="J1157" s="65" t="s">
        <v>26</v>
      </c>
      <c r="K1157" s="48">
        <f t="shared" si="253"/>
        <v>8</v>
      </c>
      <c r="L1157" s="48">
        <f t="shared" si="254"/>
        <v>68</v>
      </c>
      <c r="N1157" s="72">
        <f t="shared" si="265"/>
        <v>1</v>
      </c>
      <c r="O1157" s="50">
        <f t="shared" si="263"/>
        <v>38.04</v>
      </c>
      <c r="P1157" s="56">
        <f t="shared" si="264"/>
        <v>24</v>
      </c>
      <c r="S1157" s="200" t="s">
        <v>2456</v>
      </c>
      <c r="T1157" s="201">
        <v>13</v>
      </c>
      <c r="U1157" s="58" t="s">
        <v>2457</v>
      </c>
      <c r="V1157" s="46"/>
      <c r="W1157" s="46"/>
      <c r="X1157" s="62" t="s">
        <v>25</v>
      </c>
      <c r="Y1157" s="63">
        <f t="shared" si="262"/>
        <v>38.04</v>
      </c>
      <c r="Z1157" s="64">
        <f t="shared" si="266"/>
        <v>0</v>
      </c>
    </row>
    <row r="1158" spans="1:26" ht="15.75" customHeight="1">
      <c r="A1158" s="63">
        <v>20260075</v>
      </c>
      <c r="B1158" s="65" t="s">
        <v>2382</v>
      </c>
      <c r="C1158" s="66">
        <v>46091</v>
      </c>
      <c r="E1158" s="63">
        <v>2</v>
      </c>
      <c r="F1158" s="68">
        <v>0</v>
      </c>
      <c r="G1158" s="69">
        <v>10</v>
      </c>
      <c r="H1158" s="65" t="s">
        <v>2455</v>
      </c>
      <c r="I1158" s="65" t="s">
        <v>24</v>
      </c>
      <c r="J1158" s="65" t="s">
        <v>24</v>
      </c>
      <c r="K1158" s="48">
        <f t="shared" si="253"/>
        <v>8</v>
      </c>
      <c r="L1158" s="48">
        <f t="shared" si="254"/>
        <v>68</v>
      </c>
      <c r="N1158" s="72">
        <f t="shared" si="265"/>
        <v>2</v>
      </c>
      <c r="O1158" s="50">
        <f t="shared" si="263"/>
        <v>0</v>
      </c>
      <c r="P1158" s="56">
        <f t="shared" si="264"/>
        <v>10</v>
      </c>
      <c r="S1158" s="200" t="s">
        <v>2456</v>
      </c>
      <c r="T1158" s="201">
        <v>13</v>
      </c>
      <c r="U1158" s="58"/>
      <c r="V1158" s="46"/>
      <c r="W1158" s="46"/>
      <c r="X1158" s="62" t="s">
        <v>25</v>
      </c>
      <c r="Y1158" s="63">
        <f t="shared" si="262"/>
        <v>0</v>
      </c>
      <c r="Z1158" s="64">
        <f t="shared" si="266"/>
        <v>0</v>
      </c>
    </row>
    <row r="1159" spans="1:26" ht="15.75" customHeight="1">
      <c r="A1159" s="63">
        <v>20260075</v>
      </c>
      <c r="B1159" s="65" t="s">
        <v>2382</v>
      </c>
      <c r="C1159" s="66">
        <v>46091</v>
      </c>
      <c r="E1159" s="63">
        <v>1</v>
      </c>
      <c r="F1159" s="68">
        <v>3.13</v>
      </c>
      <c r="G1159" s="69">
        <v>24</v>
      </c>
      <c r="H1159" s="65" t="s">
        <v>2458</v>
      </c>
      <c r="I1159" s="65" t="s">
        <v>42</v>
      </c>
      <c r="J1159" s="65" t="s">
        <v>28</v>
      </c>
      <c r="K1159" s="48">
        <f t="shared" si="253"/>
        <v>8</v>
      </c>
      <c r="L1159" s="48">
        <f t="shared" si="254"/>
        <v>68</v>
      </c>
      <c r="N1159" s="72">
        <f t="shared" si="265"/>
        <v>1</v>
      </c>
      <c r="O1159" s="50">
        <f t="shared" si="263"/>
        <v>3.13</v>
      </c>
      <c r="P1159" s="56">
        <f t="shared" si="264"/>
        <v>24</v>
      </c>
      <c r="S1159" s="200" t="s">
        <v>2459</v>
      </c>
      <c r="T1159" s="201">
        <v>14</v>
      </c>
      <c r="U1159" s="58" t="s">
        <v>2460</v>
      </c>
      <c r="V1159" s="46"/>
      <c r="W1159" s="46"/>
      <c r="X1159" s="62" t="s">
        <v>25</v>
      </c>
      <c r="Y1159" s="63">
        <f t="shared" si="262"/>
        <v>3.13</v>
      </c>
      <c r="Z1159" s="64">
        <f t="shared" si="266"/>
        <v>0</v>
      </c>
    </row>
    <row r="1160" spans="1:26" ht="15.75" customHeight="1">
      <c r="A1160" s="63">
        <v>20260075</v>
      </c>
      <c r="B1160" s="65" t="s">
        <v>2382</v>
      </c>
      <c r="C1160" s="66">
        <v>46091</v>
      </c>
      <c r="E1160" s="63">
        <v>1</v>
      </c>
      <c r="F1160" s="68">
        <v>17.63</v>
      </c>
      <c r="G1160" s="69">
        <v>24</v>
      </c>
      <c r="H1160" s="65" t="s">
        <v>1956</v>
      </c>
      <c r="I1160" s="65" t="s">
        <v>276</v>
      </c>
      <c r="J1160" s="65" t="s">
        <v>26</v>
      </c>
      <c r="K1160" s="48">
        <f t="shared" si="253"/>
        <v>8</v>
      </c>
      <c r="L1160" s="48">
        <f t="shared" si="254"/>
        <v>68</v>
      </c>
      <c r="N1160" s="72">
        <f t="shared" si="265"/>
        <v>1</v>
      </c>
      <c r="O1160" s="50">
        <f t="shared" si="263"/>
        <v>17.63</v>
      </c>
      <c r="P1160" s="56">
        <f t="shared" si="264"/>
        <v>24</v>
      </c>
      <c r="S1160" s="200" t="s">
        <v>2461</v>
      </c>
      <c r="T1160" s="201">
        <v>15</v>
      </c>
      <c r="U1160" s="58" t="s">
        <v>2462</v>
      </c>
      <c r="V1160" s="46"/>
      <c r="W1160" s="46"/>
      <c r="X1160" s="62" t="s">
        <v>25</v>
      </c>
      <c r="Y1160" s="63">
        <f t="shared" si="262"/>
        <v>17.63</v>
      </c>
      <c r="Z1160" s="64">
        <f t="shared" si="266"/>
        <v>0</v>
      </c>
    </row>
    <row r="1161" spans="1:26" ht="15.75" customHeight="1">
      <c r="A1161" s="63">
        <v>20260075</v>
      </c>
      <c r="B1161" s="65" t="s">
        <v>2382</v>
      </c>
      <c r="C1161" s="66">
        <v>46091</v>
      </c>
      <c r="E1161" s="63">
        <v>1</v>
      </c>
      <c r="F1161" s="68">
        <v>34</v>
      </c>
      <c r="G1161" s="69">
        <v>24</v>
      </c>
      <c r="H1161" s="65" t="s">
        <v>2463</v>
      </c>
      <c r="I1161" s="65" t="s">
        <v>194</v>
      </c>
      <c r="J1161" s="65" t="s">
        <v>26</v>
      </c>
      <c r="K1161" s="48">
        <f t="shared" si="253"/>
        <v>8</v>
      </c>
      <c r="L1161" s="48">
        <f t="shared" si="254"/>
        <v>68</v>
      </c>
      <c r="N1161" s="72">
        <f t="shared" si="265"/>
        <v>1</v>
      </c>
      <c r="O1161" s="50">
        <f t="shared" si="263"/>
        <v>34</v>
      </c>
      <c r="P1161" s="56">
        <f t="shared" si="264"/>
        <v>24</v>
      </c>
      <c r="S1161" s="200" t="s">
        <v>2464</v>
      </c>
      <c r="T1161" s="201">
        <v>16</v>
      </c>
      <c r="U1161" s="58" t="s">
        <v>2465</v>
      </c>
      <c r="V1161" s="46"/>
      <c r="W1161" s="46"/>
      <c r="X1161" s="62" t="s">
        <v>25</v>
      </c>
      <c r="Y1161" s="63">
        <f t="shared" si="262"/>
        <v>34</v>
      </c>
      <c r="Z1161" s="64">
        <f t="shared" si="266"/>
        <v>0</v>
      </c>
    </row>
    <row r="1162" spans="1:26" ht="15.75" customHeight="1">
      <c r="A1162" s="63">
        <v>20260075</v>
      </c>
      <c r="B1162" s="65" t="s">
        <v>2382</v>
      </c>
      <c r="C1162" s="66">
        <v>46091</v>
      </c>
      <c r="E1162" s="63">
        <v>1</v>
      </c>
      <c r="F1162" s="68">
        <v>0</v>
      </c>
      <c r="G1162" s="69">
        <v>5</v>
      </c>
      <c r="H1162" s="65" t="s">
        <v>2463</v>
      </c>
      <c r="I1162" s="65" t="s">
        <v>24</v>
      </c>
      <c r="J1162" s="65" t="s">
        <v>24</v>
      </c>
      <c r="K1162" s="48">
        <f t="shared" si="253"/>
        <v>8</v>
      </c>
      <c r="L1162" s="48">
        <f t="shared" si="254"/>
        <v>68</v>
      </c>
      <c r="N1162" s="72">
        <f t="shared" si="265"/>
        <v>1</v>
      </c>
      <c r="O1162" s="50">
        <f t="shared" si="263"/>
        <v>0</v>
      </c>
      <c r="P1162" s="56">
        <f t="shared" si="264"/>
        <v>5</v>
      </c>
      <c r="S1162" s="200" t="s">
        <v>2464</v>
      </c>
      <c r="T1162" s="201">
        <v>16</v>
      </c>
      <c r="U1162" s="58"/>
      <c r="V1162" s="46"/>
      <c r="W1162" s="46"/>
      <c r="X1162" s="62" t="s">
        <v>25</v>
      </c>
      <c r="Y1162" s="63">
        <f t="shared" si="262"/>
        <v>0</v>
      </c>
      <c r="Z1162" s="64">
        <f t="shared" si="266"/>
        <v>0</v>
      </c>
    </row>
    <row r="1163" spans="1:26" ht="15.75" customHeight="1">
      <c r="A1163" s="63">
        <v>20260075</v>
      </c>
      <c r="B1163" s="65" t="s">
        <v>2382</v>
      </c>
      <c r="C1163" s="66">
        <v>46091</v>
      </c>
      <c r="E1163" s="63">
        <v>1</v>
      </c>
      <c r="F1163" s="68">
        <v>18.875</v>
      </c>
      <c r="G1163" s="69">
        <v>24</v>
      </c>
      <c r="H1163" s="65" t="s">
        <v>1357</v>
      </c>
      <c r="I1163" s="65" t="s">
        <v>276</v>
      </c>
      <c r="J1163" s="65" t="s">
        <v>26</v>
      </c>
      <c r="K1163" s="48">
        <f t="shared" ref="K1163:K1226" si="267">D1163+8</f>
        <v>8</v>
      </c>
      <c r="L1163" s="48">
        <f t="shared" ref="L1163:L1226" si="268">K1163+60</f>
        <v>68</v>
      </c>
      <c r="N1163" s="72">
        <f t="shared" si="265"/>
        <v>1</v>
      </c>
      <c r="O1163" s="50">
        <f t="shared" si="263"/>
        <v>18.875</v>
      </c>
      <c r="P1163" s="56">
        <f t="shared" si="264"/>
        <v>24</v>
      </c>
      <c r="S1163" s="200" t="s">
        <v>2466</v>
      </c>
      <c r="T1163" s="201">
        <v>17</v>
      </c>
      <c r="U1163" s="58" t="s">
        <v>741</v>
      </c>
      <c r="V1163" s="46"/>
      <c r="W1163" s="46"/>
      <c r="X1163" s="62" t="s">
        <v>25</v>
      </c>
      <c r="Y1163" s="63">
        <f t="shared" si="262"/>
        <v>18.875</v>
      </c>
      <c r="Z1163" s="64">
        <f t="shared" si="266"/>
        <v>0</v>
      </c>
    </row>
    <row r="1164" spans="1:26" ht="15.75" customHeight="1">
      <c r="A1164" s="63">
        <v>20260075</v>
      </c>
      <c r="B1164" s="65" t="s">
        <v>2382</v>
      </c>
      <c r="C1164" s="66">
        <v>46091</v>
      </c>
      <c r="E1164" s="63">
        <v>2</v>
      </c>
      <c r="F1164" s="68">
        <v>0</v>
      </c>
      <c r="G1164" s="69">
        <v>10</v>
      </c>
      <c r="H1164" s="65" t="s">
        <v>1357</v>
      </c>
      <c r="I1164" s="65" t="s">
        <v>24</v>
      </c>
      <c r="J1164" s="65" t="s">
        <v>24</v>
      </c>
      <c r="K1164" s="48">
        <f t="shared" si="267"/>
        <v>8</v>
      </c>
      <c r="L1164" s="48">
        <f t="shared" si="268"/>
        <v>68</v>
      </c>
      <c r="N1164" s="72">
        <f t="shared" si="265"/>
        <v>2</v>
      </c>
      <c r="O1164" s="50">
        <f t="shared" si="263"/>
        <v>0</v>
      </c>
      <c r="P1164" s="56">
        <f t="shared" si="264"/>
        <v>10</v>
      </c>
      <c r="S1164" s="200" t="s">
        <v>2466</v>
      </c>
      <c r="T1164" s="201">
        <v>17</v>
      </c>
      <c r="U1164" s="58"/>
      <c r="V1164" s="46"/>
      <c r="W1164" s="46"/>
      <c r="X1164" s="62" t="s">
        <v>25</v>
      </c>
      <c r="Y1164" s="63">
        <f t="shared" si="262"/>
        <v>0</v>
      </c>
      <c r="Z1164" s="64">
        <f t="shared" si="266"/>
        <v>0</v>
      </c>
    </row>
    <row r="1165" spans="1:26" ht="15.75" customHeight="1">
      <c r="A1165" s="63">
        <v>20260075</v>
      </c>
      <c r="B1165" s="65" t="s">
        <v>2382</v>
      </c>
      <c r="C1165" s="66">
        <v>46091</v>
      </c>
      <c r="E1165" s="63">
        <v>1</v>
      </c>
      <c r="F1165" s="68">
        <v>27.9</v>
      </c>
      <c r="G1165" s="69">
        <v>24</v>
      </c>
      <c r="H1165" s="65" t="s">
        <v>1683</v>
      </c>
      <c r="I1165" s="65" t="s">
        <v>58</v>
      </c>
      <c r="J1165" s="65" t="s">
        <v>28</v>
      </c>
      <c r="K1165" s="48">
        <f t="shared" si="267"/>
        <v>8</v>
      </c>
      <c r="L1165" s="48">
        <f t="shared" si="268"/>
        <v>68</v>
      </c>
      <c r="N1165" s="72">
        <f t="shared" si="265"/>
        <v>1</v>
      </c>
      <c r="O1165" s="50">
        <f t="shared" si="263"/>
        <v>27.9</v>
      </c>
      <c r="P1165" s="56">
        <f t="shared" si="264"/>
        <v>24</v>
      </c>
      <c r="S1165" s="200" t="s">
        <v>2467</v>
      </c>
      <c r="T1165" s="201">
        <v>18</v>
      </c>
      <c r="U1165" s="58" t="s">
        <v>2468</v>
      </c>
      <c r="V1165" s="46"/>
      <c r="W1165" s="46"/>
      <c r="X1165" s="62" t="s">
        <v>25</v>
      </c>
      <c r="Y1165" s="63">
        <f t="shared" si="262"/>
        <v>27.9</v>
      </c>
      <c r="Z1165" s="64">
        <f t="shared" si="266"/>
        <v>0</v>
      </c>
    </row>
    <row r="1166" spans="1:26" ht="15.75" customHeight="1">
      <c r="A1166" s="63">
        <v>20260075</v>
      </c>
      <c r="B1166" s="65" t="s">
        <v>2382</v>
      </c>
      <c r="C1166" s="66">
        <v>46091</v>
      </c>
      <c r="E1166" s="63">
        <v>1</v>
      </c>
      <c r="F1166" s="68">
        <v>9.4</v>
      </c>
      <c r="G1166" s="69">
        <v>24</v>
      </c>
      <c r="H1166" s="65" t="s">
        <v>2469</v>
      </c>
      <c r="I1166" s="65" t="s">
        <v>42</v>
      </c>
      <c r="J1166" s="65" t="s">
        <v>28</v>
      </c>
      <c r="K1166" s="48">
        <f t="shared" si="267"/>
        <v>8</v>
      </c>
      <c r="L1166" s="48">
        <f t="shared" si="268"/>
        <v>68</v>
      </c>
      <c r="N1166" s="72">
        <f t="shared" si="265"/>
        <v>1</v>
      </c>
      <c r="O1166" s="50">
        <f t="shared" si="263"/>
        <v>9.4</v>
      </c>
      <c r="P1166" s="56">
        <f t="shared" si="264"/>
        <v>24</v>
      </c>
      <c r="S1166" s="200" t="s">
        <v>2470</v>
      </c>
      <c r="T1166" s="201">
        <v>19</v>
      </c>
      <c r="U1166" s="58" t="s">
        <v>2471</v>
      </c>
      <c r="V1166" s="46"/>
      <c r="W1166" s="46"/>
      <c r="X1166" s="62" t="s">
        <v>25</v>
      </c>
      <c r="Y1166" s="63">
        <f t="shared" si="262"/>
        <v>9.4</v>
      </c>
      <c r="Z1166" s="64">
        <f t="shared" si="266"/>
        <v>0</v>
      </c>
    </row>
    <row r="1167" spans="1:26" ht="15.75" customHeight="1">
      <c r="A1167" s="63">
        <v>20260075</v>
      </c>
      <c r="B1167" s="65" t="s">
        <v>2382</v>
      </c>
      <c r="C1167" s="66">
        <v>46091</v>
      </c>
      <c r="E1167" s="63">
        <v>1</v>
      </c>
      <c r="F1167" s="68">
        <v>8.5</v>
      </c>
      <c r="G1167" s="69">
        <v>24</v>
      </c>
      <c r="H1167" s="65" t="s">
        <v>2472</v>
      </c>
      <c r="I1167" s="65" t="s">
        <v>42</v>
      </c>
      <c r="J1167" s="65" t="s">
        <v>28</v>
      </c>
      <c r="K1167" s="48">
        <f t="shared" si="267"/>
        <v>8</v>
      </c>
      <c r="L1167" s="48">
        <f t="shared" si="268"/>
        <v>68</v>
      </c>
      <c r="N1167" s="72">
        <f t="shared" si="265"/>
        <v>1</v>
      </c>
      <c r="O1167" s="50">
        <f t="shared" si="263"/>
        <v>8.5</v>
      </c>
      <c r="P1167" s="56">
        <f t="shared" si="264"/>
        <v>24</v>
      </c>
      <c r="S1167" s="200" t="s">
        <v>2473</v>
      </c>
      <c r="T1167" s="201">
        <v>20</v>
      </c>
      <c r="U1167" s="58" t="s">
        <v>2474</v>
      </c>
      <c r="V1167" s="46"/>
      <c r="W1167" s="46"/>
      <c r="X1167" s="62" t="s">
        <v>25</v>
      </c>
      <c r="Y1167" s="63">
        <f t="shared" si="262"/>
        <v>8.5</v>
      </c>
      <c r="Z1167" s="64">
        <f t="shared" si="266"/>
        <v>0</v>
      </c>
    </row>
    <row r="1168" spans="1:26" ht="15.75" customHeight="1">
      <c r="A1168" s="63">
        <v>20260075</v>
      </c>
      <c r="B1168" s="65" t="s">
        <v>2382</v>
      </c>
      <c r="C1168" s="66">
        <v>46091</v>
      </c>
      <c r="E1168" s="63">
        <v>1</v>
      </c>
      <c r="F1168" s="68">
        <v>34.11</v>
      </c>
      <c r="G1168" s="69">
        <v>24</v>
      </c>
      <c r="H1168" s="65" t="s">
        <v>1132</v>
      </c>
      <c r="I1168" s="65" t="s">
        <v>194</v>
      </c>
      <c r="J1168" s="65" t="s">
        <v>26</v>
      </c>
      <c r="K1168" s="48">
        <f t="shared" si="267"/>
        <v>8</v>
      </c>
      <c r="L1168" s="48">
        <f t="shared" si="268"/>
        <v>68</v>
      </c>
      <c r="N1168" s="72">
        <f t="shared" si="265"/>
        <v>1</v>
      </c>
      <c r="O1168" s="50">
        <f t="shared" si="263"/>
        <v>34.11</v>
      </c>
      <c r="P1168" s="56">
        <f t="shared" si="264"/>
        <v>24</v>
      </c>
      <c r="S1168" s="200" t="s">
        <v>2475</v>
      </c>
      <c r="T1168" s="201">
        <v>21</v>
      </c>
      <c r="U1168" s="58" t="s">
        <v>2476</v>
      </c>
      <c r="V1168" s="46"/>
      <c r="W1168" s="46"/>
      <c r="X1168" s="62" t="s">
        <v>25</v>
      </c>
      <c r="Y1168" s="63">
        <f t="shared" si="262"/>
        <v>34.11</v>
      </c>
      <c r="Z1168" s="64">
        <f t="shared" si="266"/>
        <v>0</v>
      </c>
    </row>
    <row r="1169" spans="1:26" ht="15.75" customHeight="1">
      <c r="A1169" s="63">
        <v>20260075</v>
      </c>
      <c r="B1169" s="65" t="s">
        <v>2382</v>
      </c>
      <c r="C1169" s="66">
        <v>46091</v>
      </c>
      <c r="E1169" s="63">
        <v>1</v>
      </c>
      <c r="F1169" s="68">
        <v>0</v>
      </c>
      <c r="G1169" s="69">
        <v>5</v>
      </c>
      <c r="H1169" s="65" t="s">
        <v>1132</v>
      </c>
      <c r="I1169" s="65" t="s">
        <v>24</v>
      </c>
      <c r="J1169" s="65" t="s">
        <v>24</v>
      </c>
      <c r="K1169" s="48">
        <f t="shared" si="267"/>
        <v>8</v>
      </c>
      <c r="L1169" s="48">
        <f t="shared" si="268"/>
        <v>68</v>
      </c>
      <c r="N1169" s="72">
        <f t="shared" si="265"/>
        <v>1</v>
      </c>
      <c r="O1169" s="50">
        <f t="shared" si="263"/>
        <v>0</v>
      </c>
      <c r="P1169" s="56">
        <f t="shared" si="264"/>
        <v>5</v>
      </c>
      <c r="S1169" s="200" t="s">
        <v>2475</v>
      </c>
      <c r="T1169" s="201">
        <v>21</v>
      </c>
      <c r="U1169" s="58"/>
      <c r="V1169" s="46"/>
      <c r="W1169" s="46"/>
      <c r="X1169" s="62" t="s">
        <v>25</v>
      </c>
      <c r="Y1169" s="63">
        <f t="shared" si="262"/>
        <v>0</v>
      </c>
      <c r="Z1169" s="64">
        <f t="shared" si="266"/>
        <v>0</v>
      </c>
    </row>
    <row r="1170" spans="1:26" ht="15.75" customHeight="1">
      <c r="A1170" s="63">
        <v>20260075</v>
      </c>
      <c r="B1170" s="65" t="s">
        <v>2382</v>
      </c>
      <c r="C1170" s="66">
        <v>46091</v>
      </c>
      <c r="E1170" s="63">
        <v>1</v>
      </c>
      <c r="F1170" s="68">
        <v>23.76</v>
      </c>
      <c r="G1170" s="69">
        <v>24</v>
      </c>
      <c r="H1170" s="65" t="s">
        <v>2477</v>
      </c>
      <c r="I1170" s="65" t="s">
        <v>194</v>
      </c>
      <c r="J1170" s="65" t="s">
        <v>26</v>
      </c>
      <c r="K1170" s="48">
        <f t="shared" si="267"/>
        <v>8</v>
      </c>
      <c r="L1170" s="48">
        <f t="shared" si="268"/>
        <v>68</v>
      </c>
      <c r="N1170" s="72">
        <f t="shared" si="265"/>
        <v>1</v>
      </c>
      <c r="O1170" s="50">
        <f t="shared" si="263"/>
        <v>23.76</v>
      </c>
      <c r="P1170" s="56">
        <f t="shared" si="264"/>
        <v>24</v>
      </c>
      <c r="S1170" s="200" t="s">
        <v>2478</v>
      </c>
      <c r="T1170" s="201">
        <v>22</v>
      </c>
      <c r="U1170" s="58" t="s">
        <v>2479</v>
      </c>
      <c r="V1170" s="46"/>
      <c r="W1170" s="46"/>
      <c r="X1170" s="62" t="s">
        <v>25</v>
      </c>
      <c r="Y1170" s="63">
        <f t="shared" si="262"/>
        <v>23.76</v>
      </c>
      <c r="Z1170" s="64">
        <f t="shared" si="266"/>
        <v>0</v>
      </c>
    </row>
    <row r="1171" spans="1:26" ht="15.75" customHeight="1">
      <c r="A1171" s="63">
        <v>20260075</v>
      </c>
      <c r="B1171" s="65" t="s">
        <v>2382</v>
      </c>
      <c r="C1171" s="66">
        <v>46091</v>
      </c>
      <c r="E1171" s="63">
        <v>1</v>
      </c>
      <c r="F1171" s="68">
        <v>0</v>
      </c>
      <c r="G1171" s="69">
        <v>5</v>
      </c>
      <c r="H1171" s="65" t="s">
        <v>2477</v>
      </c>
      <c r="I1171" s="65" t="s">
        <v>24</v>
      </c>
      <c r="J1171" s="65" t="s">
        <v>24</v>
      </c>
      <c r="K1171" s="48">
        <f t="shared" si="267"/>
        <v>8</v>
      </c>
      <c r="L1171" s="48">
        <f t="shared" si="268"/>
        <v>68</v>
      </c>
      <c r="N1171" s="72">
        <f t="shared" si="265"/>
        <v>1</v>
      </c>
      <c r="O1171" s="50">
        <f t="shared" si="263"/>
        <v>0</v>
      </c>
      <c r="P1171" s="56">
        <f t="shared" si="264"/>
        <v>5</v>
      </c>
      <c r="S1171" s="200" t="s">
        <v>2478</v>
      </c>
      <c r="T1171" s="201">
        <v>22</v>
      </c>
      <c r="U1171" s="58"/>
      <c r="V1171" s="46"/>
      <c r="W1171" s="46"/>
      <c r="X1171" s="62" t="s">
        <v>25</v>
      </c>
      <c r="Y1171" s="63">
        <f t="shared" si="262"/>
        <v>0</v>
      </c>
      <c r="Z1171" s="64">
        <f t="shared" si="266"/>
        <v>0</v>
      </c>
    </row>
    <row r="1172" spans="1:26" ht="15.75" customHeight="1">
      <c r="A1172" s="63">
        <v>20260075</v>
      </c>
      <c r="B1172" s="65" t="s">
        <v>2382</v>
      </c>
      <c r="C1172" s="66">
        <v>46091</v>
      </c>
      <c r="E1172" s="63">
        <v>1</v>
      </c>
      <c r="F1172" s="68">
        <v>23</v>
      </c>
      <c r="G1172" s="69">
        <v>24</v>
      </c>
      <c r="H1172" s="65" t="s">
        <v>2480</v>
      </c>
      <c r="I1172" s="65" t="s">
        <v>58</v>
      </c>
      <c r="J1172" s="65" t="s">
        <v>28</v>
      </c>
      <c r="K1172" s="48">
        <f t="shared" si="267"/>
        <v>8</v>
      </c>
      <c r="L1172" s="48">
        <f t="shared" si="268"/>
        <v>68</v>
      </c>
      <c r="N1172" s="72">
        <f t="shared" si="265"/>
        <v>1</v>
      </c>
      <c r="O1172" s="50">
        <f t="shared" si="263"/>
        <v>23</v>
      </c>
      <c r="P1172" s="56">
        <f t="shared" si="264"/>
        <v>24</v>
      </c>
      <c r="S1172" s="200" t="s">
        <v>2481</v>
      </c>
      <c r="T1172" s="201">
        <v>23</v>
      </c>
      <c r="U1172" s="58" t="s">
        <v>2482</v>
      </c>
      <c r="V1172" s="46"/>
      <c r="W1172" s="46"/>
      <c r="X1172" s="62" t="s">
        <v>25</v>
      </c>
      <c r="Y1172" s="63">
        <f t="shared" si="262"/>
        <v>23</v>
      </c>
      <c r="Z1172" s="64">
        <f t="shared" si="266"/>
        <v>0</v>
      </c>
    </row>
    <row r="1173" spans="1:26" ht="15.75" customHeight="1">
      <c r="A1173" s="63">
        <v>20260075</v>
      </c>
      <c r="B1173" s="65" t="s">
        <v>2382</v>
      </c>
      <c r="C1173" s="66">
        <v>46091</v>
      </c>
      <c r="E1173" s="63">
        <v>1</v>
      </c>
      <c r="F1173" s="68">
        <v>17.399999999999999</v>
      </c>
      <c r="G1173" s="69">
        <v>24</v>
      </c>
      <c r="H1173" s="65" t="s">
        <v>2024</v>
      </c>
      <c r="I1173" s="65" t="s">
        <v>276</v>
      </c>
      <c r="J1173" s="65" t="s">
        <v>26</v>
      </c>
      <c r="K1173" s="48">
        <f t="shared" si="267"/>
        <v>8</v>
      </c>
      <c r="L1173" s="48">
        <f t="shared" si="268"/>
        <v>68</v>
      </c>
      <c r="N1173" s="72">
        <f t="shared" si="265"/>
        <v>1</v>
      </c>
      <c r="O1173" s="50">
        <f t="shared" si="263"/>
        <v>17.399999999999999</v>
      </c>
      <c r="P1173" s="56">
        <f t="shared" si="264"/>
        <v>24</v>
      </c>
      <c r="S1173" s="200" t="s">
        <v>2483</v>
      </c>
      <c r="T1173" s="201">
        <v>24</v>
      </c>
      <c r="U1173" s="58" t="s">
        <v>1853</v>
      </c>
      <c r="V1173" s="46"/>
      <c r="W1173" s="46"/>
      <c r="X1173" s="62" t="s">
        <v>25</v>
      </c>
      <c r="Y1173" s="63">
        <f t="shared" si="262"/>
        <v>17.399999999999999</v>
      </c>
      <c r="Z1173" s="64">
        <f t="shared" si="266"/>
        <v>0</v>
      </c>
    </row>
    <row r="1174" spans="1:26" ht="15.75" customHeight="1">
      <c r="A1174" s="63">
        <v>20260075</v>
      </c>
      <c r="B1174" s="65" t="s">
        <v>2382</v>
      </c>
      <c r="C1174" s="66">
        <v>46091</v>
      </c>
      <c r="E1174" s="63">
        <v>1</v>
      </c>
      <c r="F1174" s="68">
        <v>15.1</v>
      </c>
      <c r="G1174" s="69">
        <v>24</v>
      </c>
      <c r="H1174" s="65" t="s">
        <v>2484</v>
      </c>
      <c r="I1174" s="65" t="s">
        <v>42</v>
      </c>
      <c r="J1174" s="65" t="s">
        <v>28</v>
      </c>
      <c r="K1174" s="48">
        <f t="shared" si="267"/>
        <v>8</v>
      </c>
      <c r="L1174" s="48">
        <f t="shared" si="268"/>
        <v>68</v>
      </c>
      <c r="N1174" s="72">
        <f t="shared" si="265"/>
        <v>1</v>
      </c>
      <c r="O1174" s="50">
        <f t="shared" si="263"/>
        <v>15.1</v>
      </c>
      <c r="P1174" s="56">
        <f t="shared" si="264"/>
        <v>24</v>
      </c>
      <c r="S1174" s="200" t="s">
        <v>2485</v>
      </c>
      <c r="T1174" s="201">
        <v>25</v>
      </c>
      <c r="U1174" s="58" t="s">
        <v>2486</v>
      </c>
      <c r="V1174" s="46"/>
      <c r="W1174" s="46"/>
      <c r="X1174" s="62" t="s">
        <v>25</v>
      </c>
      <c r="Y1174" s="63">
        <f t="shared" si="262"/>
        <v>15.1</v>
      </c>
      <c r="Z1174" s="64">
        <f t="shared" si="266"/>
        <v>0</v>
      </c>
    </row>
    <row r="1175" spans="1:26" ht="15.75" customHeight="1">
      <c r="A1175" s="63">
        <v>20260075</v>
      </c>
      <c r="B1175" s="65" t="s">
        <v>2382</v>
      </c>
      <c r="C1175" s="66">
        <v>46091</v>
      </c>
      <c r="E1175" s="63">
        <v>1</v>
      </c>
      <c r="F1175" s="68">
        <v>20</v>
      </c>
      <c r="G1175" s="69">
        <v>24</v>
      </c>
      <c r="H1175" s="65" t="s">
        <v>2487</v>
      </c>
      <c r="I1175" s="65" t="s">
        <v>208</v>
      </c>
      <c r="J1175" s="65" t="s">
        <v>26</v>
      </c>
      <c r="K1175" s="48">
        <f t="shared" si="267"/>
        <v>8</v>
      </c>
      <c r="L1175" s="48">
        <f t="shared" si="268"/>
        <v>68</v>
      </c>
      <c r="N1175" s="72">
        <f t="shared" si="265"/>
        <v>1</v>
      </c>
      <c r="O1175" s="50">
        <f t="shared" si="263"/>
        <v>20</v>
      </c>
      <c r="P1175" s="56">
        <f t="shared" si="264"/>
        <v>24</v>
      </c>
      <c r="S1175" s="200" t="s">
        <v>2488</v>
      </c>
      <c r="T1175" s="201">
        <v>26</v>
      </c>
      <c r="U1175" s="58" t="s">
        <v>2489</v>
      </c>
      <c r="V1175" s="46"/>
      <c r="W1175" s="46"/>
      <c r="X1175" s="62" t="s">
        <v>25</v>
      </c>
      <c r="Y1175" s="63">
        <f t="shared" si="262"/>
        <v>20</v>
      </c>
      <c r="Z1175" s="64">
        <f t="shared" si="266"/>
        <v>0</v>
      </c>
    </row>
    <row r="1176" spans="1:26" ht="15.75" customHeight="1">
      <c r="A1176" s="63">
        <v>20260075</v>
      </c>
      <c r="B1176" s="65" t="s">
        <v>2382</v>
      </c>
      <c r="C1176" s="66">
        <v>46091</v>
      </c>
      <c r="E1176" s="63">
        <v>1</v>
      </c>
      <c r="F1176" s="68">
        <v>11.8</v>
      </c>
      <c r="G1176" s="69">
        <v>24</v>
      </c>
      <c r="H1176" s="65" t="s">
        <v>2011</v>
      </c>
      <c r="I1176" s="65" t="s">
        <v>63</v>
      </c>
      <c r="J1176" s="65" t="s">
        <v>28</v>
      </c>
      <c r="K1176" s="48">
        <f t="shared" si="267"/>
        <v>8</v>
      </c>
      <c r="L1176" s="48">
        <f t="shared" si="268"/>
        <v>68</v>
      </c>
      <c r="N1176" s="72">
        <f t="shared" si="265"/>
        <v>1</v>
      </c>
      <c r="O1176" s="50">
        <f t="shared" si="263"/>
        <v>11.8</v>
      </c>
      <c r="P1176" s="56">
        <f t="shared" si="264"/>
        <v>24</v>
      </c>
      <c r="S1176" s="200" t="s">
        <v>2490</v>
      </c>
      <c r="T1176" s="201">
        <v>27</v>
      </c>
      <c r="U1176" s="58" t="s">
        <v>2491</v>
      </c>
      <c r="V1176" s="46"/>
      <c r="W1176" s="46"/>
      <c r="X1176" s="62" t="s">
        <v>25</v>
      </c>
      <c r="Y1176" s="63">
        <f t="shared" si="262"/>
        <v>11.8</v>
      </c>
      <c r="Z1176" s="64">
        <f t="shared" si="266"/>
        <v>0</v>
      </c>
    </row>
    <row r="1177" spans="1:26" ht="15.75" customHeight="1">
      <c r="A1177" s="63">
        <v>20260075</v>
      </c>
      <c r="B1177" s="65" t="s">
        <v>2382</v>
      </c>
      <c r="C1177" s="66">
        <v>46091</v>
      </c>
      <c r="E1177" s="63">
        <v>1</v>
      </c>
      <c r="F1177" s="68">
        <v>20</v>
      </c>
      <c r="G1177" s="69">
        <v>24</v>
      </c>
      <c r="H1177" s="65" t="s">
        <v>2492</v>
      </c>
      <c r="I1177" s="65" t="s">
        <v>208</v>
      </c>
      <c r="J1177" s="65" t="s">
        <v>26</v>
      </c>
      <c r="K1177" s="48">
        <f t="shared" si="267"/>
        <v>8</v>
      </c>
      <c r="L1177" s="48">
        <f t="shared" si="268"/>
        <v>68</v>
      </c>
      <c r="N1177" s="72">
        <f t="shared" si="265"/>
        <v>1</v>
      </c>
      <c r="O1177" s="50">
        <f t="shared" si="263"/>
        <v>20</v>
      </c>
      <c r="P1177" s="56">
        <f t="shared" si="264"/>
        <v>24</v>
      </c>
      <c r="S1177" s="200" t="s">
        <v>2493</v>
      </c>
      <c r="T1177" s="201">
        <v>28</v>
      </c>
      <c r="U1177" s="58" t="s">
        <v>2494</v>
      </c>
      <c r="V1177" s="46"/>
      <c r="W1177" s="46"/>
      <c r="X1177" s="62" t="s">
        <v>25</v>
      </c>
      <c r="Y1177" s="63">
        <f t="shared" si="262"/>
        <v>20</v>
      </c>
      <c r="Z1177" s="64">
        <f t="shared" si="266"/>
        <v>0</v>
      </c>
    </row>
    <row r="1178" spans="1:26" ht="15.75" customHeight="1">
      <c r="A1178" s="63">
        <v>20260075</v>
      </c>
      <c r="B1178" s="65" t="s">
        <v>2382</v>
      </c>
      <c r="C1178" s="66">
        <v>46091</v>
      </c>
      <c r="E1178" s="63">
        <v>1</v>
      </c>
      <c r="F1178" s="68">
        <v>12.33</v>
      </c>
      <c r="G1178" s="69">
        <v>24</v>
      </c>
      <c r="H1178" s="65" t="s">
        <v>2495</v>
      </c>
      <c r="I1178" s="65" t="s">
        <v>42</v>
      </c>
      <c r="J1178" s="65" t="s">
        <v>28</v>
      </c>
      <c r="K1178" s="48">
        <f t="shared" si="267"/>
        <v>8</v>
      </c>
      <c r="L1178" s="48">
        <f t="shared" si="268"/>
        <v>68</v>
      </c>
      <c r="N1178" s="72">
        <f t="shared" si="265"/>
        <v>1</v>
      </c>
      <c r="O1178" s="50">
        <f t="shared" si="263"/>
        <v>12.33</v>
      </c>
      <c r="P1178" s="56">
        <f t="shared" si="264"/>
        <v>24</v>
      </c>
      <c r="S1178" s="200" t="s">
        <v>2496</v>
      </c>
      <c r="T1178" s="201">
        <v>29</v>
      </c>
      <c r="U1178" s="58" t="s">
        <v>2497</v>
      </c>
      <c r="V1178" s="46"/>
      <c r="W1178" s="46"/>
      <c r="X1178" s="62" t="s">
        <v>25</v>
      </c>
      <c r="Y1178" s="63">
        <f t="shared" si="262"/>
        <v>12.33</v>
      </c>
      <c r="Z1178" s="64">
        <f t="shared" si="266"/>
        <v>0</v>
      </c>
    </row>
    <row r="1179" spans="1:26" ht="15.75" customHeight="1">
      <c r="A1179" s="63">
        <v>20260075</v>
      </c>
      <c r="B1179" s="65" t="s">
        <v>2382</v>
      </c>
      <c r="C1179" s="66">
        <v>46091</v>
      </c>
      <c r="E1179" s="63">
        <v>2</v>
      </c>
      <c r="F1179" s="68">
        <v>4.93</v>
      </c>
      <c r="G1179" s="69">
        <v>48</v>
      </c>
      <c r="H1179" s="65" t="s">
        <v>2034</v>
      </c>
      <c r="I1179" s="65" t="s">
        <v>42</v>
      </c>
      <c r="J1179" s="65" t="s">
        <v>28</v>
      </c>
      <c r="K1179" s="48">
        <f t="shared" si="267"/>
        <v>8</v>
      </c>
      <c r="L1179" s="48">
        <f t="shared" si="268"/>
        <v>68</v>
      </c>
      <c r="N1179" s="72">
        <f t="shared" si="265"/>
        <v>2</v>
      </c>
      <c r="O1179" s="50">
        <f t="shared" si="263"/>
        <v>4.93</v>
      </c>
      <c r="P1179" s="56">
        <f t="shared" si="264"/>
        <v>48</v>
      </c>
      <c r="S1179" s="200" t="s">
        <v>2498</v>
      </c>
      <c r="T1179" s="201">
        <v>30</v>
      </c>
      <c r="U1179" s="58" t="s">
        <v>2499</v>
      </c>
      <c r="V1179" s="46"/>
      <c r="W1179" s="46"/>
      <c r="X1179" s="62" t="s">
        <v>25</v>
      </c>
      <c r="Y1179" s="63">
        <f t="shared" si="262"/>
        <v>2.4649999999999999</v>
      </c>
      <c r="Z1179" s="64">
        <f t="shared" si="266"/>
        <v>0</v>
      </c>
    </row>
    <row r="1180" spans="1:26" ht="15.75" customHeight="1">
      <c r="A1180" s="63">
        <v>20260075</v>
      </c>
      <c r="B1180" s="65" t="s">
        <v>2382</v>
      </c>
      <c r="C1180" s="66">
        <v>46091</v>
      </c>
      <c r="E1180" s="63">
        <v>1</v>
      </c>
      <c r="F1180" s="68">
        <v>2.5649999999999999</v>
      </c>
      <c r="G1180" s="69">
        <v>24</v>
      </c>
      <c r="H1180" s="65" t="s">
        <v>2500</v>
      </c>
      <c r="I1180" s="65" t="s">
        <v>42</v>
      </c>
      <c r="J1180" s="65" t="s">
        <v>28</v>
      </c>
      <c r="K1180" s="48">
        <f t="shared" si="267"/>
        <v>8</v>
      </c>
      <c r="L1180" s="48">
        <f t="shared" si="268"/>
        <v>68</v>
      </c>
      <c r="N1180" s="72">
        <f t="shared" si="265"/>
        <v>1</v>
      </c>
      <c r="O1180" s="50">
        <f t="shared" si="263"/>
        <v>2.5649999999999999</v>
      </c>
      <c r="P1180" s="56">
        <f t="shared" si="264"/>
        <v>24</v>
      </c>
      <c r="S1180" s="200" t="s">
        <v>2501</v>
      </c>
      <c r="T1180" s="201">
        <v>31</v>
      </c>
      <c r="U1180" s="58" t="s">
        <v>2502</v>
      </c>
      <c r="V1180" s="46"/>
      <c r="W1180" s="46"/>
      <c r="X1180" s="62" t="s">
        <v>25</v>
      </c>
      <c r="Y1180" s="63">
        <f t="shared" si="262"/>
        <v>2.5649999999999999</v>
      </c>
      <c r="Z1180" s="64">
        <f t="shared" si="266"/>
        <v>0</v>
      </c>
    </row>
    <row r="1181" spans="1:26" ht="15.75" customHeight="1">
      <c r="A1181" s="63">
        <v>20260075</v>
      </c>
      <c r="B1181" s="65" t="s">
        <v>2382</v>
      </c>
      <c r="C1181" s="66">
        <v>46091</v>
      </c>
      <c r="E1181" s="63">
        <v>1</v>
      </c>
      <c r="F1181" s="68">
        <v>20</v>
      </c>
      <c r="G1181" s="69">
        <v>24</v>
      </c>
      <c r="H1181" s="65" t="s">
        <v>2503</v>
      </c>
      <c r="I1181" s="65" t="s">
        <v>208</v>
      </c>
      <c r="J1181" s="65" t="s">
        <v>26</v>
      </c>
      <c r="K1181" s="48">
        <f t="shared" si="267"/>
        <v>8</v>
      </c>
      <c r="L1181" s="48">
        <f t="shared" si="268"/>
        <v>68</v>
      </c>
      <c r="N1181" s="72">
        <f t="shared" si="265"/>
        <v>1</v>
      </c>
      <c r="O1181" s="50">
        <f t="shared" si="263"/>
        <v>20</v>
      </c>
      <c r="P1181" s="56">
        <f t="shared" si="264"/>
        <v>24</v>
      </c>
      <c r="S1181" s="200" t="s">
        <v>2504</v>
      </c>
      <c r="T1181" s="201">
        <v>32</v>
      </c>
      <c r="U1181" s="58" t="s">
        <v>2505</v>
      </c>
      <c r="V1181" s="46"/>
      <c r="W1181" s="46"/>
      <c r="X1181" s="62" t="s">
        <v>25</v>
      </c>
      <c r="Y1181" s="63">
        <f t="shared" si="262"/>
        <v>20</v>
      </c>
      <c r="Z1181" s="64">
        <f t="shared" si="266"/>
        <v>0</v>
      </c>
    </row>
    <row r="1182" spans="1:26" ht="15.75" customHeight="1">
      <c r="A1182" s="63">
        <v>20260075</v>
      </c>
      <c r="B1182" s="65" t="s">
        <v>2382</v>
      </c>
      <c r="C1182" s="66">
        <v>46091</v>
      </c>
      <c r="E1182" s="63">
        <v>1</v>
      </c>
      <c r="F1182" s="68">
        <v>26.5</v>
      </c>
      <c r="G1182" s="69">
        <v>24</v>
      </c>
      <c r="H1182" s="65" t="s">
        <v>2503</v>
      </c>
      <c r="I1182" s="65" t="s">
        <v>2046</v>
      </c>
      <c r="J1182" s="65" t="s">
        <v>26</v>
      </c>
      <c r="K1182" s="48">
        <f t="shared" si="267"/>
        <v>8</v>
      </c>
      <c r="L1182" s="48">
        <f t="shared" si="268"/>
        <v>68</v>
      </c>
      <c r="N1182" s="72">
        <f t="shared" si="265"/>
        <v>1</v>
      </c>
      <c r="O1182" s="50">
        <f t="shared" si="263"/>
        <v>26.5</v>
      </c>
      <c r="P1182" s="56">
        <f t="shared" si="264"/>
        <v>24</v>
      </c>
      <c r="S1182" s="200" t="s">
        <v>2504</v>
      </c>
      <c r="T1182" s="201">
        <v>32</v>
      </c>
      <c r="U1182" s="58"/>
      <c r="V1182" s="46"/>
      <c r="W1182" s="46"/>
      <c r="X1182" s="62" t="s">
        <v>25</v>
      </c>
      <c r="Y1182" s="63">
        <f t="shared" si="262"/>
        <v>26.5</v>
      </c>
      <c r="Z1182" s="64">
        <f t="shared" si="266"/>
        <v>0</v>
      </c>
    </row>
    <row r="1183" spans="1:26" ht="15.75" customHeight="1">
      <c r="A1183" s="63">
        <v>20260075</v>
      </c>
      <c r="B1183" s="65" t="s">
        <v>2382</v>
      </c>
      <c r="C1183" s="66">
        <v>46091</v>
      </c>
      <c r="E1183" s="63">
        <v>2</v>
      </c>
      <c r="F1183" s="68">
        <v>0</v>
      </c>
      <c r="G1183" s="69">
        <v>10</v>
      </c>
      <c r="H1183" s="65" t="s">
        <v>2503</v>
      </c>
      <c r="I1183" s="65" t="s">
        <v>24</v>
      </c>
      <c r="J1183" s="65" t="s">
        <v>24</v>
      </c>
      <c r="K1183" s="48">
        <f t="shared" si="267"/>
        <v>8</v>
      </c>
      <c r="L1183" s="48">
        <f t="shared" si="268"/>
        <v>68</v>
      </c>
      <c r="N1183" s="72">
        <f t="shared" si="265"/>
        <v>2</v>
      </c>
      <c r="O1183" s="50">
        <f t="shared" si="263"/>
        <v>0</v>
      </c>
      <c r="P1183" s="56">
        <f t="shared" si="264"/>
        <v>10</v>
      </c>
      <c r="S1183" s="200" t="s">
        <v>2504</v>
      </c>
      <c r="T1183" s="201">
        <v>32</v>
      </c>
      <c r="U1183" s="58"/>
      <c r="V1183" s="46"/>
      <c r="W1183" s="46"/>
      <c r="X1183" s="62" t="s">
        <v>25</v>
      </c>
      <c r="Y1183" s="63">
        <f t="shared" si="262"/>
        <v>0</v>
      </c>
      <c r="Z1183" s="64">
        <f t="shared" si="266"/>
        <v>0</v>
      </c>
    </row>
    <row r="1184" spans="1:26" ht="15.75" customHeight="1">
      <c r="A1184" s="63">
        <v>20260075</v>
      </c>
      <c r="B1184" s="65" t="s">
        <v>2382</v>
      </c>
      <c r="C1184" s="66">
        <v>46091</v>
      </c>
      <c r="E1184" s="63">
        <v>1</v>
      </c>
      <c r="F1184" s="68">
        <v>22</v>
      </c>
      <c r="G1184" s="69">
        <v>24</v>
      </c>
      <c r="H1184" s="65" t="s">
        <v>2506</v>
      </c>
      <c r="I1184" s="65" t="s">
        <v>446</v>
      </c>
      <c r="J1184" s="65" t="s">
        <v>26</v>
      </c>
      <c r="K1184" s="48">
        <f t="shared" si="267"/>
        <v>8</v>
      </c>
      <c r="L1184" s="48">
        <f t="shared" si="268"/>
        <v>68</v>
      </c>
      <c r="N1184" s="72">
        <f t="shared" si="265"/>
        <v>1</v>
      </c>
      <c r="O1184" s="50">
        <f t="shared" si="263"/>
        <v>22</v>
      </c>
      <c r="P1184" s="56">
        <f t="shared" si="264"/>
        <v>24</v>
      </c>
      <c r="S1184" s="200" t="s">
        <v>2507</v>
      </c>
      <c r="T1184" s="201">
        <v>33</v>
      </c>
      <c r="U1184" s="58" t="s">
        <v>2508</v>
      </c>
      <c r="V1184" s="46"/>
      <c r="W1184" s="46"/>
      <c r="X1184" s="62" t="s">
        <v>25</v>
      </c>
      <c r="Y1184" s="63">
        <f t="shared" si="262"/>
        <v>22</v>
      </c>
      <c r="Z1184" s="64">
        <f t="shared" si="266"/>
        <v>0</v>
      </c>
    </row>
    <row r="1185" spans="1:26" ht="15.75" customHeight="1">
      <c r="A1185" s="63">
        <v>20260075</v>
      </c>
      <c r="B1185" s="65" t="s">
        <v>2382</v>
      </c>
      <c r="C1185" s="66">
        <v>46091</v>
      </c>
      <c r="E1185" s="63">
        <v>1</v>
      </c>
      <c r="F1185" s="68">
        <v>17.5</v>
      </c>
      <c r="G1185" s="69">
        <v>24</v>
      </c>
      <c r="H1185" s="65" t="s">
        <v>2509</v>
      </c>
      <c r="I1185" s="65" t="s">
        <v>276</v>
      </c>
      <c r="J1185" s="65" t="s">
        <v>26</v>
      </c>
      <c r="K1185" s="48">
        <f t="shared" si="267"/>
        <v>8</v>
      </c>
      <c r="L1185" s="48">
        <f t="shared" si="268"/>
        <v>68</v>
      </c>
      <c r="N1185" s="72">
        <f t="shared" si="265"/>
        <v>1</v>
      </c>
      <c r="O1185" s="50">
        <f t="shared" si="263"/>
        <v>17.5</v>
      </c>
      <c r="P1185" s="56">
        <f t="shared" si="264"/>
        <v>24</v>
      </c>
      <c r="S1185" s="200" t="s">
        <v>2510</v>
      </c>
      <c r="T1185" s="201">
        <v>34</v>
      </c>
      <c r="U1185" s="58" t="s">
        <v>741</v>
      </c>
      <c r="V1185" s="46"/>
      <c r="W1185" s="46"/>
      <c r="X1185" s="62" t="s">
        <v>25</v>
      </c>
      <c r="Y1185" s="63">
        <f t="shared" si="262"/>
        <v>17.5</v>
      </c>
      <c r="Z1185" s="64">
        <f t="shared" si="266"/>
        <v>0</v>
      </c>
    </row>
    <row r="1186" spans="1:26" ht="15.75" customHeight="1">
      <c r="A1186" s="63">
        <v>20260075</v>
      </c>
      <c r="B1186" s="65" t="s">
        <v>2382</v>
      </c>
      <c r="C1186" s="66">
        <v>46091</v>
      </c>
      <c r="E1186" s="63">
        <v>1</v>
      </c>
      <c r="F1186" s="68">
        <v>16</v>
      </c>
      <c r="G1186" s="69">
        <v>24</v>
      </c>
      <c r="H1186" s="65" t="s">
        <v>2511</v>
      </c>
      <c r="I1186" s="65" t="s">
        <v>42</v>
      </c>
      <c r="J1186" s="65" t="s">
        <v>28</v>
      </c>
      <c r="K1186" s="48">
        <f t="shared" si="267"/>
        <v>8</v>
      </c>
      <c r="L1186" s="48">
        <f t="shared" si="268"/>
        <v>68</v>
      </c>
      <c r="N1186" s="72">
        <f t="shared" si="265"/>
        <v>1</v>
      </c>
      <c r="O1186" s="50">
        <f t="shared" si="263"/>
        <v>16</v>
      </c>
      <c r="P1186" s="56">
        <f t="shared" si="264"/>
        <v>24</v>
      </c>
      <c r="S1186" s="200" t="s">
        <v>2512</v>
      </c>
      <c r="T1186" s="201">
        <v>35</v>
      </c>
      <c r="U1186" s="58" t="s">
        <v>2513</v>
      </c>
      <c r="V1186" s="46"/>
      <c r="W1186" s="46"/>
      <c r="X1186" s="62" t="s">
        <v>25</v>
      </c>
      <c r="Y1186" s="63">
        <f t="shared" si="262"/>
        <v>16</v>
      </c>
      <c r="Z1186" s="64">
        <f t="shared" si="266"/>
        <v>0</v>
      </c>
    </row>
    <row r="1187" spans="1:26" ht="15.75" customHeight="1">
      <c r="A1187" s="63">
        <v>20260075</v>
      </c>
      <c r="B1187" s="65" t="s">
        <v>2382</v>
      </c>
      <c r="C1187" s="66">
        <v>46091</v>
      </c>
      <c r="E1187" s="63">
        <v>1</v>
      </c>
      <c r="F1187" s="68">
        <v>37.799999999999997</v>
      </c>
      <c r="G1187" s="69">
        <v>24</v>
      </c>
      <c r="H1187" s="65" t="s">
        <v>1184</v>
      </c>
      <c r="I1187" s="65" t="s">
        <v>194</v>
      </c>
      <c r="J1187" s="65" t="s">
        <v>26</v>
      </c>
      <c r="K1187" s="48">
        <f t="shared" si="267"/>
        <v>8</v>
      </c>
      <c r="L1187" s="48">
        <f t="shared" si="268"/>
        <v>68</v>
      </c>
      <c r="N1187" s="72">
        <f t="shared" si="265"/>
        <v>1</v>
      </c>
      <c r="O1187" s="50">
        <f t="shared" si="263"/>
        <v>37.799999999999997</v>
      </c>
      <c r="P1187" s="56">
        <f t="shared" si="264"/>
        <v>24</v>
      </c>
      <c r="S1187" s="200" t="s">
        <v>2514</v>
      </c>
      <c r="T1187" s="201">
        <v>36</v>
      </c>
      <c r="U1187" s="58" t="s">
        <v>2515</v>
      </c>
      <c r="V1187" s="46"/>
      <c r="W1187" s="46"/>
      <c r="X1187" s="62" t="s">
        <v>25</v>
      </c>
      <c r="Y1187" s="63">
        <f t="shared" si="262"/>
        <v>37.799999999999997</v>
      </c>
      <c r="Z1187" s="64">
        <f t="shared" si="266"/>
        <v>0</v>
      </c>
    </row>
    <row r="1188" spans="1:26" ht="15.75" customHeight="1">
      <c r="A1188" s="63">
        <v>20260075</v>
      </c>
      <c r="B1188" s="65" t="s">
        <v>2382</v>
      </c>
      <c r="C1188" s="66">
        <v>46091</v>
      </c>
      <c r="E1188" s="63">
        <v>2</v>
      </c>
      <c r="F1188" s="68">
        <v>0</v>
      </c>
      <c r="G1188" s="69">
        <v>10</v>
      </c>
      <c r="H1188" s="65" t="s">
        <v>1184</v>
      </c>
      <c r="I1188" s="65" t="s">
        <v>24</v>
      </c>
      <c r="J1188" s="65" t="s">
        <v>24</v>
      </c>
      <c r="K1188" s="48">
        <f t="shared" si="267"/>
        <v>8</v>
      </c>
      <c r="L1188" s="48">
        <f t="shared" si="268"/>
        <v>68</v>
      </c>
      <c r="N1188" s="72">
        <f t="shared" si="265"/>
        <v>2</v>
      </c>
      <c r="O1188" s="50">
        <f t="shared" si="263"/>
        <v>0</v>
      </c>
      <c r="P1188" s="56">
        <f t="shared" si="264"/>
        <v>10</v>
      </c>
      <c r="S1188" s="200" t="s">
        <v>2514</v>
      </c>
      <c r="T1188" s="201">
        <v>36</v>
      </c>
      <c r="U1188" s="58"/>
      <c r="V1188" s="46"/>
      <c r="W1188" s="46"/>
      <c r="X1188" s="62" t="s">
        <v>25</v>
      </c>
      <c r="Y1188" s="63">
        <f t="shared" si="262"/>
        <v>0</v>
      </c>
      <c r="Z1188" s="64">
        <f t="shared" si="266"/>
        <v>0</v>
      </c>
    </row>
    <row r="1189" spans="1:26" ht="15.75" customHeight="1">
      <c r="A1189" s="63">
        <v>20260075</v>
      </c>
      <c r="B1189" s="65" t="s">
        <v>2382</v>
      </c>
      <c r="C1189" s="66">
        <v>46091</v>
      </c>
      <c r="E1189" s="63">
        <v>1</v>
      </c>
      <c r="F1189" s="68">
        <v>37.134999999999998</v>
      </c>
      <c r="G1189" s="69">
        <v>24</v>
      </c>
      <c r="H1189" s="65" t="s">
        <v>2516</v>
      </c>
      <c r="I1189" s="65" t="s">
        <v>194</v>
      </c>
      <c r="J1189" s="65" t="s">
        <v>26</v>
      </c>
      <c r="K1189" s="48">
        <f t="shared" si="267"/>
        <v>8</v>
      </c>
      <c r="L1189" s="48">
        <f t="shared" si="268"/>
        <v>68</v>
      </c>
      <c r="N1189" s="72">
        <f t="shared" si="265"/>
        <v>1</v>
      </c>
      <c r="O1189" s="50">
        <f t="shared" si="263"/>
        <v>37.134999999999998</v>
      </c>
      <c r="P1189" s="56">
        <f t="shared" si="264"/>
        <v>24</v>
      </c>
      <c r="S1189" s="200" t="s">
        <v>2517</v>
      </c>
      <c r="T1189" s="201">
        <v>37</v>
      </c>
      <c r="U1189" s="58" t="s">
        <v>2518</v>
      </c>
      <c r="V1189" s="46"/>
      <c r="W1189" s="46"/>
      <c r="X1189" s="62" t="s">
        <v>25</v>
      </c>
      <c r="Y1189" s="63">
        <f t="shared" si="262"/>
        <v>37.134999999999998</v>
      </c>
      <c r="Z1189" s="64">
        <f t="shared" si="266"/>
        <v>0</v>
      </c>
    </row>
    <row r="1190" spans="1:26" ht="15.75" customHeight="1">
      <c r="A1190" s="63">
        <v>20260075</v>
      </c>
      <c r="B1190" s="65" t="s">
        <v>2382</v>
      </c>
      <c r="C1190" s="66">
        <v>46091</v>
      </c>
      <c r="E1190" s="63">
        <v>4</v>
      </c>
      <c r="F1190" s="68">
        <v>0</v>
      </c>
      <c r="G1190" s="69">
        <v>20</v>
      </c>
      <c r="H1190" s="65" t="s">
        <v>2516</v>
      </c>
      <c r="I1190" s="65" t="s">
        <v>24</v>
      </c>
      <c r="J1190" s="65" t="s">
        <v>24</v>
      </c>
      <c r="K1190" s="48">
        <f t="shared" si="267"/>
        <v>8</v>
      </c>
      <c r="L1190" s="48">
        <f t="shared" si="268"/>
        <v>68</v>
      </c>
      <c r="N1190" s="72">
        <f t="shared" si="265"/>
        <v>4</v>
      </c>
      <c r="O1190" s="50">
        <f t="shared" si="263"/>
        <v>0</v>
      </c>
      <c r="P1190" s="56">
        <f t="shared" si="264"/>
        <v>20</v>
      </c>
      <c r="S1190" s="200" t="s">
        <v>2517</v>
      </c>
      <c r="T1190" s="201">
        <v>37</v>
      </c>
      <c r="U1190" s="58"/>
      <c r="V1190" s="46"/>
      <c r="W1190" s="46"/>
      <c r="X1190" s="62" t="s">
        <v>25</v>
      </c>
      <c r="Y1190" s="63">
        <f t="shared" si="262"/>
        <v>0</v>
      </c>
      <c r="Z1190" s="64">
        <f t="shared" si="266"/>
        <v>0</v>
      </c>
    </row>
    <row r="1191" spans="1:26" ht="15.75" customHeight="1">
      <c r="A1191" s="63">
        <v>20260075</v>
      </c>
      <c r="B1191" s="65" t="s">
        <v>2382</v>
      </c>
      <c r="C1191" s="66">
        <v>46091</v>
      </c>
      <c r="E1191" s="63">
        <v>1</v>
      </c>
      <c r="F1191" s="68">
        <v>37.1</v>
      </c>
      <c r="G1191" s="69">
        <v>24</v>
      </c>
      <c r="H1191" s="65" t="s">
        <v>2519</v>
      </c>
      <c r="I1191" s="65" t="s">
        <v>194</v>
      </c>
      <c r="J1191" s="65" t="s">
        <v>26</v>
      </c>
      <c r="K1191" s="48">
        <f t="shared" si="267"/>
        <v>8</v>
      </c>
      <c r="L1191" s="48">
        <f t="shared" si="268"/>
        <v>68</v>
      </c>
      <c r="N1191" s="72">
        <f t="shared" si="265"/>
        <v>1</v>
      </c>
      <c r="O1191" s="50">
        <f t="shared" si="263"/>
        <v>37.1</v>
      </c>
      <c r="P1191" s="56">
        <f t="shared" si="264"/>
        <v>24</v>
      </c>
      <c r="S1191" s="200" t="s">
        <v>2520</v>
      </c>
      <c r="T1191" s="201">
        <v>38</v>
      </c>
      <c r="U1191" s="58" t="s">
        <v>2521</v>
      </c>
      <c r="V1191" s="46"/>
      <c r="W1191" s="46"/>
      <c r="X1191" s="62" t="s">
        <v>25</v>
      </c>
      <c r="Y1191" s="63">
        <f t="shared" si="262"/>
        <v>37.1</v>
      </c>
      <c r="Z1191" s="64">
        <f t="shared" si="266"/>
        <v>0</v>
      </c>
    </row>
    <row r="1192" spans="1:26" ht="15.75" customHeight="1">
      <c r="A1192" s="63">
        <v>20260075</v>
      </c>
      <c r="B1192" s="65" t="s">
        <v>2382</v>
      </c>
      <c r="C1192" s="66">
        <v>46091</v>
      </c>
      <c r="E1192" s="63">
        <v>2</v>
      </c>
      <c r="F1192" s="68">
        <v>0</v>
      </c>
      <c r="G1192" s="69">
        <v>10</v>
      </c>
      <c r="H1192" s="65" t="s">
        <v>2519</v>
      </c>
      <c r="I1192" s="65" t="s">
        <v>24</v>
      </c>
      <c r="J1192" s="65" t="s">
        <v>24</v>
      </c>
      <c r="K1192" s="48">
        <f t="shared" si="267"/>
        <v>8</v>
      </c>
      <c r="L1192" s="48">
        <f t="shared" si="268"/>
        <v>68</v>
      </c>
      <c r="N1192" s="72">
        <f t="shared" si="265"/>
        <v>2</v>
      </c>
      <c r="O1192" s="50">
        <f t="shared" si="263"/>
        <v>0</v>
      </c>
      <c r="P1192" s="56">
        <f t="shared" si="264"/>
        <v>10</v>
      </c>
      <c r="S1192" s="200" t="s">
        <v>2520</v>
      </c>
      <c r="T1192" s="201">
        <v>38</v>
      </c>
      <c r="U1192" s="58"/>
      <c r="V1192" s="46"/>
      <c r="W1192" s="46"/>
      <c r="X1192" s="62" t="s">
        <v>25</v>
      </c>
      <c r="Y1192" s="63">
        <f t="shared" si="262"/>
        <v>0</v>
      </c>
      <c r="Z1192" s="64">
        <f t="shared" si="266"/>
        <v>0</v>
      </c>
    </row>
    <row r="1193" spans="1:26" ht="15.75" customHeight="1">
      <c r="A1193" s="63">
        <v>20260075</v>
      </c>
      <c r="B1193" s="65" t="s">
        <v>2382</v>
      </c>
      <c r="C1193" s="66">
        <v>46091</v>
      </c>
      <c r="E1193" s="63">
        <v>2</v>
      </c>
      <c r="F1193" s="68">
        <v>6.61</v>
      </c>
      <c r="G1193" s="69">
        <v>48</v>
      </c>
      <c r="H1193" s="65" t="s">
        <v>2522</v>
      </c>
      <c r="I1193" s="65" t="s">
        <v>42</v>
      </c>
      <c r="J1193" s="65" t="s">
        <v>28</v>
      </c>
      <c r="K1193" s="48">
        <f t="shared" si="267"/>
        <v>8</v>
      </c>
      <c r="L1193" s="48">
        <f t="shared" si="268"/>
        <v>68</v>
      </c>
      <c r="N1193" s="72">
        <f t="shared" si="265"/>
        <v>2</v>
      </c>
      <c r="O1193" s="50">
        <f t="shared" si="263"/>
        <v>6.61</v>
      </c>
      <c r="P1193" s="56">
        <f t="shared" si="264"/>
        <v>48</v>
      </c>
      <c r="S1193" s="200" t="s">
        <v>2523</v>
      </c>
      <c r="T1193" s="201">
        <v>39</v>
      </c>
      <c r="U1193" s="58" t="s">
        <v>2524</v>
      </c>
      <c r="V1193" s="46"/>
      <c r="W1193" s="46"/>
      <c r="X1193" s="62" t="s">
        <v>25</v>
      </c>
      <c r="Y1193" s="63">
        <f t="shared" si="262"/>
        <v>3.3050000000000002</v>
      </c>
      <c r="Z1193" s="64">
        <f t="shared" si="266"/>
        <v>0</v>
      </c>
    </row>
    <row r="1194" spans="1:26" ht="15.75" customHeight="1">
      <c r="A1194" s="63">
        <v>20260075</v>
      </c>
      <c r="B1194" s="65" t="s">
        <v>2382</v>
      </c>
      <c r="C1194" s="66">
        <v>46091</v>
      </c>
      <c r="E1194" s="63">
        <v>1</v>
      </c>
      <c r="F1194" s="68">
        <v>9.5</v>
      </c>
      <c r="G1194" s="69">
        <v>48</v>
      </c>
      <c r="H1194" s="65" t="s">
        <v>2525</v>
      </c>
      <c r="I1194" s="65" t="s">
        <v>42</v>
      </c>
      <c r="J1194" s="65" t="s">
        <v>28</v>
      </c>
      <c r="K1194" s="48">
        <f t="shared" si="267"/>
        <v>8</v>
      </c>
      <c r="L1194" s="48">
        <f t="shared" si="268"/>
        <v>68</v>
      </c>
      <c r="N1194" s="72">
        <f t="shared" si="265"/>
        <v>1</v>
      </c>
      <c r="O1194" s="50">
        <f t="shared" si="263"/>
        <v>9.5</v>
      </c>
      <c r="P1194" s="56">
        <f t="shared" si="264"/>
        <v>48</v>
      </c>
      <c r="S1194" s="200" t="s">
        <v>2526</v>
      </c>
      <c r="T1194" s="201">
        <v>40</v>
      </c>
      <c r="U1194" s="58" t="s">
        <v>2527</v>
      </c>
      <c r="V1194" s="46"/>
      <c r="W1194" s="46"/>
      <c r="X1194" s="62" t="s">
        <v>25</v>
      </c>
      <c r="Y1194" s="63">
        <f t="shared" si="262"/>
        <v>9.5</v>
      </c>
      <c r="Z1194" s="64">
        <f t="shared" si="266"/>
        <v>0</v>
      </c>
    </row>
    <row r="1195" spans="1:26" ht="15.75" customHeight="1">
      <c r="A1195" s="63">
        <v>20260075</v>
      </c>
      <c r="B1195" s="65" t="s">
        <v>2382</v>
      </c>
      <c r="C1195" s="66">
        <v>46091</v>
      </c>
      <c r="E1195" s="63">
        <v>1</v>
      </c>
      <c r="F1195" s="68">
        <v>17.649999999999999</v>
      </c>
      <c r="G1195" s="69">
        <v>24</v>
      </c>
      <c r="H1195" s="65" t="s">
        <v>2528</v>
      </c>
      <c r="I1195" s="65" t="s">
        <v>276</v>
      </c>
      <c r="J1195" s="65" t="s">
        <v>26</v>
      </c>
      <c r="K1195" s="48">
        <f t="shared" si="267"/>
        <v>8</v>
      </c>
      <c r="L1195" s="48">
        <f t="shared" si="268"/>
        <v>68</v>
      </c>
      <c r="N1195" s="72">
        <f t="shared" si="265"/>
        <v>1</v>
      </c>
      <c r="O1195" s="50">
        <f t="shared" si="263"/>
        <v>17.649999999999999</v>
      </c>
      <c r="P1195" s="56">
        <f t="shared" si="264"/>
        <v>24</v>
      </c>
      <c r="S1195" s="200" t="s">
        <v>2529</v>
      </c>
      <c r="T1195" s="201">
        <v>41</v>
      </c>
      <c r="U1195" s="58" t="s">
        <v>2530</v>
      </c>
      <c r="V1195" s="46"/>
      <c r="W1195" s="46"/>
      <c r="X1195" s="62" t="s">
        <v>25</v>
      </c>
      <c r="Y1195" s="63">
        <f t="shared" si="262"/>
        <v>17.649999999999999</v>
      </c>
      <c r="Z1195" s="64">
        <f t="shared" si="266"/>
        <v>0</v>
      </c>
    </row>
    <row r="1196" spans="1:26" ht="15.75" customHeight="1">
      <c r="A1196" s="63">
        <v>20260075</v>
      </c>
      <c r="B1196" s="65" t="s">
        <v>2382</v>
      </c>
      <c r="C1196" s="66">
        <v>46091</v>
      </c>
      <c r="E1196" s="63">
        <v>1</v>
      </c>
      <c r="F1196" s="68">
        <v>0</v>
      </c>
      <c r="G1196" s="69">
        <v>5</v>
      </c>
      <c r="H1196" s="65" t="s">
        <v>2528</v>
      </c>
      <c r="I1196" s="65" t="s">
        <v>24</v>
      </c>
      <c r="J1196" s="65" t="s">
        <v>24</v>
      </c>
      <c r="K1196" s="48">
        <f t="shared" si="267"/>
        <v>8</v>
      </c>
      <c r="L1196" s="48">
        <f t="shared" si="268"/>
        <v>68</v>
      </c>
      <c r="N1196" s="72">
        <f t="shared" si="265"/>
        <v>1</v>
      </c>
      <c r="O1196" s="50">
        <f t="shared" si="263"/>
        <v>0</v>
      </c>
      <c r="P1196" s="56">
        <f t="shared" si="264"/>
        <v>5</v>
      </c>
      <c r="S1196" s="200" t="s">
        <v>2529</v>
      </c>
      <c r="T1196" s="201">
        <v>41</v>
      </c>
      <c r="U1196" s="58"/>
      <c r="V1196" s="46"/>
      <c r="W1196" s="46"/>
      <c r="X1196" s="62" t="s">
        <v>25</v>
      </c>
      <c r="Y1196" s="63">
        <f t="shared" si="262"/>
        <v>0</v>
      </c>
      <c r="Z1196" s="64">
        <f t="shared" si="266"/>
        <v>0</v>
      </c>
    </row>
    <row r="1197" spans="1:26" ht="15.75" customHeight="1">
      <c r="A1197" s="63">
        <v>20260075</v>
      </c>
      <c r="B1197" s="65" t="s">
        <v>2382</v>
      </c>
      <c r="C1197" s="66">
        <v>46091</v>
      </c>
      <c r="E1197" s="63">
        <v>1</v>
      </c>
      <c r="F1197" s="68">
        <v>42.2</v>
      </c>
      <c r="G1197" s="69">
        <v>60</v>
      </c>
      <c r="H1197" s="65" t="s">
        <v>2531</v>
      </c>
      <c r="I1197" s="65" t="s">
        <v>138</v>
      </c>
      <c r="J1197" s="65" t="s">
        <v>26</v>
      </c>
      <c r="K1197" s="48">
        <f t="shared" si="267"/>
        <v>8</v>
      </c>
      <c r="L1197" s="48">
        <f t="shared" si="268"/>
        <v>68</v>
      </c>
      <c r="N1197" s="72">
        <f t="shared" si="265"/>
        <v>1</v>
      </c>
      <c r="O1197" s="50">
        <f t="shared" si="263"/>
        <v>42.2</v>
      </c>
      <c r="P1197" s="56">
        <f t="shared" si="264"/>
        <v>60</v>
      </c>
      <c r="S1197" s="200" t="s">
        <v>2532</v>
      </c>
      <c r="T1197" s="201">
        <v>42</v>
      </c>
      <c r="U1197" s="58" t="s">
        <v>2533</v>
      </c>
      <c r="V1197" s="46"/>
      <c r="W1197" s="46"/>
      <c r="X1197" s="62" t="s">
        <v>25</v>
      </c>
      <c r="Y1197" s="63">
        <f t="shared" si="262"/>
        <v>42.2</v>
      </c>
      <c r="Z1197" s="64">
        <f t="shared" si="266"/>
        <v>0</v>
      </c>
    </row>
    <row r="1198" spans="1:26" ht="15.75" customHeight="1">
      <c r="A1198" s="63">
        <v>20260075</v>
      </c>
      <c r="B1198" s="65" t="s">
        <v>2382</v>
      </c>
      <c r="C1198" s="66">
        <v>46091</v>
      </c>
      <c r="E1198" s="63">
        <v>1</v>
      </c>
      <c r="F1198" s="68">
        <v>47.1</v>
      </c>
      <c r="G1198" s="69">
        <v>60</v>
      </c>
      <c r="H1198" s="65" t="s">
        <v>2534</v>
      </c>
      <c r="I1198" s="65" t="s">
        <v>138</v>
      </c>
      <c r="J1198" s="65" t="s">
        <v>26</v>
      </c>
      <c r="K1198" s="48">
        <f t="shared" si="267"/>
        <v>8</v>
      </c>
      <c r="L1198" s="48">
        <f t="shared" si="268"/>
        <v>68</v>
      </c>
      <c r="N1198" s="72">
        <f t="shared" si="265"/>
        <v>1</v>
      </c>
      <c r="O1198" s="50">
        <f t="shared" si="263"/>
        <v>47.1</v>
      </c>
      <c r="P1198" s="56">
        <f t="shared" si="264"/>
        <v>60</v>
      </c>
      <c r="S1198" s="200" t="s">
        <v>2535</v>
      </c>
      <c r="T1198" s="201">
        <v>43</v>
      </c>
      <c r="U1198" s="58" t="s">
        <v>2536</v>
      </c>
      <c r="V1198" s="46"/>
      <c r="W1198" s="46"/>
      <c r="X1198" s="62" t="s">
        <v>25</v>
      </c>
      <c r="Y1198" s="63">
        <f t="shared" si="262"/>
        <v>47.1</v>
      </c>
      <c r="Z1198" s="64">
        <f t="shared" si="266"/>
        <v>0</v>
      </c>
    </row>
    <row r="1199" spans="1:26" ht="15.75" customHeight="1">
      <c r="A1199" s="63">
        <v>20260075</v>
      </c>
      <c r="B1199" s="65" t="s">
        <v>2382</v>
      </c>
      <c r="C1199" s="66">
        <v>46091</v>
      </c>
      <c r="E1199" s="63">
        <v>1</v>
      </c>
      <c r="F1199" s="68">
        <v>0</v>
      </c>
      <c r="G1199" s="69">
        <v>5</v>
      </c>
      <c r="H1199" s="65" t="s">
        <v>2534</v>
      </c>
      <c r="I1199" s="65" t="s">
        <v>24</v>
      </c>
      <c r="J1199" s="65" t="s">
        <v>24</v>
      </c>
      <c r="K1199" s="48">
        <f t="shared" si="267"/>
        <v>8</v>
      </c>
      <c r="L1199" s="48">
        <f t="shared" si="268"/>
        <v>68</v>
      </c>
      <c r="N1199" s="72">
        <f t="shared" si="265"/>
        <v>1</v>
      </c>
      <c r="O1199" s="50">
        <f t="shared" si="263"/>
        <v>0</v>
      </c>
      <c r="P1199" s="56">
        <f t="shared" si="264"/>
        <v>5</v>
      </c>
      <c r="S1199" s="200" t="s">
        <v>2535</v>
      </c>
      <c r="T1199" s="201">
        <v>43</v>
      </c>
      <c r="U1199" s="58"/>
      <c r="V1199" s="46"/>
      <c r="W1199" s="46"/>
      <c r="X1199" s="62" t="s">
        <v>25</v>
      </c>
      <c r="Y1199" s="63">
        <f t="shared" si="262"/>
        <v>0</v>
      </c>
      <c r="Z1199" s="64">
        <f t="shared" si="266"/>
        <v>0</v>
      </c>
    </row>
    <row r="1200" spans="1:26" ht="15.75" customHeight="1">
      <c r="A1200" s="63">
        <v>20260075</v>
      </c>
      <c r="B1200" s="65" t="s">
        <v>2382</v>
      </c>
      <c r="C1200" s="66">
        <v>46091</v>
      </c>
      <c r="E1200" s="63">
        <v>1</v>
      </c>
      <c r="F1200" s="68">
        <v>51.8</v>
      </c>
      <c r="G1200" s="69">
        <v>60</v>
      </c>
      <c r="H1200" s="65" t="s">
        <v>2537</v>
      </c>
      <c r="I1200" s="65" t="s">
        <v>138</v>
      </c>
      <c r="J1200" s="65" t="s">
        <v>26</v>
      </c>
      <c r="K1200" s="48">
        <f t="shared" si="267"/>
        <v>8</v>
      </c>
      <c r="L1200" s="48">
        <f t="shared" si="268"/>
        <v>68</v>
      </c>
      <c r="N1200" s="72">
        <f t="shared" si="265"/>
        <v>1</v>
      </c>
      <c r="O1200" s="50">
        <f t="shared" si="263"/>
        <v>51.8</v>
      </c>
      <c r="P1200" s="56">
        <f t="shared" si="264"/>
        <v>60</v>
      </c>
      <c r="S1200" s="200" t="s">
        <v>2538</v>
      </c>
      <c r="T1200" s="201">
        <v>44</v>
      </c>
      <c r="U1200" s="58" t="s">
        <v>2539</v>
      </c>
      <c r="V1200" s="46"/>
      <c r="W1200" s="46"/>
      <c r="X1200" s="62" t="s">
        <v>25</v>
      </c>
      <c r="Y1200" s="63">
        <f t="shared" si="262"/>
        <v>51.8</v>
      </c>
      <c r="Z1200" s="64">
        <f t="shared" si="266"/>
        <v>0</v>
      </c>
    </row>
    <row r="1201" spans="1:26" ht="15.75" customHeight="1">
      <c r="A1201" s="63">
        <v>20260075</v>
      </c>
      <c r="B1201" s="65" t="s">
        <v>2382</v>
      </c>
      <c r="C1201" s="66">
        <v>46091</v>
      </c>
      <c r="E1201" s="63">
        <v>3</v>
      </c>
      <c r="F1201" s="68">
        <v>0</v>
      </c>
      <c r="G1201" s="69">
        <v>15</v>
      </c>
      <c r="H1201" s="65" t="s">
        <v>2537</v>
      </c>
      <c r="I1201" s="65" t="s">
        <v>24</v>
      </c>
      <c r="J1201" s="65" t="s">
        <v>24</v>
      </c>
      <c r="K1201" s="48">
        <f t="shared" si="267"/>
        <v>8</v>
      </c>
      <c r="L1201" s="48">
        <f t="shared" si="268"/>
        <v>68</v>
      </c>
      <c r="N1201" s="72">
        <f t="shared" si="265"/>
        <v>3</v>
      </c>
      <c r="O1201" s="50">
        <f t="shared" si="263"/>
        <v>0</v>
      </c>
      <c r="P1201" s="56">
        <f t="shared" si="264"/>
        <v>15</v>
      </c>
      <c r="S1201" s="200" t="s">
        <v>2538</v>
      </c>
      <c r="T1201" s="201">
        <v>44</v>
      </c>
      <c r="U1201" s="58"/>
      <c r="V1201" s="46"/>
      <c r="W1201" s="46"/>
      <c r="X1201" s="62" t="s">
        <v>25</v>
      </c>
      <c r="Y1201" s="63">
        <f t="shared" si="262"/>
        <v>0</v>
      </c>
      <c r="Z1201" s="64">
        <f t="shared" si="266"/>
        <v>0</v>
      </c>
    </row>
    <row r="1202" spans="1:26" ht="15.75" customHeight="1">
      <c r="A1202" s="63">
        <v>20260075</v>
      </c>
      <c r="B1202" s="65" t="s">
        <v>2382</v>
      </c>
      <c r="C1202" s="66">
        <v>46091</v>
      </c>
      <c r="E1202" s="63">
        <v>2</v>
      </c>
      <c r="F1202" s="68">
        <v>44</v>
      </c>
      <c r="G1202" s="69">
        <v>48</v>
      </c>
      <c r="H1202" s="65" t="s">
        <v>2540</v>
      </c>
      <c r="I1202" s="65" t="s">
        <v>2046</v>
      </c>
      <c r="J1202" s="65" t="s">
        <v>26</v>
      </c>
      <c r="K1202" s="48">
        <f t="shared" si="267"/>
        <v>8</v>
      </c>
      <c r="L1202" s="48">
        <f t="shared" si="268"/>
        <v>68</v>
      </c>
      <c r="N1202" s="72">
        <f t="shared" si="265"/>
        <v>2</v>
      </c>
      <c r="O1202" s="50">
        <f t="shared" si="263"/>
        <v>44</v>
      </c>
      <c r="P1202" s="56">
        <f t="shared" si="264"/>
        <v>48</v>
      </c>
      <c r="S1202" s="200" t="s">
        <v>2541</v>
      </c>
      <c r="T1202" s="201">
        <v>45</v>
      </c>
      <c r="U1202" s="58" t="s">
        <v>2542</v>
      </c>
      <c r="V1202" s="46"/>
      <c r="W1202" s="46"/>
      <c r="X1202" s="62" t="s">
        <v>25</v>
      </c>
      <c r="Y1202" s="63">
        <f t="shared" si="262"/>
        <v>22</v>
      </c>
      <c r="Z1202" s="64">
        <f t="shared" si="266"/>
        <v>0</v>
      </c>
    </row>
    <row r="1203" spans="1:26" ht="15.75" customHeight="1">
      <c r="A1203" s="63">
        <v>20260075</v>
      </c>
      <c r="B1203" s="65" t="s">
        <v>2382</v>
      </c>
      <c r="C1203" s="66">
        <v>46091</v>
      </c>
      <c r="E1203" s="63">
        <v>4</v>
      </c>
      <c r="F1203" s="68">
        <v>0</v>
      </c>
      <c r="G1203" s="69">
        <v>20</v>
      </c>
      <c r="H1203" s="65" t="s">
        <v>2540</v>
      </c>
      <c r="I1203" s="65" t="s">
        <v>24</v>
      </c>
      <c r="J1203" s="65" t="s">
        <v>24</v>
      </c>
      <c r="K1203" s="48">
        <f t="shared" si="267"/>
        <v>8</v>
      </c>
      <c r="L1203" s="48">
        <f t="shared" si="268"/>
        <v>68</v>
      </c>
      <c r="N1203" s="72">
        <f t="shared" si="265"/>
        <v>4</v>
      </c>
      <c r="O1203" s="50">
        <f t="shared" si="263"/>
        <v>0</v>
      </c>
      <c r="P1203" s="56">
        <f t="shared" si="264"/>
        <v>20</v>
      </c>
      <c r="S1203" s="200" t="s">
        <v>2541</v>
      </c>
      <c r="T1203" s="201">
        <v>45</v>
      </c>
      <c r="U1203" s="58"/>
      <c r="V1203" s="46"/>
      <c r="W1203" s="46"/>
      <c r="X1203" s="62" t="s">
        <v>25</v>
      </c>
      <c r="Y1203" s="63">
        <f t="shared" si="262"/>
        <v>0</v>
      </c>
      <c r="Z1203" s="64">
        <f t="shared" si="266"/>
        <v>0</v>
      </c>
    </row>
    <row r="1204" spans="1:26" ht="15.75" customHeight="1">
      <c r="A1204" s="63">
        <v>20260075</v>
      </c>
      <c r="B1204" s="65" t="s">
        <v>2382</v>
      </c>
      <c r="C1204" s="66">
        <v>46091</v>
      </c>
      <c r="E1204" s="63">
        <v>1</v>
      </c>
      <c r="F1204" s="68">
        <v>10.65</v>
      </c>
      <c r="G1204" s="69">
        <v>24</v>
      </c>
      <c r="H1204" s="65" t="s">
        <v>2543</v>
      </c>
      <c r="I1204" s="65" t="s">
        <v>446</v>
      </c>
      <c r="J1204" s="65" t="s">
        <v>26</v>
      </c>
      <c r="K1204" s="48">
        <f t="shared" si="267"/>
        <v>8</v>
      </c>
      <c r="L1204" s="48">
        <f t="shared" si="268"/>
        <v>68</v>
      </c>
      <c r="N1204" s="72">
        <f t="shared" si="265"/>
        <v>1</v>
      </c>
      <c r="O1204" s="50">
        <f t="shared" si="263"/>
        <v>10.65</v>
      </c>
      <c r="P1204" s="56">
        <f t="shared" si="264"/>
        <v>24</v>
      </c>
      <c r="S1204" s="200" t="s">
        <v>2544</v>
      </c>
      <c r="T1204" s="201">
        <v>46</v>
      </c>
      <c r="U1204" s="58" t="s">
        <v>2545</v>
      </c>
      <c r="V1204" s="46"/>
      <c r="W1204" s="46"/>
      <c r="X1204" s="62" t="s">
        <v>25</v>
      </c>
      <c r="Y1204" s="63">
        <f t="shared" ref="Y1204:Y1267" si="269">F1204/E1204</f>
        <v>10.65</v>
      </c>
      <c r="Z1204" s="64">
        <f t="shared" si="266"/>
        <v>0</v>
      </c>
    </row>
    <row r="1205" spans="1:26" ht="15.75" customHeight="1">
      <c r="A1205" s="63">
        <v>20260075</v>
      </c>
      <c r="B1205" s="65" t="s">
        <v>2382</v>
      </c>
      <c r="C1205" s="66">
        <v>46091</v>
      </c>
      <c r="E1205" s="63">
        <v>1</v>
      </c>
      <c r="F1205" s="68">
        <v>25.6</v>
      </c>
      <c r="G1205" s="69">
        <v>24</v>
      </c>
      <c r="H1205" s="65" t="s">
        <v>2299</v>
      </c>
      <c r="I1205" s="65" t="s">
        <v>208</v>
      </c>
      <c r="J1205" s="65" t="s">
        <v>26</v>
      </c>
      <c r="K1205" s="48">
        <f t="shared" si="267"/>
        <v>8</v>
      </c>
      <c r="L1205" s="48">
        <f t="shared" si="268"/>
        <v>68</v>
      </c>
      <c r="N1205" s="72">
        <f t="shared" si="265"/>
        <v>1</v>
      </c>
      <c r="O1205" s="50">
        <f t="shared" si="263"/>
        <v>25.6</v>
      </c>
      <c r="P1205" s="56">
        <f t="shared" si="264"/>
        <v>24</v>
      </c>
      <c r="S1205" s="200" t="s">
        <v>2546</v>
      </c>
      <c r="T1205" s="201">
        <v>47</v>
      </c>
      <c r="U1205" s="58" t="s">
        <v>2547</v>
      </c>
      <c r="V1205" s="46"/>
      <c r="W1205" s="46"/>
      <c r="X1205" s="62" t="s">
        <v>25</v>
      </c>
      <c r="Y1205" s="63">
        <f t="shared" si="269"/>
        <v>25.6</v>
      </c>
      <c r="Z1205" s="64">
        <f t="shared" si="266"/>
        <v>0</v>
      </c>
    </row>
    <row r="1206" spans="1:26" ht="15.75" customHeight="1">
      <c r="A1206" s="63">
        <v>20260075</v>
      </c>
      <c r="B1206" s="65" t="s">
        <v>2382</v>
      </c>
      <c r="C1206" s="66">
        <v>46091</v>
      </c>
      <c r="E1206" s="63">
        <v>1</v>
      </c>
      <c r="F1206" s="68">
        <v>34</v>
      </c>
      <c r="G1206" s="69">
        <v>24</v>
      </c>
      <c r="H1206" s="65" t="s">
        <v>2548</v>
      </c>
      <c r="I1206" s="65" t="s">
        <v>194</v>
      </c>
      <c r="J1206" s="65" t="s">
        <v>26</v>
      </c>
      <c r="K1206" s="48">
        <f t="shared" si="267"/>
        <v>8</v>
      </c>
      <c r="L1206" s="48">
        <f t="shared" si="268"/>
        <v>68</v>
      </c>
      <c r="N1206" s="72">
        <f t="shared" si="265"/>
        <v>1</v>
      </c>
      <c r="O1206" s="50">
        <f t="shared" si="263"/>
        <v>34</v>
      </c>
      <c r="P1206" s="56">
        <f t="shared" si="264"/>
        <v>24</v>
      </c>
      <c r="S1206" s="200" t="s">
        <v>2549</v>
      </c>
      <c r="T1206" s="201">
        <v>48</v>
      </c>
      <c r="U1206" s="58" t="s">
        <v>682</v>
      </c>
      <c r="V1206" s="46"/>
      <c r="W1206" s="46"/>
      <c r="X1206" s="62" t="s">
        <v>25</v>
      </c>
      <c r="Y1206" s="63">
        <f t="shared" si="269"/>
        <v>34</v>
      </c>
      <c r="Z1206" s="64">
        <f t="shared" si="266"/>
        <v>0</v>
      </c>
    </row>
    <row r="1207" spans="1:26" ht="15.75" customHeight="1">
      <c r="A1207" s="63">
        <v>20260075</v>
      </c>
      <c r="B1207" s="65" t="s">
        <v>2382</v>
      </c>
      <c r="C1207" s="66">
        <v>46091</v>
      </c>
      <c r="E1207" s="63">
        <v>1</v>
      </c>
      <c r="F1207" s="68">
        <v>0</v>
      </c>
      <c r="G1207" s="69">
        <v>5</v>
      </c>
      <c r="H1207" s="65" t="s">
        <v>2548</v>
      </c>
      <c r="I1207" s="65" t="s">
        <v>24</v>
      </c>
      <c r="J1207" s="65" t="s">
        <v>24</v>
      </c>
      <c r="K1207" s="48">
        <f t="shared" si="267"/>
        <v>8</v>
      </c>
      <c r="L1207" s="48">
        <f t="shared" si="268"/>
        <v>68</v>
      </c>
      <c r="N1207" s="72">
        <f t="shared" si="265"/>
        <v>1</v>
      </c>
      <c r="O1207" s="50">
        <f t="shared" si="263"/>
        <v>0</v>
      </c>
      <c r="P1207" s="56">
        <f t="shared" si="264"/>
        <v>5</v>
      </c>
      <c r="S1207" s="200" t="s">
        <v>2549</v>
      </c>
      <c r="T1207" s="201">
        <v>48</v>
      </c>
      <c r="U1207" s="58"/>
      <c r="V1207" s="46"/>
      <c r="W1207" s="46"/>
      <c r="X1207" s="62" t="s">
        <v>25</v>
      </c>
      <c r="Y1207" s="63">
        <f t="shared" si="269"/>
        <v>0</v>
      </c>
      <c r="Z1207" s="64">
        <f t="shared" si="266"/>
        <v>0</v>
      </c>
    </row>
    <row r="1208" spans="1:26" ht="15.75" customHeight="1">
      <c r="A1208" s="63">
        <v>20260075</v>
      </c>
      <c r="B1208" s="65" t="s">
        <v>2382</v>
      </c>
      <c r="C1208" s="66">
        <v>46091</v>
      </c>
      <c r="E1208" s="63">
        <v>1</v>
      </c>
      <c r="F1208" s="68">
        <v>34</v>
      </c>
      <c r="G1208" s="69">
        <v>24</v>
      </c>
      <c r="H1208" s="65" t="s">
        <v>2550</v>
      </c>
      <c r="I1208" s="65" t="s">
        <v>194</v>
      </c>
      <c r="J1208" s="65" t="s">
        <v>26</v>
      </c>
      <c r="K1208" s="48">
        <f t="shared" si="267"/>
        <v>8</v>
      </c>
      <c r="L1208" s="48">
        <f t="shared" si="268"/>
        <v>68</v>
      </c>
      <c r="N1208" s="72">
        <f t="shared" si="265"/>
        <v>1</v>
      </c>
      <c r="O1208" s="50">
        <f t="shared" si="263"/>
        <v>34</v>
      </c>
      <c r="P1208" s="56">
        <f t="shared" si="264"/>
        <v>24</v>
      </c>
      <c r="S1208" s="200" t="s">
        <v>2551</v>
      </c>
      <c r="T1208" s="201">
        <v>49</v>
      </c>
      <c r="U1208" s="58" t="s">
        <v>682</v>
      </c>
      <c r="V1208" s="46"/>
      <c r="W1208" s="46"/>
      <c r="X1208" s="62" t="s">
        <v>25</v>
      </c>
      <c r="Y1208" s="63">
        <f t="shared" si="269"/>
        <v>34</v>
      </c>
      <c r="Z1208" s="64">
        <f t="shared" si="266"/>
        <v>0</v>
      </c>
    </row>
    <row r="1209" spans="1:26" ht="15.75" customHeight="1">
      <c r="A1209" s="63">
        <v>20260075</v>
      </c>
      <c r="B1209" s="65" t="s">
        <v>2382</v>
      </c>
      <c r="C1209" s="66">
        <v>46091</v>
      </c>
      <c r="E1209" s="63">
        <v>1</v>
      </c>
      <c r="F1209" s="68">
        <v>0</v>
      </c>
      <c r="G1209" s="69">
        <v>5</v>
      </c>
      <c r="H1209" s="65" t="s">
        <v>2550</v>
      </c>
      <c r="I1209" s="65" t="s">
        <v>24</v>
      </c>
      <c r="J1209" s="65" t="s">
        <v>24</v>
      </c>
      <c r="K1209" s="48">
        <f t="shared" si="267"/>
        <v>8</v>
      </c>
      <c r="L1209" s="48">
        <f t="shared" si="268"/>
        <v>68</v>
      </c>
      <c r="N1209" s="72">
        <f t="shared" si="265"/>
        <v>1</v>
      </c>
      <c r="O1209" s="50">
        <f t="shared" si="263"/>
        <v>0</v>
      </c>
      <c r="P1209" s="56">
        <f t="shared" si="264"/>
        <v>5</v>
      </c>
      <c r="S1209" s="200" t="s">
        <v>2551</v>
      </c>
      <c r="T1209" s="201">
        <v>49</v>
      </c>
      <c r="U1209" s="58"/>
      <c r="V1209" s="46"/>
      <c r="W1209" s="46"/>
      <c r="X1209" s="62" t="s">
        <v>25</v>
      </c>
      <c r="Y1209" s="63">
        <f t="shared" si="269"/>
        <v>0</v>
      </c>
      <c r="Z1209" s="64">
        <f t="shared" si="266"/>
        <v>0</v>
      </c>
    </row>
    <row r="1210" spans="1:26" ht="15.75" customHeight="1">
      <c r="A1210" s="63">
        <v>20260075</v>
      </c>
      <c r="B1210" s="65" t="s">
        <v>2382</v>
      </c>
      <c r="C1210" s="66">
        <v>46091</v>
      </c>
      <c r="E1210" s="63">
        <v>1</v>
      </c>
      <c r="F1210" s="68">
        <v>40.299999999999997</v>
      </c>
      <c r="G1210" s="69">
        <v>24</v>
      </c>
      <c r="H1210" s="65" t="s">
        <v>1291</v>
      </c>
      <c r="I1210" s="65" t="s">
        <v>194</v>
      </c>
      <c r="J1210" s="65" t="s">
        <v>26</v>
      </c>
      <c r="K1210" s="48">
        <f t="shared" si="267"/>
        <v>8</v>
      </c>
      <c r="L1210" s="48">
        <f t="shared" si="268"/>
        <v>68</v>
      </c>
      <c r="N1210" s="72">
        <f t="shared" si="265"/>
        <v>1</v>
      </c>
      <c r="O1210" s="50">
        <f t="shared" si="263"/>
        <v>40.299999999999997</v>
      </c>
      <c r="P1210" s="56">
        <f t="shared" si="264"/>
        <v>24</v>
      </c>
      <c r="S1210" s="200" t="s">
        <v>2552</v>
      </c>
      <c r="T1210" s="201">
        <v>50</v>
      </c>
      <c r="U1210" s="58" t="s">
        <v>2553</v>
      </c>
      <c r="V1210" s="46"/>
      <c r="W1210" s="46"/>
      <c r="X1210" s="62" t="s">
        <v>25</v>
      </c>
      <c r="Y1210" s="63">
        <f t="shared" si="269"/>
        <v>40.299999999999997</v>
      </c>
      <c r="Z1210" s="64">
        <f t="shared" si="266"/>
        <v>0</v>
      </c>
    </row>
    <row r="1211" spans="1:26" ht="15.75" customHeight="1">
      <c r="A1211" s="63">
        <v>20260075</v>
      </c>
      <c r="B1211" s="65" t="s">
        <v>2382</v>
      </c>
      <c r="C1211" s="66">
        <v>46091</v>
      </c>
      <c r="E1211" s="63">
        <v>2</v>
      </c>
      <c r="F1211" s="68">
        <v>0</v>
      </c>
      <c r="G1211" s="69">
        <v>10</v>
      </c>
      <c r="H1211" s="65" t="s">
        <v>1291</v>
      </c>
      <c r="I1211" s="65" t="s">
        <v>24</v>
      </c>
      <c r="J1211" s="65" t="s">
        <v>24</v>
      </c>
      <c r="K1211" s="48">
        <f t="shared" si="267"/>
        <v>8</v>
      </c>
      <c r="L1211" s="48">
        <f t="shared" si="268"/>
        <v>68</v>
      </c>
      <c r="N1211" s="72">
        <f t="shared" si="265"/>
        <v>2</v>
      </c>
      <c r="O1211" s="50">
        <f t="shared" si="263"/>
        <v>0</v>
      </c>
      <c r="P1211" s="56">
        <f t="shared" si="264"/>
        <v>10</v>
      </c>
      <c r="S1211" s="200" t="s">
        <v>2552</v>
      </c>
      <c r="T1211" s="201">
        <v>50</v>
      </c>
      <c r="U1211" s="58"/>
      <c r="V1211" s="46"/>
      <c r="W1211" s="46"/>
      <c r="X1211" s="62" t="s">
        <v>25</v>
      </c>
      <c r="Y1211" s="63">
        <f t="shared" si="269"/>
        <v>0</v>
      </c>
      <c r="Z1211" s="64">
        <f t="shared" si="266"/>
        <v>0</v>
      </c>
    </row>
    <row r="1212" spans="1:26" ht="15.75" customHeight="1">
      <c r="A1212" s="63">
        <v>20260075</v>
      </c>
      <c r="B1212" s="65" t="s">
        <v>2382</v>
      </c>
      <c r="C1212" s="66">
        <v>46091</v>
      </c>
      <c r="E1212" s="63">
        <v>1</v>
      </c>
      <c r="F1212" s="68">
        <v>13.3</v>
      </c>
      <c r="G1212" s="69">
        <v>24</v>
      </c>
      <c r="H1212" s="65" t="s">
        <v>2554</v>
      </c>
      <c r="I1212" s="65" t="s">
        <v>42</v>
      </c>
      <c r="J1212" s="65" t="s">
        <v>28</v>
      </c>
      <c r="K1212" s="48">
        <f t="shared" si="267"/>
        <v>8</v>
      </c>
      <c r="L1212" s="48">
        <f t="shared" si="268"/>
        <v>68</v>
      </c>
      <c r="N1212" s="72">
        <f t="shared" si="265"/>
        <v>1</v>
      </c>
      <c r="O1212" s="50">
        <f t="shared" ref="O1212:O1275" si="270">F1212/E1212*N1212</f>
        <v>13.3</v>
      </c>
      <c r="P1212" s="56">
        <f t="shared" ref="P1212:P1275" si="271">G1212/E1212*N1212</f>
        <v>24</v>
      </c>
      <c r="S1212" s="200" t="s">
        <v>2555</v>
      </c>
      <c r="T1212" s="201">
        <v>51</v>
      </c>
      <c r="U1212" s="58" t="s">
        <v>2556</v>
      </c>
      <c r="V1212" s="46"/>
      <c r="W1212" s="46"/>
      <c r="X1212" s="62" t="s">
        <v>25</v>
      </c>
      <c r="Y1212" s="63">
        <f t="shared" si="269"/>
        <v>13.3</v>
      </c>
      <c r="Z1212" s="64">
        <f t="shared" si="266"/>
        <v>0</v>
      </c>
    </row>
    <row r="1213" spans="1:26" ht="15.75" customHeight="1">
      <c r="A1213" s="63">
        <v>20260075</v>
      </c>
      <c r="B1213" s="65" t="s">
        <v>2382</v>
      </c>
      <c r="C1213" s="66">
        <v>46091</v>
      </c>
      <c r="E1213" s="63">
        <v>1</v>
      </c>
      <c r="F1213" s="68">
        <v>34</v>
      </c>
      <c r="G1213" s="69">
        <v>24</v>
      </c>
      <c r="H1213" s="65" t="s">
        <v>2034</v>
      </c>
      <c r="I1213" s="65" t="s">
        <v>194</v>
      </c>
      <c r="J1213" s="65" t="s">
        <v>26</v>
      </c>
      <c r="K1213" s="48">
        <f t="shared" si="267"/>
        <v>8</v>
      </c>
      <c r="L1213" s="48">
        <f t="shared" si="268"/>
        <v>68</v>
      </c>
      <c r="N1213" s="72">
        <f t="shared" ref="N1213:N1276" si="272">E1213</f>
        <v>1</v>
      </c>
      <c r="O1213" s="50">
        <f t="shared" si="270"/>
        <v>34</v>
      </c>
      <c r="P1213" s="56">
        <f t="shared" si="271"/>
        <v>24</v>
      </c>
      <c r="S1213" s="200" t="s">
        <v>2557</v>
      </c>
      <c r="T1213" s="201">
        <v>52</v>
      </c>
      <c r="U1213" s="58" t="s">
        <v>682</v>
      </c>
      <c r="V1213" s="46"/>
      <c r="W1213" s="46"/>
      <c r="X1213" s="62" t="s">
        <v>25</v>
      </c>
      <c r="Y1213" s="63">
        <f t="shared" si="269"/>
        <v>34</v>
      </c>
      <c r="Z1213" s="64">
        <f t="shared" si="266"/>
        <v>0</v>
      </c>
    </row>
    <row r="1214" spans="1:26" ht="15.75" customHeight="1">
      <c r="A1214" s="63">
        <v>20260075</v>
      </c>
      <c r="B1214" s="65" t="s">
        <v>2382</v>
      </c>
      <c r="C1214" s="66">
        <v>46091</v>
      </c>
      <c r="E1214" s="63">
        <v>1</v>
      </c>
      <c r="F1214" s="68">
        <v>0</v>
      </c>
      <c r="G1214" s="69">
        <v>5</v>
      </c>
      <c r="H1214" s="65" t="s">
        <v>2034</v>
      </c>
      <c r="I1214" s="65" t="s">
        <v>24</v>
      </c>
      <c r="J1214" s="65" t="s">
        <v>24</v>
      </c>
      <c r="K1214" s="48">
        <f t="shared" si="267"/>
        <v>8</v>
      </c>
      <c r="L1214" s="48">
        <f t="shared" si="268"/>
        <v>68</v>
      </c>
      <c r="N1214" s="72">
        <f t="shared" si="272"/>
        <v>1</v>
      </c>
      <c r="O1214" s="50">
        <f t="shared" si="270"/>
        <v>0</v>
      </c>
      <c r="P1214" s="56">
        <f t="shared" si="271"/>
        <v>5</v>
      </c>
      <c r="S1214" s="200" t="s">
        <v>2557</v>
      </c>
      <c r="T1214" s="201">
        <v>52</v>
      </c>
      <c r="U1214" s="58"/>
      <c r="V1214" s="46"/>
      <c r="W1214" s="46"/>
      <c r="X1214" s="62" t="s">
        <v>25</v>
      </c>
      <c r="Y1214" s="63">
        <f t="shared" si="269"/>
        <v>0</v>
      </c>
      <c r="Z1214" s="64">
        <f t="shared" ref="Z1214:Z1277" si="273">E1214-N1214</f>
        <v>0</v>
      </c>
    </row>
    <row r="1215" spans="1:26" ht="15.75" customHeight="1">
      <c r="A1215" s="63">
        <v>20260075</v>
      </c>
      <c r="B1215" s="65" t="s">
        <v>2382</v>
      </c>
      <c r="C1215" s="66">
        <v>46091</v>
      </c>
      <c r="E1215" s="63">
        <v>1</v>
      </c>
      <c r="F1215" s="68">
        <v>19.100000000000001</v>
      </c>
      <c r="G1215" s="69">
        <v>24</v>
      </c>
      <c r="H1215" s="65" t="s">
        <v>1390</v>
      </c>
      <c r="I1215" s="65" t="s">
        <v>63</v>
      </c>
      <c r="J1215" s="65" t="s">
        <v>28</v>
      </c>
      <c r="K1215" s="48">
        <f t="shared" si="267"/>
        <v>8</v>
      </c>
      <c r="L1215" s="48">
        <f t="shared" si="268"/>
        <v>68</v>
      </c>
      <c r="N1215" s="72">
        <f t="shared" si="272"/>
        <v>1</v>
      </c>
      <c r="O1215" s="50">
        <f t="shared" si="270"/>
        <v>19.100000000000001</v>
      </c>
      <c r="P1215" s="56">
        <f t="shared" si="271"/>
        <v>24</v>
      </c>
      <c r="S1215" s="200" t="s">
        <v>2558</v>
      </c>
      <c r="T1215" s="201">
        <v>53</v>
      </c>
      <c r="U1215" s="58" t="s">
        <v>2559</v>
      </c>
      <c r="V1215" s="46"/>
      <c r="W1215" s="46"/>
      <c r="X1215" s="62" t="s">
        <v>25</v>
      </c>
      <c r="Y1215" s="63">
        <f t="shared" si="269"/>
        <v>19.100000000000001</v>
      </c>
      <c r="Z1215" s="64">
        <f t="shared" si="273"/>
        <v>0</v>
      </c>
    </row>
    <row r="1216" spans="1:26" ht="15.75" customHeight="1">
      <c r="A1216" s="63">
        <v>20260075</v>
      </c>
      <c r="B1216" s="65" t="s">
        <v>2382</v>
      </c>
      <c r="C1216" s="66">
        <v>46091</v>
      </c>
      <c r="E1216" s="63">
        <v>1</v>
      </c>
      <c r="F1216" s="68">
        <v>36.299999999999997</v>
      </c>
      <c r="G1216" s="69">
        <v>24</v>
      </c>
      <c r="H1216" s="65" t="s">
        <v>2560</v>
      </c>
      <c r="I1216" s="65" t="s">
        <v>194</v>
      </c>
      <c r="J1216" s="65" t="s">
        <v>26</v>
      </c>
      <c r="K1216" s="48">
        <f t="shared" si="267"/>
        <v>8</v>
      </c>
      <c r="L1216" s="48">
        <f t="shared" si="268"/>
        <v>68</v>
      </c>
      <c r="N1216" s="72">
        <f t="shared" si="272"/>
        <v>1</v>
      </c>
      <c r="O1216" s="50">
        <f t="shared" si="270"/>
        <v>36.299999999999997</v>
      </c>
      <c r="P1216" s="56">
        <f t="shared" si="271"/>
        <v>24</v>
      </c>
      <c r="S1216" s="200" t="s">
        <v>2561</v>
      </c>
      <c r="T1216" s="201">
        <v>54</v>
      </c>
      <c r="U1216" s="58" t="s">
        <v>1375</v>
      </c>
      <c r="V1216" s="46"/>
      <c r="W1216" s="46"/>
      <c r="X1216" s="62" t="s">
        <v>25</v>
      </c>
      <c r="Y1216" s="63">
        <f t="shared" si="269"/>
        <v>36.299999999999997</v>
      </c>
      <c r="Z1216" s="64">
        <f t="shared" si="273"/>
        <v>0</v>
      </c>
    </row>
    <row r="1217" spans="1:26" ht="15.75" customHeight="1">
      <c r="A1217" s="63">
        <v>20260075</v>
      </c>
      <c r="B1217" s="65" t="s">
        <v>2382</v>
      </c>
      <c r="C1217" s="66">
        <v>46091</v>
      </c>
      <c r="E1217" s="63">
        <v>2</v>
      </c>
      <c r="F1217" s="68">
        <v>0</v>
      </c>
      <c r="G1217" s="69">
        <v>10</v>
      </c>
      <c r="H1217" s="65" t="s">
        <v>2560</v>
      </c>
      <c r="I1217" s="65" t="s">
        <v>24</v>
      </c>
      <c r="J1217" s="65" t="s">
        <v>24</v>
      </c>
      <c r="K1217" s="48">
        <f t="shared" si="267"/>
        <v>8</v>
      </c>
      <c r="L1217" s="48">
        <f t="shared" si="268"/>
        <v>68</v>
      </c>
      <c r="N1217" s="72">
        <f t="shared" si="272"/>
        <v>2</v>
      </c>
      <c r="O1217" s="50">
        <f t="shared" si="270"/>
        <v>0</v>
      </c>
      <c r="P1217" s="56">
        <f t="shared" si="271"/>
        <v>10</v>
      </c>
      <c r="S1217" s="200" t="s">
        <v>2561</v>
      </c>
      <c r="T1217" s="201">
        <v>54</v>
      </c>
      <c r="U1217" s="58"/>
      <c r="V1217" s="46"/>
      <c r="W1217" s="46"/>
      <c r="X1217" s="62" t="s">
        <v>25</v>
      </c>
      <c r="Y1217" s="63">
        <f t="shared" si="269"/>
        <v>0</v>
      </c>
      <c r="Z1217" s="64">
        <f t="shared" si="273"/>
        <v>0</v>
      </c>
    </row>
    <row r="1218" spans="1:26" ht="15.75" customHeight="1">
      <c r="A1218" s="63">
        <v>20260075</v>
      </c>
      <c r="B1218" s="65" t="s">
        <v>2382</v>
      </c>
      <c r="C1218" s="66">
        <v>46091</v>
      </c>
      <c r="E1218" s="63">
        <v>1</v>
      </c>
      <c r="F1218" s="68">
        <v>13.74</v>
      </c>
      <c r="G1218" s="69">
        <v>24</v>
      </c>
      <c r="H1218" s="65" t="s">
        <v>2562</v>
      </c>
      <c r="I1218" s="65" t="s">
        <v>42</v>
      </c>
      <c r="J1218" s="65" t="s">
        <v>28</v>
      </c>
      <c r="K1218" s="48">
        <f t="shared" si="267"/>
        <v>8</v>
      </c>
      <c r="L1218" s="48">
        <f t="shared" si="268"/>
        <v>68</v>
      </c>
      <c r="N1218" s="72">
        <f t="shared" si="272"/>
        <v>1</v>
      </c>
      <c r="O1218" s="50">
        <f t="shared" si="270"/>
        <v>13.74</v>
      </c>
      <c r="P1218" s="56">
        <f t="shared" si="271"/>
        <v>24</v>
      </c>
      <c r="S1218" s="200" t="s">
        <v>2563</v>
      </c>
      <c r="T1218" s="201">
        <v>55</v>
      </c>
      <c r="U1218" s="58" t="s">
        <v>2564</v>
      </c>
      <c r="V1218" s="46"/>
      <c r="W1218" s="46"/>
      <c r="X1218" s="62" t="s">
        <v>25</v>
      </c>
      <c r="Y1218" s="63">
        <f t="shared" si="269"/>
        <v>13.74</v>
      </c>
      <c r="Z1218" s="64">
        <f t="shared" si="273"/>
        <v>0</v>
      </c>
    </row>
    <row r="1219" spans="1:26" ht="15.75" customHeight="1">
      <c r="A1219" s="63">
        <v>20260075</v>
      </c>
      <c r="B1219" s="65" t="s">
        <v>2382</v>
      </c>
      <c r="C1219" s="66">
        <v>46091</v>
      </c>
      <c r="E1219" s="63">
        <v>1</v>
      </c>
      <c r="F1219" s="68">
        <v>37.15</v>
      </c>
      <c r="G1219" s="69">
        <v>24</v>
      </c>
      <c r="H1219" s="65" t="s">
        <v>2565</v>
      </c>
      <c r="I1219" s="65" t="s">
        <v>194</v>
      </c>
      <c r="J1219" s="65" t="s">
        <v>26</v>
      </c>
      <c r="K1219" s="48">
        <f t="shared" si="267"/>
        <v>8</v>
      </c>
      <c r="L1219" s="48">
        <f t="shared" si="268"/>
        <v>68</v>
      </c>
      <c r="N1219" s="72">
        <f t="shared" si="272"/>
        <v>1</v>
      </c>
      <c r="O1219" s="50">
        <f t="shared" si="270"/>
        <v>37.15</v>
      </c>
      <c r="P1219" s="56">
        <f t="shared" si="271"/>
        <v>24</v>
      </c>
      <c r="S1219" s="200" t="s">
        <v>2566</v>
      </c>
      <c r="T1219" s="201">
        <v>56</v>
      </c>
      <c r="U1219" s="58" t="s">
        <v>2567</v>
      </c>
      <c r="V1219" s="46"/>
      <c r="W1219" s="46"/>
      <c r="X1219" s="62" t="s">
        <v>25</v>
      </c>
      <c r="Y1219" s="63">
        <f t="shared" si="269"/>
        <v>37.15</v>
      </c>
      <c r="Z1219" s="64">
        <f t="shared" si="273"/>
        <v>0</v>
      </c>
    </row>
    <row r="1220" spans="1:26" ht="15.75" customHeight="1">
      <c r="A1220" s="63">
        <v>20260075</v>
      </c>
      <c r="B1220" s="65" t="s">
        <v>2382</v>
      </c>
      <c r="C1220" s="66">
        <v>46091</v>
      </c>
      <c r="E1220" s="63">
        <v>2</v>
      </c>
      <c r="F1220" s="68">
        <v>0</v>
      </c>
      <c r="G1220" s="69">
        <v>10</v>
      </c>
      <c r="H1220" s="65" t="s">
        <v>2565</v>
      </c>
      <c r="I1220" s="65" t="s">
        <v>24</v>
      </c>
      <c r="J1220" s="65" t="s">
        <v>24</v>
      </c>
      <c r="K1220" s="48">
        <f t="shared" si="267"/>
        <v>8</v>
      </c>
      <c r="L1220" s="48">
        <f t="shared" si="268"/>
        <v>68</v>
      </c>
      <c r="N1220" s="72">
        <f t="shared" si="272"/>
        <v>2</v>
      </c>
      <c r="O1220" s="50">
        <f t="shared" si="270"/>
        <v>0</v>
      </c>
      <c r="P1220" s="56">
        <f t="shared" si="271"/>
        <v>10</v>
      </c>
      <c r="S1220" s="200" t="s">
        <v>2566</v>
      </c>
      <c r="T1220" s="201">
        <v>56</v>
      </c>
      <c r="U1220" s="58"/>
      <c r="V1220" s="46"/>
      <c r="W1220" s="46"/>
      <c r="X1220" s="62" t="s">
        <v>25</v>
      </c>
      <c r="Y1220" s="63">
        <f t="shared" si="269"/>
        <v>0</v>
      </c>
      <c r="Z1220" s="64">
        <f t="shared" si="273"/>
        <v>0</v>
      </c>
    </row>
    <row r="1221" spans="1:26" ht="15.75" customHeight="1">
      <c r="A1221" s="63">
        <v>20260075</v>
      </c>
      <c r="B1221" s="65" t="s">
        <v>2382</v>
      </c>
      <c r="C1221" s="66">
        <v>46091</v>
      </c>
      <c r="E1221" s="63">
        <v>1</v>
      </c>
      <c r="F1221" s="68">
        <v>34</v>
      </c>
      <c r="G1221" s="69">
        <v>24</v>
      </c>
      <c r="H1221" s="65" t="s">
        <v>2568</v>
      </c>
      <c r="I1221" s="65" t="s">
        <v>194</v>
      </c>
      <c r="J1221" s="65" t="s">
        <v>26</v>
      </c>
      <c r="K1221" s="48">
        <f t="shared" si="267"/>
        <v>8</v>
      </c>
      <c r="L1221" s="48">
        <f t="shared" si="268"/>
        <v>68</v>
      </c>
      <c r="N1221" s="72">
        <f t="shared" si="272"/>
        <v>1</v>
      </c>
      <c r="O1221" s="50">
        <f t="shared" si="270"/>
        <v>34</v>
      </c>
      <c r="P1221" s="56">
        <f t="shared" si="271"/>
        <v>24</v>
      </c>
      <c r="S1221" s="200" t="s">
        <v>2569</v>
      </c>
      <c r="T1221" s="201">
        <v>57</v>
      </c>
      <c r="U1221" s="58" t="s">
        <v>1353</v>
      </c>
      <c r="V1221" s="46"/>
      <c r="W1221" s="46"/>
      <c r="X1221" s="62" t="s">
        <v>25</v>
      </c>
      <c r="Y1221" s="63">
        <f t="shared" si="269"/>
        <v>34</v>
      </c>
      <c r="Z1221" s="64">
        <f t="shared" si="273"/>
        <v>0</v>
      </c>
    </row>
    <row r="1222" spans="1:26" ht="15.75" customHeight="1">
      <c r="A1222" s="63">
        <v>20260075</v>
      </c>
      <c r="B1222" s="65" t="s">
        <v>2382</v>
      </c>
      <c r="C1222" s="66">
        <v>46091</v>
      </c>
      <c r="E1222" s="63">
        <v>1</v>
      </c>
      <c r="F1222" s="68">
        <v>0</v>
      </c>
      <c r="G1222" s="69">
        <v>5</v>
      </c>
      <c r="H1222" s="65" t="s">
        <v>2568</v>
      </c>
      <c r="I1222" s="65" t="s">
        <v>24</v>
      </c>
      <c r="J1222" s="65" t="s">
        <v>24</v>
      </c>
      <c r="K1222" s="48">
        <f t="shared" si="267"/>
        <v>8</v>
      </c>
      <c r="L1222" s="48">
        <f t="shared" si="268"/>
        <v>68</v>
      </c>
      <c r="N1222" s="72">
        <f t="shared" si="272"/>
        <v>1</v>
      </c>
      <c r="O1222" s="50">
        <f t="shared" si="270"/>
        <v>0</v>
      </c>
      <c r="P1222" s="56">
        <f t="shared" si="271"/>
        <v>5</v>
      </c>
      <c r="S1222" s="200" t="s">
        <v>2569</v>
      </c>
      <c r="T1222" s="201">
        <v>57</v>
      </c>
      <c r="U1222" s="58"/>
      <c r="V1222" s="46"/>
      <c r="W1222" s="46"/>
      <c r="X1222" s="62" t="s">
        <v>25</v>
      </c>
      <c r="Y1222" s="63">
        <f t="shared" si="269"/>
        <v>0</v>
      </c>
      <c r="Z1222" s="64">
        <f t="shared" si="273"/>
        <v>0</v>
      </c>
    </row>
    <row r="1223" spans="1:26" ht="15.75" customHeight="1">
      <c r="A1223" s="63">
        <v>20260075</v>
      </c>
      <c r="B1223" s="65" t="s">
        <v>2382</v>
      </c>
      <c r="C1223" s="66">
        <v>46091</v>
      </c>
      <c r="E1223" s="63">
        <v>1</v>
      </c>
      <c r="F1223" s="68">
        <v>24.38</v>
      </c>
      <c r="G1223" s="69">
        <v>24</v>
      </c>
      <c r="H1223" s="65" t="s">
        <v>2570</v>
      </c>
      <c r="I1223" s="65" t="s">
        <v>194</v>
      </c>
      <c r="J1223" s="65" t="s">
        <v>26</v>
      </c>
      <c r="K1223" s="48">
        <f t="shared" si="267"/>
        <v>8</v>
      </c>
      <c r="L1223" s="48">
        <f t="shared" si="268"/>
        <v>68</v>
      </c>
      <c r="N1223" s="72">
        <f t="shared" si="272"/>
        <v>1</v>
      </c>
      <c r="O1223" s="50">
        <f t="shared" si="270"/>
        <v>24.38</v>
      </c>
      <c r="P1223" s="56">
        <f t="shared" si="271"/>
        <v>24</v>
      </c>
      <c r="S1223" s="200" t="s">
        <v>2571</v>
      </c>
      <c r="T1223" s="201">
        <v>58</v>
      </c>
      <c r="U1223" s="58" t="s">
        <v>2572</v>
      </c>
      <c r="V1223" s="46"/>
      <c r="W1223" s="46"/>
      <c r="X1223" s="62" t="s">
        <v>25</v>
      </c>
      <c r="Y1223" s="63">
        <f t="shared" si="269"/>
        <v>24.38</v>
      </c>
      <c r="Z1223" s="64">
        <f t="shared" si="273"/>
        <v>0</v>
      </c>
    </row>
    <row r="1224" spans="1:26" ht="15.75" customHeight="1">
      <c r="A1224" s="63">
        <v>20260075</v>
      </c>
      <c r="B1224" s="65" t="s">
        <v>2382</v>
      </c>
      <c r="C1224" s="66">
        <v>46091</v>
      </c>
      <c r="E1224" s="63">
        <v>1</v>
      </c>
      <c r="F1224" s="68">
        <v>0</v>
      </c>
      <c r="G1224" s="69">
        <v>5</v>
      </c>
      <c r="H1224" s="65" t="s">
        <v>2570</v>
      </c>
      <c r="I1224" s="65" t="s">
        <v>24</v>
      </c>
      <c r="J1224" s="65" t="s">
        <v>24</v>
      </c>
      <c r="K1224" s="48">
        <f t="shared" si="267"/>
        <v>8</v>
      </c>
      <c r="L1224" s="48">
        <f t="shared" si="268"/>
        <v>68</v>
      </c>
      <c r="N1224" s="72">
        <f t="shared" si="272"/>
        <v>1</v>
      </c>
      <c r="O1224" s="50">
        <f t="shared" si="270"/>
        <v>0</v>
      </c>
      <c r="P1224" s="56">
        <f t="shared" si="271"/>
        <v>5</v>
      </c>
      <c r="S1224" s="200" t="s">
        <v>2571</v>
      </c>
      <c r="T1224" s="201">
        <v>58</v>
      </c>
      <c r="U1224" s="58"/>
      <c r="V1224" s="46"/>
      <c r="W1224" s="46"/>
      <c r="X1224" s="62" t="s">
        <v>25</v>
      </c>
      <c r="Y1224" s="63">
        <f t="shared" si="269"/>
        <v>0</v>
      </c>
      <c r="Z1224" s="64">
        <f t="shared" si="273"/>
        <v>0</v>
      </c>
    </row>
    <row r="1225" spans="1:26" ht="15.75" customHeight="1">
      <c r="A1225" s="63">
        <v>20260075</v>
      </c>
      <c r="B1225" s="65" t="s">
        <v>2382</v>
      </c>
      <c r="C1225" s="66">
        <v>46091</v>
      </c>
      <c r="E1225" s="63">
        <v>1</v>
      </c>
      <c r="F1225" s="68">
        <v>24.38</v>
      </c>
      <c r="G1225" s="69">
        <v>24</v>
      </c>
      <c r="H1225" s="65" t="s">
        <v>2573</v>
      </c>
      <c r="I1225" s="65" t="s">
        <v>194</v>
      </c>
      <c r="J1225" s="65" t="s">
        <v>26</v>
      </c>
      <c r="K1225" s="48">
        <f t="shared" si="267"/>
        <v>8</v>
      </c>
      <c r="L1225" s="48">
        <f t="shared" si="268"/>
        <v>68</v>
      </c>
      <c r="N1225" s="72">
        <f t="shared" si="272"/>
        <v>1</v>
      </c>
      <c r="O1225" s="50">
        <f t="shared" si="270"/>
        <v>24.38</v>
      </c>
      <c r="P1225" s="56">
        <f t="shared" si="271"/>
        <v>24</v>
      </c>
      <c r="S1225" s="200" t="s">
        <v>2574</v>
      </c>
      <c r="T1225" s="201">
        <v>59</v>
      </c>
      <c r="U1225" s="58" t="s">
        <v>2575</v>
      </c>
      <c r="V1225" s="46"/>
      <c r="W1225" s="46"/>
      <c r="X1225" s="62" t="s">
        <v>25</v>
      </c>
      <c r="Y1225" s="63">
        <f t="shared" si="269"/>
        <v>24.38</v>
      </c>
      <c r="Z1225" s="64">
        <f t="shared" si="273"/>
        <v>0</v>
      </c>
    </row>
    <row r="1226" spans="1:26" ht="15.75" customHeight="1">
      <c r="A1226" s="63">
        <v>20260075</v>
      </c>
      <c r="B1226" s="65" t="s">
        <v>2382</v>
      </c>
      <c r="C1226" s="66">
        <v>46091</v>
      </c>
      <c r="E1226" s="63">
        <v>1</v>
      </c>
      <c r="F1226" s="68">
        <v>0</v>
      </c>
      <c r="G1226" s="69">
        <v>5</v>
      </c>
      <c r="H1226" s="65" t="s">
        <v>2573</v>
      </c>
      <c r="I1226" s="65" t="s">
        <v>24</v>
      </c>
      <c r="J1226" s="65" t="s">
        <v>24</v>
      </c>
      <c r="K1226" s="48">
        <f t="shared" si="267"/>
        <v>8</v>
      </c>
      <c r="L1226" s="48">
        <f t="shared" si="268"/>
        <v>68</v>
      </c>
      <c r="N1226" s="72">
        <f t="shared" si="272"/>
        <v>1</v>
      </c>
      <c r="O1226" s="50">
        <f t="shared" si="270"/>
        <v>0</v>
      </c>
      <c r="P1226" s="56">
        <f t="shared" si="271"/>
        <v>5</v>
      </c>
      <c r="S1226" s="200" t="s">
        <v>2574</v>
      </c>
      <c r="T1226" s="201">
        <v>59</v>
      </c>
      <c r="U1226" s="58"/>
      <c r="V1226" s="46"/>
      <c r="W1226" s="46"/>
      <c r="X1226" s="62" t="s">
        <v>25</v>
      </c>
      <c r="Y1226" s="63">
        <f t="shared" si="269"/>
        <v>0</v>
      </c>
      <c r="Z1226" s="64">
        <f t="shared" si="273"/>
        <v>0</v>
      </c>
    </row>
    <row r="1227" spans="1:26" ht="15.75" customHeight="1">
      <c r="A1227" s="63">
        <v>20260075</v>
      </c>
      <c r="B1227" s="65" t="s">
        <v>2382</v>
      </c>
      <c r="C1227" s="66">
        <v>46091</v>
      </c>
      <c r="E1227" s="63">
        <v>3</v>
      </c>
      <c r="F1227" s="68">
        <v>111.45</v>
      </c>
      <c r="G1227" s="69">
        <v>72</v>
      </c>
      <c r="H1227" s="65" t="s">
        <v>2576</v>
      </c>
      <c r="I1227" s="65" t="s">
        <v>194</v>
      </c>
      <c r="J1227" s="65" t="s">
        <v>26</v>
      </c>
      <c r="K1227" s="48">
        <f t="shared" ref="K1227:K1290" si="274">D1227+8</f>
        <v>8</v>
      </c>
      <c r="L1227" s="48">
        <f t="shared" ref="L1227:L1290" si="275">K1227+60</f>
        <v>68</v>
      </c>
      <c r="N1227" s="72">
        <f t="shared" si="272"/>
        <v>3</v>
      </c>
      <c r="O1227" s="50">
        <f t="shared" si="270"/>
        <v>111.44999999999999</v>
      </c>
      <c r="P1227" s="56">
        <f t="shared" si="271"/>
        <v>72</v>
      </c>
      <c r="S1227" s="200" t="s">
        <v>2577</v>
      </c>
      <c r="T1227" s="201">
        <v>60</v>
      </c>
      <c r="U1227" s="58" t="s">
        <v>2578</v>
      </c>
      <c r="V1227" s="46"/>
      <c r="W1227" s="46"/>
      <c r="X1227" s="62" t="s">
        <v>25</v>
      </c>
      <c r="Y1227" s="63">
        <f t="shared" si="269"/>
        <v>37.15</v>
      </c>
      <c r="Z1227" s="64">
        <f t="shared" si="273"/>
        <v>0</v>
      </c>
    </row>
    <row r="1228" spans="1:26" ht="15.75" customHeight="1">
      <c r="A1228" s="63">
        <v>20260075</v>
      </c>
      <c r="B1228" s="65" t="s">
        <v>2382</v>
      </c>
      <c r="C1228" s="66">
        <v>46091</v>
      </c>
      <c r="E1228" s="63">
        <v>6</v>
      </c>
      <c r="F1228" s="68">
        <v>0</v>
      </c>
      <c r="G1228" s="69">
        <v>30</v>
      </c>
      <c r="H1228" s="65" t="s">
        <v>2576</v>
      </c>
      <c r="I1228" s="65" t="s">
        <v>24</v>
      </c>
      <c r="J1228" s="65" t="s">
        <v>24</v>
      </c>
      <c r="K1228" s="48">
        <f t="shared" si="274"/>
        <v>8</v>
      </c>
      <c r="L1228" s="48">
        <f t="shared" si="275"/>
        <v>68</v>
      </c>
      <c r="N1228" s="72">
        <f t="shared" si="272"/>
        <v>6</v>
      </c>
      <c r="O1228" s="50">
        <f t="shared" si="270"/>
        <v>0</v>
      </c>
      <c r="P1228" s="56">
        <f t="shared" si="271"/>
        <v>30</v>
      </c>
      <c r="S1228" s="200" t="s">
        <v>2577</v>
      </c>
      <c r="T1228" s="201">
        <v>60</v>
      </c>
      <c r="U1228" s="58"/>
      <c r="V1228" s="46"/>
      <c r="W1228" s="46"/>
      <c r="X1228" s="62" t="s">
        <v>25</v>
      </c>
      <c r="Y1228" s="63">
        <f t="shared" si="269"/>
        <v>0</v>
      </c>
      <c r="Z1228" s="64">
        <f t="shared" si="273"/>
        <v>0</v>
      </c>
    </row>
    <row r="1229" spans="1:26" ht="15.75" customHeight="1">
      <c r="A1229" s="63">
        <v>20260075</v>
      </c>
      <c r="B1229" s="65" t="s">
        <v>2382</v>
      </c>
      <c r="C1229" s="66">
        <v>46091</v>
      </c>
      <c r="E1229" s="63">
        <v>22</v>
      </c>
      <c r="F1229" s="68">
        <v>286</v>
      </c>
      <c r="G1229" s="69">
        <v>528</v>
      </c>
      <c r="H1229" s="65" t="s">
        <v>2579</v>
      </c>
      <c r="I1229" s="65" t="s">
        <v>42</v>
      </c>
      <c r="J1229" s="65" t="s">
        <v>28</v>
      </c>
      <c r="K1229" s="48">
        <f t="shared" si="274"/>
        <v>8</v>
      </c>
      <c r="L1229" s="48">
        <f t="shared" si="275"/>
        <v>68</v>
      </c>
      <c r="N1229" s="72">
        <f t="shared" si="272"/>
        <v>22</v>
      </c>
      <c r="O1229" s="50">
        <f t="shared" si="270"/>
        <v>286</v>
      </c>
      <c r="P1229" s="56">
        <f t="shared" si="271"/>
        <v>528</v>
      </c>
      <c r="S1229" s="200" t="s">
        <v>2580</v>
      </c>
      <c r="T1229" s="201">
        <v>61</v>
      </c>
      <c r="U1229" s="58" t="s">
        <v>2581</v>
      </c>
      <c r="V1229" s="46"/>
      <c r="W1229" s="46"/>
      <c r="X1229" s="62" t="s">
        <v>25</v>
      </c>
      <c r="Y1229" s="63">
        <f t="shared" si="269"/>
        <v>13</v>
      </c>
      <c r="Z1229" s="64">
        <f t="shared" si="273"/>
        <v>0</v>
      </c>
    </row>
    <row r="1230" spans="1:26" ht="15.75" customHeight="1">
      <c r="A1230" s="63">
        <v>20260075</v>
      </c>
      <c r="B1230" s="65" t="s">
        <v>2382</v>
      </c>
      <c r="C1230" s="66">
        <v>46091</v>
      </c>
      <c r="E1230" s="63">
        <v>19</v>
      </c>
      <c r="F1230" s="68">
        <v>253.27</v>
      </c>
      <c r="G1230" s="69">
        <v>456</v>
      </c>
      <c r="H1230" s="65" t="s">
        <v>2579</v>
      </c>
      <c r="I1230" s="65" t="s">
        <v>42</v>
      </c>
      <c r="J1230" s="65" t="s">
        <v>28</v>
      </c>
      <c r="K1230" s="48">
        <f t="shared" si="274"/>
        <v>8</v>
      </c>
      <c r="L1230" s="48">
        <f t="shared" si="275"/>
        <v>68</v>
      </c>
      <c r="N1230" s="72">
        <f>E1230-19</f>
        <v>0</v>
      </c>
      <c r="O1230" s="50">
        <f t="shared" si="270"/>
        <v>0</v>
      </c>
      <c r="P1230" s="56">
        <f t="shared" si="271"/>
        <v>0</v>
      </c>
      <c r="S1230" s="200" t="s">
        <v>2582</v>
      </c>
      <c r="T1230" s="201">
        <v>62</v>
      </c>
      <c r="U1230" s="58" t="s">
        <v>2583</v>
      </c>
      <c r="V1230" s="46"/>
      <c r="W1230" s="46"/>
      <c r="X1230" s="62" t="s">
        <v>55</v>
      </c>
      <c r="Y1230" s="63">
        <f t="shared" si="269"/>
        <v>13.33</v>
      </c>
      <c r="Z1230" s="64">
        <f t="shared" si="273"/>
        <v>19</v>
      </c>
    </row>
    <row r="1231" spans="1:26" ht="15.75" customHeight="1">
      <c r="A1231" s="63">
        <v>20260075</v>
      </c>
      <c r="B1231" s="65" t="s">
        <v>2382</v>
      </c>
      <c r="C1231" s="66">
        <v>46091</v>
      </c>
      <c r="E1231" s="63">
        <v>25</v>
      </c>
      <c r="F1231" s="68">
        <v>393</v>
      </c>
      <c r="G1231" s="69">
        <v>600</v>
      </c>
      <c r="H1231" s="65" t="s">
        <v>2579</v>
      </c>
      <c r="I1231" s="65" t="s">
        <v>42</v>
      </c>
      <c r="J1231" s="65" t="s">
        <v>28</v>
      </c>
      <c r="K1231" s="48">
        <f t="shared" si="274"/>
        <v>8</v>
      </c>
      <c r="L1231" s="48">
        <f t="shared" si="275"/>
        <v>68</v>
      </c>
      <c r="N1231" s="72">
        <f>E1231-25</f>
        <v>0</v>
      </c>
      <c r="O1231" s="50">
        <f t="shared" si="270"/>
        <v>0</v>
      </c>
      <c r="P1231" s="56">
        <f t="shared" si="271"/>
        <v>0</v>
      </c>
      <c r="S1231" s="200" t="s">
        <v>2584</v>
      </c>
      <c r="T1231" s="201">
        <v>63</v>
      </c>
      <c r="U1231" s="58" t="s">
        <v>2585</v>
      </c>
      <c r="V1231" s="46"/>
      <c r="W1231" s="46"/>
      <c r="X1231" s="62" t="s">
        <v>55</v>
      </c>
      <c r="Y1231" s="63">
        <f t="shared" si="269"/>
        <v>15.72</v>
      </c>
      <c r="Z1231" s="64">
        <f t="shared" si="273"/>
        <v>25</v>
      </c>
    </row>
    <row r="1232" spans="1:26" ht="15.75" customHeight="1">
      <c r="A1232" s="63">
        <v>20260075</v>
      </c>
      <c r="B1232" s="65" t="s">
        <v>2382</v>
      </c>
      <c r="C1232" s="66">
        <v>46091</v>
      </c>
      <c r="E1232" s="63">
        <v>1</v>
      </c>
      <c r="F1232" s="68">
        <v>15.72</v>
      </c>
      <c r="G1232" s="69">
        <v>24</v>
      </c>
      <c r="H1232" s="65" t="s">
        <v>2579</v>
      </c>
      <c r="I1232" s="65" t="s">
        <v>42</v>
      </c>
      <c r="J1232" s="65" t="s">
        <v>28</v>
      </c>
      <c r="K1232" s="48">
        <f t="shared" si="274"/>
        <v>8</v>
      </c>
      <c r="L1232" s="48">
        <f t="shared" si="275"/>
        <v>68</v>
      </c>
      <c r="N1232" s="72">
        <f t="shared" si="272"/>
        <v>1</v>
      </c>
      <c r="O1232" s="50">
        <f t="shared" si="270"/>
        <v>15.72</v>
      </c>
      <c r="P1232" s="56">
        <f t="shared" si="271"/>
        <v>24</v>
      </c>
      <c r="S1232" s="200" t="s">
        <v>2586</v>
      </c>
      <c r="T1232" s="201">
        <v>144</v>
      </c>
      <c r="U1232" s="58" t="s">
        <v>2587</v>
      </c>
      <c r="V1232" s="46"/>
      <c r="W1232" s="46"/>
      <c r="X1232" s="62" t="s">
        <v>25</v>
      </c>
      <c r="Y1232" s="63">
        <f t="shared" si="269"/>
        <v>15.72</v>
      </c>
      <c r="Z1232" s="64">
        <f t="shared" si="273"/>
        <v>0</v>
      </c>
    </row>
    <row r="1233" spans="1:26" ht="15.75" customHeight="1">
      <c r="A1233" s="63">
        <v>20260075</v>
      </c>
      <c r="B1233" s="65" t="s">
        <v>2382</v>
      </c>
      <c r="C1233" s="66">
        <v>46091</v>
      </c>
      <c r="E1233" s="63">
        <v>1</v>
      </c>
      <c r="F1233" s="68">
        <v>6</v>
      </c>
      <c r="G1233" s="69">
        <v>24</v>
      </c>
      <c r="H1233" s="65" t="s">
        <v>2579</v>
      </c>
      <c r="I1233" s="65" t="s">
        <v>42</v>
      </c>
      <c r="J1233" s="65" t="s">
        <v>28</v>
      </c>
      <c r="K1233" s="48">
        <f t="shared" si="274"/>
        <v>8</v>
      </c>
      <c r="L1233" s="48">
        <f t="shared" si="275"/>
        <v>68</v>
      </c>
      <c r="N1233" s="72">
        <f t="shared" si="272"/>
        <v>1</v>
      </c>
      <c r="O1233" s="50">
        <f t="shared" si="270"/>
        <v>6</v>
      </c>
      <c r="P1233" s="56">
        <f t="shared" si="271"/>
        <v>24</v>
      </c>
      <c r="S1233" s="200" t="s">
        <v>2588</v>
      </c>
      <c r="T1233" s="201">
        <v>145</v>
      </c>
      <c r="U1233" s="58" t="s">
        <v>2589</v>
      </c>
      <c r="V1233" s="46"/>
      <c r="W1233" s="46"/>
      <c r="X1233" s="62" t="s">
        <v>25</v>
      </c>
      <c r="Y1233" s="63">
        <f t="shared" si="269"/>
        <v>6</v>
      </c>
      <c r="Z1233" s="64">
        <f t="shared" si="273"/>
        <v>0</v>
      </c>
    </row>
    <row r="1234" spans="1:26" ht="15.75" customHeight="1">
      <c r="A1234" s="63">
        <v>20260075</v>
      </c>
      <c r="B1234" s="65" t="s">
        <v>2382</v>
      </c>
      <c r="C1234" s="66">
        <v>46091</v>
      </c>
      <c r="E1234" s="63">
        <v>1</v>
      </c>
      <c r="F1234" s="68">
        <v>6</v>
      </c>
      <c r="G1234" s="69">
        <v>24</v>
      </c>
      <c r="H1234" s="65" t="s">
        <v>2579</v>
      </c>
      <c r="I1234" s="65" t="s">
        <v>42</v>
      </c>
      <c r="J1234" s="65" t="s">
        <v>28</v>
      </c>
      <c r="K1234" s="48">
        <f t="shared" si="274"/>
        <v>8</v>
      </c>
      <c r="L1234" s="48">
        <f t="shared" si="275"/>
        <v>68</v>
      </c>
      <c r="N1234" s="72">
        <f t="shared" si="272"/>
        <v>1</v>
      </c>
      <c r="O1234" s="50">
        <f t="shared" si="270"/>
        <v>6</v>
      </c>
      <c r="P1234" s="56">
        <f t="shared" si="271"/>
        <v>24</v>
      </c>
      <c r="S1234" s="200" t="s">
        <v>2590</v>
      </c>
      <c r="T1234" s="201">
        <v>146</v>
      </c>
      <c r="U1234" s="58" t="s">
        <v>2589</v>
      </c>
      <c r="V1234" s="46"/>
      <c r="W1234" s="46"/>
      <c r="X1234" s="62" t="s">
        <v>25</v>
      </c>
      <c r="Y1234" s="63">
        <f t="shared" si="269"/>
        <v>6</v>
      </c>
      <c r="Z1234" s="64">
        <f t="shared" si="273"/>
        <v>0</v>
      </c>
    </row>
    <row r="1235" spans="1:26" ht="15.75" customHeight="1">
      <c r="A1235" s="63">
        <v>20260075</v>
      </c>
      <c r="B1235" s="65" t="s">
        <v>2382</v>
      </c>
      <c r="C1235" s="66">
        <v>46091</v>
      </c>
      <c r="E1235" s="63">
        <v>1</v>
      </c>
      <c r="F1235" s="68">
        <v>3</v>
      </c>
      <c r="G1235" s="69">
        <v>24</v>
      </c>
      <c r="H1235" s="65" t="s">
        <v>2579</v>
      </c>
      <c r="I1235" s="65" t="s">
        <v>42</v>
      </c>
      <c r="J1235" s="65" t="s">
        <v>28</v>
      </c>
      <c r="K1235" s="48">
        <f t="shared" si="274"/>
        <v>8</v>
      </c>
      <c r="L1235" s="48">
        <f t="shared" si="275"/>
        <v>68</v>
      </c>
      <c r="N1235" s="72">
        <f t="shared" si="272"/>
        <v>1</v>
      </c>
      <c r="O1235" s="50">
        <f t="shared" si="270"/>
        <v>3</v>
      </c>
      <c r="P1235" s="56">
        <f t="shared" si="271"/>
        <v>24</v>
      </c>
      <c r="S1235" s="200" t="s">
        <v>2591</v>
      </c>
      <c r="T1235" s="201">
        <v>147</v>
      </c>
      <c r="U1235" s="58" t="s">
        <v>2592</v>
      </c>
      <c r="V1235" s="46"/>
      <c r="W1235" s="46"/>
      <c r="X1235" s="62" t="s">
        <v>25</v>
      </c>
      <c r="Y1235" s="63">
        <f t="shared" si="269"/>
        <v>3</v>
      </c>
      <c r="Z1235" s="64">
        <f t="shared" si="273"/>
        <v>0</v>
      </c>
    </row>
    <row r="1236" spans="1:26" ht="15.75" customHeight="1">
      <c r="A1236" s="63">
        <v>20260075</v>
      </c>
      <c r="B1236" s="65" t="s">
        <v>2382</v>
      </c>
      <c r="C1236" s="66">
        <v>46091</v>
      </c>
      <c r="E1236" s="63">
        <v>1</v>
      </c>
      <c r="F1236" s="68">
        <v>3.53</v>
      </c>
      <c r="G1236" s="69">
        <v>24</v>
      </c>
      <c r="H1236" s="65" t="s">
        <v>2579</v>
      </c>
      <c r="I1236" s="65" t="s">
        <v>42</v>
      </c>
      <c r="J1236" s="65" t="s">
        <v>28</v>
      </c>
      <c r="K1236" s="48">
        <f t="shared" si="274"/>
        <v>8</v>
      </c>
      <c r="L1236" s="48">
        <f t="shared" si="275"/>
        <v>68</v>
      </c>
      <c r="N1236" s="72">
        <f>E1236-1</f>
        <v>0</v>
      </c>
      <c r="O1236" s="50">
        <f t="shared" si="270"/>
        <v>0</v>
      </c>
      <c r="P1236" s="56">
        <f t="shared" si="271"/>
        <v>0</v>
      </c>
      <c r="S1236" s="200" t="s">
        <v>2593</v>
      </c>
      <c r="T1236" s="201">
        <v>148</v>
      </c>
      <c r="U1236" s="58" t="s">
        <v>2594</v>
      </c>
      <c r="V1236" s="46"/>
      <c r="W1236" s="46"/>
      <c r="X1236" s="62" t="s">
        <v>55</v>
      </c>
      <c r="Y1236" s="63">
        <f t="shared" si="269"/>
        <v>3.53</v>
      </c>
      <c r="Z1236" s="64">
        <f t="shared" si="273"/>
        <v>1</v>
      </c>
    </row>
    <row r="1237" spans="1:26" ht="15.75" customHeight="1">
      <c r="A1237" s="63">
        <v>20260075</v>
      </c>
      <c r="B1237" s="65" t="s">
        <v>2382</v>
      </c>
      <c r="C1237" s="66">
        <v>46091</v>
      </c>
      <c r="E1237" s="63">
        <v>1</v>
      </c>
      <c r="F1237" s="68">
        <v>28.87</v>
      </c>
      <c r="G1237" s="69">
        <v>24</v>
      </c>
      <c r="H1237" s="65" t="s">
        <v>1280</v>
      </c>
      <c r="I1237" s="65" t="s">
        <v>58</v>
      </c>
      <c r="J1237" s="65" t="s">
        <v>28</v>
      </c>
      <c r="K1237" s="48">
        <f t="shared" si="274"/>
        <v>8</v>
      </c>
      <c r="L1237" s="48">
        <f t="shared" si="275"/>
        <v>68</v>
      </c>
      <c r="N1237" s="72">
        <f t="shared" si="272"/>
        <v>1</v>
      </c>
      <c r="O1237" s="50">
        <f t="shared" si="270"/>
        <v>28.87</v>
      </c>
      <c r="P1237" s="56">
        <f t="shared" si="271"/>
        <v>24</v>
      </c>
      <c r="S1237" s="200" t="s">
        <v>2595</v>
      </c>
      <c r="T1237" s="201">
        <v>64</v>
      </c>
      <c r="U1237" s="58" t="s">
        <v>2596</v>
      </c>
      <c r="V1237" s="46"/>
      <c r="W1237" s="46"/>
      <c r="X1237" s="62" t="s">
        <v>25</v>
      </c>
      <c r="Y1237" s="63">
        <f t="shared" si="269"/>
        <v>28.87</v>
      </c>
      <c r="Z1237" s="64">
        <f t="shared" si="273"/>
        <v>0</v>
      </c>
    </row>
    <row r="1238" spans="1:26" ht="15.75" customHeight="1">
      <c r="A1238" s="63">
        <v>20260075</v>
      </c>
      <c r="B1238" s="65" t="s">
        <v>2382</v>
      </c>
      <c r="C1238" s="66">
        <v>46091</v>
      </c>
      <c r="E1238" s="63">
        <v>1</v>
      </c>
      <c r="F1238" s="68">
        <v>28.87</v>
      </c>
      <c r="G1238" s="69">
        <v>24</v>
      </c>
      <c r="H1238" s="65" t="s">
        <v>2597</v>
      </c>
      <c r="I1238" s="65" t="s">
        <v>58</v>
      </c>
      <c r="J1238" s="65" t="s">
        <v>28</v>
      </c>
      <c r="K1238" s="48">
        <f t="shared" si="274"/>
        <v>8</v>
      </c>
      <c r="L1238" s="48">
        <f t="shared" si="275"/>
        <v>68</v>
      </c>
      <c r="N1238" s="72">
        <f t="shared" si="272"/>
        <v>1</v>
      </c>
      <c r="O1238" s="50">
        <f t="shared" si="270"/>
        <v>28.87</v>
      </c>
      <c r="P1238" s="56">
        <f t="shared" si="271"/>
        <v>24</v>
      </c>
      <c r="S1238" s="200" t="s">
        <v>2598</v>
      </c>
      <c r="T1238" s="201">
        <v>65</v>
      </c>
      <c r="U1238" s="58" t="s">
        <v>2599</v>
      </c>
      <c r="V1238" s="46"/>
      <c r="W1238" s="46"/>
      <c r="X1238" s="62" t="s">
        <v>25</v>
      </c>
      <c r="Y1238" s="63">
        <f t="shared" si="269"/>
        <v>28.87</v>
      </c>
      <c r="Z1238" s="64">
        <f t="shared" si="273"/>
        <v>0</v>
      </c>
    </row>
    <row r="1239" spans="1:26" ht="15.75" customHeight="1">
      <c r="A1239" s="63">
        <v>20260075</v>
      </c>
      <c r="B1239" s="65" t="s">
        <v>2382</v>
      </c>
      <c r="C1239" s="66">
        <v>46091</v>
      </c>
      <c r="E1239" s="63">
        <v>4</v>
      </c>
      <c r="F1239" s="68">
        <v>54</v>
      </c>
      <c r="G1239" s="69">
        <v>96</v>
      </c>
      <c r="H1239" s="65" t="s">
        <v>2600</v>
      </c>
      <c r="I1239" s="65" t="s">
        <v>42</v>
      </c>
      <c r="J1239" s="65" t="s">
        <v>28</v>
      </c>
      <c r="K1239" s="48">
        <f t="shared" si="274"/>
        <v>8</v>
      </c>
      <c r="L1239" s="48">
        <f t="shared" si="275"/>
        <v>68</v>
      </c>
      <c r="N1239" s="72">
        <f t="shared" si="272"/>
        <v>4</v>
      </c>
      <c r="O1239" s="50">
        <f t="shared" si="270"/>
        <v>54</v>
      </c>
      <c r="P1239" s="56">
        <f t="shared" si="271"/>
        <v>96</v>
      </c>
      <c r="S1239" s="200" t="s">
        <v>2601</v>
      </c>
      <c r="T1239" s="201">
        <v>68</v>
      </c>
      <c r="U1239" s="58" t="s">
        <v>2602</v>
      </c>
      <c r="V1239" s="46"/>
      <c r="W1239" s="46"/>
      <c r="X1239" s="62" t="s">
        <v>25</v>
      </c>
      <c r="Y1239" s="63">
        <f t="shared" si="269"/>
        <v>13.5</v>
      </c>
      <c r="Z1239" s="64">
        <f t="shared" si="273"/>
        <v>0</v>
      </c>
    </row>
    <row r="1240" spans="1:26" ht="15.75" customHeight="1">
      <c r="A1240" s="63">
        <v>20260075</v>
      </c>
      <c r="B1240" s="65" t="s">
        <v>2382</v>
      </c>
      <c r="C1240" s="66">
        <v>46091</v>
      </c>
      <c r="E1240" s="63">
        <v>1</v>
      </c>
      <c r="F1240" s="68">
        <v>37</v>
      </c>
      <c r="G1240" s="69">
        <v>24</v>
      </c>
      <c r="H1240" s="65" t="s">
        <v>2603</v>
      </c>
      <c r="I1240" s="65" t="s">
        <v>194</v>
      </c>
      <c r="J1240" s="65" t="s">
        <v>26</v>
      </c>
      <c r="K1240" s="48">
        <f t="shared" si="274"/>
        <v>8</v>
      </c>
      <c r="L1240" s="48">
        <f t="shared" si="275"/>
        <v>68</v>
      </c>
      <c r="N1240" s="72">
        <f t="shared" si="272"/>
        <v>1</v>
      </c>
      <c r="O1240" s="50">
        <f t="shared" si="270"/>
        <v>37</v>
      </c>
      <c r="P1240" s="56">
        <f t="shared" si="271"/>
        <v>24</v>
      </c>
      <c r="S1240" s="200" t="s">
        <v>2604</v>
      </c>
      <c r="T1240" s="201">
        <v>69</v>
      </c>
      <c r="U1240" s="58" t="s">
        <v>682</v>
      </c>
      <c r="V1240" s="46"/>
      <c r="W1240" s="46"/>
      <c r="X1240" s="62" t="s">
        <v>25</v>
      </c>
      <c r="Y1240" s="63">
        <f t="shared" si="269"/>
        <v>37</v>
      </c>
      <c r="Z1240" s="64">
        <f t="shared" si="273"/>
        <v>0</v>
      </c>
    </row>
    <row r="1241" spans="1:26" ht="15.75" customHeight="1">
      <c r="A1241" s="63">
        <v>20260075</v>
      </c>
      <c r="B1241" s="65" t="s">
        <v>2382</v>
      </c>
      <c r="C1241" s="66">
        <v>46091</v>
      </c>
      <c r="E1241" s="63">
        <v>2</v>
      </c>
      <c r="F1241" s="68">
        <v>0</v>
      </c>
      <c r="G1241" s="69">
        <v>10</v>
      </c>
      <c r="H1241" s="65" t="s">
        <v>2603</v>
      </c>
      <c r="I1241" s="65" t="s">
        <v>24</v>
      </c>
      <c r="J1241" s="65" t="s">
        <v>24</v>
      </c>
      <c r="K1241" s="48">
        <f t="shared" si="274"/>
        <v>8</v>
      </c>
      <c r="L1241" s="48">
        <f t="shared" si="275"/>
        <v>68</v>
      </c>
      <c r="N1241" s="72">
        <f t="shared" si="272"/>
        <v>2</v>
      </c>
      <c r="O1241" s="50">
        <f t="shared" si="270"/>
        <v>0</v>
      </c>
      <c r="P1241" s="56">
        <f t="shared" si="271"/>
        <v>10</v>
      </c>
      <c r="S1241" s="200" t="s">
        <v>2604</v>
      </c>
      <c r="T1241" s="201">
        <v>69</v>
      </c>
      <c r="U1241" s="58"/>
      <c r="V1241" s="46"/>
      <c r="W1241" s="46"/>
      <c r="X1241" s="62" t="s">
        <v>25</v>
      </c>
      <c r="Y1241" s="63">
        <f t="shared" si="269"/>
        <v>0</v>
      </c>
      <c r="Z1241" s="64">
        <f t="shared" si="273"/>
        <v>0</v>
      </c>
    </row>
    <row r="1242" spans="1:26" ht="15.75" customHeight="1">
      <c r="A1242" s="63">
        <v>20260075</v>
      </c>
      <c r="B1242" s="65" t="s">
        <v>2382</v>
      </c>
      <c r="C1242" s="66">
        <v>46091</v>
      </c>
      <c r="E1242" s="63">
        <v>1</v>
      </c>
      <c r="F1242" s="68">
        <v>36.9</v>
      </c>
      <c r="G1242" s="69">
        <v>24</v>
      </c>
      <c r="H1242" s="65" t="s">
        <v>2605</v>
      </c>
      <c r="I1242" s="65" t="s">
        <v>194</v>
      </c>
      <c r="J1242" s="65" t="s">
        <v>26</v>
      </c>
      <c r="K1242" s="48">
        <f t="shared" si="274"/>
        <v>8</v>
      </c>
      <c r="L1242" s="48">
        <f t="shared" si="275"/>
        <v>68</v>
      </c>
      <c r="N1242" s="72">
        <f t="shared" si="272"/>
        <v>1</v>
      </c>
      <c r="O1242" s="50">
        <f t="shared" si="270"/>
        <v>36.9</v>
      </c>
      <c r="P1242" s="56">
        <f t="shared" si="271"/>
        <v>24</v>
      </c>
      <c r="S1242" s="200" t="s">
        <v>2606</v>
      </c>
      <c r="T1242" s="201">
        <v>70</v>
      </c>
      <c r="U1242" s="58" t="s">
        <v>2607</v>
      </c>
      <c r="V1242" s="46"/>
      <c r="W1242" s="46"/>
      <c r="X1242" s="62" t="s">
        <v>25</v>
      </c>
      <c r="Y1242" s="63">
        <f t="shared" si="269"/>
        <v>36.9</v>
      </c>
      <c r="Z1242" s="64">
        <f t="shared" si="273"/>
        <v>0</v>
      </c>
    </row>
    <row r="1243" spans="1:26" ht="15.75" customHeight="1">
      <c r="A1243" s="63">
        <v>20260075</v>
      </c>
      <c r="B1243" s="65" t="s">
        <v>2382</v>
      </c>
      <c r="C1243" s="66">
        <v>46091</v>
      </c>
      <c r="E1243" s="63">
        <v>2</v>
      </c>
      <c r="F1243" s="68">
        <v>0</v>
      </c>
      <c r="G1243" s="69">
        <v>10</v>
      </c>
      <c r="H1243" s="65" t="s">
        <v>2605</v>
      </c>
      <c r="I1243" s="65" t="s">
        <v>24</v>
      </c>
      <c r="J1243" s="65" t="s">
        <v>24</v>
      </c>
      <c r="K1243" s="48">
        <f t="shared" si="274"/>
        <v>8</v>
      </c>
      <c r="L1243" s="48">
        <f t="shared" si="275"/>
        <v>68</v>
      </c>
      <c r="N1243" s="72">
        <f t="shared" si="272"/>
        <v>2</v>
      </c>
      <c r="O1243" s="50">
        <f t="shared" si="270"/>
        <v>0</v>
      </c>
      <c r="P1243" s="56">
        <f t="shared" si="271"/>
        <v>10</v>
      </c>
      <c r="S1243" s="200" t="s">
        <v>2606</v>
      </c>
      <c r="T1243" s="201">
        <v>70</v>
      </c>
      <c r="U1243" s="58"/>
      <c r="V1243" s="46"/>
      <c r="W1243" s="46"/>
      <c r="X1243" s="62" t="s">
        <v>25</v>
      </c>
      <c r="Y1243" s="63">
        <f t="shared" si="269"/>
        <v>0</v>
      </c>
      <c r="Z1243" s="64">
        <f t="shared" si="273"/>
        <v>0</v>
      </c>
    </row>
    <row r="1244" spans="1:26" ht="15.75" customHeight="1">
      <c r="A1244" s="63">
        <v>20260075</v>
      </c>
      <c r="B1244" s="65" t="s">
        <v>2382</v>
      </c>
      <c r="C1244" s="66">
        <v>46091</v>
      </c>
      <c r="E1244" s="63">
        <v>4</v>
      </c>
      <c r="F1244" s="68">
        <v>136</v>
      </c>
      <c r="G1244" s="69">
        <v>96</v>
      </c>
      <c r="H1244" s="65" t="s">
        <v>2608</v>
      </c>
      <c r="I1244" s="65" t="s">
        <v>194</v>
      </c>
      <c r="J1244" s="65" t="s">
        <v>26</v>
      </c>
      <c r="K1244" s="48">
        <f t="shared" si="274"/>
        <v>8</v>
      </c>
      <c r="L1244" s="48">
        <f t="shared" si="275"/>
        <v>68</v>
      </c>
      <c r="N1244" s="72">
        <f t="shared" si="272"/>
        <v>4</v>
      </c>
      <c r="O1244" s="50">
        <f t="shared" si="270"/>
        <v>136</v>
      </c>
      <c r="P1244" s="56">
        <f t="shared" si="271"/>
        <v>96</v>
      </c>
      <c r="S1244" s="200" t="s">
        <v>2609</v>
      </c>
      <c r="T1244" s="201">
        <v>71</v>
      </c>
      <c r="U1244" s="58" t="s">
        <v>2610</v>
      </c>
      <c r="V1244" s="46"/>
      <c r="W1244" s="46"/>
      <c r="X1244" s="62" t="s">
        <v>25</v>
      </c>
      <c r="Y1244" s="63">
        <f t="shared" si="269"/>
        <v>34</v>
      </c>
      <c r="Z1244" s="64">
        <f t="shared" si="273"/>
        <v>0</v>
      </c>
    </row>
    <row r="1245" spans="1:26" ht="15.75" customHeight="1">
      <c r="A1245" s="63">
        <v>20260075</v>
      </c>
      <c r="B1245" s="65" t="s">
        <v>2382</v>
      </c>
      <c r="C1245" s="66">
        <v>46091</v>
      </c>
      <c r="E1245" s="63">
        <v>4</v>
      </c>
      <c r="F1245" s="68">
        <v>0</v>
      </c>
      <c r="G1245" s="69">
        <v>20</v>
      </c>
      <c r="H1245" s="65" t="s">
        <v>2608</v>
      </c>
      <c r="I1245" s="65" t="s">
        <v>24</v>
      </c>
      <c r="J1245" s="65" t="s">
        <v>24</v>
      </c>
      <c r="K1245" s="48">
        <f t="shared" si="274"/>
        <v>8</v>
      </c>
      <c r="L1245" s="48">
        <f t="shared" si="275"/>
        <v>68</v>
      </c>
      <c r="N1245" s="72">
        <f t="shared" si="272"/>
        <v>4</v>
      </c>
      <c r="O1245" s="50">
        <f t="shared" si="270"/>
        <v>0</v>
      </c>
      <c r="P1245" s="56">
        <f t="shared" si="271"/>
        <v>20</v>
      </c>
      <c r="S1245" s="200" t="s">
        <v>2609</v>
      </c>
      <c r="T1245" s="201">
        <v>71</v>
      </c>
      <c r="U1245" s="58"/>
      <c r="V1245" s="46"/>
      <c r="W1245" s="46"/>
      <c r="X1245" s="62" t="s">
        <v>25</v>
      </c>
      <c r="Y1245" s="63">
        <f t="shared" si="269"/>
        <v>0</v>
      </c>
      <c r="Z1245" s="64">
        <f t="shared" si="273"/>
        <v>0</v>
      </c>
    </row>
    <row r="1246" spans="1:26" ht="15.75" customHeight="1">
      <c r="A1246" s="63">
        <v>20260075</v>
      </c>
      <c r="B1246" s="65" t="s">
        <v>2382</v>
      </c>
      <c r="C1246" s="66">
        <v>46091</v>
      </c>
      <c r="E1246" s="63">
        <v>1</v>
      </c>
      <c r="F1246" s="68">
        <v>8.1</v>
      </c>
      <c r="G1246" s="69">
        <v>24</v>
      </c>
      <c r="H1246" s="65" t="s">
        <v>2611</v>
      </c>
      <c r="I1246" s="65" t="s">
        <v>42</v>
      </c>
      <c r="J1246" s="65" t="s">
        <v>28</v>
      </c>
      <c r="K1246" s="48">
        <f t="shared" si="274"/>
        <v>8</v>
      </c>
      <c r="L1246" s="48">
        <f t="shared" si="275"/>
        <v>68</v>
      </c>
      <c r="N1246" s="72">
        <f t="shared" si="272"/>
        <v>1</v>
      </c>
      <c r="O1246" s="50">
        <f t="shared" si="270"/>
        <v>8.1</v>
      </c>
      <c r="P1246" s="56">
        <f t="shared" si="271"/>
        <v>24</v>
      </c>
      <c r="S1246" s="200" t="s">
        <v>2612</v>
      </c>
      <c r="T1246" s="201">
        <v>72</v>
      </c>
      <c r="U1246" s="58" t="s">
        <v>2613</v>
      </c>
      <c r="V1246" s="46"/>
      <c r="W1246" s="46"/>
      <c r="X1246" s="62" t="s">
        <v>25</v>
      </c>
      <c r="Y1246" s="63">
        <f t="shared" si="269"/>
        <v>8.1</v>
      </c>
      <c r="Z1246" s="64">
        <f t="shared" si="273"/>
        <v>0</v>
      </c>
    </row>
    <row r="1247" spans="1:26" ht="15.75" customHeight="1">
      <c r="A1247" s="63">
        <v>20260075</v>
      </c>
      <c r="B1247" s="65" t="s">
        <v>2382</v>
      </c>
      <c r="C1247" s="66">
        <v>46091</v>
      </c>
      <c r="E1247" s="63">
        <v>1</v>
      </c>
      <c r="F1247" s="68">
        <v>12.47</v>
      </c>
      <c r="G1247" s="69">
        <v>24</v>
      </c>
      <c r="H1247" s="65" t="s">
        <v>2614</v>
      </c>
      <c r="I1247" s="65" t="s">
        <v>42</v>
      </c>
      <c r="J1247" s="65" t="s">
        <v>28</v>
      </c>
      <c r="K1247" s="48">
        <f t="shared" si="274"/>
        <v>8</v>
      </c>
      <c r="L1247" s="48">
        <f t="shared" si="275"/>
        <v>68</v>
      </c>
      <c r="N1247" s="72">
        <f t="shared" si="272"/>
        <v>1</v>
      </c>
      <c r="O1247" s="50">
        <f t="shared" si="270"/>
        <v>12.47</v>
      </c>
      <c r="P1247" s="56">
        <f t="shared" si="271"/>
        <v>24</v>
      </c>
      <c r="S1247" s="200" t="s">
        <v>2615</v>
      </c>
      <c r="T1247" s="201">
        <v>73</v>
      </c>
      <c r="U1247" s="58" t="s">
        <v>2616</v>
      </c>
      <c r="V1247" s="46"/>
      <c r="W1247" s="46"/>
      <c r="X1247" s="62" t="s">
        <v>25</v>
      </c>
      <c r="Y1247" s="63">
        <f t="shared" si="269"/>
        <v>12.47</v>
      </c>
      <c r="Z1247" s="64">
        <f t="shared" si="273"/>
        <v>0</v>
      </c>
    </row>
    <row r="1248" spans="1:26" ht="15.75" customHeight="1">
      <c r="A1248" s="63">
        <v>20260075</v>
      </c>
      <c r="B1248" s="65" t="s">
        <v>2382</v>
      </c>
      <c r="C1248" s="66">
        <v>46091</v>
      </c>
      <c r="E1248" s="63">
        <v>1</v>
      </c>
      <c r="F1248" s="68">
        <v>10</v>
      </c>
      <c r="G1248" s="69">
        <v>24</v>
      </c>
      <c r="H1248" s="65" t="s">
        <v>1975</v>
      </c>
      <c r="I1248" s="65" t="s">
        <v>42</v>
      </c>
      <c r="J1248" s="65" t="s">
        <v>28</v>
      </c>
      <c r="K1248" s="48">
        <f t="shared" si="274"/>
        <v>8</v>
      </c>
      <c r="L1248" s="48">
        <f t="shared" si="275"/>
        <v>68</v>
      </c>
      <c r="N1248" s="72">
        <f t="shared" si="272"/>
        <v>1</v>
      </c>
      <c r="O1248" s="50">
        <f t="shared" si="270"/>
        <v>10</v>
      </c>
      <c r="P1248" s="56">
        <f t="shared" si="271"/>
        <v>24</v>
      </c>
      <c r="S1248" s="200" t="s">
        <v>2617</v>
      </c>
      <c r="T1248" s="201">
        <v>74</v>
      </c>
      <c r="U1248" s="58" t="s">
        <v>2618</v>
      </c>
      <c r="V1248" s="46"/>
      <c r="W1248" s="46"/>
      <c r="X1248" s="62" t="s">
        <v>25</v>
      </c>
      <c r="Y1248" s="63">
        <f t="shared" si="269"/>
        <v>10</v>
      </c>
      <c r="Z1248" s="64">
        <f t="shared" si="273"/>
        <v>0</v>
      </c>
    </row>
    <row r="1249" spans="1:26" ht="15.75" customHeight="1">
      <c r="A1249" s="63">
        <v>20260075</v>
      </c>
      <c r="B1249" s="65" t="s">
        <v>2382</v>
      </c>
      <c r="C1249" s="66">
        <v>46091</v>
      </c>
      <c r="E1249" s="63">
        <v>1</v>
      </c>
      <c r="F1249" s="68">
        <v>38.630000000000003</v>
      </c>
      <c r="G1249" s="69">
        <v>24</v>
      </c>
      <c r="H1249" s="65" t="s">
        <v>1975</v>
      </c>
      <c r="I1249" s="65" t="s">
        <v>194</v>
      </c>
      <c r="J1249" s="65" t="s">
        <v>26</v>
      </c>
      <c r="K1249" s="48">
        <f t="shared" si="274"/>
        <v>8</v>
      </c>
      <c r="L1249" s="48">
        <f t="shared" si="275"/>
        <v>68</v>
      </c>
      <c r="N1249" s="72">
        <f t="shared" si="272"/>
        <v>1</v>
      </c>
      <c r="O1249" s="50">
        <f t="shared" si="270"/>
        <v>38.630000000000003</v>
      </c>
      <c r="P1249" s="56">
        <f t="shared" si="271"/>
        <v>24</v>
      </c>
      <c r="S1249" s="200" t="s">
        <v>2617</v>
      </c>
      <c r="T1249" s="201">
        <v>74</v>
      </c>
      <c r="U1249" s="58"/>
      <c r="V1249" s="46"/>
      <c r="W1249" s="46"/>
      <c r="X1249" s="62" t="s">
        <v>25</v>
      </c>
      <c r="Y1249" s="63">
        <f t="shared" si="269"/>
        <v>38.630000000000003</v>
      </c>
      <c r="Z1249" s="64">
        <f t="shared" si="273"/>
        <v>0</v>
      </c>
    </row>
    <row r="1250" spans="1:26" ht="15.75" customHeight="1">
      <c r="A1250" s="63">
        <v>20260075</v>
      </c>
      <c r="B1250" s="65" t="s">
        <v>2382</v>
      </c>
      <c r="C1250" s="66">
        <v>46091</v>
      </c>
      <c r="E1250" s="63">
        <v>2</v>
      </c>
      <c r="F1250" s="68">
        <v>0</v>
      </c>
      <c r="G1250" s="69">
        <v>10</v>
      </c>
      <c r="H1250" s="65" t="s">
        <v>1975</v>
      </c>
      <c r="I1250" s="65" t="s">
        <v>24</v>
      </c>
      <c r="J1250" s="65" t="s">
        <v>24</v>
      </c>
      <c r="K1250" s="48">
        <f t="shared" si="274"/>
        <v>8</v>
      </c>
      <c r="L1250" s="48">
        <f t="shared" si="275"/>
        <v>68</v>
      </c>
      <c r="N1250" s="72">
        <f t="shared" si="272"/>
        <v>2</v>
      </c>
      <c r="O1250" s="50">
        <f t="shared" si="270"/>
        <v>0</v>
      </c>
      <c r="P1250" s="56">
        <f t="shared" si="271"/>
        <v>10</v>
      </c>
      <c r="S1250" s="200" t="s">
        <v>2617</v>
      </c>
      <c r="T1250" s="201">
        <v>74</v>
      </c>
      <c r="U1250" s="58"/>
      <c r="V1250" s="46"/>
      <c r="W1250" s="46"/>
      <c r="X1250" s="62" t="s">
        <v>25</v>
      </c>
      <c r="Y1250" s="63">
        <f t="shared" si="269"/>
        <v>0</v>
      </c>
      <c r="Z1250" s="64">
        <f t="shared" si="273"/>
        <v>0</v>
      </c>
    </row>
    <row r="1251" spans="1:26" ht="15.75" customHeight="1">
      <c r="A1251" s="63">
        <v>20260075</v>
      </c>
      <c r="B1251" s="65" t="s">
        <v>2382</v>
      </c>
      <c r="C1251" s="66">
        <v>46091</v>
      </c>
      <c r="E1251" s="63">
        <v>1</v>
      </c>
      <c r="F1251" s="68">
        <v>17.75</v>
      </c>
      <c r="G1251" s="69">
        <v>24</v>
      </c>
      <c r="H1251" s="65" t="s">
        <v>2619</v>
      </c>
      <c r="I1251" s="65" t="s">
        <v>276</v>
      </c>
      <c r="J1251" s="65" t="s">
        <v>26</v>
      </c>
      <c r="K1251" s="48">
        <f t="shared" si="274"/>
        <v>8</v>
      </c>
      <c r="L1251" s="48">
        <f t="shared" si="275"/>
        <v>68</v>
      </c>
      <c r="N1251" s="72">
        <f t="shared" si="272"/>
        <v>1</v>
      </c>
      <c r="O1251" s="50">
        <f t="shared" si="270"/>
        <v>17.75</v>
      </c>
      <c r="P1251" s="56">
        <f t="shared" si="271"/>
        <v>24</v>
      </c>
      <c r="S1251" s="200" t="s">
        <v>2620</v>
      </c>
      <c r="T1251" s="201">
        <v>75</v>
      </c>
      <c r="U1251" s="58" t="s">
        <v>741</v>
      </c>
      <c r="V1251" s="46"/>
      <c r="W1251" s="46"/>
      <c r="X1251" s="62" t="s">
        <v>25</v>
      </c>
      <c r="Y1251" s="63">
        <f t="shared" si="269"/>
        <v>17.75</v>
      </c>
      <c r="Z1251" s="64">
        <f t="shared" si="273"/>
        <v>0</v>
      </c>
    </row>
    <row r="1252" spans="1:26" ht="15.75" customHeight="1">
      <c r="A1252" s="63">
        <v>20260075</v>
      </c>
      <c r="B1252" s="65" t="s">
        <v>2382</v>
      </c>
      <c r="C1252" s="66">
        <v>46091</v>
      </c>
      <c r="E1252" s="63">
        <v>1</v>
      </c>
      <c r="F1252" s="68">
        <v>0</v>
      </c>
      <c r="G1252" s="69">
        <v>5</v>
      </c>
      <c r="H1252" s="65" t="s">
        <v>2619</v>
      </c>
      <c r="I1252" s="65" t="s">
        <v>24</v>
      </c>
      <c r="J1252" s="65" t="s">
        <v>24</v>
      </c>
      <c r="K1252" s="48">
        <f t="shared" si="274"/>
        <v>8</v>
      </c>
      <c r="L1252" s="48">
        <f t="shared" si="275"/>
        <v>68</v>
      </c>
      <c r="N1252" s="72">
        <f t="shared" si="272"/>
        <v>1</v>
      </c>
      <c r="O1252" s="50">
        <f t="shared" si="270"/>
        <v>0</v>
      </c>
      <c r="P1252" s="56">
        <f t="shared" si="271"/>
        <v>5</v>
      </c>
      <c r="S1252" s="200" t="s">
        <v>2620</v>
      </c>
      <c r="T1252" s="201">
        <v>75</v>
      </c>
      <c r="U1252" s="58"/>
      <c r="V1252" s="46"/>
      <c r="W1252" s="46"/>
      <c r="X1252" s="62" t="s">
        <v>25</v>
      </c>
      <c r="Y1252" s="63">
        <f t="shared" si="269"/>
        <v>0</v>
      </c>
      <c r="Z1252" s="64">
        <f t="shared" si="273"/>
        <v>0</v>
      </c>
    </row>
    <row r="1253" spans="1:26" ht="15.75" customHeight="1">
      <c r="A1253" s="106">
        <v>20260075</v>
      </c>
      <c r="B1253" s="107" t="s">
        <v>2382</v>
      </c>
      <c r="C1253" s="108">
        <v>46091</v>
      </c>
      <c r="D1253" s="108"/>
      <c r="E1253" s="106">
        <v>1</v>
      </c>
      <c r="F1253" s="106">
        <v>12.33</v>
      </c>
      <c r="G1253" s="106">
        <v>24</v>
      </c>
      <c r="H1253" s="107" t="s">
        <v>2621</v>
      </c>
      <c r="I1253" s="107" t="s">
        <v>42</v>
      </c>
      <c r="J1253" s="107" t="s">
        <v>28</v>
      </c>
      <c r="K1253" s="108">
        <f t="shared" si="274"/>
        <v>8</v>
      </c>
      <c r="L1253" s="108">
        <f t="shared" si="275"/>
        <v>68</v>
      </c>
      <c r="M1253" s="107"/>
      <c r="N1253" s="112">
        <f>E1253-1</f>
        <v>0</v>
      </c>
      <c r="O1253" s="113">
        <f t="shared" si="270"/>
        <v>0</v>
      </c>
      <c r="P1253" s="112">
        <f t="shared" si="271"/>
        <v>0</v>
      </c>
      <c r="Q1253" s="109"/>
      <c r="R1253" s="107"/>
      <c r="S1253" s="109" t="s">
        <v>2622</v>
      </c>
      <c r="T1253" s="114">
        <v>76</v>
      </c>
      <c r="U1253" s="109" t="s">
        <v>1238</v>
      </c>
      <c r="V1253" s="106"/>
      <c r="W1253" s="106"/>
      <c r="X1253" s="106" t="s">
        <v>55</v>
      </c>
      <c r="Y1253" s="63">
        <f t="shared" si="269"/>
        <v>12.33</v>
      </c>
      <c r="Z1253" s="64">
        <f t="shared" si="273"/>
        <v>1</v>
      </c>
    </row>
    <row r="1254" spans="1:26" ht="15.75" customHeight="1">
      <c r="A1254" s="63">
        <v>20260075</v>
      </c>
      <c r="B1254" s="65" t="s">
        <v>2382</v>
      </c>
      <c r="C1254" s="66">
        <v>46091</v>
      </c>
      <c r="E1254" s="63">
        <v>1</v>
      </c>
      <c r="F1254" s="68">
        <v>12.33</v>
      </c>
      <c r="G1254" s="69">
        <v>24</v>
      </c>
      <c r="H1254" s="65" t="s">
        <v>2623</v>
      </c>
      <c r="I1254" s="65" t="s">
        <v>42</v>
      </c>
      <c r="J1254" s="65" t="s">
        <v>28</v>
      </c>
      <c r="K1254" s="48">
        <f t="shared" si="274"/>
        <v>8</v>
      </c>
      <c r="L1254" s="48">
        <f t="shared" si="275"/>
        <v>68</v>
      </c>
      <c r="N1254" s="72">
        <f t="shared" si="272"/>
        <v>1</v>
      </c>
      <c r="O1254" s="50">
        <f t="shared" si="270"/>
        <v>12.33</v>
      </c>
      <c r="P1254" s="56">
        <f t="shared" si="271"/>
        <v>24</v>
      </c>
      <c r="S1254" s="200" t="s">
        <v>2624</v>
      </c>
      <c r="T1254" s="201">
        <v>77</v>
      </c>
      <c r="U1254" s="58" t="s">
        <v>2625</v>
      </c>
      <c r="V1254" s="46"/>
      <c r="W1254" s="46"/>
      <c r="X1254" s="62" t="s">
        <v>25</v>
      </c>
      <c r="Y1254" s="63">
        <f t="shared" si="269"/>
        <v>12.33</v>
      </c>
      <c r="Z1254" s="64">
        <f t="shared" si="273"/>
        <v>0</v>
      </c>
    </row>
    <row r="1255" spans="1:26" ht="15.75" customHeight="1">
      <c r="A1255" s="63">
        <v>20260075</v>
      </c>
      <c r="B1255" s="65" t="s">
        <v>2382</v>
      </c>
      <c r="C1255" s="66">
        <v>46091</v>
      </c>
      <c r="E1255" s="63">
        <v>1</v>
      </c>
      <c r="F1255" s="68">
        <v>34</v>
      </c>
      <c r="G1255" s="69">
        <v>24</v>
      </c>
      <c r="H1255" s="65" t="s">
        <v>2626</v>
      </c>
      <c r="I1255" s="65" t="s">
        <v>58</v>
      </c>
      <c r="J1255" s="65" t="s">
        <v>28</v>
      </c>
      <c r="K1255" s="48">
        <f t="shared" si="274"/>
        <v>8</v>
      </c>
      <c r="L1255" s="48">
        <f t="shared" si="275"/>
        <v>68</v>
      </c>
      <c r="N1255" s="72">
        <f t="shared" si="272"/>
        <v>1</v>
      </c>
      <c r="O1255" s="50">
        <f t="shared" si="270"/>
        <v>34</v>
      </c>
      <c r="P1255" s="56">
        <f t="shared" si="271"/>
        <v>24</v>
      </c>
      <c r="S1255" s="200" t="s">
        <v>2627</v>
      </c>
      <c r="T1255" s="201">
        <v>78</v>
      </c>
      <c r="U1255" s="58" t="s">
        <v>2628</v>
      </c>
      <c r="V1255" s="46"/>
      <c r="W1255" s="46"/>
      <c r="X1255" s="62" t="s">
        <v>25</v>
      </c>
      <c r="Y1255" s="63">
        <f t="shared" si="269"/>
        <v>34</v>
      </c>
      <c r="Z1255" s="64">
        <f t="shared" si="273"/>
        <v>0</v>
      </c>
    </row>
    <row r="1256" spans="1:26" ht="15.75" customHeight="1">
      <c r="A1256" s="63">
        <v>20260075</v>
      </c>
      <c r="B1256" s="65" t="s">
        <v>2382</v>
      </c>
      <c r="C1256" s="66">
        <v>46091</v>
      </c>
      <c r="E1256" s="63">
        <v>1</v>
      </c>
      <c r="F1256" s="68">
        <v>21.02</v>
      </c>
      <c r="G1256" s="69">
        <v>24</v>
      </c>
      <c r="H1256" s="65" t="s">
        <v>2629</v>
      </c>
      <c r="I1256" s="65" t="s">
        <v>2046</v>
      </c>
      <c r="J1256" s="65" t="s">
        <v>26</v>
      </c>
      <c r="K1256" s="48">
        <f t="shared" si="274"/>
        <v>8</v>
      </c>
      <c r="L1256" s="48">
        <f t="shared" si="275"/>
        <v>68</v>
      </c>
      <c r="N1256" s="72">
        <f t="shared" si="272"/>
        <v>1</v>
      </c>
      <c r="O1256" s="50">
        <f t="shared" si="270"/>
        <v>21.02</v>
      </c>
      <c r="P1256" s="56">
        <f t="shared" si="271"/>
        <v>24</v>
      </c>
      <c r="S1256" s="200" t="s">
        <v>2630</v>
      </c>
      <c r="T1256" s="201">
        <v>79</v>
      </c>
      <c r="U1256" s="58" t="s">
        <v>2631</v>
      </c>
      <c r="V1256" s="46"/>
      <c r="W1256" s="46"/>
      <c r="X1256" s="62" t="s">
        <v>25</v>
      </c>
      <c r="Y1256" s="63">
        <f t="shared" si="269"/>
        <v>21.02</v>
      </c>
      <c r="Z1256" s="64">
        <f t="shared" si="273"/>
        <v>0</v>
      </c>
    </row>
    <row r="1257" spans="1:26" ht="15.75" customHeight="1">
      <c r="A1257" s="63">
        <v>20260075</v>
      </c>
      <c r="B1257" s="65" t="s">
        <v>2382</v>
      </c>
      <c r="C1257" s="66">
        <v>46091</v>
      </c>
      <c r="E1257" s="63">
        <v>1</v>
      </c>
      <c r="F1257" s="68">
        <v>10</v>
      </c>
      <c r="G1257" s="69">
        <v>24</v>
      </c>
      <c r="H1257" s="65" t="s">
        <v>2629</v>
      </c>
      <c r="I1257" s="65" t="s">
        <v>42</v>
      </c>
      <c r="J1257" s="65" t="s">
        <v>28</v>
      </c>
      <c r="K1257" s="48">
        <f t="shared" si="274"/>
        <v>8</v>
      </c>
      <c r="L1257" s="48">
        <f t="shared" si="275"/>
        <v>68</v>
      </c>
      <c r="N1257" s="72">
        <f t="shared" si="272"/>
        <v>1</v>
      </c>
      <c r="O1257" s="50">
        <f t="shared" si="270"/>
        <v>10</v>
      </c>
      <c r="P1257" s="56">
        <f t="shared" si="271"/>
        <v>24</v>
      </c>
      <c r="S1257" s="200" t="s">
        <v>2630</v>
      </c>
      <c r="T1257" s="201">
        <v>79</v>
      </c>
      <c r="U1257" s="58"/>
      <c r="V1257" s="46"/>
      <c r="W1257" s="46"/>
      <c r="X1257" s="62" t="s">
        <v>25</v>
      </c>
      <c r="Y1257" s="63">
        <f t="shared" si="269"/>
        <v>10</v>
      </c>
      <c r="Z1257" s="64">
        <f t="shared" si="273"/>
        <v>0</v>
      </c>
    </row>
    <row r="1258" spans="1:26" ht="15.75" customHeight="1">
      <c r="A1258" s="63">
        <v>20260075</v>
      </c>
      <c r="B1258" s="65" t="s">
        <v>2382</v>
      </c>
      <c r="C1258" s="66">
        <v>46091</v>
      </c>
      <c r="E1258" s="63">
        <v>2</v>
      </c>
      <c r="F1258" s="68">
        <v>0</v>
      </c>
      <c r="G1258" s="69">
        <v>10</v>
      </c>
      <c r="H1258" s="65" t="s">
        <v>2629</v>
      </c>
      <c r="I1258" s="65" t="s">
        <v>24</v>
      </c>
      <c r="J1258" s="65" t="s">
        <v>24</v>
      </c>
      <c r="K1258" s="48">
        <f t="shared" si="274"/>
        <v>8</v>
      </c>
      <c r="L1258" s="48">
        <f t="shared" si="275"/>
        <v>68</v>
      </c>
      <c r="N1258" s="72">
        <f t="shared" si="272"/>
        <v>2</v>
      </c>
      <c r="O1258" s="50">
        <f t="shared" si="270"/>
        <v>0</v>
      </c>
      <c r="P1258" s="56">
        <f t="shared" si="271"/>
        <v>10</v>
      </c>
      <c r="S1258" s="200" t="s">
        <v>2630</v>
      </c>
      <c r="T1258" s="201">
        <v>79</v>
      </c>
      <c r="U1258" s="58"/>
      <c r="V1258" s="46"/>
      <c r="W1258" s="46"/>
      <c r="X1258" s="62" t="s">
        <v>25</v>
      </c>
      <c r="Y1258" s="63">
        <f t="shared" si="269"/>
        <v>0</v>
      </c>
      <c r="Z1258" s="64">
        <f t="shared" si="273"/>
        <v>0</v>
      </c>
    </row>
    <row r="1259" spans="1:26" ht="15.75" customHeight="1">
      <c r="A1259" s="63">
        <v>20260075</v>
      </c>
      <c r="B1259" s="65" t="s">
        <v>2382</v>
      </c>
      <c r="C1259" s="66">
        <v>46091</v>
      </c>
      <c r="E1259" s="63">
        <v>1</v>
      </c>
      <c r="F1259" s="68">
        <v>34.1</v>
      </c>
      <c r="G1259" s="69">
        <v>24</v>
      </c>
      <c r="H1259" s="65" t="s">
        <v>2632</v>
      </c>
      <c r="I1259" s="65" t="s">
        <v>194</v>
      </c>
      <c r="J1259" s="65" t="s">
        <v>26</v>
      </c>
      <c r="K1259" s="48">
        <f t="shared" si="274"/>
        <v>8</v>
      </c>
      <c r="L1259" s="48">
        <f t="shared" si="275"/>
        <v>68</v>
      </c>
      <c r="N1259" s="72">
        <f t="shared" si="272"/>
        <v>1</v>
      </c>
      <c r="O1259" s="50">
        <f t="shared" si="270"/>
        <v>34.1</v>
      </c>
      <c r="P1259" s="56">
        <f t="shared" si="271"/>
        <v>24</v>
      </c>
      <c r="S1259" s="200" t="s">
        <v>2633</v>
      </c>
      <c r="T1259" s="201">
        <v>80</v>
      </c>
      <c r="U1259" s="58" t="s">
        <v>682</v>
      </c>
      <c r="V1259" s="46"/>
      <c r="W1259" s="46"/>
      <c r="X1259" s="62" t="s">
        <v>25</v>
      </c>
      <c r="Y1259" s="63">
        <f t="shared" si="269"/>
        <v>34.1</v>
      </c>
      <c r="Z1259" s="64">
        <f t="shared" si="273"/>
        <v>0</v>
      </c>
    </row>
    <row r="1260" spans="1:26" ht="15.75" customHeight="1">
      <c r="A1260" s="63">
        <v>20260075</v>
      </c>
      <c r="B1260" s="65" t="s">
        <v>2382</v>
      </c>
      <c r="C1260" s="66">
        <v>46091</v>
      </c>
      <c r="E1260" s="63">
        <v>1</v>
      </c>
      <c r="F1260" s="68">
        <v>0</v>
      </c>
      <c r="G1260" s="69">
        <v>5</v>
      </c>
      <c r="H1260" s="65" t="s">
        <v>2632</v>
      </c>
      <c r="I1260" s="65" t="s">
        <v>24</v>
      </c>
      <c r="J1260" s="65" t="s">
        <v>24</v>
      </c>
      <c r="K1260" s="48">
        <f t="shared" si="274"/>
        <v>8</v>
      </c>
      <c r="L1260" s="48">
        <f t="shared" si="275"/>
        <v>68</v>
      </c>
      <c r="N1260" s="72">
        <f t="shared" si="272"/>
        <v>1</v>
      </c>
      <c r="O1260" s="50">
        <f t="shared" si="270"/>
        <v>0</v>
      </c>
      <c r="P1260" s="56">
        <f t="shared" si="271"/>
        <v>5</v>
      </c>
      <c r="S1260" s="200" t="s">
        <v>2633</v>
      </c>
      <c r="T1260" s="201">
        <v>80</v>
      </c>
      <c r="U1260" s="58"/>
      <c r="V1260" s="46"/>
      <c r="W1260" s="46"/>
      <c r="X1260" s="62" t="s">
        <v>25</v>
      </c>
      <c r="Y1260" s="63">
        <f t="shared" si="269"/>
        <v>0</v>
      </c>
      <c r="Z1260" s="64">
        <f t="shared" si="273"/>
        <v>0</v>
      </c>
    </row>
    <row r="1261" spans="1:26" ht="15.75" customHeight="1">
      <c r="A1261" s="63">
        <v>20260075</v>
      </c>
      <c r="B1261" s="65" t="s">
        <v>2382</v>
      </c>
      <c r="C1261" s="66">
        <v>46091</v>
      </c>
      <c r="E1261" s="63">
        <v>2</v>
      </c>
      <c r="F1261" s="68">
        <v>6</v>
      </c>
      <c r="G1261" s="69">
        <v>48</v>
      </c>
      <c r="H1261" s="65" t="s">
        <v>2632</v>
      </c>
      <c r="I1261" s="65" t="s">
        <v>194</v>
      </c>
      <c r="J1261" s="65" t="s">
        <v>26</v>
      </c>
      <c r="K1261" s="48">
        <f t="shared" si="274"/>
        <v>8</v>
      </c>
      <c r="L1261" s="48">
        <f t="shared" si="275"/>
        <v>68</v>
      </c>
      <c r="N1261" s="72">
        <f t="shared" si="272"/>
        <v>2</v>
      </c>
      <c r="O1261" s="50">
        <f t="shared" si="270"/>
        <v>6</v>
      </c>
      <c r="P1261" s="56">
        <f t="shared" si="271"/>
        <v>48</v>
      </c>
      <c r="S1261" s="200" t="s">
        <v>2634</v>
      </c>
      <c r="T1261" s="201">
        <v>81</v>
      </c>
      <c r="U1261" s="58" t="s">
        <v>2635</v>
      </c>
      <c r="V1261" s="46"/>
      <c r="W1261" s="46"/>
      <c r="X1261" s="62" t="s">
        <v>25</v>
      </c>
      <c r="Y1261" s="63">
        <f t="shared" si="269"/>
        <v>3</v>
      </c>
      <c r="Z1261" s="64">
        <f t="shared" si="273"/>
        <v>0</v>
      </c>
    </row>
    <row r="1262" spans="1:26" ht="15.75" customHeight="1">
      <c r="A1262" s="63">
        <v>20260075</v>
      </c>
      <c r="B1262" s="65" t="s">
        <v>2382</v>
      </c>
      <c r="C1262" s="66">
        <v>46091</v>
      </c>
      <c r="E1262" s="63">
        <v>1</v>
      </c>
      <c r="F1262" s="68">
        <v>37.1</v>
      </c>
      <c r="G1262" s="69">
        <v>24</v>
      </c>
      <c r="H1262" s="65" t="s">
        <v>2636</v>
      </c>
      <c r="I1262" s="65" t="s">
        <v>194</v>
      </c>
      <c r="J1262" s="65" t="s">
        <v>26</v>
      </c>
      <c r="K1262" s="48">
        <f t="shared" si="274"/>
        <v>8</v>
      </c>
      <c r="L1262" s="48">
        <f t="shared" si="275"/>
        <v>68</v>
      </c>
      <c r="N1262" s="72">
        <f t="shared" si="272"/>
        <v>1</v>
      </c>
      <c r="O1262" s="50">
        <f t="shared" si="270"/>
        <v>37.1</v>
      </c>
      <c r="P1262" s="56">
        <f t="shared" si="271"/>
        <v>24</v>
      </c>
      <c r="S1262" s="200" t="s">
        <v>2637</v>
      </c>
      <c r="T1262" s="201">
        <v>82</v>
      </c>
      <c r="U1262" s="58" t="s">
        <v>682</v>
      </c>
      <c r="V1262" s="46"/>
      <c r="W1262" s="46"/>
      <c r="X1262" s="62" t="s">
        <v>25</v>
      </c>
      <c r="Y1262" s="63">
        <f t="shared" si="269"/>
        <v>37.1</v>
      </c>
      <c r="Z1262" s="64">
        <f t="shared" si="273"/>
        <v>0</v>
      </c>
    </row>
    <row r="1263" spans="1:26" ht="15.75" customHeight="1">
      <c r="A1263" s="63">
        <v>20260075</v>
      </c>
      <c r="B1263" s="65" t="s">
        <v>2382</v>
      </c>
      <c r="C1263" s="66">
        <v>46091</v>
      </c>
      <c r="E1263" s="63">
        <v>2</v>
      </c>
      <c r="F1263" s="68">
        <v>0</v>
      </c>
      <c r="G1263" s="69">
        <v>10</v>
      </c>
      <c r="H1263" s="65" t="s">
        <v>2636</v>
      </c>
      <c r="I1263" s="65" t="s">
        <v>24</v>
      </c>
      <c r="J1263" s="65" t="s">
        <v>24</v>
      </c>
      <c r="K1263" s="48">
        <f t="shared" si="274"/>
        <v>8</v>
      </c>
      <c r="L1263" s="48">
        <f t="shared" si="275"/>
        <v>68</v>
      </c>
      <c r="N1263" s="72">
        <f t="shared" si="272"/>
        <v>2</v>
      </c>
      <c r="O1263" s="50">
        <f t="shared" si="270"/>
        <v>0</v>
      </c>
      <c r="P1263" s="56">
        <f t="shared" si="271"/>
        <v>10</v>
      </c>
      <c r="S1263" s="200" t="s">
        <v>2637</v>
      </c>
      <c r="T1263" s="201">
        <v>82</v>
      </c>
      <c r="U1263" s="58"/>
      <c r="V1263" s="46"/>
      <c r="W1263" s="46"/>
      <c r="X1263" s="62" t="s">
        <v>25</v>
      </c>
      <c r="Y1263" s="63">
        <f t="shared" si="269"/>
        <v>0</v>
      </c>
      <c r="Z1263" s="64">
        <f t="shared" si="273"/>
        <v>0</v>
      </c>
    </row>
    <row r="1264" spans="1:26" ht="15.75" customHeight="1">
      <c r="A1264" s="63">
        <v>20260075</v>
      </c>
      <c r="B1264" s="65" t="s">
        <v>2382</v>
      </c>
      <c r="C1264" s="66">
        <v>46091</v>
      </c>
      <c r="E1264" s="63">
        <v>1</v>
      </c>
      <c r="F1264" s="68">
        <v>14</v>
      </c>
      <c r="G1264" s="69">
        <v>24</v>
      </c>
      <c r="H1264" s="65" t="s">
        <v>2638</v>
      </c>
      <c r="I1264" s="65" t="s">
        <v>42</v>
      </c>
      <c r="J1264" s="65" t="s">
        <v>28</v>
      </c>
      <c r="K1264" s="48">
        <f t="shared" si="274"/>
        <v>8</v>
      </c>
      <c r="L1264" s="48">
        <f t="shared" si="275"/>
        <v>68</v>
      </c>
      <c r="N1264" s="72">
        <f t="shared" si="272"/>
        <v>1</v>
      </c>
      <c r="O1264" s="50">
        <f t="shared" si="270"/>
        <v>14</v>
      </c>
      <c r="P1264" s="56">
        <f t="shared" si="271"/>
        <v>24</v>
      </c>
      <c r="S1264" s="200" t="s">
        <v>2639</v>
      </c>
      <c r="T1264" s="201">
        <v>83</v>
      </c>
      <c r="U1264" s="58" t="s">
        <v>2640</v>
      </c>
      <c r="V1264" s="46"/>
      <c r="W1264" s="46"/>
      <c r="X1264" s="62" t="s">
        <v>25</v>
      </c>
      <c r="Y1264" s="63">
        <f t="shared" si="269"/>
        <v>14</v>
      </c>
      <c r="Z1264" s="64">
        <f t="shared" si="273"/>
        <v>0</v>
      </c>
    </row>
    <row r="1265" spans="1:26" ht="15.75" customHeight="1">
      <c r="A1265" s="63">
        <v>20260075</v>
      </c>
      <c r="B1265" s="65" t="s">
        <v>2382</v>
      </c>
      <c r="C1265" s="66">
        <v>46091</v>
      </c>
      <c r="E1265" s="63">
        <v>1</v>
      </c>
      <c r="F1265" s="68">
        <v>12</v>
      </c>
      <c r="G1265" s="69">
        <v>60</v>
      </c>
      <c r="H1265" s="65" t="s">
        <v>2641</v>
      </c>
      <c r="I1265" s="65" t="s">
        <v>138</v>
      </c>
      <c r="J1265" s="65" t="s">
        <v>26</v>
      </c>
      <c r="K1265" s="48">
        <f t="shared" si="274"/>
        <v>8</v>
      </c>
      <c r="L1265" s="48">
        <f t="shared" si="275"/>
        <v>68</v>
      </c>
      <c r="N1265" s="72">
        <f t="shared" si="272"/>
        <v>1</v>
      </c>
      <c r="O1265" s="50">
        <f t="shared" si="270"/>
        <v>12</v>
      </c>
      <c r="P1265" s="56">
        <f t="shared" si="271"/>
        <v>60</v>
      </c>
      <c r="S1265" s="200" t="s">
        <v>2642</v>
      </c>
      <c r="T1265" s="201">
        <v>84</v>
      </c>
      <c r="U1265" s="58" t="s">
        <v>2643</v>
      </c>
      <c r="V1265" s="46"/>
      <c r="W1265" s="46"/>
      <c r="X1265" s="62" t="s">
        <v>25</v>
      </c>
      <c r="Y1265" s="63">
        <f t="shared" si="269"/>
        <v>12</v>
      </c>
      <c r="Z1265" s="64">
        <f t="shared" si="273"/>
        <v>0</v>
      </c>
    </row>
    <row r="1266" spans="1:26" ht="15.75" customHeight="1">
      <c r="A1266" s="63">
        <v>20260075</v>
      </c>
      <c r="B1266" s="65" t="s">
        <v>2382</v>
      </c>
      <c r="C1266" s="66">
        <v>46091</v>
      </c>
      <c r="E1266" s="63">
        <v>1</v>
      </c>
      <c r="F1266" s="68">
        <v>41.34</v>
      </c>
      <c r="G1266" s="69">
        <v>24</v>
      </c>
      <c r="H1266" s="65" t="s">
        <v>2463</v>
      </c>
      <c r="I1266" s="65" t="s">
        <v>81</v>
      </c>
      <c r="J1266" s="65" t="s">
        <v>26</v>
      </c>
      <c r="K1266" s="48">
        <f t="shared" si="274"/>
        <v>8</v>
      </c>
      <c r="L1266" s="48">
        <f t="shared" si="275"/>
        <v>68</v>
      </c>
      <c r="N1266" s="72">
        <f t="shared" si="272"/>
        <v>1</v>
      </c>
      <c r="O1266" s="50">
        <f t="shared" si="270"/>
        <v>41.34</v>
      </c>
      <c r="P1266" s="56">
        <f t="shared" si="271"/>
        <v>24</v>
      </c>
      <c r="S1266" s="200" t="s">
        <v>2644</v>
      </c>
      <c r="T1266" s="201">
        <v>85</v>
      </c>
      <c r="U1266" s="58" t="s">
        <v>2645</v>
      </c>
      <c r="V1266" s="46"/>
      <c r="W1266" s="46"/>
      <c r="X1266" s="62" t="s">
        <v>25</v>
      </c>
      <c r="Y1266" s="63">
        <f t="shared" si="269"/>
        <v>41.34</v>
      </c>
      <c r="Z1266" s="64">
        <f t="shared" si="273"/>
        <v>0</v>
      </c>
    </row>
    <row r="1267" spans="1:26" ht="15.75" customHeight="1">
      <c r="A1267" s="63">
        <v>20260075</v>
      </c>
      <c r="B1267" s="65" t="s">
        <v>2382</v>
      </c>
      <c r="C1267" s="66">
        <v>46091</v>
      </c>
      <c r="E1267" s="63">
        <v>3</v>
      </c>
      <c r="F1267" s="68">
        <v>0</v>
      </c>
      <c r="G1267" s="69">
        <v>15</v>
      </c>
      <c r="H1267" s="65" t="s">
        <v>2463</v>
      </c>
      <c r="I1267" s="65" t="s">
        <v>24</v>
      </c>
      <c r="J1267" s="65" t="s">
        <v>24</v>
      </c>
      <c r="K1267" s="48">
        <f t="shared" si="274"/>
        <v>8</v>
      </c>
      <c r="L1267" s="48">
        <f t="shared" si="275"/>
        <v>68</v>
      </c>
      <c r="N1267" s="72">
        <f t="shared" si="272"/>
        <v>3</v>
      </c>
      <c r="O1267" s="50">
        <f t="shared" si="270"/>
        <v>0</v>
      </c>
      <c r="P1267" s="56">
        <f t="shared" si="271"/>
        <v>15</v>
      </c>
      <c r="S1267" s="200" t="s">
        <v>2644</v>
      </c>
      <c r="T1267" s="201">
        <v>85</v>
      </c>
      <c r="U1267" s="58"/>
      <c r="V1267" s="46"/>
      <c r="W1267" s="46"/>
      <c r="X1267" s="62" t="s">
        <v>25</v>
      </c>
      <c r="Y1267" s="63">
        <f t="shared" si="269"/>
        <v>0</v>
      </c>
      <c r="Z1267" s="64">
        <f t="shared" si="273"/>
        <v>0</v>
      </c>
    </row>
    <row r="1268" spans="1:26" ht="15.75" customHeight="1">
      <c r="A1268" s="63">
        <v>20260075</v>
      </c>
      <c r="B1268" s="65" t="s">
        <v>2382</v>
      </c>
      <c r="C1268" s="66">
        <v>46091</v>
      </c>
      <c r="E1268" s="63">
        <v>1</v>
      </c>
      <c r="F1268" s="68">
        <v>22</v>
      </c>
      <c r="G1268" s="69">
        <v>24</v>
      </c>
      <c r="H1268" s="65" t="s">
        <v>2646</v>
      </c>
      <c r="I1268" s="65" t="s">
        <v>194</v>
      </c>
      <c r="J1268" s="65" t="s">
        <v>26</v>
      </c>
      <c r="K1268" s="48">
        <f t="shared" si="274"/>
        <v>8</v>
      </c>
      <c r="L1268" s="48">
        <f t="shared" si="275"/>
        <v>68</v>
      </c>
      <c r="N1268" s="72">
        <f t="shared" si="272"/>
        <v>1</v>
      </c>
      <c r="O1268" s="50">
        <f t="shared" si="270"/>
        <v>22</v>
      </c>
      <c r="P1268" s="56">
        <f t="shared" si="271"/>
        <v>24</v>
      </c>
      <c r="S1268" s="200" t="s">
        <v>2647</v>
      </c>
      <c r="T1268" s="201">
        <v>86</v>
      </c>
      <c r="U1268" s="58" t="s">
        <v>2648</v>
      </c>
      <c r="V1268" s="46"/>
      <c r="W1268" s="46"/>
      <c r="X1268" s="62" t="s">
        <v>25</v>
      </c>
      <c r="Y1268" s="63">
        <f t="shared" ref="Y1268:Y1331" si="276">F1268/E1268</f>
        <v>22</v>
      </c>
      <c r="Z1268" s="64">
        <f t="shared" si="273"/>
        <v>0</v>
      </c>
    </row>
    <row r="1269" spans="1:26" ht="15.75" customHeight="1">
      <c r="A1269" s="63">
        <v>20260075</v>
      </c>
      <c r="B1269" s="65" t="s">
        <v>2382</v>
      </c>
      <c r="C1269" s="66">
        <v>46091</v>
      </c>
      <c r="E1269" s="63">
        <v>1</v>
      </c>
      <c r="F1269" s="68">
        <v>37.299999999999997</v>
      </c>
      <c r="G1269" s="69">
        <v>24</v>
      </c>
      <c r="H1269" s="65" t="s">
        <v>1454</v>
      </c>
      <c r="I1269" s="65" t="s">
        <v>194</v>
      </c>
      <c r="J1269" s="65" t="s">
        <v>26</v>
      </c>
      <c r="K1269" s="48">
        <f t="shared" si="274"/>
        <v>8</v>
      </c>
      <c r="L1269" s="48">
        <f t="shared" si="275"/>
        <v>68</v>
      </c>
      <c r="N1269" s="72">
        <f t="shared" si="272"/>
        <v>1</v>
      </c>
      <c r="O1269" s="50">
        <f t="shared" si="270"/>
        <v>37.299999999999997</v>
      </c>
      <c r="P1269" s="56">
        <f t="shared" si="271"/>
        <v>24</v>
      </c>
      <c r="S1269" s="200" t="s">
        <v>2649</v>
      </c>
      <c r="T1269" s="201">
        <v>87</v>
      </c>
      <c r="U1269" s="58" t="s">
        <v>682</v>
      </c>
      <c r="V1269" s="46"/>
      <c r="W1269" s="46"/>
      <c r="X1269" s="62" t="s">
        <v>25</v>
      </c>
      <c r="Y1269" s="63">
        <f t="shared" si="276"/>
        <v>37.299999999999997</v>
      </c>
      <c r="Z1269" s="64">
        <f t="shared" si="273"/>
        <v>0</v>
      </c>
    </row>
    <row r="1270" spans="1:26" ht="15.75" customHeight="1">
      <c r="A1270" s="63">
        <v>20260075</v>
      </c>
      <c r="B1270" s="65" t="s">
        <v>2382</v>
      </c>
      <c r="C1270" s="66">
        <v>46091</v>
      </c>
      <c r="E1270" s="63">
        <v>2</v>
      </c>
      <c r="F1270" s="68">
        <v>0</v>
      </c>
      <c r="G1270" s="69">
        <v>10</v>
      </c>
      <c r="H1270" s="65" t="s">
        <v>1454</v>
      </c>
      <c r="I1270" s="65" t="s">
        <v>24</v>
      </c>
      <c r="J1270" s="65" t="s">
        <v>24</v>
      </c>
      <c r="K1270" s="48">
        <f t="shared" si="274"/>
        <v>8</v>
      </c>
      <c r="L1270" s="48">
        <f t="shared" si="275"/>
        <v>68</v>
      </c>
      <c r="N1270" s="72">
        <f t="shared" si="272"/>
        <v>2</v>
      </c>
      <c r="O1270" s="50">
        <f t="shared" si="270"/>
        <v>0</v>
      </c>
      <c r="P1270" s="56">
        <f t="shared" si="271"/>
        <v>10</v>
      </c>
      <c r="S1270" s="200" t="s">
        <v>2649</v>
      </c>
      <c r="T1270" s="201">
        <v>87</v>
      </c>
      <c r="U1270" s="58"/>
      <c r="V1270" s="46"/>
      <c r="W1270" s="46"/>
      <c r="X1270" s="62" t="s">
        <v>25</v>
      </c>
      <c r="Y1270" s="63">
        <f t="shared" si="276"/>
        <v>0</v>
      </c>
      <c r="Z1270" s="64">
        <f t="shared" si="273"/>
        <v>0</v>
      </c>
    </row>
    <row r="1271" spans="1:26" ht="15.75" customHeight="1">
      <c r="A1271" s="63">
        <v>20260075</v>
      </c>
      <c r="B1271" s="65" t="s">
        <v>2382</v>
      </c>
      <c r="C1271" s="66">
        <v>46091</v>
      </c>
      <c r="E1271" s="63">
        <v>1</v>
      </c>
      <c r="F1271" s="68">
        <v>26.3</v>
      </c>
      <c r="G1271" s="69">
        <v>24</v>
      </c>
      <c r="H1271" s="65" t="s">
        <v>2650</v>
      </c>
      <c r="I1271" s="65" t="s">
        <v>208</v>
      </c>
      <c r="J1271" s="65" t="s">
        <v>26</v>
      </c>
      <c r="K1271" s="48">
        <f t="shared" si="274"/>
        <v>8</v>
      </c>
      <c r="L1271" s="48">
        <f t="shared" si="275"/>
        <v>68</v>
      </c>
      <c r="N1271" s="72">
        <f t="shared" si="272"/>
        <v>1</v>
      </c>
      <c r="O1271" s="50">
        <f t="shared" si="270"/>
        <v>26.3</v>
      </c>
      <c r="P1271" s="56">
        <f t="shared" si="271"/>
        <v>24</v>
      </c>
      <c r="S1271" s="200" t="s">
        <v>2651</v>
      </c>
      <c r="T1271" s="201">
        <v>88</v>
      </c>
      <c r="U1271" s="58" t="s">
        <v>2652</v>
      </c>
      <c r="V1271" s="46"/>
      <c r="W1271" s="46"/>
      <c r="X1271" s="62" t="s">
        <v>25</v>
      </c>
      <c r="Y1271" s="63">
        <f t="shared" si="276"/>
        <v>26.3</v>
      </c>
      <c r="Z1271" s="64">
        <f t="shared" si="273"/>
        <v>0</v>
      </c>
    </row>
    <row r="1272" spans="1:26" ht="15.75" customHeight="1">
      <c r="A1272" s="63">
        <v>20260075</v>
      </c>
      <c r="B1272" s="65" t="s">
        <v>2382</v>
      </c>
      <c r="C1272" s="66">
        <v>46091</v>
      </c>
      <c r="E1272" s="63">
        <v>2</v>
      </c>
      <c r="F1272" s="68">
        <v>74.599999999999994</v>
      </c>
      <c r="G1272" s="69">
        <v>48</v>
      </c>
      <c r="H1272" s="65" t="s">
        <v>2653</v>
      </c>
      <c r="I1272" s="65" t="s">
        <v>194</v>
      </c>
      <c r="J1272" s="65" t="s">
        <v>26</v>
      </c>
      <c r="K1272" s="48">
        <f t="shared" si="274"/>
        <v>8</v>
      </c>
      <c r="L1272" s="48">
        <f t="shared" si="275"/>
        <v>68</v>
      </c>
      <c r="N1272" s="72">
        <f t="shared" si="272"/>
        <v>2</v>
      </c>
      <c r="O1272" s="50">
        <f t="shared" si="270"/>
        <v>74.599999999999994</v>
      </c>
      <c r="P1272" s="56">
        <f t="shared" si="271"/>
        <v>48</v>
      </c>
      <c r="S1272" s="200" t="s">
        <v>2654</v>
      </c>
      <c r="T1272" s="201">
        <v>89</v>
      </c>
      <c r="U1272" s="58" t="s">
        <v>2655</v>
      </c>
      <c r="V1272" s="46"/>
      <c r="W1272" s="46"/>
      <c r="X1272" s="62" t="s">
        <v>25</v>
      </c>
      <c r="Y1272" s="63">
        <f t="shared" si="276"/>
        <v>37.299999999999997</v>
      </c>
      <c r="Z1272" s="64">
        <f t="shared" si="273"/>
        <v>0</v>
      </c>
    </row>
    <row r="1273" spans="1:26" ht="15.75" customHeight="1">
      <c r="A1273" s="63">
        <v>20260075</v>
      </c>
      <c r="B1273" s="65" t="s">
        <v>2382</v>
      </c>
      <c r="C1273" s="66">
        <v>46091</v>
      </c>
      <c r="E1273" s="63">
        <v>4</v>
      </c>
      <c r="F1273" s="68">
        <v>0</v>
      </c>
      <c r="G1273" s="69">
        <v>20</v>
      </c>
      <c r="H1273" s="65" t="s">
        <v>2653</v>
      </c>
      <c r="I1273" s="65" t="s">
        <v>24</v>
      </c>
      <c r="J1273" s="65" t="s">
        <v>24</v>
      </c>
      <c r="K1273" s="48">
        <f t="shared" si="274"/>
        <v>8</v>
      </c>
      <c r="L1273" s="48">
        <f t="shared" si="275"/>
        <v>68</v>
      </c>
      <c r="N1273" s="72">
        <f t="shared" si="272"/>
        <v>4</v>
      </c>
      <c r="O1273" s="50">
        <f t="shared" si="270"/>
        <v>0</v>
      </c>
      <c r="P1273" s="56">
        <f t="shared" si="271"/>
        <v>20</v>
      </c>
      <c r="S1273" s="200" t="s">
        <v>2654</v>
      </c>
      <c r="T1273" s="201">
        <v>89</v>
      </c>
      <c r="U1273" s="58"/>
      <c r="V1273" s="46"/>
      <c r="W1273" s="46"/>
      <c r="X1273" s="62" t="s">
        <v>25</v>
      </c>
      <c r="Y1273" s="63">
        <f t="shared" si="276"/>
        <v>0</v>
      </c>
      <c r="Z1273" s="64">
        <f t="shared" si="273"/>
        <v>0</v>
      </c>
    </row>
    <row r="1274" spans="1:26" ht="15.75" customHeight="1">
      <c r="A1274" s="63">
        <v>20260075</v>
      </c>
      <c r="B1274" s="65" t="s">
        <v>2382</v>
      </c>
      <c r="C1274" s="66">
        <v>46091</v>
      </c>
      <c r="E1274" s="63">
        <v>10</v>
      </c>
      <c r="F1274" s="68">
        <v>93</v>
      </c>
      <c r="G1274" s="69">
        <v>240</v>
      </c>
      <c r="H1274" s="65" t="s">
        <v>2656</v>
      </c>
      <c r="I1274" s="65" t="s">
        <v>42</v>
      </c>
      <c r="J1274" s="65" t="s">
        <v>28</v>
      </c>
      <c r="K1274" s="48">
        <f t="shared" si="274"/>
        <v>8</v>
      </c>
      <c r="L1274" s="48">
        <f t="shared" si="275"/>
        <v>68</v>
      </c>
      <c r="N1274" s="72">
        <f t="shared" si="272"/>
        <v>10</v>
      </c>
      <c r="O1274" s="50">
        <f t="shared" si="270"/>
        <v>93</v>
      </c>
      <c r="P1274" s="56">
        <f t="shared" si="271"/>
        <v>240</v>
      </c>
      <c r="S1274" s="200" t="s">
        <v>2657</v>
      </c>
      <c r="T1274" s="201">
        <v>90</v>
      </c>
      <c r="U1274" s="58" t="s">
        <v>2658</v>
      </c>
      <c r="V1274" s="46"/>
      <c r="W1274" s="46"/>
      <c r="X1274" s="62" t="s">
        <v>25</v>
      </c>
      <c r="Y1274" s="63">
        <f t="shared" si="276"/>
        <v>9.3000000000000007</v>
      </c>
      <c r="Z1274" s="64">
        <f t="shared" si="273"/>
        <v>0</v>
      </c>
    </row>
    <row r="1275" spans="1:26" ht="15.75" customHeight="1">
      <c r="A1275" s="63">
        <v>20260075</v>
      </c>
      <c r="B1275" s="65" t="s">
        <v>2382</v>
      </c>
      <c r="C1275" s="66">
        <v>46091</v>
      </c>
      <c r="E1275" s="63">
        <v>2</v>
      </c>
      <c r="F1275" s="68">
        <v>18.600000000000001</v>
      </c>
      <c r="G1275" s="69">
        <v>48</v>
      </c>
      <c r="H1275" s="65" t="s">
        <v>2659</v>
      </c>
      <c r="I1275" s="65" t="s">
        <v>42</v>
      </c>
      <c r="J1275" s="65" t="s">
        <v>28</v>
      </c>
      <c r="K1275" s="48">
        <f t="shared" si="274"/>
        <v>8</v>
      </c>
      <c r="L1275" s="48">
        <f t="shared" si="275"/>
        <v>68</v>
      </c>
      <c r="N1275" s="72">
        <f t="shared" si="272"/>
        <v>2</v>
      </c>
      <c r="O1275" s="50">
        <f t="shared" si="270"/>
        <v>18.600000000000001</v>
      </c>
      <c r="P1275" s="56">
        <f t="shared" si="271"/>
        <v>48</v>
      </c>
      <c r="S1275" s="200" t="s">
        <v>2660</v>
      </c>
      <c r="T1275" s="201">
        <v>91</v>
      </c>
      <c r="U1275" s="58" t="s">
        <v>2661</v>
      </c>
      <c r="V1275" s="46"/>
      <c r="W1275" s="46"/>
      <c r="X1275" s="62" t="s">
        <v>25</v>
      </c>
      <c r="Y1275" s="63">
        <f t="shared" si="276"/>
        <v>9.3000000000000007</v>
      </c>
      <c r="Z1275" s="64">
        <f t="shared" si="273"/>
        <v>0</v>
      </c>
    </row>
    <row r="1276" spans="1:26" ht="15.75" customHeight="1">
      <c r="A1276" s="63">
        <v>20260075</v>
      </c>
      <c r="B1276" s="65" t="s">
        <v>2382</v>
      </c>
      <c r="C1276" s="66">
        <v>46091</v>
      </c>
      <c r="E1276" s="63">
        <v>1</v>
      </c>
      <c r="F1276" s="68">
        <v>21.9</v>
      </c>
      <c r="G1276" s="69">
        <v>24</v>
      </c>
      <c r="H1276" s="65" t="s">
        <v>2662</v>
      </c>
      <c r="I1276" s="65" t="s">
        <v>194</v>
      </c>
      <c r="J1276" s="65" t="s">
        <v>26</v>
      </c>
      <c r="K1276" s="48">
        <f t="shared" si="274"/>
        <v>8</v>
      </c>
      <c r="L1276" s="48">
        <f t="shared" si="275"/>
        <v>68</v>
      </c>
      <c r="N1276" s="72">
        <f t="shared" si="272"/>
        <v>1</v>
      </c>
      <c r="O1276" s="50">
        <f t="shared" ref="O1276:O1339" si="277">F1276/E1276*N1276</f>
        <v>21.9</v>
      </c>
      <c r="P1276" s="56">
        <f t="shared" ref="P1276:P1339" si="278">G1276/E1276*N1276</f>
        <v>24</v>
      </c>
      <c r="S1276" s="200" t="s">
        <v>2663</v>
      </c>
      <c r="T1276" s="201">
        <v>92</v>
      </c>
      <c r="U1276" s="58" t="s">
        <v>2664</v>
      </c>
      <c r="V1276" s="46"/>
      <c r="W1276" s="46"/>
      <c r="X1276" s="62" t="s">
        <v>25</v>
      </c>
      <c r="Y1276" s="63">
        <f t="shared" si="276"/>
        <v>21.9</v>
      </c>
      <c r="Z1276" s="64">
        <f t="shared" si="273"/>
        <v>0</v>
      </c>
    </row>
    <row r="1277" spans="1:26" ht="15.75" customHeight="1">
      <c r="A1277" s="63">
        <v>20260075</v>
      </c>
      <c r="B1277" s="65" t="s">
        <v>2382</v>
      </c>
      <c r="C1277" s="66">
        <v>46091</v>
      </c>
      <c r="E1277" s="63">
        <v>1</v>
      </c>
      <c r="F1277" s="68">
        <v>8</v>
      </c>
      <c r="G1277" s="69">
        <v>24</v>
      </c>
      <c r="H1277" s="65" t="s">
        <v>2665</v>
      </c>
      <c r="I1277" s="65" t="s">
        <v>42</v>
      </c>
      <c r="J1277" s="65" t="s">
        <v>28</v>
      </c>
      <c r="K1277" s="48">
        <f t="shared" si="274"/>
        <v>8</v>
      </c>
      <c r="L1277" s="48">
        <f t="shared" si="275"/>
        <v>68</v>
      </c>
      <c r="N1277" s="72">
        <f t="shared" ref="N1277:N1340" si="279">E1277</f>
        <v>1</v>
      </c>
      <c r="O1277" s="50">
        <f t="shared" si="277"/>
        <v>8</v>
      </c>
      <c r="P1277" s="56">
        <f t="shared" si="278"/>
        <v>24</v>
      </c>
      <c r="S1277" s="200" t="s">
        <v>2666</v>
      </c>
      <c r="T1277" s="201">
        <v>115</v>
      </c>
      <c r="U1277" s="58" t="s">
        <v>2667</v>
      </c>
      <c r="V1277" s="46"/>
      <c r="W1277" s="46"/>
      <c r="X1277" s="62" t="s">
        <v>25</v>
      </c>
      <c r="Y1277" s="63">
        <f t="shared" si="276"/>
        <v>8</v>
      </c>
      <c r="Z1277" s="64">
        <f t="shared" si="273"/>
        <v>0</v>
      </c>
    </row>
    <row r="1278" spans="1:26" ht="15.75" customHeight="1">
      <c r="A1278" s="63">
        <v>20260075</v>
      </c>
      <c r="B1278" s="65" t="s">
        <v>2382</v>
      </c>
      <c r="C1278" s="66">
        <v>46091</v>
      </c>
      <c r="E1278" s="63">
        <v>1</v>
      </c>
      <c r="F1278" s="68">
        <v>8</v>
      </c>
      <c r="G1278" s="69">
        <v>24</v>
      </c>
      <c r="H1278" s="65" t="s">
        <v>2668</v>
      </c>
      <c r="I1278" s="65" t="s">
        <v>42</v>
      </c>
      <c r="J1278" s="65" t="s">
        <v>28</v>
      </c>
      <c r="K1278" s="48">
        <f t="shared" si="274"/>
        <v>8</v>
      </c>
      <c r="L1278" s="48">
        <f t="shared" si="275"/>
        <v>68</v>
      </c>
      <c r="N1278" s="72">
        <f t="shared" si="279"/>
        <v>1</v>
      </c>
      <c r="O1278" s="50">
        <f t="shared" si="277"/>
        <v>8</v>
      </c>
      <c r="P1278" s="56">
        <f t="shared" si="278"/>
        <v>24</v>
      </c>
      <c r="S1278" s="200" t="s">
        <v>2669</v>
      </c>
      <c r="T1278" s="201">
        <v>116</v>
      </c>
      <c r="U1278" s="58" t="s">
        <v>2670</v>
      </c>
      <c r="V1278" s="46"/>
      <c r="W1278" s="46"/>
      <c r="X1278" s="62" t="s">
        <v>25</v>
      </c>
      <c r="Y1278" s="63">
        <f t="shared" si="276"/>
        <v>8</v>
      </c>
      <c r="Z1278" s="64">
        <f t="shared" ref="Z1278:Z1341" si="280">E1278-N1278</f>
        <v>0</v>
      </c>
    </row>
    <row r="1279" spans="1:26" ht="15.75" customHeight="1">
      <c r="A1279" s="63">
        <v>20260075</v>
      </c>
      <c r="B1279" s="65" t="s">
        <v>2382</v>
      </c>
      <c r="C1279" s="66">
        <v>46091</v>
      </c>
      <c r="E1279" s="63">
        <v>1</v>
      </c>
      <c r="F1279" s="68">
        <v>9.1999999999999993</v>
      </c>
      <c r="G1279" s="69">
        <v>24</v>
      </c>
      <c r="H1279" s="65" t="s">
        <v>2568</v>
      </c>
      <c r="I1279" s="65" t="s">
        <v>42</v>
      </c>
      <c r="J1279" s="65" t="s">
        <v>28</v>
      </c>
      <c r="K1279" s="48">
        <f t="shared" si="274"/>
        <v>8</v>
      </c>
      <c r="L1279" s="48">
        <f t="shared" si="275"/>
        <v>68</v>
      </c>
      <c r="N1279" s="72">
        <f t="shared" si="279"/>
        <v>1</v>
      </c>
      <c r="O1279" s="50">
        <f t="shared" si="277"/>
        <v>9.1999999999999993</v>
      </c>
      <c r="P1279" s="56">
        <f t="shared" si="278"/>
        <v>24</v>
      </c>
      <c r="S1279" s="200" t="s">
        <v>2671</v>
      </c>
      <c r="T1279" s="201">
        <v>117</v>
      </c>
      <c r="U1279" s="58" t="s">
        <v>2672</v>
      </c>
      <c r="V1279" s="46"/>
      <c r="W1279" s="46"/>
      <c r="X1279" s="62" t="s">
        <v>25</v>
      </c>
      <c r="Y1279" s="63">
        <f t="shared" si="276"/>
        <v>9.1999999999999993</v>
      </c>
      <c r="Z1279" s="64">
        <f t="shared" si="280"/>
        <v>0</v>
      </c>
    </row>
    <row r="1280" spans="1:26" ht="15.75" customHeight="1">
      <c r="A1280" s="63">
        <v>20260075</v>
      </c>
      <c r="B1280" s="65" t="s">
        <v>2382</v>
      </c>
      <c r="C1280" s="66">
        <v>46091</v>
      </c>
      <c r="E1280" s="63">
        <v>1</v>
      </c>
      <c r="F1280" s="68">
        <v>17.149999999999999</v>
      </c>
      <c r="G1280" s="69">
        <v>24</v>
      </c>
      <c r="H1280" s="65" t="s">
        <v>2673</v>
      </c>
      <c r="I1280" s="65" t="s">
        <v>276</v>
      </c>
      <c r="J1280" s="65" t="s">
        <v>26</v>
      </c>
      <c r="K1280" s="48">
        <f t="shared" si="274"/>
        <v>8</v>
      </c>
      <c r="L1280" s="48">
        <f t="shared" si="275"/>
        <v>68</v>
      </c>
      <c r="N1280" s="72">
        <f t="shared" si="279"/>
        <v>1</v>
      </c>
      <c r="O1280" s="50">
        <f t="shared" si="277"/>
        <v>17.149999999999999</v>
      </c>
      <c r="P1280" s="56">
        <f t="shared" si="278"/>
        <v>24</v>
      </c>
      <c r="S1280" s="200" t="s">
        <v>2674</v>
      </c>
      <c r="T1280" s="201">
        <v>118</v>
      </c>
      <c r="U1280" s="58" t="s">
        <v>2675</v>
      </c>
      <c r="V1280" s="46"/>
      <c r="W1280" s="46"/>
      <c r="X1280" s="62" t="s">
        <v>25</v>
      </c>
      <c r="Y1280" s="63">
        <f t="shared" si="276"/>
        <v>17.149999999999999</v>
      </c>
      <c r="Z1280" s="64">
        <f t="shared" si="280"/>
        <v>0</v>
      </c>
    </row>
    <row r="1281" spans="1:26" ht="15.75" customHeight="1">
      <c r="A1281" s="63">
        <v>20260075</v>
      </c>
      <c r="B1281" s="65" t="s">
        <v>2382</v>
      </c>
      <c r="C1281" s="66">
        <v>46091</v>
      </c>
      <c r="E1281" s="63">
        <v>1</v>
      </c>
      <c r="F1281" s="68">
        <v>9.5</v>
      </c>
      <c r="G1281" s="69">
        <v>24</v>
      </c>
      <c r="H1281" s="65" t="s">
        <v>2091</v>
      </c>
      <c r="I1281" s="65" t="s">
        <v>42</v>
      </c>
      <c r="J1281" s="65" t="s">
        <v>28</v>
      </c>
      <c r="K1281" s="48">
        <f t="shared" si="274"/>
        <v>8</v>
      </c>
      <c r="L1281" s="48">
        <f t="shared" si="275"/>
        <v>68</v>
      </c>
      <c r="N1281" s="72">
        <f t="shared" si="279"/>
        <v>1</v>
      </c>
      <c r="O1281" s="50">
        <f t="shared" si="277"/>
        <v>9.5</v>
      </c>
      <c r="P1281" s="56">
        <f t="shared" si="278"/>
        <v>24</v>
      </c>
      <c r="S1281" s="200" t="s">
        <v>2676</v>
      </c>
      <c r="T1281" s="201">
        <v>119</v>
      </c>
      <c r="U1281" s="58" t="s">
        <v>2677</v>
      </c>
      <c r="V1281" s="46"/>
      <c r="W1281" s="46"/>
      <c r="X1281" s="62" t="s">
        <v>25</v>
      </c>
      <c r="Y1281" s="63">
        <f t="shared" si="276"/>
        <v>9.5</v>
      </c>
      <c r="Z1281" s="64">
        <f t="shared" si="280"/>
        <v>0</v>
      </c>
    </row>
    <row r="1282" spans="1:26" ht="15.75" customHeight="1">
      <c r="A1282" s="63">
        <v>20260075</v>
      </c>
      <c r="B1282" s="65" t="s">
        <v>2382</v>
      </c>
      <c r="C1282" s="66">
        <v>46091</v>
      </c>
      <c r="E1282" s="63">
        <v>1</v>
      </c>
      <c r="F1282" s="68">
        <v>10</v>
      </c>
      <c r="G1282" s="69">
        <v>24</v>
      </c>
      <c r="H1282" s="65" t="s">
        <v>2091</v>
      </c>
      <c r="I1282" s="65" t="s">
        <v>63</v>
      </c>
      <c r="J1282" s="65" t="s">
        <v>28</v>
      </c>
      <c r="K1282" s="48">
        <f t="shared" si="274"/>
        <v>8</v>
      </c>
      <c r="L1282" s="48">
        <f t="shared" si="275"/>
        <v>68</v>
      </c>
      <c r="N1282" s="72">
        <f t="shared" si="279"/>
        <v>1</v>
      </c>
      <c r="O1282" s="50">
        <f t="shared" si="277"/>
        <v>10</v>
      </c>
      <c r="P1282" s="56">
        <f t="shared" si="278"/>
        <v>24</v>
      </c>
      <c r="S1282" s="200" t="s">
        <v>2676</v>
      </c>
      <c r="T1282" s="201">
        <v>119</v>
      </c>
      <c r="U1282" s="58"/>
      <c r="V1282" s="46"/>
      <c r="W1282" s="46"/>
      <c r="X1282" s="62" t="s">
        <v>25</v>
      </c>
      <c r="Y1282" s="63">
        <f t="shared" si="276"/>
        <v>10</v>
      </c>
      <c r="Z1282" s="64">
        <f t="shared" si="280"/>
        <v>0</v>
      </c>
    </row>
    <row r="1283" spans="1:26" ht="15.75" customHeight="1">
      <c r="A1283" s="63">
        <v>20260075</v>
      </c>
      <c r="B1283" s="65" t="s">
        <v>2382</v>
      </c>
      <c r="C1283" s="66">
        <v>46091</v>
      </c>
      <c r="E1283" s="63">
        <v>1</v>
      </c>
      <c r="F1283" s="68">
        <v>10</v>
      </c>
      <c r="G1283" s="69">
        <v>24</v>
      </c>
      <c r="H1283" s="65" t="s">
        <v>2678</v>
      </c>
      <c r="I1283" s="65" t="s">
        <v>276</v>
      </c>
      <c r="J1283" s="65" t="s">
        <v>26</v>
      </c>
      <c r="K1283" s="48">
        <f t="shared" si="274"/>
        <v>8</v>
      </c>
      <c r="L1283" s="48">
        <f t="shared" si="275"/>
        <v>68</v>
      </c>
      <c r="N1283" s="72">
        <f t="shared" si="279"/>
        <v>1</v>
      </c>
      <c r="O1283" s="50">
        <f t="shared" si="277"/>
        <v>10</v>
      </c>
      <c r="P1283" s="56">
        <f t="shared" si="278"/>
        <v>24</v>
      </c>
      <c r="S1283" s="200" t="s">
        <v>2679</v>
      </c>
      <c r="T1283" s="201">
        <v>120</v>
      </c>
      <c r="U1283" s="58" t="s">
        <v>2680</v>
      </c>
      <c r="V1283" s="46"/>
      <c r="W1283" s="46"/>
      <c r="X1283" s="62" t="s">
        <v>25</v>
      </c>
      <c r="Y1283" s="63">
        <f t="shared" si="276"/>
        <v>10</v>
      </c>
      <c r="Z1283" s="64">
        <f t="shared" si="280"/>
        <v>0</v>
      </c>
    </row>
    <row r="1284" spans="1:26" ht="15.75" customHeight="1">
      <c r="A1284" s="63">
        <v>20260075</v>
      </c>
      <c r="B1284" s="65" t="s">
        <v>2382</v>
      </c>
      <c r="C1284" s="66">
        <v>46091</v>
      </c>
      <c r="E1284" s="63">
        <v>1</v>
      </c>
      <c r="F1284" s="68">
        <v>32.47</v>
      </c>
      <c r="G1284" s="69">
        <v>60</v>
      </c>
      <c r="H1284" s="65" t="s">
        <v>2678</v>
      </c>
      <c r="I1284" s="65" t="s">
        <v>138</v>
      </c>
      <c r="J1284" s="65" t="s">
        <v>26</v>
      </c>
      <c r="K1284" s="48">
        <f t="shared" si="274"/>
        <v>8</v>
      </c>
      <c r="L1284" s="48">
        <f t="shared" si="275"/>
        <v>68</v>
      </c>
      <c r="N1284" s="72">
        <f t="shared" si="279"/>
        <v>1</v>
      </c>
      <c r="O1284" s="50">
        <f t="shared" si="277"/>
        <v>32.47</v>
      </c>
      <c r="P1284" s="56">
        <f t="shared" si="278"/>
        <v>60</v>
      </c>
      <c r="S1284" s="200" t="s">
        <v>2679</v>
      </c>
      <c r="T1284" s="201">
        <v>120</v>
      </c>
      <c r="U1284" s="58"/>
      <c r="V1284" s="46"/>
      <c r="W1284" s="46"/>
      <c r="X1284" s="62" t="s">
        <v>25</v>
      </c>
      <c r="Y1284" s="63">
        <f t="shared" si="276"/>
        <v>32.47</v>
      </c>
      <c r="Z1284" s="64">
        <f t="shared" si="280"/>
        <v>0</v>
      </c>
    </row>
    <row r="1285" spans="1:26" ht="15.75" customHeight="1">
      <c r="A1285" s="63">
        <v>20260075</v>
      </c>
      <c r="B1285" s="65" t="s">
        <v>2382</v>
      </c>
      <c r="C1285" s="66">
        <v>46091</v>
      </c>
      <c r="E1285" s="63">
        <v>1</v>
      </c>
      <c r="F1285" s="68">
        <v>0</v>
      </c>
      <c r="G1285" s="69">
        <v>5</v>
      </c>
      <c r="H1285" s="65" t="s">
        <v>2678</v>
      </c>
      <c r="I1285" s="65" t="s">
        <v>24</v>
      </c>
      <c r="J1285" s="65" t="s">
        <v>24</v>
      </c>
      <c r="K1285" s="48">
        <f t="shared" si="274"/>
        <v>8</v>
      </c>
      <c r="L1285" s="48">
        <f t="shared" si="275"/>
        <v>68</v>
      </c>
      <c r="N1285" s="72">
        <f t="shared" si="279"/>
        <v>1</v>
      </c>
      <c r="O1285" s="50">
        <f t="shared" si="277"/>
        <v>0</v>
      </c>
      <c r="P1285" s="56">
        <f t="shared" si="278"/>
        <v>5</v>
      </c>
      <c r="S1285" s="200" t="s">
        <v>2679</v>
      </c>
      <c r="T1285" s="201">
        <v>120</v>
      </c>
      <c r="U1285" s="58"/>
      <c r="V1285" s="46"/>
      <c r="W1285" s="46"/>
      <c r="X1285" s="62" t="s">
        <v>25</v>
      </c>
      <c r="Y1285" s="63">
        <f t="shared" si="276"/>
        <v>0</v>
      </c>
      <c r="Z1285" s="64">
        <f t="shared" si="280"/>
        <v>0</v>
      </c>
    </row>
    <row r="1286" spans="1:26" ht="15.75" customHeight="1">
      <c r="A1286" s="63">
        <v>20260075</v>
      </c>
      <c r="B1286" s="65" t="s">
        <v>2382</v>
      </c>
      <c r="C1286" s="66">
        <v>46091</v>
      </c>
      <c r="E1286" s="63">
        <v>1</v>
      </c>
      <c r="F1286" s="68">
        <v>10</v>
      </c>
      <c r="G1286" s="69">
        <v>24</v>
      </c>
      <c r="H1286" s="65" t="s">
        <v>2681</v>
      </c>
      <c r="I1286" s="65" t="s">
        <v>276</v>
      </c>
      <c r="J1286" s="65" t="s">
        <v>26</v>
      </c>
      <c r="K1286" s="48">
        <f t="shared" si="274"/>
        <v>8</v>
      </c>
      <c r="L1286" s="48">
        <f t="shared" si="275"/>
        <v>68</v>
      </c>
      <c r="N1286" s="72">
        <f t="shared" si="279"/>
        <v>1</v>
      </c>
      <c r="O1286" s="50">
        <f t="shared" si="277"/>
        <v>10</v>
      </c>
      <c r="P1286" s="56">
        <f t="shared" si="278"/>
        <v>24</v>
      </c>
      <c r="S1286" s="200" t="s">
        <v>2682</v>
      </c>
      <c r="T1286" s="201">
        <v>121</v>
      </c>
      <c r="U1286" s="58" t="s">
        <v>2683</v>
      </c>
      <c r="V1286" s="46"/>
      <c r="W1286" s="46"/>
      <c r="X1286" s="62" t="s">
        <v>25</v>
      </c>
      <c r="Y1286" s="63">
        <f t="shared" si="276"/>
        <v>10</v>
      </c>
      <c r="Z1286" s="64">
        <f t="shared" si="280"/>
        <v>0</v>
      </c>
    </row>
    <row r="1287" spans="1:26" ht="15.75" customHeight="1">
      <c r="A1287" s="63">
        <v>20260075</v>
      </c>
      <c r="B1287" s="65" t="s">
        <v>2382</v>
      </c>
      <c r="C1287" s="66">
        <v>46091</v>
      </c>
      <c r="E1287" s="63">
        <v>1</v>
      </c>
      <c r="F1287" s="68">
        <v>32.47</v>
      </c>
      <c r="G1287" s="69">
        <v>60</v>
      </c>
      <c r="H1287" s="65" t="s">
        <v>2681</v>
      </c>
      <c r="I1287" s="65" t="s">
        <v>138</v>
      </c>
      <c r="J1287" s="65" t="s">
        <v>26</v>
      </c>
      <c r="K1287" s="48">
        <f t="shared" si="274"/>
        <v>8</v>
      </c>
      <c r="L1287" s="48">
        <f t="shared" si="275"/>
        <v>68</v>
      </c>
      <c r="N1287" s="72">
        <f t="shared" si="279"/>
        <v>1</v>
      </c>
      <c r="O1287" s="50">
        <f t="shared" si="277"/>
        <v>32.47</v>
      </c>
      <c r="P1287" s="56">
        <f t="shared" si="278"/>
        <v>60</v>
      </c>
      <c r="S1287" s="200" t="s">
        <v>2682</v>
      </c>
      <c r="T1287" s="201"/>
      <c r="U1287" s="58"/>
      <c r="V1287" s="46"/>
      <c r="W1287" s="46"/>
      <c r="X1287" s="62" t="s">
        <v>25</v>
      </c>
      <c r="Y1287" s="63">
        <f t="shared" si="276"/>
        <v>32.47</v>
      </c>
      <c r="Z1287" s="64">
        <f t="shared" si="280"/>
        <v>0</v>
      </c>
    </row>
    <row r="1288" spans="1:26" ht="15.75" customHeight="1">
      <c r="A1288" s="63">
        <v>20260075</v>
      </c>
      <c r="B1288" s="65" t="s">
        <v>2382</v>
      </c>
      <c r="C1288" s="66">
        <v>46091</v>
      </c>
      <c r="E1288" s="63">
        <v>1</v>
      </c>
      <c r="F1288" s="68">
        <v>0</v>
      </c>
      <c r="G1288" s="69">
        <v>5</v>
      </c>
      <c r="H1288" s="65" t="s">
        <v>2681</v>
      </c>
      <c r="I1288" s="65" t="s">
        <v>24</v>
      </c>
      <c r="J1288" s="65" t="s">
        <v>24</v>
      </c>
      <c r="K1288" s="48">
        <f t="shared" si="274"/>
        <v>8</v>
      </c>
      <c r="L1288" s="48">
        <f t="shared" si="275"/>
        <v>68</v>
      </c>
      <c r="N1288" s="72">
        <f t="shared" si="279"/>
        <v>1</v>
      </c>
      <c r="O1288" s="50">
        <f t="shared" si="277"/>
        <v>0</v>
      </c>
      <c r="P1288" s="56">
        <f t="shared" si="278"/>
        <v>5</v>
      </c>
      <c r="S1288" s="200" t="s">
        <v>2682</v>
      </c>
      <c r="T1288" s="201">
        <v>121</v>
      </c>
      <c r="U1288" s="58"/>
      <c r="V1288" s="46"/>
      <c r="W1288" s="46"/>
      <c r="X1288" s="62" t="s">
        <v>25</v>
      </c>
      <c r="Y1288" s="63">
        <f t="shared" si="276"/>
        <v>0</v>
      </c>
      <c r="Z1288" s="64">
        <f t="shared" si="280"/>
        <v>0</v>
      </c>
    </row>
    <row r="1289" spans="1:26" ht="15.75" customHeight="1">
      <c r="A1289" s="63">
        <v>20260075</v>
      </c>
      <c r="B1289" s="65" t="s">
        <v>2382</v>
      </c>
      <c r="C1289" s="66">
        <v>46091</v>
      </c>
      <c r="E1289" s="63">
        <v>1</v>
      </c>
      <c r="F1289" s="68">
        <v>17.5</v>
      </c>
      <c r="G1289" s="69">
        <v>24</v>
      </c>
      <c r="H1289" s="65" t="s">
        <v>2684</v>
      </c>
      <c r="I1289" s="65" t="s">
        <v>42</v>
      </c>
      <c r="J1289" s="65" t="s">
        <v>28</v>
      </c>
      <c r="K1289" s="48">
        <f t="shared" si="274"/>
        <v>8</v>
      </c>
      <c r="L1289" s="48">
        <f t="shared" si="275"/>
        <v>68</v>
      </c>
      <c r="N1289" s="72">
        <f t="shared" si="279"/>
        <v>1</v>
      </c>
      <c r="O1289" s="50">
        <f t="shared" si="277"/>
        <v>17.5</v>
      </c>
      <c r="P1289" s="56">
        <f t="shared" si="278"/>
        <v>24</v>
      </c>
      <c r="S1289" s="200" t="s">
        <v>2685</v>
      </c>
      <c r="T1289" s="201">
        <v>122</v>
      </c>
      <c r="U1289" s="58" t="s">
        <v>2686</v>
      </c>
      <c r="V1289" s="46"/>
      <c r="W1289" s="46"/>
      <c r="X1289" s="62" t="s">
        <v>25</v>
      </c>
      <c r="Y1289" s="63">
        <f t="shared" si="276"/>
        <v>17.5</v>
      </c>
      <c r="Z1289" s="64">
        <f t="shared" si="280"/>
        <v>0</v>
      </c>
    </row>
    <row r="1290" spans="1:26" ht="15.75" customHeight="1">
      <c r="A1290" s="63">
        <v>20260075</v>
      </c>
      <c r="B1290" s="65" t="s">
        <v>2382</v>
      </c>
      <c r="C1290" s="66">
        <v>46091</v>
      </c>
      <c r="E1290" s="63">
        <v>1</v>
      </c>
      <c r="F1290" s="68">
        <v>18.75</v>
      </c>
      <c r="G1290" s="69">
        <v>24</v>
      </c>
      <c r="H1290" s="65" t="s">
        <v>2687</v>
      </c>
      <c r="I1290" s="65" t="s">
        <v>276</v>
      </c>
      <c r="J1290" s="65" t="s">
        <v>26</v>
      </c>
      <c r="K1290" s="48">
        <f t="shared" si="274"/>
        <v>8</v>
      </c>
      <c r="L1290" s="48">
        <f t="shared" si="275"/>
        <v>68</v>
      </c>
      <c r="N1290" s="72">
        <f t="shared" si="279"/>
        <v>1</v>
      </c>
      <c r="O1290" s="50">
        <f t="shared" si="277"/>
        <v>18.75</v>
      </c>
      <c r="P1290" s="56">
        <f t="shared" si="278"/>
        <v>24</v>
      </c>
      <c r="S1290" s="200" t="s">
        <v>2688</v>
      </c>
      <c r="T1290" s="201">
        <v>123</v>
      </c>
      <c r="U1290" s="58" t="s">
        <v>2689</v>
      </c>
      <c r="V1290" s="46"/>
      <c r="W1290" s="46"/>
      <c r="X1290" s="62" t="s">
        <v>25</v>
      </c>
      <c r="Y1290" s="63">
        <f t="shared" si="276"/>
        <v>18.75</v>
      </c>
      <c r="Z1290" s="64">
        <f t="shared" si="280"/>
        <v>0</v>
      </c>
    </row>
    <row r="1291" spans="1:26" ht="15.75" customHeight="1">
      <c r="A1291" s="63">
        <v>20260075</v>
      </c>
      <c r="B1291" s="65" t="s">
        <v>2382</v>
      </c>
      <c r="C1291" s="66">
        <v>46091</v>
      </c>
      <c r="E1291" s="63">
        <v>1</v>
      </c>
      <c r="F1291" s="68">
        <v>18.75</v>
      </c>
      <c r="G1291" s="69">
        <v>24</v>
      </c>
      <c r="H1291" s="65" t="s">
        <v>2687</v>
      </c>
      <c r="I1291" s="65" t="s">
        <v>208</v>
      </c>
      <c r="J1291" s="65" t="s">
        <v>26</v>
      </c>
      <c r="K1291" s="48">
        <f t="shared" ref="K1291:K1354" si="281">D1291+8</f>
        <v>8</v>
      </c>
      <c r="L1291" s="48">
        <f t="shared" ref="L1291:L1354" si="282">K1291+60</f>
        <v>68</v>
      </c>
      <c r="N1291" s="72">
        <f t="shared" si="279"/>
        <v>1</v>
      </c>
      <c r="O1291" s="50">
        <f t="shared" si="277"/>
        <v>18.75</v>
      </c>
      <c r="P1291" s="56">
        <f t="shared" si="278"/>
        <v>24</v>
      </c>
      <c r="S1291" s="200" t="s">
        <v>2688</v>
      </c>
      <c r="T1291" s="201">
        <v>123</v>
      </c>
      <c r="U1291" s="58"/>
      <c r="V1291" s="46"/>
      <c r="W1291" s="46"/>
      <c r="X1291" s="62" t="s">
        <v>25</v>
      </c>
      <c r="Y1291" s="63">
        <f t="shared" si="276"/>
        <v>18.75</v>
      </c>
      <c r="Z1291" s="64">
        <f t="shared" si="280"/>
        <v>0</v>
      </c>
    </row>
    <row r="1292" spans="1:26" ht="15.75" customHeight="1">
      <c r="A1292" s="63">
        <v>20260075</v>
      </c>
      <c r="B1292" s="65" t="s">
        <v>2382</v>
      </c>
      <c r="C1292" s="66">
        <v>46091</v>
      </c>
      <c r="E1292" s="63">
        <v>1</v>
      </c>
      <c r="F1292" s="68">
        <v>0</v>
      </c>
      <c r="G1292" s="69">
        <v>5</v>
      </c>
      <c r="H1292" s="65" t="s">
        <v>2687</v>
      </c>
      <c r="I1292" s="65" t="s">
        <v>24</v>
      </c>
      <c r="J1292" s="65" t="s">
        <v>24</v>
      </c>
      <c r="K1292" s="48">
        <f t="shared" si="281"/>
        <v>8</v>
      </c>
      <c r="L1292" s="48">
        <f t="shared" si="282"/>
        <v>68</v>
      </c>
      <c r="N1292" s="72">
        <f t="shared" si="279"/>
        <v>1</v>
      </c>
      <c r="O1292" s="50">
        <f t="shared" si="277"/>
        <v>0</v>
      </c>
      <c r="P1292" s="56">
        <f t="shared" si="278"/>
        <v>5</v>
      </c>
      <c r="S1292" s="200" t="s">
        <v>2688</v>
      </c>
      <c r="T1292" s="201">
        <v>123</v>
      </c>
      <c r="U1292" s="58"/>
      <c r="V1292" s="46"/>
      <c r="W1292" s="46"/>
      <c r="X1292" s="62" t="s">
        <v>25</v>
      </c>
      <c r="Y1292" s="63">
        <f t="shared" si="276"/>
        <v>0</v>
      </c>
      <c r="Z1292" s="64">
        <f t="shared" si="280"/>
        <v>0</v>
      </c>
    </row>
    <row r="1293" spans="1:26" ht="15.75" customHeight="1">
      <c r="A1293" s="63">
        <v>20260075</v>
      </c>
      <c r="B1293" s="65" t="s">
        <v>2382</v>
      </c>
      <c r="C1293" s="66">
        <v>46091</v>
      </c>
      <c r="E1293" s="63">
        <v>1</v>
      </c>
      <c r="F1293" s="68">
        <v>22</v>
      </c>
      <c r="G1293" s="69">
        <v>24</v>
      </c>
      <c r="H1293" s="65" t="s">
        <v>2690</v>
      </c>
      <c r="I1293" s="65" t="s">
        <v>194</v>
      </c>
      <c r="J1293" s="65" t="s">
        <v>26</v>
      </c>
      <c r="K1293" s="48">
        <f t="shared" si="281"/>
        <v>8</v>
      </c>
      <c r="L1293" s="48">
        <f t="shared" si="282"/>
        <v>68</v>
      </c>
      <c r="N1293" s="72">
        <f t="shared" si="279"/>
        <v>1</v>
      </c>
      <c r="O1293" s="50">
        <f t="shared" si="277"/>
        <v>22</v>
      </c>
      <c r="P1293" s="56">
        <f t="shared" si="278"/>
        <v>24</v>
      </c>
      <c r="S1293" s="200" t="s">
        <v>2691</v>
      </c>
      <c r="T1293" s="201">
        <v>124</v>
      </c>
      <c r="U1293" s="58" t="s">
        <v>2692</v>
      </c>
      <c r="V1293" s="46"/>
      <c r="W1293" s="46"/>
      <c r="X1293" s="62" t="s">
        <v>25</v>
      </c>
      <c r="Y1293" s="63">
        <f t="shared" si="276"/>
        <v>22</v>
      </c>
      <c r="Z1293" s="64">
        <f t="shared" si="280"/>
        <v>0</v>
      </c>
    </row>
    <row r="1294" spans="1:26" ht="15.75" customHeight="1">
      <c r="A1294" s="63">
        <v>20260075</v>
      </c>
      <c r="B1294" s="65" t="s">
        <v>2382</v>
      </c>
      <c r="C1294" s="66">
        <v>46091</v>
      </c>
      <c r="E1294" s="63">
        <v>1</v>
      </c>
      <c r="F1294" s="68">
        <v>34.1</v>
      </c>
      <c r="G1294" s="69">
        <v>24</v>
      </c>
      <c r="H1294" s="65" t="s">
        <v>2693</v>
      </c>
      <c r="I1294" s="65" t="s">
        <v>194</v>
      </c>
      <c r="J1294" s="65" t="s">
        <v>26</v>
      </c>
      <c r="K1294" s="48">
        <f t="shared" si="281"/>
        <v>8</v>
      </c>
      <c r="L1294" s="48">
        <f t="shared" si="282"/>
        <v>68</v>
      </c>
      <c r="N1294" s="72">
        <f t="shared" si="279"/>
        <v>1</v>
      </c>
      <c r="O1294" s="50">
        <f t="shared" si="277"/>
        <v>34.1</v>
      </c>
      <c r="P1294" s="56">
        <f t="shared" si="278"/>
        <v>24</v>
      </c>
      <c r="S1294" s="200" t="s">
        <v>2694</v>
      </c>
      <c r="T1294" s="201">
        <v>125</v>
      </c>
      <c r="U1294" s="58" t="s">
        <v>2695</v>
      </c>
      <c r="V1294" s="46"/>
      <c r="W1294" s="46"/>
      <c r="X1294" s="62" t="s">
        <v>25</v>
      </c>
      <c r="Y1294" s="63">
        <f t="shared" si="276"/>
        <v>34.1</v>
      </c>
      <c r="Z1294" s="64">
        <f t="shared" si="280"/>
        <v>0</v>
      </c>
    </row>
    <row r="1295" spans="1:26" ht="15.75" customHeight="1">
      <c r="A1295" s="63">
        <v>20260075</v>
      </c>
      <c r="B1295" s="65" t="s">
        <v>2382</v>
      </c>
      <c r="C1295" s="66">
        <v>46091</v>
      </c>
      <c r="E1295" s="63">
        <v>1</v>
      </c>
      <c r="F1295" s="68">
        <v>0</v>
      </c>
      <c r="G1295" s="69">
        <v>5</v>
      </c>
      <c r="H1295" s="65" t="s">
        <v>2693</v>
      </c>
      <c r="I1295" s="65" t="s">
        <v>24</v>
      </c>
      <c r="J1295" s="65" t="s">
        <v>24</v>
      </c>
      <c r="K1295" s="48">
        <f t="shared" si="281"/>
        <v>8</v>
      </c>
      <c r="L1295" s="48">
        <f t="shared" si="282"/>
        <v>68</v>
      </c>
      <c r="N1295" s="72">
        <f t="shared" si="279"/>
        <v>1</v>
      </c>
      <c r="O1295" s="50">
        <f t="shared" si="277"/>
        <v>0</v>
      </c>
      <c r="P1295" s="56">
        <f t="shared" si="278"/>
        <v>5</v>
      </c>
      <c r="S1295" s="200" t="s">
        <v>2694</v>
      </c>
      <c r="T1295" s="201">
        <v>125</v>
      </c>
      <c r="U1295" s="58"/>
      <c r="V1295" s="46"/>
      <c r="W1295" s="46"/>
      <c r="X1295" s="62" t="s">
        <v>25</v>
      </c>
      <c r="Y1295" s="63">
        <f t="shared" si="276"/>
        <v>0</v>
      </c>
      <c r="Z1295" s="64">
        <f t="shared" si="280"/>
        <v>0</v>
      </c>
    </row>
    <row r="1296" spans="1:26" ht="15.75" customHeight="1">
      <c r="A1296" s="63">
        <v>20260075</v>
      </c>
      <c r="B1296" s="65" t="s">
        <v>2382</v>
      </c>
      <c r="C1296" s="66">
        <v>46091</v>
      </c>
      <c r="E1296" s="63">
        <v>1</v>
      </c>
      <c r="F1296" s="68">
        <v>34.1</v>
      </c>
      <c r="G1296" s="69">
        <v>24</v>
      </c>
      <c r="H1296" s="65" t="s">
        <v>2650</v>
      </c>
      <c r="I1296" s="65" t="s">
        <v>194</v>
      </c>
      <c r="J1296" s="65" t="s">
        <v>26</v>
      </c>
      <c r="K1296" s="48">
        <f t="shared" si="281"/>
        <v>8</v>
      </c>
      <c r="L1296" s="48">
        <f t="shared" si="282"/>
        <v>68</v>
      </c>
      <c r="N1296" s="72">
        <f t="shared" si="279"/>
        <v>1</v>
      </c>
      <c r="O1296" s="50">
        <f t="shared" si="277"/>
        <v>34.1</v>
      </c>
      <c r="P1296" s="56">
        <f t="shared" si="278"/>
        <v>24</v>
      </c>
      <c r="S1296" s="200" t="s">
        <v>2696</v>
      </c>
      <c r="T1296" s="201">
        <v>126</v>
      </c>
      <c r="U1296" s="58" t="s">
        <v>577</v>
      </c>
      <c r="V1296" s="46"/>
      <c r="W1296" s="46"/>
      <c r="X1296" s="62" t="s">
        <v>25</v>
      </c>
      <c r="Y1296" s="63">
        <f t="shared" si="276"/>
        <v>34.1</v>
      </c>
      <c r="Z1296" s="64">
        <f t="shared" si="280"/>
        <v>0</v>
      </c>
    </row>
    <row r="1297" spans="1:26" ht="15.75" customHeight="1">
      <c r="A1297" s="63">
        <v>20260075</v>
      </c>
      <c r="B1297" s="65" t="s">
        <v>2382</v>
      </c>
      <c r="C1297" s="66">
        <v>46091</v>
      </c>
      <c r="E1297" s="63">
        <v>1</v>
      </c>
      <c r="F1297" s="68">
        <v>0</v>
      </c>
      <c r="G1297" s="69">
        <v>5</v>
      </c>
      <c r="H1297" s="65" t="s">
        <v>2650</v>
      </c>
      <c r="I1297" s="65" t="s">
        <v>24</v>
      </c>
      <c r="J1297" s="65" t="s">
        <v>24</v>
      </c>
      <c r="K1297" s="48">
        <f t="shared" si="281"/>
        <v>8</v>
      </c>
      <c r="L1297" s="48">
        <f t="shared" si="282"/>
        <v>68</v>
      </c>
      <c r="N1297" s="72">
        <f t="shared" si="279"/>
        <v>1</v>
      </c>
      <c r="O1297" s="50">
        <f t="shared" si="277"/>
        <v>0</v>
      </c>
      <c r="P1297" s="56">
        <f t="shared" si="278"/>
        <v>5</v>
      </c>
      <c r="S1297" s="200" t="s">
        <v>2696</v>
      </c>
      <c r="T1297" s="201">
        <v>126</v>
      </c>
      <c r="U1297" s="58"/>
      <c r="V1297" s="46"/>
      <c r="W1297" s="46"/>
      <c r="X1297" s="62" t="s">
        <v>25</v>
      </c>
      <c r="Y1297" s="63">
        <f t="shared" si="276"/>
        <v>0</v>
      </c>
      <c r="Z1297" s="64">
        <f t="shared" si="280"/>
        <v>0</v>
      </c>
    </row>
    <row r="1298" spans="1:26" ht="15.75" customHeight="1">
      <c r="A1298" s="63">
        <v>20260075</v>
      </c>
      <c r="B1298" s="65" t="s">
        <v>2382</v>
      </c>
      <c r="C1298" s="66">
        <v>46091</v>
      </c>
      <c r="E1298" s="63">
        <v>1</v>
      </c>
      <c r="F1298" s="68">
        <v>16.5</v>
      </c>
      <c r="G1298" s="69">
        <v>40</v>
      </c>
      <c r="H1298" s="65" t="s">
        <v>1253</v>
      </c>
      <c r="I1298" s="65" t="s">
        <v>206</v>
      </c>
      <c r="J1298" s="65" t="s">
        <v>26</v>
      </c>
      <c r="K1298" s="48">
        <f t="shared" si="281"/>
        <v>8</v>
      </c>
      <c r="L1298" s="48">
        <f t="shared" si="282"/>
        <v>68</v>
      </c>
      <c r="N1298" s="72">
        <f t="shared" si="279"/>
        <v>1</v>
      </c>
      <c r="O1298" s="50">
        <f t="shared" si="277"/>
        <v>16.5</v>
      </c>
      <c r="P1298" s="56">
        <f t="shared" si="278"/>
        <v>40</v>
      </c>
      <c r="S1298" s="200" t="s">
        <v>2697</v>
      </c>
      <c r="T1298" s="201">
        <v>127</v>
      </c>
      <c r="U1298" s="58" t="s">
        <v>2698</v>
      </c>
      <c r="V1298" s="46"/>
      <c r="W1298" s="46"/>
      <c r="X1298" s="62" t="s">
        <v>25</v>
      </c>
      <c r="Y1298" s="63">
        <f t="shared" si="276"/>
        <v>16.5</v>
      </c>
      <c r="Z1298" s="64">
        <f t="shared" si="280"/>
        <v>0</v>
      </c>
    </row>
    <row r="1299" spans="1:26" ht="15.75" customHeight="1">
      <c r="A1299" s="63">
        <v>20260075</v>
      </c>
      <c r="B1299" s="65" t="s">
        <v>2382</v>
      </c>
      <c r="C1299" s="66">
        <v>46091</v>
      </c>
      <c r="E1299" s="63">
        <v>1</v>
      </c>
      <c r="F1299" s="68">
        <v>34.1</v>
      </c>
      <c r="G1299" s="69">
        <v>24</v>
      </c>
      <c r="H1299" s="65" t="s">
        <v>686</v>
      </c>
      <c r="I1299" s="65" t="s">
        <v>194</v>
      </c>
      <c r="J1299" s="65" t="s">
        <v>26</v>
      </c>
      <c r="K1299" s="48">
        <f t="shared" si="281"/>
        <v>8</v>
      </c>
      <c r="L1299" s="48">
        <f t="shared" si="282"/>
        <v>68</v>
      </c>
      <c r="N1299" s="72">
        <f t="shared" si="279"/>
        <v>1</v>
      </c>
      <c r="O1299" s="50">
        <f t="shared" si="277"/>
        <v>34.1</v>
      </c>
      <c r="P1299" s="56">
        <f t="shared" si="278"/>
        <v>24</v>
      </c>
      <c r="S1299" s="200" t="s">
        <v>2699</v>
      </c>
      <c r="T1299" s="201">
        <v>128</v>
      </c>
      <c r="U1299" s="58" t="s">
        <v>577</v>
      </c>
      <c r="V1299" s="46"/>
      <c r="W1299" s="46"/>
      <c r="X1299" s="62" t="s">
        <v>25</v>
      </c>
      <c r="Y1299" s="63">
        <f t="shared" si="276"/>
        <v>34.1</v>
      </c>
      <c r="Z1299" s="64">
        <f t="shared" si="280"/>
        <v>0</v>
      </c>
    </row>
    <row r="1300" spans="1:26" ht="15.75" customHeight="1">
      <c r="A1300" s="63">
        <v>20260075</v>
      </c>
      <c r="B1300" s="65" t="s">
        <v>2382</v>
      </c>
      <c r="C1300" s="66">
        <v>46091</v>
      </c>
      <c r="E1300" s="63">
        <v>1</v>
      </c>
      <c r="F1300" s="68">
        <v>0</v>
      </c>
      <c r="G1300" s="69">
        <v>5</v>
      </c>
      <c r="H1300" s="65" t="s">
        <v>686</v>
      </c>
      <c r="I1300" s="65" t="s">
        <v>24</v>
      </c>
      <c r="J1300" s="65" t="s">
        <v>24</v>
      </c>
      <c r="K1300" s="48">
        <f t="shared" si="281"/>
        <v>8</v>
      </c>
      <c r="L1300" s="48">
        <f t="shared" si="282"/>
        <v>68</v>
      </c>
      <c r="N1300" s="72">
        <f t="shared" si="279"/>
        <v>1</v>
      </c>
      <c r="O1300" s="50">
        <f t="shared" si="277"/>
        <v>0</v>
      </c>
      <c r="P1300" s="56">
        <f t="shared" si="278"/>
        <v>5</v>
      </c>
      <c r="S1300" s="200" t="s">
        <v>2699</v>
      </c>
      <c r="T1300" s="201">
        <v>128</v>
      </c>
      <c r="U1300" s="58"/>
      <c r="V1300" s="46"/>
      <c r="W1300" s="46"/>
      <c r="X1300" s="62" t="s">
        <v>25</v>
      </c>
      <c r="Y1300" s="63">
        <f t="shared" si="276"/>
        <v>0</v>
      </c>
      <c r="Z1300" s="64">
        <f t="shared" si="280"/>
        <v>0</v>
      </c>
    </row>
    <row r="1301" spans="1:26" ht="15.75" customHeight="1">
      <c r="A1301" s="63">
        <v>20260075</v>
      </c>
      <c r="B1301" s="65" t="s">
        <v>2382</v>
      </c>
      <c r="C1301" s="66">
        <v>46091</v>
      </c>
      <c r="E1301" s="63">
        <v>1</v>
      </c>
      <c r="F1301" s="68">
        <v>8</v>
      </c>
      <c r="G1301" s="69">
        <v>24</v>
      </c>
      <c r="H1301" s="65" t="s">
        <v>2700</v>
      </c>
      <c r="I1301" s="65" t="s">
        <v>42</v>
      </c>
      <c r="J1301" s="65" t="s">
        <v>28</v>
      </c>
      <c r="K1301" s="48">
        <f t="shared" si="281"/>
        <v>8</v>
      </c>
      <c r="L1301" s="48">
        <f t="shared" si="282"/>
        <v>68</v>
      </c>
      <c r="N1301" s="72">
        <f t="shared" si="279"/>
        <v>1</v>
      </c>
      <c r="O1301" s="50">
        <f t="shared" si="277"/>
        <v>8</v>
      </c>
      <c r="P1301" s="56">
        <f t="shared" si="278"/>
        <v>24</v>
      </c>
      <c r="S1301" s="200" t="s">
        <v>2701</v>
      </c>
      <c r="T1301" s="201">
        <v>129</v>
      </c>
      <c r="U1301" s="58" t="s">
        <v>2702</v>
      </c>
      <c r="V1301" s="46"/>
      <c r="W1301" s="46"/>
      <c r="X1301" s="62" t="s">
        <v>25</v>
      </c>
      <c r="Y1301" s="63">
        <f t="shared" si="276"/>
        <v>8</v>
      </c>
      <c r="Z1301" s="64">
        <f t="shared" si="280"/>
        <v>0</v>
      </c>
    </row>
    <row r="1302" spans="1:26" ht="15.75" customHeight="1">
      <c r="A1302" s="63">
        <v>20260075</v>
      </c>
      <c r="B1302" s="65" t="s">
        <v>2382</v>
      </c>
      <c r="C1302" s="66">
        <v>46091</v>
      </c>
      <c r="E1302" s="63">
        <v>1</v>
      </c>
      <c r="F1302" s="68">
        <v>8</v>
      </c>
      <c r="G1302" s="69">
        <v>24</v>
      </c>
      <c r="H1302" s="65" t="s">
        <v>2703</v>
      </c>
      <c r="I1302" s="65" t="s">
        <v>42</v>
      </c>
      <c r="J1302" s="65" t="s">
        <v>28</v>
      </c>
      <c r="K1302" s="48">
        <f t="shared" si="281"/>
        <v>8</v>
      </c>
      <c r="L1302" s="48">
        <f t="shared" si="282"/>
        <v>68</v>
      </c>
      <c r="N1302" s="72">
        <f t="shared" si="279"/>
        <v>1</v>
      </c>
      <c r="O1302" s="50">
        <f t="shared" si="277"/>
        <v>8</v>
      </c>
      <c r="P1302" s="56">
        <f t="shared" si="278"/>
        <v>24</v>
      </c>
      <c r="S1302" s="200" t="s">
        <v>2704</v>
      </c>
      <c r="T1302" s="201">
        <v>130</v>
      </c>
      <c r="U1302" s="58" t="s">
        <v>2667</v>
      </c>
      <c r="V1302" s="46"/>
      <c r="W1302" s="46"/>
      <c r="X1302" s="62" t="s">
        <v>25</v>
      </c>
      <c r="Y1302" s="63">
        <f t="shared" si="276"/>
        <v>8</v>
      </c>
      <c r="Z1302" s="64">
        <f t="shared" si="280"/>
        <v>0</v>
      </c>
    </row>
    <row r="1303" spans="1:26" ht="15.75" customHeight="1">
      <c r="A1303" s="63">
        <v>20260075</v>
      </c>
      <c r="B1303" s="65" t="s">
        <v>2382</v>
      </c>
      <c r="C1303" s="66">
        <v>46091</v>
      </c>
      <c r="E1303" s="63">
        <v>1</v>
      </c>
      <c r="F1303" s="68">
        <v>9</v>
      </c>
      <c r="G1303" s="69">
        <v>24</v>
      </c>
      <c r="H1303" s="65" t="s">
        <v>1683</v>
      </c>
      <c r="I1303" s="65" t="s">
        <v>42</v>
      </c>
      <c r="J1303" s="65" t="s">
        <v>28</v>
      </c>
      <c r="K1303" s="48">
        <f t="shared" si="281"/>
        <v>8</v>
      </c>
      <c r="L1303" s="48">
        <f t="shared" si="282"/>
        <v>68</v>
      </c>
      <c r="N1303" s="72">
        <f t="shared" si="279"/>
        <v>1</v>
      </c>
      <c r="O1303" s="50">
        <f t="shared" si="277"/>
        <v>9</v>
      </c>
      <c r="P1303" s="56">
        <f t="shared" si="278"/>
        <v>24</v>
      </c>
      <c r="S1303" s="200" t="s">
        <v>2705</v>
      </c>
      <c r="T1303" s="201">
        <v>131</v>
      </c>
      <c r="U1303" s="58" t="s">
        <v>2706</v>
      </c>
      <c r="V1303" s="46"/>
      <c r="W1303" s="46"/>
      <c r="X1303" s="62" t="s">
        <v>25</v>
      </c>
      <c r="Y1303" s="63">
        <f t="shared" si="276"/>
        <v>9</v>
      </c>
      <c r="Z1303" s="64">
        <f t="shared" si="280"/>
        <v>0</v>
      </c>
    </row>
    <row r="1304" spans="1:26" ht="15.75" customHeight="1">
      <c r="A1304" s="63">
        <v>20260075</v>
      </c>
      <c r="B1304" s="65" t="s">
        <v>2382</v>
      </c>
      <c r="C1304" s="66">
        <v>46091</v>
      </c>
      <c r="E1304" s="63">
        <v>1</v>
      </c>
      <c r="F1304" s="68">
        <v>36.799999999999997</v>
      </c>
      <c r="G1304" s="69">
        <v>24</v>
      </c>
      <c r="H1304" s="65" t="s">
        <v>2707</v>
      </c>
      <c r="I1304" s="65" t="s">
        <v>194</v>
      </c>
      <c r="J1304" s="65" t="s">
        <v>26</v>
      </c>
      <c r="K1304" s="48">
        <f t="shared" si="281"/>
        <v>8</v>
      </c>
      <c r="L1304" s="48">
        <f t="shared" si="282"/>
        <v>68</v>
      </c>
      <c r="N1304" s="72">
        <f t="shared" si="279"/>
        <v>1</v>
      </c>
      <c r="O1304" s="50">
        <f t="shared" si="277"/>
        <v>36.799999999999997</v>
      </c>
      <c r="P1304" s="56">
        <f t="shared" si="278"/>
        <v>24</v>
      </c>
      <c r="S1304" s="200" t="s">
        <v>2708</v>
      </c>
      <c r="T1304" s="201">
        <v>132</v>
      </c>
      <c r="U1304" s="58" t="s">
        <v>2709</v>
      </c>
      <c r="V1304" s="46"/>
      <c r="W1304" s="46"/>
      <c r="X1304" s="62" t="s">
        <v>25</v>
      </c>
      <c r="Y1304" s="63">
        <f t="shared" si="276"/>
        <v>36.799999999999997</v>
      </c>
      <c r="Z1304" s="64">
        <f t="shared" si="280"/>
        <v>0</v>
      </c>
    </row>
    <row r="1305" spans="1:26" ht="15.75" customHeight="1">
      <c r="A1305" s="63">
        <v>20260075</v>
      </c>
      <c r="B1305" s="65" t="s">
        <v>2382</v>
      </c>
      <c r="C1305" s="66">
        <v>46091</v>
      </c>
      <c r="E1305" s="63">
        <v>2</v>
      </c>
      <c r="F1305" s="68">
        <v>0</v>
      </c>
      <c r="G1305" s="69">
        <v>10</v>
      </c>
      <c r="H1305" s="65" t="s">
        <v>2707</v>
      </c>
      <c r="I1305" s="65" t="s">
        <v>24</v>
      </c>
      <c r="J1305" s="65" t="s">
        <v>24</v>
      </c>
      <c r="K1305" s="48">
        <f t="shared" si="281"/>
        <v>8</v>
      </c>
      <c r="L1305" s="48">
        <f t="shared" si="282"/>
        <v>68</v>
      </c>
      <c r="N1305" s="72">
        <f t="shared" si="279"/>
        <v>2</v>
      </c>
      <c r="O1305" s="50">
        <f t="shared" si="277"/>
        <v>0</v>
      </c>
      <c r="P1305" s="56">
        <f t="shared" si="278"/>
        <v>10</v>
      </c>
      <c r="S1305" s="200" t="s">
        <v>2708</v>
      </c>
      <c r="T1305" s="201">
        <v>132</v>
      </c>
      <c r="U1305" s="58"/>
      <c r="V1305" s="46"/>
      <c r="W1305" s="46"/>
      <c r="X1305" s="62" t="s">
        <v>25</v>
      </c>
      <c r="Y1305" s="63">
        <f t="shared" si="276"/>
        <v>0</v>
      </c>
      <c r="Z1305" s="64">
        <f t="shared" si="280"/>
        <v>0</v>
      </c>
    </row>
    <row r="1306" spans="1:26" ht="15.75" customHeight="1">
      <c r="A1306" s="63">
        <v>20260075</v>
      </c>
      <c r="B1306" s="65" t="s">
        <v>2382</v>
      </c>
      <c r="C1306" s="66">
        <v>46091</v>
      </c>
      <c r="E1306" s="63">
        <v>1</v>
      </c>
      <c r="F1306" s="68">
        <v>34</v>
      </c>
      <c r="G1306" s="69">
        <v>24</v>
      </c>
      <c r="H1306" s="65" t="s">
        <v>775</v>
      </c>
      <c r="I1306" s="65" t="s">
        <v>194</v>
      </c>
      <c r="J1306" s="65" t="s">
        <v>26</v>
      </c>
      <c r="K1306" s="48">
        <f t="shared" si="281"/>
        <v>8</v>
      </c>
      <c r="L1306" s="48">
        <f t="shared" si="282"/>
        <v>68</v>
      </c>
      <c r="N1306" s="72">
        <f t="shared" si="279"/>
        <v>1</v>
      </c>
      <c r="O1306" s="50">
        <f t="shared" si="277"/>
        <v>34</v>
      </c>
      <c r="P1306" s="56">
        <f t="shared" si="278"/>
        <v>24</v>
      </c>
      <c r="S1306" s="200" t="s">
        <v>2710</v>
      </c>
      <c r="T1306" s="201">
        <v>133</v>
      </c>
      <c r="U1306" s="58" t="s">
        <v>1353</v>
      </c>
      <c r="V1306" s="46"/>
      <c r="W1306" s="46"/>
      <c r="X1306" s="62" t="s">
        <v>25</v>
      </c>
      <c r="Y1306" s="63">
        <f t="shared" si="276"/>
        <v>34</v>
      </c>
      <c r="Z1306" s="64">
        <f t="shared" si="280"/>
        <v>0</v>
      </c>
    </row>
    <row r="1307" spans="1:26" ht="15.75" customHeight="1">
      <c r="A1307" s="63">
        <v>20260075</v>
      </c>
      <c r="B1307" s="65" t="s">
        <v>2382</v>
      </c>
      <c r="C1307" s="66">
        <v>46091</v>
      </c>
      <c r="E1307" s="63">
        <v>1</v>
      </c>
      <c r="F1307" s="68">
        <v>0</v>
      </c>
      <c r="G1307" s="69">
        <v>5</v>
      </c>
      <c r="H1307" s="65" t="s">
        <v>775</v>
      </c>
      <c r="I1307" s="65" t="s">
        <v>24</v>
      </c>
      <c r="J1307" s="65" t="s">
        <v>24</v>
      </c>
      <c r="K1307" s="48">
        <f t="shared" si="281"/>
        <v>8</v>
      </c>
      <c r="L1307" s="48">
        <f t="shared" si="282"/>
        <v>68</v>
      </c>
      <c r="N1307" s="72">
        <f t="shared" si="279"/>
        <v>1</v>
      </c>
      <c r="O1307" s="50">
        <f t="shared" si="277"/>
        <v>0</v>
      </c>
      <c r="P1307" s="56">
        <f t="shared" si="278"/>
        <v>5</v>
      </c>
      <c r="S1307" s="200" t="s">
        <v>2710</v>
      </c>
      <c r="T1307" s="201">
        <v>133</v>
      </c>
      <c r="U1307" s="58"/>
      <c r="V1307" s="46"/>
      <c r="W1307" s="46"/>
      <c r="X1307" s="62" t="s">
        <v>25</v>
      </c>
      <c r="Y1307" s="63">
        <f t="shared" si="276"/>
        <v>0</v>
      </c>
      <c r="Z1307" s="64">
        <f t="shared" si="280"/>
        <v>0</v>
      </c>
    </row>
    <row r="1308" spans="1:26" ht="15.75" customHeight="1">
      <c r="A1308" s="63">
        <v>20260075</v>
      </c>
      <c r="B1308" s="65" t="s">
        <v>2382</v>
      </c>
      <c r="C1308" s="66">
        <v>46091</v>
      </c>
      <c r="E1308" s="63">
        <v>1</v>
      </c>
      <c r="F1308" s="68">
        <v>23.5</v>
      </c>
      <c r="G1308" s="69">
        <v>24</v>
      </c>
      <c r="H1308" s="65" t="s">
        <v>2534</v>
      </c>
      <c r="I1308" s="65" t="s">
        <v>446</v>
      </c>
      <c r="J1308" s="65" t="s">
        <v>26</v>
      </c>
      <c r="K1308" s="48">
        <f t="shared" si="281"/>
        <v>8</v>
      </c>
      <c r="L1308" s="48">
        <f t="shared" si="282"/>
        <v>68</v>
      </c>
      <c r="N1308" s="72">
        <f t="shared" si="279"/>
        <v>1</v>
      </c>
      <c r="O1308" s="50">
        <f t="shared" si="277"/>
        <v>23.5</v>
      </c>
      <c r="P1308" s="56">
        <f t="shared" si="278"/>
        <v>24</v>
      </c>
      <c r="S1308" s="200" t="s">
        <v>2711</v>
      </c>
      <c r="T1308" s="201">
        <v>134</v>
      </c>
      <c r="U1308" s="58" t="s">
        <v>2712</v>
      </c>
      <c r="V1308" s="46"/>
      <c r="W1308" s="46"/>
      <c r="X1308" s="62" t="s">
        <v>25</v>
      </c>
      <c r="Y1308" s="63">
        <f t="shared" si="276"/>
        <v>23.5</v>
      </c>
      <c r="Z1308" s="64">
        <f t="shared" si="280"/>
        <v>0</v>
      </c>
    </row>
    <row r="1309" spans="1:26" ht="15.75" customHeight="1">
      <c r="A1309" s="63">
        <v>20260075</v>
      </c>
      <c r="B1309" s="65" t="s">
        <v>2382</v>
      </c>
      <c r="C1309" s="66">
        <v>46091</v>
      </c>
      <c r="E1309" s="63">
        <v>1</v>
      </c>
      <c r="F1309" s="68">
        <v>23.5</v>
      </c>
      <c r="G1309" s="69">
        <v>24</v>
      </c>
      <c r="H1309" s="65" t="s">
        <v>2713</v>
      </c>
      <c r="I1309" s="65" t="s">
        <v>446</v>
      </c>
      <c r="J1309" s="65" t="s">
        <v>26</v>
      </c>
      <c r="K1309" s="48">
        <f t="shared" si="281"/>
        <v>8</v>
      </c>
      <c r="L1309" s="48">
        <f t="shared" si="282"/>
        <v>68</v>
      </c>
      <c r="N1309" s="72">
        <f t="shared" si="279"/>
        <v>1</v>
      </c>
      <c r="O1309" s="50">
        <f t="shared" si="277"/>
        <v>23.5</v>
      </c>
      <c r="P1309" s="56">
        <f t="shared" si="278"/>
        <v>24</v>
      </c>
      <c r="S1309" s="200" t="s">
        <v>2714</v>
      </c>
      <c r="T1309" s="201">
        <v>135</v>
      </c>
      <c r="U1309" s="58" t="s">
        <v>2712</v>
      </c>
      <c r="V1309" s="46"/>
      <c r="W1309" s="46"/>
      <c r="X1309" s="62" t="s">
        <v>25</v>
      </c>
      <c r="Y1309" s="63">
        <f t="shared" si="276"/>
        <v>23.5</v>
      </c>
      <c r="Z1309" s="64">
        <f t="shared" si="280"/>
        <v>0</v>
      </c>
    </row>
    <row r="1310" spans="1:26" ht="15.75" customHeight="1">
      <c r="A1310" s="63">
        <v>20260075</v>
      </c>
      <c r="B1310" s="65" t="s">
        <v>2382</v>
      </c>
      <c r="C1310" s="66">
        <v>46091</v>
      </c>
      <c r="E1310" s="63">
        <v>1</v>
      </c>
      <c r="F1310" s="68">
        <v>8.8000000000000007</v>
      </c>
      <c r="G1310" s="69">
        <v>24</v>
      </c>
      <c r="H1310" s="65" t="s">
        <v>763</v>
      </c>
      <c r="I1310" s="65" t="s">
        <v>42</v>
      </c>
      <c r="J1310" s="65" t="s">
        <v>28</v>
      </c>
      <c r="K1310" s="48">
        <f t="shared" si="281"/>
        <v>8</v>
      </c>
      <c r="L1310" s="48">
        <f t="shared" si="282"/>
        <v>68</v>
      </c>
      <c r="N1310" s="72">
        <f t="shared" si="279"/>
        <v>1</v>
      </c>
      <c r="O1310" s="50">
        <f t="shared" si="277"/>
        <v>8.8000000000000007</v>
      </c>
      <c r="P1310" s="56">
        <f t="shared" si="278"/>
        <v>24</v>
      </c>
      <c r="S1310" s="200" t="s">
        <v>2715</v>
      </c>
      <c r="T1310" s="201">
        <v>136</v>
      </c>
      <c r="U1310" s="58" t="s">
        <v>2716</v>
      </c>
      <c r="V1310" s="46"/>
      <c r="W1310" s="46"/>
      <c r="X1310" s="62" t="s">
        <v>25</v>
      </c>
      <c r="Y1310" s="63">
        <f t="shared" si="276"/>
        <v>8.8000000000000007</v>
      </c>
      <c r="Z1310" s="64">
        <f t="shared" si="280"/>
        <v>0</v>
      </c>
    </row>
    <row r="1311" spans="1:26" ht="15.75" customHeight="1">
      <c r="A1311" s="63">
        <v>20260075</v>
      </c>
      <c r="B1311" s="65" t="s">
        <v>2382</v>
      </c>
      <c r="C1311" s="66">
        <v>46091</v>
      </c>
      <c r="E1311" s="63">
        <v>1</v>
      </c>
      <c r="F1311" s="68">
        <v>34</v>
      </c>
      <c r="G1311" s="69">
        <v>24</v>
      </c>
      <c r="H1311" s="65" t="s">
        <v>2717</v>
      </c>
      <c r="I1311" s="65" t="s">
        <v>194</v>
      </c>
      <c r="J1311" s="65" t="s">
        <v>26</v>
      </c>
      <c r="K1311" s="48">
        <f t="shared" si="281"/>
        <v>8</v>
      </c>
      <c r="L1311" s="48">
        <f t="shared" si="282"/>
        <v>68</v>
      </c>
      <c r="N1311" s="72">
        <f t="shared" si="279"/>
        <v>1</v>
      </c>
      <c r="O1311" s="50">
        <f t="shared" si="277"/>
        <v>34</v>
      </c>
      <c r="P1311" s="56">
        <f t="shared" si="278"/>
        <v>24</v>
      </c>
      <c r="S1311" s="200" t="s">
        <v>2718</v>
      </c>
      <c r="T1311" s="201">
        <v>137</v>
      </c>
      <c r="U1311" s="58" t="s">
        <v>682</v>
      </c>
      <c r="V1311" s="46"/>
      <c r="W1311" s="46"/>
      <c r="X1311" s="62" t="s">
        <v>25</v>
      </c>
      <c r="Y1311" s="63">
        <f t="shared" si="276"/>
        <v>34</v>
      </c>
      <c r="Z1311" s="64">
        <f t="shared" si="280"/>
        <v>0</v>
      </c>
    </row>
    <row r="1312" spans="1:26" ht="15.75" customHeight="1">
      <c r="A1312" s="63">
        <v>20260075</v>
      </c>
      <c r="B1312" s="65" t="s">
        <v>2382</v>
      </c>
      <c r="C1312" s="66">
        <v>46091</v>
      </c>
      <c r="E1312" s="63">
        <v>1</v>
      </c>
      <c r="F1312" s="68">
        <v>0</v>
      </c>
      <c r="G1312" s="69">
        <v>5</v>
      </c>
      <c r="H1312" s="65" t="s">
        <v>2717</v>
      </c>
      <c r="I1312" s="65" t="s">
        <v>24</v>
      </c>
      <c r="J1312" s="65" t="s">
        <v>24</v>
      </c>
      <c r="K1312" s="48">
        <f t="shared" si="281"/>
        <v>8</v>
      </c>
      <c r="L1312" s="48">
        <f t="shared" si="282"/>
        <v>68</v>
      </c>
      <c r="N1312" s="72">
        <f t="shared" si="279"/>
        <v>1</v>
      </c>
      <c r="O1312" s="50">
        <f t="shared" si="277"/>
        <v>0</v>
      </c>
      <c r="P1312" s="56">
        <f t="shared" si="278"/>
        <v>5</v>
      </c>
      <c r="S1312" s="200" t="s">
        <v>2718</v>
      </c>
      <c r="T1312" s="201">
        <v>137</v>
      </c>
      <c r="U1312" s="58"/>
      <c r="V1312" s="46"/>
      <c r="W1312" s="46"/>
      <c r="X1312" s="62" t="s">
        <v>25</v>
      </c>
      <c r="Y1312" s="63">
        <f t="shared" si="276"/>
        <v>0</v>
      </c>
      <c r="Z1312" s="64">
        <f t="shared" si="280"/>
        <v>0</v>
      </c>
    </row>
    <row r="1313" spans="1:26" ht="15.75" customHeight="1">
      <c r="A1313" s="63">
        <v>20260075</v>
      </c>
      <c r="B1313" s="65" t="s">
        <v>2382</v>
      </c>
      <c r="C1313" s="66">
        <v>46091</v>
      </c>
      <c r="E1313" s="63">
        <v>1</v>
      </c>
      <c r="F1313" s="68">
        <v>34</v>
      </c>
      <c r="G1313" s="69">
        <v>24</v>
      </c>
      <c r="H1313" s="65" t="s">
        <v>2719</v>
      </c>
      <c r="I1313" s="65" t="s">
        <v>194</v>
      </c>
      <c r="J1313" s="65" t="s">
        <v>26</v>
      </c>
      <c r="K1313" s="48">
        <f t="shared" si="281"/>
        <v>8</v>
      </c>
      <c r="L1313" s="48">
        <f t="shared" si="282"/>
        <v>68</v>
      </c>
      <c r="N1313" s="72">
        <f t="shared" si="279"/>
        <v>1</v>
      </c>
      <c r="O1313" s="50">
        <f t="shared" si="277"/>
        <v>34</v>
      </c>
      <c r="P1313" s="56">
        <f t="shared" si="278"/>
        <v>24</v>
      </c>
      <c r="S1313" s="200" t="s">
        <v>2720</v>
      </c>
      <c r="T1313" s="201">
        <v>138</v>
      </c>
      <c r="U1313" s="58" t="s">
        <v>1698</v>
      </c>
      <c r="V1313" s="46"/>
      <c r="W1313" s="46"/>
      <c r="X1313" s="62" t="s">
        <v>25</v>
      </c>
      <c r="Y1313" s="63">
        <f t="shared" si="276"/>
        <v>34</v>
      </c>
      <c r="Z1313" s="64">
        <f t="shared" si="280"/>
        <v>0</v>
      </c>
    </row>
    <row r="1314" spans="1:26" ht="15.75" customHeight="1">
      <c r="A1314" s="63">
        <v>20260075</v>
      </c>
      <c r="B1314" s="65" t="s">
        <v>2382</v>
      </c>
      <c r="C1314" s="66">
        <v>46091</v>
      </c>
      <c r="E1314" s="63">
        <v>1</v>
      </c>
      <c r="F1314" s="68">
        <v>0</v>
      </c>
      <c r="G1314" s="69">
        <v>5</v>
      </c>
      <c r="H1314" s="65" t="s">
        <v>2719</v>
      </c>
      <c r="I1314" s="65" t="s">
        <v>24</v>
      </c>
      <c r="J1314" s="65" t="s">
        <v>24</v>
      </c>
      <c r="K1314" s="48">
        <f t="shared" si="281"/>
        <v>8</v>
      </c>
      <c r="L1314" s="48">
        <f t="shared" si="282"/>
        <v>68</v>
      </c>
      <c r="N1314" s="72">
        <f t="shared" si="279"/>
        <v>1</v>
      </c>
      <c r="O1314" s="50">
        <f t="shared" si="277"/>
        <v>0</v>
      </c>
      <c r="P1314" s="56">
        <f t="shared" si="278"/>
        <v>5</v>
      </c>
      <c r="S1314" s="200" t="s">
        <v>2720</v>
      </c>
      <c r="T1314" s="201">
        <v>138</v>
      </c>
      <c r="U1314" s="58"/>
      <c r="V1314" s="46"/>
      <c r="W1314" s="46"/>
      <c r="X1314" s="62" t="s">
        <v>25</v>
      </c>
      <c r="Y1314" s="63">
        <f t="shared" si="276"/>
        <v>0</v>
      </c>
      <c r="Z1314" s="64">
        <f t="shared" si="280"/>
        <v>0</v>
      </c>
    </row>
    <row r="1315" spans="1:26" ht="15.75" customHeight="1">
      <c r="A1315" s="63">
        <v>20260075</v>
      </c>
      <c r="B1315" s="65" t="s">
        <v>2382</v>
      </c>
      <c r="C1315" s="66">
        <v>46091</v>
      </c>
      <c r="E1315" s="63">
        <v>2</v>
      </c>
      <c r="F1315" s="68">
        <v>68</v>
      </c>
      <c r="G1315" s="69">
        <v>48</v>
      </c>
      <c r="H1315" s="65" t="s">
        <v>2133</v>
      </c>
      <c r="I1315" s="65" t="s">
        <v>194</v>
      </c>
      <c r="J1315" s="65" t="s">
        <v>26</v>
      </c>
      <c r="K1315" s="48">
        <f t="shared" si="281"/>
        <v>8</v>
      </c>
      <c r="L1315" s="48">
        <f t="shared" si="282"/>
        <v>68</v>
      </c>
      <c r="N1315" s="72">
        <f t="shared" si="279"/>
        <v>2</v>
      </c>
      <c r="O1315" s="50">
        <f t="shared" si="277"/>
        <v>68</v>
      </c>
      <c r="P1315" s="56">
        <f t="shared" si="278"/>
        <v>48</v>
      </c>
      <c r="S1315" s="200" t="s">
        <v>2721</v>
      </c>
      <c r="T1315" s="201">
        <v>139</v>
      </c>
      <c r="U1315" s="58" t="s">
        <v>765</v>
      </c>
      <c r="V1315" s="46"/>
      <c r="W1315" s="46"/>
      <c r="X1315" s="62" t="s">
        <v>25</v>
      </c>
      <c r="Y1315" s="63">
        <f t="shared" si="276"/>
        <v>34</v>
      </c>
      <c r="Z1315" s="64">
        <f t="shared" si="280"/>
        <v>0</v>
      </c>
    </row>
    <row r="1316" spans="1:26" ht="15.75" customHeight="1">
      <c r="A1316" s="63">
        <v>20260075</v>
      </c>
      <c r="B1316" s="65" t="s">
        <v>2382</v>
      </c>
      <c r="C1316" s="66">
        <v>46091</v>
      </c>
      <c r="E1316" s="63">
        <v>2</v>
      </c>
      <c r="F1316" s="68">
        <v>0</v>
      </c>
      <c r="G1316" s="69">
        <v>10</v>
      </c>
      <c r="H1316" s="65" t="s">
        <v>2133</v>
      </c>
      <c r="I1316" s="65" t="s">
        <v>24</v>
      </c>
      <c r="J1316" s="65" t="s">
        <v>24</v>
      </c>
      <c r="K1316" s="48">
        <f t="shared" si="281"/>
        <v>8</v>
      </c>
      <c r="L1316" s="48">
        <f t="shared" si="282"/>
        <v>68</v>
      </c>
      <c r="N1316" s="72">
        <f t="shared" si="279"/>
        <v>2</v>
      </c>
      <c r="O1316" s="50">
        <f t="shared" si="277"/>
        <v>0</v>
      </c>
      <c r="P1316" s="56">
        <f t="shared" si="278"/>
        <v>10</v>
      </c>
      <c r="S1316" s="200" t="s">
        <v>2721</v>
      </c>
      <c r="T1316" s="201">
        <v>139</v>
      </c>
      <c r="U1316" s="58"/>
      <c r="V1316" s="46"/>
      <c r="W1316" s="46"/>
      <c r="X1316" s="62" t="s">
        <v>25</v>
      </c>
      <c r="Y1316" s="63">
        <f t="shared" si="276"/>
        <v>0</v>
      </c>
      <c r="Z1316" s="64">
        <f t="shared" si="280"/>
        <v>0</v>
      </c>
    </row>
    <row r="1317" spans="1:26" ht="15.75" customHeight="1">
      <c r="A1317" s="63">
        <v>20260075</v>
      </c>
      <c r="B1317" s="65" t="s">
        <v>2382</v>
      </c>
      <c r="C1317" s="66">
        <v>46091</v>
      </c>
      <c r="E1317" s="63">
        <v>5</v>
      </c>
      <c r="F1317" s="68">
        <v>86.5</v>
      </c>
      <c r="G1317" s="69">
        <v>120</v>
      </c>
      <c r="H1317" s="65" t="s">
        <v>2722</v>
      </c>
      <c r="I1317" s="65" t="s">
        <v>42</v>
      </c>
      <c r="J1317" s="65" t="s">
        <v>28</v>
      </c>
      <c r="K1317" s="48">
        <f t="shared" si="281"/>
        <v>8</v>
      </c>
      <c r="L1317" s="48">
        <f t="shared" si="282"/>
        <v>68</v>
      </c>
      <c r="N1317" s="72">
        <f t="shared" si="279"/>
        <v>5</v>
      </c>
      <c r="O1317" s="50">
        <f t="shared" si="277"/>
        <v>86.5</v>
      </c>
      <c r="P1317" s="56">
        <f t="shared" si="278"/>
        <v>120</v>
      </c>
      <c r="S1317" s="200" t="s">
        <v>2723</v>
      </c>
      <c r="T1317" s="201">
        <v>140</v>
      </c>
      <c r="U1317" s="58" t="s">
        <v>2724</v>
      </c>
      <c r="V1317" s="46"/>
      <c r="W1317" s="46"/>
      <c r="X1317" s="62" t="s">
        <v>25</v>
      </c>
      <c r="Y1317" s="63">
        <f t="shared" si="276"/>
        <v>17.3</v>
      </c>
      <c r="Z1317" s="64">
        <f t="shared" si="280"/>
        <v>0</v>
      </c>
    </row>
    <row r="1318" spans="1:26" ht="15.75" customHeight="1">
      <c r="A1318" s="63">
        <v>20260075</v>
      </c>
      <c r="B1318" s="65" t="s">
        <v>2382</v>
      </c>
      <c r="C1318" s="66">
        <v>46091</v>
      </c>
      <c r="E1318" s="63">
        <v>5</v>
      </c>
      <c r="F1318" s="68">
        <v>86.5</v>
      </c>
      <c r="G1318" s="69">
        <v>120</v>
      </c>
      <c r="H1318" s="65" t="s">
        <v>2725</v>
      </c>
      <c r="I1318" s="65" t="s">
        <v>42</v>
      </c>
      <c r="J1318" s="65" t="s">
        <v>28</v>
      </c>
      <c r="K1318" s="48">
        <f t="shared" si="281"/>
        <v>8</v>
      </c>
      <c r="L1318" s="48">
        <f t="shared" si="282"/>
        <v>68</v>
      </c>
      <c r="N1318" s="72">
        <f t="shared" si="279"/>
        <v>5</v>
      </c>
      <c r="O1318" s="50">
        <f t="shared" si="277"/>
        <v>86.5</v>
      </c>
      <c r="P1318" s="56">
        <f t="shared" si="278"/>
        <v>120</v>
      </c>
      <c r="S1318" s="200" t="s">
        <v>2726</v>
      </c>
      <c r="T1318" s="201">
        <v>141</v>
      </c>
      <c r="U1318" s="58" t="s">
        <v>2724</v>
      </c>
      <c r="V1318" s="46"/>
      <c r="W1318" s="46"/>
      <c r="X1318" s="62" t="s">
        <v>25</v>
      </c>
      <c r="Y1318" s="63">
        <f t="shared" si="276"/>
        <v>17.3</v>
      </c>
      <c r="Z1318" s="64">
        <f t="shared" si="280"/>
        <v>0</v>
      </c>
    </row>
    <row r="1319" spans="1:26" ht="15.75" customHeight="1">
      <c r="A1319" s="63">
        <v>20260075</v>
      </c>
      <c r="B1319" s="65" t="s">
        <v>2382</v>
      </c>
      <c r="C1319" s="66">
        <v>46091</v>
      </c>
      <c r="E1319" s="63">
        <v>1</v>
      </c>
      <c r="F1319" s="68">
        <v>13.6</v>
      </c>
      <c r="G1319" s="69">
        <v>24</v>
      </c>
      <c r="H1319" s="65" t="s">
        <v>2727</v>
      </c>
      <c r="I1319" s="65" t="s">
        <v>42</v>
      </c>
      <c r="J1319" s="65" t="s">
        <v>28</v>
      </c>
      <c r="K1319" s="48">
        <f t="shared" si="281"/>
        <v>8</v>
      </c>
      <c r="L1319" s="48">
        <f t="shared" si="282"/>
        <v>68</v>
      </c>
      <c r="N1319" s="72">
        <f t="shared" si="279"/>
        <v>1</v>
      </c>
      <c r="O1319" s="50">
        <f t="shared" si="277"/>
        <v>13.6</v>
      </c>
      <c r="P1319" s="56">
        <f t="shared" si="278"/>
        <v>24</v>
      </c>
      <c r="S1319" s="200" t="s">
        <v>2728</v>
      </c>
      <c r="T1319" s="201">
        <v>142</v>
      </c>
      <c r="U1319" s="58" t="s">
        <v>2556</v>
      </c>
      <c r="V1319" s="46"/>
      <c r="W1319" s="46"/>
      <c r="X1319" s="62" t="s">
        <v>25</v>
      </c>
      <c r="Y1319" s="63">
        <f t="shared" si="276"/>
        <v>13.6</v>
      </c>
      <c r="Z1319" s="64">
        <f t="shared" si="280"/>
        <v>0</v>
      </c>
    </row>
    <row r="1320" spans="1:26" ht="15.75" customHeight="1">
      <c r="A1320" s="63">
        <v>20260075</v>
      </c>
      <c r="B1320" s="65" t="s">
        <v>2382</v>
      </c>
      <c r="C1320" s="66">
        <v>46091</v>
      </c>
      <c r="E1320" s="63">
        <v>4</v>
      </c>
      <c r="F1320" s="68">
        <v>146.78</v>
      </c>
      <c r="G1320" s="69">
        <v>96</v>
      </c>
      <c r="H1320" s="65" t="s">
        <v>2729</v>
      </c>
      <c r="I1320" s="65" t="s">
        <v>194</v>
      </c>
      <c r="J1320" s="65" t="s">
        <v>26</v>
      </c>
      <c r="K1320" s="48">
        <f t="shared" si="281"/>
        <v>8</v>
      </c>
      <c r="L1320" s="48">
        <f t="shared" si="282"/>
        <v>68</v>
      </c>
      <c r="N1320" s="72">
        <f t="shared" si="279"/>
        <v>4</v>
      </c>
      <c r="O1320" s="50">
        <f t="shared" si="277"/>
        <v>146.78</v>
      </c>
      <c r="P1320" s="56">
        <f t="shared" si="278"/>
        <v>96</v>
      </c>
      <c r="S1320" s="200" t="s">
        <v>2730</v>
      </c>
      <c r="T1320" s="201">
        <v>143</v>
      </c>
      <c r="U1320" s="58" t="s">
        <v>2731</v>
      </c>
      <c r="V1320" s="46"/>
      <c r="W1320" s="46"/>
      <c r="X1320" s="62" t="s">
        <v>25</v>
      </c>
      <c r="Y1320" s="63">
        <f t="shared" si="276"/>
        <v>36.695</v>
      </c>
      <c r="Z1320" s="64">
        <f t="shared" si="280"/>
        <v>0</v>
      </c>
    </row>
    <row r="1321" spans="1:26" ht="15.75" customHeight="1">
      <c r="A1321" s="63">
        <v>20260075</v>
      </c>
      <c r="B1321" s="65" t="s">
        <v>2382</v>
      </c>
      <c r="C1321" s="66">
        <v>46091</v>
      </c>
      <c r="E1321" s="63">
        <v>16</v>
      </c>
      <c r="F1321" s="68">
        <v>0</v>
      </c>
      <c r="G1321" s="69">
        <v>64</v>
      </c>
      <c r="H1321" s="65" t="s">
        <v>2729</v>
      </c>
      <c r="I1321" s="65" t="s">
        <v>24</v>
      </c>
      <c r="J1321" s="65" t="s">
        <v>24</v>
      </c>
      <c r="K1321" s="48">
        <f t="shared" si="281"/>
        <v>8</v>
      </c>
      <c r="L1321" s="48">
        <f t="shared" si="282"/>
        <v>68</v>
      </c>
      <c r="N1321" s="72">
        <f t="shared" si="279"/>
        <v>16</v>
      </c>
      <c r="O1321" s="50">
        <f t="shared" si="277"/>
        <v>0</v>
      </c>
      <c r="P1321" s="56">
        <f t="shared" si="278"/>
        <v>64</v>
      </c>
      <c r="S1321" s="200" t="s">
        <v>2730</v>
      </c>
      <c r="T1321" s="201">
        <v>143</v>
      </c>
      <c r="U1321" s="58"/>
      <c r="V1321" s="46"/>
      <c r="W1321" s="46"/>
      <c r="X1321" s="62" t="s">
        <v>25</v>
      </c>
      <c r="Y1321" s="63">
        <f t="shared" si="276"/>
        <v>0</v>
      </c>
      <c r="Z1321" s="64">
        <f t="shared" si="280"/>
        <v>0</v>
      </c>
    </row>
    <row r="1322" spans="1:26" ht="15.75" customHeight="1">
      <c r="A1322" s="63">
        <v>20260075</v>
      </c>
      <c r="B1322" s="65" t="s">
        <v>2382</v>
      </c>
      <c r="C1322" s="66">
        <v>46091</v>
      </c>
      <c r="E1322" s="63">
        <v>1</v>
      </c>
      <c r="F1322" s="68">
        <v>21.7</v>
      </c>
      <c r="G1322" s="69">
        <v>24</v>
      </c>
      <c r="H1322" s="65" t="s">
        <v>2732</v>
      </c>
      <c r="I1322" s="65" t="s">
        <v>194</v>
      </c>
      <c r="J1322" s="65" t="s">
        <v>26</v>
      </c>
      <c r="K1322" s="48">
        <f t="shared" si="281"/>
        <v>8</v>
      </c>
      <c r="L1322" s="48">
        <f t="shared" si="282"/>
        <v>68</v>
      </c>
      <c r="N1322" s="72">
        <f t="shared" si="279"/>
        <v>1</v>
      </c>
      <c r="O1322" s="50">
        <f t="shared" si="277"/>
        <v>21.7</v>
      </c>
      <c r="P1322" s="56">
        <f t="shared" si="278"/>
        <v>24</v>
      </c>
      <c r="S1322" s="200" t="s">
        <v>2733</v>
      </c>
      <c r="T1322" s="201">
        <v>149</v>
      </c>
      <c r="U1322" s="58" t="s">
        <v>2692</v>
      </c>
      <c r="V1322" s="46"/>
      <c r="W1322" s="46"/>
      <c r="X1322" s="62" t="s">
        <v>25</v>
      </c>
      <c r="Y1322" s="63">
        <f t="shared" si="276"/>
        <v>21.7</v>
      </c>
      <c r="Z1322" s="64">
        <f t="shared" si="280"/>
        <v>0</v>
      </c>
    </row>
    <row r="1323" spans="1:26" ht="15.75" customHeight="1">
      <c r="A1323" s="63">
        <v>20260075</v>
      </c>
      <c r="B1323" s="65" t="s">
        <v>2382</v>
      </c>
      <c r="C1323" s="66">
        <v>46091</v>
      </c>
      <c r="E1323" s="63">
        <v>1</v>
      </c>
      <c r="F1323" s="68">
        <v>42.2</v>
      </c>
      <c r="G1323" s="69">
        <v>60</v>
      </c>
      <c r="H1323" s="65" t="s">
        <v>2653</v>
      </c>
      <c r="I1323" s="65" t="s">
        <v>138</v>
      </c>
      <c r="J1323" s="65" t="s">
        <v>26</v>
      </c>
      <c r="K1323" s="48">
        <f t="shared" si="281"/>
        <v>8</v>
      </c>
      <c r="L1323" s="48">
        <f t="shared" si="282"/>
        <v>68</v>
      </c>
      <c r="N1323" s="72">
        <f t="shared" si="279"/>
        <v>1</v>
      </c>
      <c r="O1323" s="50">
        <f t="shared" si="277"/>
        <v>42.2</v>
      </c>
      <c r="P1323" s="56">
        <f t="shared" si="278"/>
        <v>60</v>
      </c>
      <c r="S1323" s="200" t="s">
        <v>2734</v>
      </c>
      <c r="T1323" s="201">
        <v>150</v>
      </c>
      <c r="U1323" s="58" t="s">
        <v>2735</v>
      </c>
      <c r="V1323" s="46"/>
      <c r="W1323" s="46"/>
      <c r="X1323" s="62" t="s">
        <v>25</v>
      </c>
      <c r="Y1323" s="63">
        <f t="shared" si="276"/>
        <v>42.2</v>
      </c>
      <c r="Z1323" s="64">
        <f t="shared" si="280"/>
        <v>0</v>
      </c>
    </row>
    <row r="1324" spans="1:26" ht="15.75" customHeight="1">
      <c r="A1324" s="63">
        <v>20260075</v>
      </c>
      <c r="B1324" s="65" t="s">
        <v>2382</v>
      </c>
      <c r="C1324" s="66">
        <v>46091</v>
      </c>
      <c r="E1324" s="63">
        <v>2</v>
      </c>
      <c r="F1324" s="68">
        <v>23.4</v>
      </c>
      <c r="G1324" s="69">
        <v>48</v>
      </c>
      <c r="H1324" s="65" t="s">
        <v>2736</v>
      </c>
      <c r="I1324" s="65" t="s">
        <v>42</v>
      </c>
      <c r="J1324" s="65" t="s">
        <v>28</v>
      </c>
      <c r="K1324" s="48">
        <f t="shared" si="281"/>
        <v>8</v>
      </c>
      <c r="L1324" s="48">
        <f t="shared" si="282"/>
        <v>68</v>
      </c>
      <c r="N1324" s="72">
        <f t="shared" si="279"/>
        <v>2</v>
      </c>
      <c r="O1324" s="50">
        <f t="shared" si="277"/>
        <v>23.4</v>
      </c>
      <c r="P1324" s="56">
        <f t="shared" si="278"/>
        <v>48</v>
      </c>
      <c r="S1324" s="200" t="s">
        <v>2737</v>
      </c>
      <c r="T1324" s="201">
        <v>151</v>
      </c>
      <c r="U1324" s="58" t="s">
        <v>2738</v>
      </c>
      <c r="V1324" s="46"/>
      <c r="W1324" s="46"/>
      <c r="X1324" s="62" t="s">
        <v>25</v>
      </c>
      <c r="Y1324" s="63">
        <f t="shared" si="276"/>
        <v>11.7</v>
      </c>
      <c r="Z1324" s="64">
        <f t="shared" si="280"/>
        <v>0</v>
      </c>
    </row>
    <row r="1325" spans="1:26" ht="15.75" customHeight="1">
      <c r="A1325" s="63">
        <v>20260075</v>
      </c>
      <c r="B1325" s="65" t="s">
        <v>2382</v>
      </c>
      <c r="C1325" s="66">
        <v>46091</v>
      </c>
      <c r="E1325" s="63">
        <v>1</v>
      </c>
      <c r="F1325" s="68">
        <v>20</v>
      </c>
      <c r="G1325" s="69">
        <v>24</v>
      </c>
      <c r="H1325" s="65" t="s">
        <v>2739</v>
      </c>
      <c r="I1325" s="65" t="s">
        <v>42</v>
      </c>
      <c r="J1325" s="65" t="s">
        <v>28</v>
      </c>
      <c r="K1325" s="48">
        <f t="shared" si="281"/>
        <v>8</v>
      </c>
      <c r="L1325" s="48">
        <f t="shared" si="282"/>
        <v>68</v>
      </c>
      <c r="N1325" s="72">
        <f t="shared" si="279"/>
        <v>1</v>
      </c>
      <c r="O1325" s="50">
        <f t="shared" si="277"/>
        <v>20</v>
      </c>
      <c r="P1325" s="56">
        <f t="shared" si="278"/>
        <v>24</v>
      </c>
      <c r="S1325" s="200" t="s">
        <v>2740</v>
      </c>
      <c r="T1325" s="201">
        <v>152</v>
      </c>
      <c r="U1325" s="58" t="s">
        <v>2741</v>
      </c>
      <c r="V1325" s="46"/>
      <c r="W1325" s="46"/>
      <c r="X1325" s="62" t="s">
        <v>25</v>
      </c>
      <c r="Y1325" s="63">
        <f t="shared" si="276"/>
        <v>20</v>
      </c>
      <c r="Z1325" s="64">
        <f t="shared" si="280"/>
        <v>0</v>
      </c>
    </row>
    <row r="1326" spans="1:26" ht="15.75" customHeight="1">
      <c r="A1326" s="63">
        <v>20260075</v>
      </c>
      <c r="B1326" s="65" t="s">
        <v>2382</v>
      </c>
      <c r="C1326" s="66">
        <v>46091</v>
      </c>
      <c r="E1326" s="63">
        <v>1</v>
      </c>
      <c r="F1326" s="68">
        <v>16.600000000000001</v>
      </c>
      <c r="G1326" s="69">
        <v>24</v>
      </c>
      <c r="H1326" s="65" t="s">
        <v>2742</v>
      </c>
      <c r="I1326" s="65" t="s">
        <v>42</v>
      </c>
      <c r="J1326" s="65" t="s">
        <v>28</v>
      </c>
      <c r="K1326" s="48">
        <f t="shared" si="281"/>
        <v>8</v>
      </c>
      <c r="L1326" s="48">
        <f t="shared" si="282"/>
        <v>68</v>
      </c>
      <c r="N1326" s="72">
        <f t="shared" si="279"/>
        <v>1</v>
      </c>
      <c r="O1326" s="50">
        <f t="shared" si="277"/>
        <v>16.600000000000001</v>
      </c>
      <c r="P1326" s="56">
        <f t="shared" si="278"/>
        <v>24</v>
      </c>
      <c r="S1326" s="200" t="s">
        <v>2743</v>
      </c>
      <c r="T1326" s="201">
        <v>153</v>
      </c>
      <c r="U1326" s="58" t="s">
        <v>2744</v>
      </c>
      <c r="V1326" s="46"/>
      <c r="W1326" s="46"/>
      <c r="X1326" s="62" t="s">
        <v>25</v>
      </c>
      <c r="Y1326" s="63">
        <f t="shared" si="276"/>
        <v>16.600000000000001</v>
      </c>
      <c r="Z1326" s="64">
        <f t="shared" si="280"/>
        <v>0</v>
      </c>
    </row>
    <row r="1327" spans="1:26" ht="15.75" customHeight="1">
      <c r="A1327" s="63">
        <v>20260075</v>
      </c>
      <c r="B1327" s="65" t="s">
        <v>2382</v>
      </c>
      <c r="C1327" s="66">
        <v>46091</v>
      </c>
      <c r="E1327" s="63">
        <v>1</v>
      </c>
      <c r="F1327" s="68">
        <v>9</v>
      </c>
      <c r="G1327" s="69">
        <v>24</v>
      </c>
      <c r="H1327" s="65" t="s">
        <v>2745</v>
      </c>
      <c r="I1327" s="65" t="s">
        <v>42</v>
      </c>
      <c r="J1327" s="65" t="s">
        <v>28</v>
      </c>
      <c r="K1327" s="48">
        <f t="shared" si="281"/>
        <v>8</v>
      </c>
      <c r="L1327" s="48">
        <f t="shared" si="282"/>
        <v>68</v>
      </c>
      <c r="N1327" s="72">
        <f t="shared" si="279"/>
        <v>1</v>
      </c>
      <c r="O1327" s="50">
        <f t="shared" si="277"/>
        <v>9</v>
      </c>
      <c r="P1327" s="56">
        <f t="shared" si="278"/>
        <v>24</v>
      </c>
      <c r="S1327" s="200" t="s">
        <v>2746</v>
      </c>
      <c r="T1327" s="201">
        <v>154</v>
      </c>
      <c r="U1327" s="58" t="s">
        <v>2747</v>
      </c>
      <c r="V1327" s="46"/>
      <c r="W1327" s="46"/>
      <c r="X1327" s="62" t="s">
        <v>25</v>
      </c>
      <c r="Y1327" s="63">
        <f t="shared" si="276"/>
        <v>9</v>
      </c>
      <c r="Z1327" s="64">
        <f t="shared" si="280"/>
        <v>0</v>
      </c>
    </row>
    <row r="1328" spans="1:26" ht="15.75" customHeight="1">
      <c r="A1328" s="63">
        <v>20260075</v>
      </c>
      <c r="B1328" s="65" t="s">
        <v>2382</v>
      </c>
      <c r="C1328" s="66">
        <v>46091</v>
      </c>
      <c r="E1328" s="63">
        <v>1</v>
      </c>
      <c r="F1328" s="68">
        <v>9</v>
      </c>
      <c r="G1328" s="69">
        <v>24</v>
      </c>
      <c r="H1328" s="65" t="s">
        <v>2748</v>
      </c>
      <c r="I1328" s="65" t="s">
        <v>42</v>
      </c>
      <c r="J1328" s="65" t="s">
        <v>28</v>
      </c>
      <c r="K1328" s="48">
        <f t="shared" si="281"/>
        <v>8</v>
      </c>
      <c r="L1328" s="48">
        <f t="shared" si="282"/>
        <v>68</v>
      </c>
      <c r="N1328" s="72">
        <f t="shared" si="279"/>
        <v>1</v>
      </c>
      <c r="O1328" s="50">
        <f t="shared" si="277"/>
        <v>9</v>
      </c>
      <c r="P1328" s="56">
        <f t="shared" si="278"/>
        <v>24</v>
      </c>
      <c r="S1328" s="200" t="s">
        <v>2749</v>
      </c>
      <c r="T1328" s="201">
        <v>155</v>
      </c>
      <c r="U1328" s="58" t="s">
        <v>2716</v>
      </c>
      <c r="V1328" s="46"/>
      <c r="W1328" s="46"/>
      <c r="X1328" s="62" t="s">
        <v>25</v>
      </c>
      <c r="Y1328" s="63">
        <f t="shared" si="276"/>
        <v>9</v>
      </c>
      <c r="Z1328" s="64">
        <f t="shared" si="280"/>
        <v>0</v>
      </c>
    </row>
    <row r="1329" spans="1:26" ht="15.75" customHeight="1">
      <c r="A1329" s="63">
        <v>20260075</v>
      </c>
      <c r="B1329" s="65" t="s">
        <v>2382</v>
      </c>
      <c r="C1329" s="66">
        <v>46091</v>
      </c>
      <c r="E1329" s="63">
        <v>1</v>
      </c>
      <c r="F1329" s="68">
        <v>9</v>
      </c>
      <c r="G1329" s="69">
        <v>24</v>
      </c>
      <c r="H1329" s="65" t="s">
        <v>2750</v>
      </c>
      <c r="I1329" s="65" t="s">
        <v>42</v>
      </c>
      <c r="J1329" s="65" t="s">
        <v>28</v>
      </c>
      <c r="K1329" s="48">
        <f t="shared" si="281"/>
        <v>8</v>
      </c>
      <c r="L1329" s="48">
        <f t="shared" si="282"/>
        <v>68</v>
      </c>
      <c r="N1329" s="72">
        <f t="shared" si="279"/>
        <v>1</v>
      </c>
      <c r="O1329" s="50">
        <f t="shared" si="277"/>
        <v>9</v>
      </c>
      <c r="P1329" s="56">
        <f t="shared" si="278"/>
        <v>24</v>
      </c>
      <c r="S1329" s="200" t="s">
        <v>2751</v>
      </c>
      <c r="T1329" s="201">
        <v>156</v>
      </c>
      <c r="U1329" s="58" t="s">
        <v>2716</v>
      </c>
      <c r="V1329" s="46"/>
      <c r="W1329" s="46"/>
      <c r="X1329" s="62" t="s">
        <v>25</v>
      </c>
      <c r="Y1329" s="63">
        <f t="shared" si="276"/>
        <v>9</v>
      </c>
      <c r="Z1329" s="64">
        <f t="shared" si="280"/>
        <v>0</v>
      </c>
    </row>
    <row r="1330" spans="1:26" ht="15.75" customHeight="1">
      <c r="A1330" s="63">
        <v>20260075</v>
      </c>
      <c r="B1330" s="65" t="s">
        <v>2382</v>
      </c>
      <c r="C1330" s="66">
        <v>46091</v>
      </c>
      <c r="E1330" s="63">
        <v>1</v>
      </c>
      <c r="F1330" s="68">
        <v>36.03</v>
      </c>
      <c r="G1330" s="69">
        <v>24</v>
      </c>
      <c r="H1330" s="65" t="s">
        <v>1401</v>
      </c>
      <c r="I1330" s="65" t="s">
        <v>194</v>
      </c>
      <c r="J1330" s="65" t="s">
        <v>26</v>
      </c>
      <c r="K1330" s="48">
        <f t="shared" si="281"/>
        <v>8</v>
      </c>
      <c r="L1330" s="48">
        <f t="shared" si="282"/>
        <v>68</v>
      </c>
      <c r="N1330" s="72">
        <f t="shared" si="279"/>
        <v>1</v>
      </c>
      <c r="O1330" s="50">
        <f t="shared" si="277"/>
        <v>36.03</v>
      </c>
      <c r="P1330" s="56">
        <f t="shared" si="278"/>
        <v>24</v>
      </c>
      <c r="S1330" s="200" t="s">
        <v>2752</v>
      </c>
      <c r="T1330" s="201">
        <v>157</v>
      </c>
      <c r="U1330" s="58" t="s">
        <v>1416</v>
      </c>
      <c r="V1330" s="46"/>
      <c r="W1330" s="46"/>
      <c r="X1330" s="62" t="s">
        <v>25</v>
      </c>
      <c r="Y1330" s="63">
        <f t="shared" si="276"/>
        <v>36.03</v>
      </c>
      <c r="Z1330" s="64">
        <f t="shared" si="280"/>
        <v>0</v>
      </c>
    </row>
    <row r="1331" spans="1:26" ht="15.75" customHeight="1">
      <c r="A1331" s="63">
        <v>20260075</v>
      </c>
      <c r="B1331" s="65" t="s">
        <v>2382</v>
      </c>
      <c r="C1331" s="66">
        <v>46091</v>
      </c>
      <c r="E1331" s="63">
        <v>3</v>
      </c>
      <c r="F1331" s="68">
        <v>0</v>
      </c>
      <c r="G1331" s="69">
        <v>15</v>
      </c>
      <c r="H1331" s="65" t="s">
        <v>1401</v>
      </c>
      <c r="I1331" s="65" t="s">
        <v>24</v>
      </c>
      <c r="J1331" s="65" t="s">
        <v>24</v>
      </c>
      <c r="K1331" s="48">
        <f t="shared" si="281"/>
        <v>8</v>
      </c>
      <c r="L1331" s="48">
        <f t="shared" si="282"/>
        <v>68</v>
      </c>
      <c r="N1331" s="72">
        <f t="shared" si="279"/>
        <v>3</v>
      </c>
      <c r="O1331" s="50">
        <f t="shared" si="277"/>
        <v>0</v>
      </c>
      <c r="P1331" s="56">
        <f t="shared" si="278"/>
        <v>15</v>
      </c>
      <c r="S1331" s="200" t="s">
        <v>2752</v>
      </c>
      <c r="T1331" s="201">
        <v>157</v>
      </c>
      <c r="U1331" s="58"/>
      <c r="V1331" s="46"/>
      <c r="W1331" s="46"/>
      <c r="X1331" s="62" t="s">
        <v>25</v>
      </c>
      <c r="Y1331" s="63">
        <f t="shared" si="276"/>
        <v>0</v>
      </c>
      <c r="Z1331" s="64">
        <f t="shared" si="280"/>
        <v>0</v>
      </c>
    </row>
    <row r="1332" spans="1:26" ht="15.75" customHeight="1">
      <c r="A1332" s="63">
        <v>20260075</v>
      </c>
      <c r="B1332" s="65" t="s">
        <v>2382</v>
      </c>
      <c r="C1332" s="66">
        <v>46091</v>
      </c>
      <c r="E1332" s="63">
        <v>1</v>
      </c>
      <c r="F1332" s="68">
        <v>17.5</v>
      </c>
      <c r="G1332" s="69">
        <v>24</v>
      </c>
      <c r="H1332" s="65" t="s">
        <v>2753</v>
      </c>
      <c r="I1332" s="65" t="s">
        <v>276</v>
      </c>
      <c r="J1332" s="65" t="s">
        <v>26</v>
      </c>
      <c r="K1332" s="48">
        <f t="shared" si="281"/>
        <v>8</v>
      </c>
      <c r="L1332" s="48">
        <f t="shared" si="282"/>
        <v>68</v>
      </c>
      <c r="N1332" s="72">
        <f t="shared" si="279"/>
        <v>1</v>
      </c>
      <c r="O1332" s="50">
        <f t="shared" si="277"/>
        <v>17.5</v>
      </c>
      <c r="P1332" s="56">
        <f t="shared" si="278"/>
        <v>24</v>
      </c>
      <c r="S1332" s="200" t="s">
        <v>2754</v>
      </c>
      <c r="T1332" s="201">
        <v>158</v>
      </c>
      <c r="U1332" s="58" t="s">
        <v>741</v>
      </c>
      <c r="V1332" s="46"/>
      <c r="W1332" s="46"/>
      <c r="X1332" s="62" t="s">
        <v>25</v>
      </c>
      <c r="Y1332" s="63">
        <f t="shared" ref="Y1332:Y1395" si="283">F1332/E1332</f>
        <v>17.5</v>
      </c>
      <c r="Z1332" s="64">
        <f t="shared" si="280"/>
        <v>0</v>
      </c>
    </row>
    <row r="1333" spans="1:26" ht="15.75" customHeight="1">
      <c r="A1333" s="63">
        <v>20260075</v>
      </c>
      <c r="B1333" s="65" t="s">
        <v>2382</v>
      </c>
      <c r="C1333" s="66">
        <v>46091</v>
      </c>
      <c r="E1333" s="63">
        <v>1</v>
      </c>
      <c r="F1333" s="68">
        <v>5</v>
      </c>
      <c r="G1333" s="69">
        <v>24</v>
      </c>
      <c r="H1333" s="65" t="s">
        <v>637</v>
      </c>
      <c r="I1333" s="65" t="s">
        <v>446</v>
      </c>
      <c r="J1333" s="65" t="s">
        <v>26</v>
      </c>
      <c r="K1333" s="48">
        <f t="shared" si="281"/>
        <v>8</v>
      </c>
      <c r="L1333" s="48">
        <f t="shared" si="282"/>
        <v>68</v>
      </c>
      <c r="N1333" s="72">
        <f t="shared" si="279"/>
        <v>1</v>
      </c>
      <c r="O1333" s="50">
        <f t="shared" si="277"/>
        <v>5</v>
      </c>
      <c r="P1333" s="56">
        <f t="shared" si="278"/>
        <v>24</v>
      </c>
      <c r="S1333" s="200" t="s">
        <v>2755</v>
      </c>
      <c r="T1333" s="201">
        <v>159</v>
      </c>
      <c r="U1333" s="58" t="s">
        <v>2756</v>
      </c>
      <c r="V1333" s="46"/>
      <c r="W1333" s="46"/>
      <c r="X1333" s="62" t="s">
        <v>25</v>
      </c>
      <c r="Y1333" s="63">
        <f t="shared" si="283"/>
        <v>5</v>
      </c>
      <c r="Z1333" s="64">
        <f t="shared" si="280"/>
        <v>0</v>
      </c>
    </row>
    <row r="1334" spans="1:26" ht="15.75" customHeight="1">
      <c r="A1334" s="87">
        <v>20260085</v>
      </c>
      <c r="B1334" s="88" t="s">
        <v>2757</v>
      </c>
      <c r="C1334" s="89">
        <v>46089</v>
      </c>
      <c r="D1334" s="66">
        <v>46105</v>
      </c>
      <c r="E1334" s="63">
        <v>9228</v>
      </c>
      <c r="F1334" s="68">
        <v>8002.1570000000002</v>
      </c>
      <c r="G1334" s="69">
        <v>7004.7524752475201</v>
      </c>
      <c r="H1334" s="65" t="s">
        <v>862</v>
      </c>
      <c r="I1334" s="65" t="s">
        <v>86</v>
      </c>
      <c r="J1334" s="65" t="s">
        <v>86</v>
      </c>
      <c r="K1334" s="48">
        <f t="shared" si="281"/>
        <v>46113</v>
      </c>
      <c r="L1334" s="48">
        <f t="shared" si="282"/>
        <v>46173</v>
      </c>
      <c r="N1334" s="72">
        <f t="shared" si="279"/>
        <v>9228</v>
      </c>
      <c r="O1334" s="50">
        <f t="shared" si="277"/>
        <v>8002.1569999999992</v>
      </c>
      <c r="P1334" s="56">
        <f t="shared" si="278"/>
        <v>7004.7524752475201</v>
      </c>
      <c r="S1334" s="200" t="s">
        <v>2758</v>
      </c>
      <c r="T1334" s="201">
        <v>1</v>
      </c>
      <c r="U1334" s="58"/>
      <c r="V1334" s="46"/>
      <c r="W1334" s="46"/>
      <c r="X1334" s="62" t="s">
        <v>25</v>
      </c>
      <c r="Y1334" s="63">
        <f t="shared" si="283"/>
        <v>0.86716048981361071</v>
      </c>
      <c r="Z1334" s="64">
        <f t="shared" si="280"/>
        <v>0</v>
      </c>
    </row>
    <row r="1335" spans="1:26" ht="15.75" customHeight="1">
      <c r="A1335" s="63">
        <v>20260085</v>
      </c>
      <c r="B1335" s="65" t="s">
        <v>2757</v>
      </c>
      <c r="C1335" s="66">
        <v>46089</v>
      </c>
      <c r="D1335" s="66">
        <v>46105</v>
      </c>
      <c r="E1335" s="63">
        <v>4227</v>
      </c>
      <c r="F1335" s="68">
        <v>6148.4350000000004</v>
      </c>
      <c r="G1335" s="69">
        <v>3208.6138613861399</v>
      </c>
      <c r="H1335" s="65" t="s">
        <v>532</v>
      </c>
      <c r="I1335" s="65" t="s">
        <v>86</v>
      </c>
      <c r="J1335" s="65" t="s">
        <v>86</v>
      </c>
      <c r="K1335" s="48">
        <f t="shared" si="281"/>
        <v>46113</v>
      </c>
      <c r="L1335" s="48">
        <f t="shared" si="282"/>
        <v>46173</v>
      </c>
      <c r="N1335" s="72">
        <f t="shared" si="279"/>
        <v>4227</v>
      </c>
      <c r="O1335" s="50">
        <f t="shared" si="277"/>
        <v>6148.4350000000004</v>
      </c>
      <c r="P1335" s="56">
        <f t="shared" si="278"/>
        <v>3208.6138613861399</v>
      </c>
      <c r="S1335" s="200" t="s">
        <v>2759</v>
      </c>
      <c r="T1335" s="201">
        <v>2</v>
      </c>
      <c r="U1335" s="58"/>
      <c r="V1335" s="46"/>
      <c r="W1335" s="46"/>
      <c r="X1335" s="62" t="s">
        <v>25</v>
      </c>
      <c r="Y1335" s="63">
        <f t="shared" si="283"/>
        <v>1.4545623373550982</v>
      </c>
      <c r="Z1335" s="64">
        <f t="shared" si="280"/>
        <v>0</v>
      </c>
    </row>
    <row r="1336" spans="1:26" ht="15.75" customHeight="1">
      <c r="A1336" s="87">
        <v>20260087</v>
      </c>
      <c r="B1336" s="88" t="s">
        <v>2760</v>
      </c>
      <c r="C1336" s="89">
        <v>46094</v>
      </c>
      <c r="D1336" s="208"/>
      <c r="E1336" s="206">
        <v>339</v>
      </c>
      <c r="F1336" s="210">
        <v>1399.1869999999999</v>
      </c>
      <c r="G1336" s="211">
        <v>500</v>
      </c>
      <c r="H1336" s="207" t="s">
        <v>2761</v>
      </c>
      <c r="I1336" s="207" t="s">
        <v>24</v>
      </c>
      <c r="J1336" s="207" t="s">
        <v>24</v>
      </c>
      <c r="K1336" s="213">
        <f t="shared" si="281"/>
        <v>8</v>
      </c>
      <c r="L1336" s="213">
        <f t="shared" si="282"/>
        <v>68</v>
      </c>
      <c r="M1336" s="207"/>
      <c r="N1336" s="215">
        <f>E1336-43-63-26-16-24-24-32</f>
        <v>111</v>
      </c>
      <c r="O1336" s="216">
        <f t="shared" si="277"/>
        <v>458.1408761061947</v>
      </c>
      <c r="P1336" s="218">
        <f t="shared" si="278"/>
        <v>163.71681415929203</v>
      </c>
      <c r="S1336" s="200" t="s">
        <v>2762</v>
      </c>
      <c r="T1336" s="201">
        <v>1</v>
      </c>
      <c r="U1336" s="58" t="s">
        <v>2763</v>
      </c>
      <c r="V1336" s="46"/>
      <c r="W1336" s="46"/>
      <c r="X1336" s="99" t="s">
        <v>76</v>
      </c>
      <c r="Y1336" s="63">
        <f t="shared" si="283"/>
        <v>4.1273952802359881</v>
      </c>
      <c r="Z1336" s="64">
        <f t="shared" si="280"/>
        <v>228</v>
      </c>
    </row>
    <row r="1337" spans="1:26" ht="15.75" customHeight="1">
      <c r="A1337" s="63">
        <v>20260087</v>
      </c>
      <c r="B1337" s="65" t="s">
        <v>2760</v>
      </c>
      <c r="C1337" s="66">
        <v>46094</v>
      </c>
      <c r="E1337" s="63">
        <v>157</v>
      </c>
      <c r="F1337" s="68">
        <v>963.40708999999993</v>
      </c>
      <c r="G1337" s="69">
        <v>250</v>
      </c>
      <c r="H1337" s="65" t="s">
        <v>1056</v>
      </c>
      <c r="I1337" s="65" t="s">
        <v>24</v>
      </c>
      <c r="J1337" s="65" t="s">
        <v>24</v>
      </c>
      <c r="K1337" s="48">
        <f t="shared" si="281"/>
        <v>8</v>
      </c>
      <c r="L1337" s="48">
        <f t="shared" si="282"/>
        <v>68</v>
      </c>
      <c r="N1337" s="72">
        <f t="shared" si="279"/>
        <v>157</v>
      </c>
      <c r="O1337" s="50">
        <f t="shared" si="277"/>
        <v>963.40708999999993</v>
      </c>
      <c r="P1337" s="56">
        <f t="shared" si="278"/>
        <v>250</v>
      </c>
      <c r="S1337" s="200" t="s">
        <v>2764</v>
      </c>
      <c r="T1337" s="201">
        <v>2</v>
      </c>
      <c r="U1337" s="58" t="s">
        <v>2765</v>
      </c>
      <c r="V1337" s="46"/>
      <c r="W1337" s="46"/>
      <c r="X1337" s="62" t="s">
        <v>25</v>
      </c>
      <c r="Y1337" s="63">
        <f t="shared" si="283"/>
        <v>6.1363508917197445</v>
      </c>
      <c r="Z1337" s="64">
        <f t="shared" si="280"/>
        <v>0</v>
      </c>
    </row>
    <row r="1338" spans="1:26" ht="15.75" customHeight="1">
      <c r="A1338" s="63">
        <v>20260087</v>
      </c>
      <c r="B1338" s="65" t="s">
        <v>2760</v>
      </c>
      <c r="C1338" s="66">
        <v>46094</v>
      </c>
      <c r="E1338" s="63">
        <v>6</v>
      </c>
      <c r="F1338" s="68">
        <v>98.04</v>
      </c>
      <c r="G1338" s="69">
        <v>144</v>
      </c>
      <c r="H1338" s="65" t="s">
        <v>2766</v>
      </c>
      <c r="I1338" s="65" t="s">
        <v>42</v>
      </c>
      <c r="J1338" s="65" t="s">
        <v>28</v>
      </c>
      <c r="K1338" s="48">
        <f t="shared" si="281"/>
        <v>8</v>
      </c>
      <c r="L1338" s="48">
        <f t="shared" si="282"/>
        <v>68</v>
      </c>
      <c r="N1338" s="72">
        <f t="shared" si="279"/>
        <v>6</v>
      </c>
      <c r="O1338" s="50">
        <f t="shared" si="277"/>
        <v>98.039999999999992</v>
      </c>
      <c r="P1338" s="56">
        <f t="shared" si="278"/>
        <v>144</v>
      </c>
      <c r="S1338" s="200" t="s">
        <v>2767</v>
      </c>
      <c r="T1338" s="201">
        <v>3</v>
      </c>
      <c r="U1338" s="58" t="s">
        <v>2768</v>
      </c>
      <c r="V1338" s="46"/>
      <c r="W1338" s="46"/>
      <c r="X1338" s="62" t="s">
        <v>25</v>
      </c>
      <c r="Y1338" s="63">
        <f t="shared" si="283"/>
        <v>16.34</v>
      </c>
      <c r="Z1338" s="64">
        <f t="shared" si="280"/>
        <v>0</v>
      </c>
    </row>
    <row r="1339" spans="1:26" ht="15.75" customHeight="1">
      <c r="A1339" s="63">
        <v>20260087</v>
      </c>
      <c r="B1339" s="65" t="s">
        <v>2760</v>
      </c>
      <c r="C1339" s="66">
        <v>46094</v>
      </c>
      <c r="E1339" s="63">
        <v>1</v>
      </c>
      <c r="F1339" s="68">
        <v>36</v>
      </c>
      <c r="G1339" s="69">
        <v>24</v>
      </c>
      <c r="H1339" s="65" t="s">
        <v>2769</v>
      </c>
      <c r="I1339" s="65" t="s">
        <v>194</v>
      </c>
      <c r="J1339" s="65" t="s">
        <v>26</v>
      </c>
      <c r="K1339" s="48">
        <f t="shared" si="281"/>
        <v>8</v>
      </c>
      <c r="L1339" s="48">
        <f t="shared" si="282"/>
        <v>68</v>
      </c>
      <c r="N1339" s="72">
        <f t="shared" si="279"/>
        <v>1</v>
      </c>
      <c r="O1339" s="50">
        <f t="shared" si="277"/>
        <v>36</v>
      </c>
      <c r="P1339" s="56">
        <f t="shared" si="278"/>
        <v>24</v>
      </c>
      <c r="S1339" s="200" t="s">
        <v>2770</v>
      </c>
      <c r="T1339" s="201">
        <v>4</v>
      </c>
      <c r="U1339" s="58" t="s">
        <v>2771</v>
      </c>
      <c r="V1339" s="46"/>
      <c r="W1339" s="46"/>
      <c r="X1339" s="62" t="s">
        <v>25</v>
      </c>
      <c r="Y1339" s="63">
        <f t="shared" si="283"/>
        <v>36</v>
      </c>
      <c r="Z1339" s="64">
        <f t="shared" si="280"/>
        <v>0</v>
      </c>
    </row>
    <row r="1340" spans="1:26" ht="15.75" customHeight="1">
      <c r="A1340" s="63">
        <v>20260087</v>
      </c>
      <c r="B1340" s="65" t="s">
        <v>2760</v>
      </c>
      <c r="C1340" s="66">
        <v>46094</v>
      </c>
      <c r="E1340" s="63">
        <v>2</v>
      </c>
      <c r="F1340" s="68">
        <v>0</v>
      </c>
      <c r="G1340" s="69">
        <v>10</v>
      </c>
      <c r="H1340" s="65" t="s">
        <v>2769</v>
      </c>
      <c r="I1340" s="65" t="s">
        <v>24</v>
      </c>
      <c r="J1340" s="65" t="s">
        <v>24</v>
      </c>
      <c r="K1340" s="48">
        <f t="shared" si="281"/>
        <v>8</v>
      </c>
      <c r="L1340" s="48">
        <f t="shared" si="282"/>
        <v>68</v>
      </c>
      <c r="N1340" s="72">
        <f t="shared" si="279"/>
        <v>2</v>
      </c>
      <c r="O1340" s="50">
        <f t="shared" ref="O1340:O1384" si="284">F1340/E1340*N1340</f>
        <v>0</v>
      </c>
      <c r="P1340" s="56">
        <f t="shared" ref="P1340:P1384" si="285">G1340/E1340*N1340</f>
        <v>10</v>
      </c>
      <c r="S1340" s="200" t="s">
        <v>2770</v>
      </c>
      <c r="T1340" s="201">
        <v>4</v>
      </c>
      <c r="U1340" s="58"/>
      <c r="V1340" s="46"/>
      <c r="W1340" s="46"/>
      <c r="X1340" s="62" t="s">
        <v>25</v>
      </c>
      <c r="Y1340" s="63">
        <f t="shared" si="283"/>
        <v>0</v>
      </c>
      <c r="Z1340" s="64">
        <f t="shared" si="280"/>
        <v>0</v>
      </c>
    </row>
    <row r="1341" spans="1:26" ht="15.75" customHeight="1">
      <c r="A1341" s="63">
        <v>20260087</v>
      </c>
      <c r="B1341" s="65" t="s">
        <v>2760</v>
      </c>
      <c r="C1341" s="66">
        <v>46094</v>
      </c>
      <c r="E1341" s="63">
        <v>1</v>
      </c>
      <c r="F1341" s="68">
        <v>15.1</v>
      </c>
      <c r="G1341" s="69">
        <v>24</v>
      </c>
      <c r="H1341" s="65" t="s">
        <v>1430</v>
      </c>
      <c r="I1341" s="65" t="s">
        <v>42</v>
      </c>
      <c r="J1341" s="65" t="s">
        <v>28</v>
      </c>
      <c r="K1341" s="48">
        <f t="shared" si="281"/>
        <v>8</v>
      </c>
      <c r="L1341" s="48">
        <f t="shared" si="282"/>
        <v>68</v>
      </c>
      <c r="N1341" s="72">
        <f t="shared" ref="N1341:N1404" si="286">E1341</f>
        <v>1</v>
      </c>
      <c r="O1341" s="50">
        <f t="shared" si="284"/>
        <v>15.1</v>
      </c>
      <c r="P1341" s="56">
        <f t="shared" si="285"/>
        <v>24</v>
      </c>
      <c r="S1341" s="200" t="s">
        <v>2772</v>
      </c>
      <c r="T1341" s="201">
        <v>5</v>
      </c>
      <c r="U1341" s="58" t="s">
        <v>2773</v>
      </c>
      <c r="V1341" s="46"/>
      <c r="W1341" s="46"/>
      <c r="X1341" s="62" t="s">
        <v>25</v>
      </c>
      <c r="Y1341" s="63">
        <f t="shared" si="283"/>
        <v>15.1</v>
      </c>
      <c r="Z1341" s="64">
        <f t="shared" si="280"/>
        <v>0</v>
      </c>
    </row>
    <row r="1342" spans="1:26" ht="15.75" customHeight="1">
      <c r="A1342" s="63">
        <v>20260087</v>
      </c>
      <c r="B1342" s="65" t="s">
        <v>2760</v>
      </c>
      <c r="C1342" s="66">
        <v>46094</v>
      </c>
      <c r="E1342" s="63">
        <v>13</v>
      </c>
      <c r="F1342" s="68">
        <v>190</v>
      </c>
      <c r="G1342" s="69">
        <v>312</v>
      </c>
      <c r="H1342" s="65" t="s">
        <v>717</v>
      </c>
      <c r="I1342" s="65" t="s">
        <v>42</v>
      </c>
      <c r="J1342" s="65" t="s">
        <v>28</v>
      </c>
      <c r="K1342" s="48">
        <f t="shared" si="281"/>
        <v>8</v>
      </c>
      <c r="L1342" s="48">
        <f t="shared" si="282"/>
        <v>68</v>
      </c>
      <c r="N1342" s="72">
        <f t="shared" si="286"/>
        <v>13</v>
      </c>
      <c r="O1342" s="50">
        <f t="shared" si="284"/>
        <v>190</v>
      </c>
      <c r="P1342" s="56">
        <f t="shared" si="285"/>
        <v>312</v>
      </c>
      <c r="S1342" s="200" t="s">
        <v>2774</v>
      </c>
      <c r="T1342" s="201">
        <v>6</v>
      </c>
      <c r="U1342" s="58" t="s">
        <v>2775</v>
      </c>
      <c r="V1342" s="46"/>
      <c r="W1342" s="46"/>
      <c r="X1342" s="62" t="s">
        <v>25</v>
      </c>
      <c r="Y1342" s="63">
        <f t="shared" si="283"/>
        <v>14.615384615384615</v>
      </c>
      <c r="Z1342" s="64">
        <f t="shared" ref="Z1342:Z1405" si="287">E1342-N1342</f>
        <v>0</v>
      </c>
    </row>
    <row r="1343" spans="1:26" ht="15.75" customHeight="1">
      <c r="A1343" s="63">
        <v>20260087</v>
      </c>
      <c r="B1343" s="65" t="s">
        <v>2760</v>
      </c>
      <c r="C1343" s="66">
        <v>46094</v>
      </c>
      <c r="E1343" s="63">
        <v>1</v>
      </c>
      <c r="F1343" s="68">
        <v>14</v>
      </c>
      <c r="G1343" s="69">
        <v>24</v>
      </c>
      <c r="H1343" s="65" t="s">
        <v>2776</v>
      </c>
      <c r="I1343" s="65" t="s">
        <v>42</v>
      </c>
      <c r="J1343" s="65" t="s">
        <v>28</v>
      </c>
      <c r="K1343" s="48">
        <f t="shared" si="281"/>
        <v>8</v>
      </c>
      <c r="L1343" s="48">
        <f t="shared" si="282"/>
        <v>68</v>
      </c>
      <c r="N1343" s="72">
        <f t="shared" si="286"/>
        <v>1</v>
      </c>
      <c r="O1343" s="50">
        <f t="shared" si="284"/>
        <v>14</v>
      </c>
      <c r="P1343" s="56">
        <f t="shared" si="285"/>
        <v>24</v>
      </c>
      <c r="S1343" s="200" t="s">
        <v>2777</v>
      </c>
      <c r="T1343" s="201">
        <v>7</v>
      </c>
      <c r="U1343" s="58" t="s">
        <v>2778</v>
      </c>
      <c r="V1343" s="46"/>
      <c r="W1343" s="46"/>
      <c r="X1343" s="62" t="s">
        <v>25</v>
      </c>
      <c r="Y1343" s="63">
        <f t="shared" si="283"/>
        <v>14</v>
      </c>
      <c r="Z1343" s="64">
        <f t="shared" si="287"/>
        <v>0</v>
      </c>
    </row>
    <row r="1344" spans="1:26" ht="15.75" customHeight="1">
      <c r="A1344" s="63">
        <v>20260087</v>
      </c>
      <c r="B1344" s="65" t="s">
        <v>2760</v>
      </c>
      <c r="C1344" s="66">
        <v>46094</v>
      </c>
      <c r="E1344" s="63">
        <v>1</v>
      </c>
      <c r="F1344" s="68">
        <v>15</v>
      </c>
      <c r="G1344" s="69">
        <v>24</v>
      </c>
      <c r="H1344" s="65" t="s">
        <v>2779</v>
      </c>
      <c r="I1344" s="65" t="s">
        <v>42</v>
      </c>
      <c r="J1344" s="65" t="s">
        <v>28</v>
      </c>
      <c r="K1344" s="48">
        <f t="shared" si="281"/>
        <v>8</v>
      </c>
      <c r="L1344" s="48">
        <f t="shared" si="282"/>
        <v>68</v>
      </c>
      <c r="N1344" s="72">
        <f t="shared" si="286"/>
        <v>1</v>
      </c>
      <c r="O1344" s="50">
        <f t="shared" si="284"/>
        <v>15</v>
      </c>
      <c r="P1344" s="56">
        <f t="shared" si="285"/>
        <v>24</v>
      </c>
      <c r="S1344" s="200" t="s">
        <v>2780</v>
      </c>
      <c r="T1344" s="201">
        <v>8</v>
      </c>
      <c r="U1344" s="58" t="s">
        <v>2781</v>
      </c>
      <c r="V1344" s="46"/>
      <c r="W1344" s="46"/>
      <c r="X1344" s="62" t="s">
        <v>25</v>
      </c>
      <c r="Y1344" s="63">
        <f t="shared" si="283"/>
        <v>15</v>
      </c>
      <c r="Z1344" s="64">
        <f t="shared" si="287"/>
        <v>0</v>
      </c>
    </row>
    <row r="1345" spans="1:26" ht="15.75" customHeight="1">
      <c r="A1345" s="63">
        <v>20260087</v>
      </c>
      <c r="B1345" s="65" t="s">
        <v>2760</v>
      </c>
      <c r="C1345" s="66">
        <v>46094</v>
      </c>
      <c r="E1345" s="63">
        <v>1</v>
      </c>
      <c r="F1345" s="68">
        <v>2.4</v>
      </c>
      <c r="G1345" s="69">
        <v>24</v>
      </c>
      <c r="H1345" s="65" t="s">
        <v>2782</v>
      </c>
      <c r="I1345" s="65" t="s">
        <v>42</v>
      </c>
      <c r="J1345" s="65" t="s">
        <v>28</v>
      </c>
      <c r="K1345" s="48">
        <f t="shared" si="281"/>
        <v>8</v>
      </c>
      <c r="L1345" s="48">
        <f t="shared" si="282"/>
        <v>68</v>
      </c>
      <c r="N1345" s="72">
        <f t="shared" si="286"/>
        <v>1</v>
      </c>
      <c r="O1345" s="50">
        <f t="shared" si="284"/>
        <v>2.4</v>
      </c>
      <c r="P1345" s="56">
        <f t="shared" si="285"/>
        <v>24</v>
      </c>
      <c r="S1345" s="200" t="s">
        <v>2783</v>
      </c>
      <c r="T1345" s="201">
        <v>9</v>
      </c>
      <c r="U1345" s="58" t="s">
        <v>2784</v>
      </c>
      <c r="V1345" s="46"/>
      <c r="W1345" s="46"/>
      <c r="X1345" s="62" t="s">
        <v>25</v>
      </c>
      <c r="Y1345" s="63">
        <f t="shared" si="283"/>
        <v>2.4</v>
      </c>
      <c r="Z1345" s="64">
        <f t="shared" si="287"/>
        <v>0</v>
      </c>
    </row>
    <row r="1346" spans="1:26" ht="15.75" customHeight="1">
      <c r="A1346" s="63">
        <v>20260087</v>
      </c>
      <c r="B1346" s="65" t="s">
        <v>2760</v>
      </c>
      <c r="C1346" s="66">
        <v>46094</v>
      </c>
      <c r="E1346" s="63">
        <v>4</v>
      </c>
      <c r="F1346" s="68">
        <v>78.67</v>
      </c>
      <c r="G1346" s="69">
        <v>70</v>
      </c>
      <c r="H1346" s="65" t="s">
        <v>2785</v>
      </c>
      <c r="I1346" s="65" t="s">
        <v>24</v>
      </c>
      <c r="J1346" s="65" t="s">
        <v>24</v>
      </c>
      <c r="K1346" s="48">
        <f t="shared" si="281"/>
        <v>8</v>
      </c>
      <c r="L1346" s="48">
        <f t="shared" si="282"/>
        <v>68</v>
      </c>
      <c r="N1346" s="72">
        <f t="shared" si="286"/>
        <v>4</v>
      </c>
      <c r="O1346" s="50">
        <f t="shared" si="284"/>
        <v>78.67</v>
      </c>
      <c r="P1346" s="56">
        <f t="shared" si="285"/>
        <v>70</v>
      </c>
      <c r="S1346" s="200" t="s">
        <v>2786</v>
      </c>
      <c r="T1346" s="201">
        <v>10</v>
      </c>
      <c r="U1346" s="58" t="s">
        <v>2787</v>
      </c>
      <c r="V1346" s="46"/>
      <c r="W1346" s="46"/>
      <c r="X1346" s="62" t="s">
        <v>25</v>
      </c>
      <c r="Y1346" s="63">
        <f t="shared" si="283"/>
        <v>19.6675</v>
      </c>
      <c r="Z1346" s="64">
        <f t="shared" si="287"/>
        <v>0</v>
      </c>
    </row>
    <row r="1347" spans="1:26" ht="15.75" customHeight="1">
      <c r="A1347" s="63">
        <v>20260087</v>
      </c>
      <c r="B1347" s="65" t="s">
        <v>2760</v>
      </c>
      <c r="C1347" s="66">
        <v>46094</v>
      </c>
      <c r="E1347" s="63">
        <v>1</v>
      </c>
      <c r="F1347" s="68">
        <v>18.3</v>
      </c>
      <c r="G1347" s="69">
        <v>24</v>
      </c>
      <c r="H1347" s="65" t="s">
        <v>2114</v>
      </c>
      <c r="I1347" s="65" t="s">
        <v>63</v>
      </c>
      <c r="J1347" s="65" t="s">
        <v>28</v>
      </c>
      <c r="K1347" s="48">
        <f t="shared" si="281"/>
        <v>8</v>
      </c>
      <c r="L1347" s="48">
        <f t="shared" si="282"/>
        <v>68</v>
      </c>
      <c r="N1347" s="72">
        <f t="shared" si="286"/>
        <v>1</v>
      </c>
      <c r="O1347" s="50">
        <f t="shared" si="284"/>
        <v>18.3</v>
      </c>
      <c r="P1347" s="56">
        <f t="shared" si="285"/>
        <v>24</v>
      </c>
      <c r="S1347" s="200" t="s">
        <v>2788</v>
      </c>
      <c r="T1347" s="201">
        <v>12</v>
      </c>
      <c r="U1347" s="58" t="s">
        <v>2789</v>
      </c>
      <c r="V1347" s="46"/>
      <c r="W1347" s="46"/>
      <c r="X1347" s="62" t="s">
        <v>25</v>
      </c>
      <c r="Y1347" s="63">
        <f t="shared" si="283"/>
        <v>18.3</v>
      </c>
      <c r="Z1347" s="64">
        <f t="shared" si="287"/>
        <v>0</v>
      </c>
    </row>
    <row r="1348" spans="1:26" ht="15.75" customHeight="1">
      <c r="A1348" s="63">
        <v>20260087</v>
      </c>
      <c r="B1348" s="65" t="s">
        <v>2760</v>
      </c>
      <c r="C1348" s="66">
        <v>46094</v>
      </c>
      <c r="E1348" s="63">
        <v>1</v>
      </c>
      <c r="F1348" s="68">
        <v>6</v>
      </c>
      <c r="G1348" s="69">
        <v>24</v>
      </c>
      <c r="H1348" s="65" t="s">
        <v>2790</v>
      </c>
      <c r="I1348" s="65" t="s">
        <v>42</v>
      </c>
      <c r="J1348" s="65" t="s">
        <v>28</v>
      </c>
      <c r="K1348" s="48">
        <f t="shared" si="281"/>
        <v>8</v>
      </c>
      <c r="L1348" s="48">
        <f t="shared" si="282"/>
        <v>68</v>
      </c>
      <c r="N1348" s="72">
        <f t="shared" si="286"/>
        <v>1</v>
      </c>
      <c r="O1348" s="50">
        <f t="shared" si="284"/>
        <v>6</v>
      </c>
      <c r="P1348" s="56">
        <f t="shared" si="285"/>
        <v>24</v>
      </c>
      <c r="S1348" s="200" t="s">
        <v>2791</v>
      </c>
      <c r="T1348" s="201">
        <v>13</v>
      </c>
      <c r="U1348" s="58" t="s">
        <v>2792</v>
      </c>
      <c r="V1348" s="46"/>
      <c r="W1348" s="46"/>
      <c r="X1348" s="62" t="s">
        <v>25</v>
      </c>
      <c r="Y1348" s="63">
        <f t="shared" si="283"/>
        <v>6</v>
      </c>
      <c r="Z1348" s="64">
        <f t="shared" si="287"/>
        <v>0</v>
      </c>
    </row>
    <row r="1349" spans="1:26" ht="15.75" customHeight="1">
      <c r="A1349" s="63">
        <v>20260087</v>
      </c>
      <c r="B1349" s="65" t="s">
        <v>2760</v>
      </c>
      <c r="C1349" s="66">
        <v>46094</v>
      </c>
      <c r="E1349" s="63">
        <v>1</v>
      </c>
      <c r="F1349" s="68">
        <v>18.3</v>
      </c>
      <c r="G1349" s="69">
        <v>24</v>
      </c>
      <c r="H1349" s="65" t="s">
        <v>2793</v>
      </c>
      <c r="I1349" s="65" t="s">
        <v>63</v>
      </c>
      <c r="J1349" s="65" t="s">
        <v>28</v>
      </c>
      <c r="K1349" s="48">
        <f t="shared" si="281"/>
        <v>8</v>
      </c>
      <c r="L1349" s="48">
        <f t="shared" si="282"/>
        <v>68</v>
      </c>
      <c r="N1349" s="72">
        <f t="shared" si="286"/>
        <v>1</v>
      </c>
      <c r="O1349" s="50">
        <f t="shared" si="284"/>
        <v>18.3</v>
      </c>
      <c r="P1349" s="56">
        <f t="shared" si="285"/>
        <v>24</v>
      </c>
      <c r="S1349" s="200" t="s">
        <v>2794</v>
      </c>
      <c r="T1349" s="201">
        <v>14</v>
      </c>
      <c r="U1349" s="58" t="s">
        <v>2795</v>
      </c>
      <c r="V1349" s="46"/>
      <c r="W1349" s="46"/>
      <c r="X1349" s="62" t="s">
        <v>25</v>
      </c>
      <c r="Y1349" s="63">
        <f t="shared" si="283"/>
        <v>18.3</v>
      </c>
      <c r="Z1349" s="64">
        <f t="shared" si="287"/>
        <v>0</v>
      </c>
    </row>
    <row r="1350" spans="1:26" ht="15.75" customHeight="1">
      <c r="A1350" s="63">
        <v>20260087</v>
      </c>
      <c r="B1350" s="65" t="s">
        <v>2760</v>
      </c>
      <c r="C1350" s="66">
        <v>46094</v>
      </c>
      <c r="E1350" s="63">
        <v>1</v>
      </c>
      <c r="F1350" s="68">
        <v>18.3</v>
      </c>
      <c r="G1350" s="69">
        <v>24</v>
      </c>
      <c r="H1350" s="65" t="s">
        <v>2796</v>
      </c>
      <c r="I1350" s="65" t="s">
        <v>63</v>
      </c>
      <c r="J1350" s="65" t="s">
        <v>28</v>
      </c>
      <c r="K1350" s="48">
        <f t="shared" si="281"/>
        <v>8</v>
      </c>
      <c r="L1350" s="48">
        <f t="shared" si="282"/>
        <v>68</v>
      </c>
      <c r="N1350" s="72">
        <f t="shared" si="286"/>
        <v>1</v>
      </c>
      <c r="O1350" s="50">
        <f t="shared" si="284"/>
        <v>18.3</v>
      </c>
      <c r="P1350" s="56">
        <f t="shared" si="285"/>
        <v>24</v>
      </c>
      <c r="S1350" s="200" t="s">
        <v>2797</v>
      </c>
      <c r="T1350" s="201">
        <v>15</v>
      </c>
      <c r="U1350" s="58" t="s">
        <v>2798</v>
      </c>
      <c r="V1350" s="46"/>
      <c r="W1350" s="46"/>
      <c r="X1350" s="62" t="s">
        <v>25</v>
      </c>
      <c r="Y1350" s="63">
        <f t="shared" si="283"/>
        <v>18.3</v>
      </c>
      <c r="Z1350" s="64">
        <f t="shared" si="287"/>
        <v>0</v>
      </c>
    </row>
    <row r="1351" spans="1:26" ht="15.75" customHeight="1">
      <c r="A1351" s="63">
        <v>20260087</v>
      </c>
      <c r="B1351" s="65" t="s">
        <v>2760</v>
      </c>
      <c r="C1351" s="66">
        <v>46094</v>
      </c>
      <c r="E1351" s="63">
        <v>1</v>
      </c>
      <c r="F1351" s="68">
        <v>38.505000000000003</v>
      </c>
      <c r="G1351" s="69">
        <v>24</v>
      </c>
      <c r="H1351" s="65" t="s">
        <v>2799</v>
      </c>
      <c r="I1351" s="65" t="s">
        <v>81</v>
      </c>
      <c r="J1351" s="65" t="s">
        <v>26</v>
      </c>
      <c r="K1351" s="48">
        <f t="shared" si="281"/>
        <v>8</v>
      </c>
      <c r="L1351" s="48">
        <f t="shared" si="282"/>
        <v>68</v>
      </c>
      <c r="N1351" s="72">
        <f t="shared" si="286"/>
        <v>1</v>
      </c>
      <c r="O1351" s="50">
        <f t="shared" si="284"/>
        <v>38.505000000000003</v>
      </c>
      <c r="P1351" s="56">
        <f t="shared" si="285"/>
        <v>24</v>
      </c>
      <c r="S1351" s="200" t="s">
        <v>2800</v>
      </c>
      <c r="T1351" s="201">
        <v>16</v>
      </c>
      <c r="U1351" s="58" t="s">
        <v>2801</v>
      </c>
      <c r="V1351" s="46"/>
      <c r="W1351" s="46"/>
      <c r="X1351" s="62" t="s">
        <v>25</v>
      </c>
      <c r="Y1351" s="63">
        <f t="shared" si="283"/>
        <v>38.505000000000003</v>
      </c>
      <c r="Z1351" s="64">
        <f t="shared" si="287"/>
        <v>0</v>
      </c>
    </row>
    <row r="1352" spans="1:26" ht="15.75" customHeight="1">
      <c r="A1352" s="63">
        <v>20260087</v>
      </c>
      <c r="B1352" s="65" t="s">
        <v>2760</v>
      </c>
      <c r="C1352" s="66">
        <v>46094</v>
      </c>
      <c r="E1352" s="63">
        <v>3</v>
      </c>
      <c r="F1352" s="68">
        <v>0</v>
      </c>
      <c r="G1352" s="69">
        <v>15</v>
      </c>
      <c r="H1352" s="65" t="s">
        <v>2799</v>
      </c>
      <c r="I1352" s="65" t="s">
        <v>24</v>
      </c>
      <c r="J1352" s="65" t="s">
        <v>24</v>
      </c>
      <c r="K1352" s="48">
        <f t="shared" si="281"/>
        <v>8</v>
      </c>
      <c r="L1352" s="48">
        <f t="shared" si="282"/>
        <v>68</v>
      </c>
      <c r="N1352" s="72">
        <f t="shared" si="286"/>
        <v>3</v>
      </c>
      <c r="O1352" s="50">
        <f t="shared" si="284"/>
        <v>0</v>
      </c>
      <c r="P1352" s="56">
        <f t="shared" si="285"/>
        <v>15</v>
      </c>
      <c r="S1352" s="200" t="s">
        <v>2800</v>
      </c>
      <c r="T1352" s="201">
        <v>16</v>
      </c>
      <c r="U1352" s="58"/>
      <c r="V1352" s="46"/>
      <c r="W1352" s="46"/>
      <c r="X1352" s="62" t="s">
        <v>25</v>
      </c>
      <c r="Y1352" s="63">
        <f t="shared" si="283"/>
        <v>0</v>
      </c>
      <c r="Z1352" s="64">
        <f t="shared" si="287"/>
        <v>0</v>
      </c>
    </row>
    <row r="1353" spans="1:26" ht="15.75" customHeight="1">
      <c r="A1353" s="63">
        <v>20260087</v>
      </c>
      <c r="B1353" s="65" t="s">
        <v>2760</v>
      </c>
      <c r="C1353" s="66">
        <v>46094</v>
      </c>
      <c r="E1353" s="63">
        <v>1</v>
      </c>
      <c r="F1353" s="68">
        <v>34.54</v>
      </c>
      <c r="G1353" s="69">
        <v>24</v>
      </c>
      <c r="H1353" s="65" t="s">
        <v>2802</v>
      </c>
      <c r="I1353" s="65" t="s">
        <v>194</v>
      </c>
      <c r="J1353" s="65" t="s">
        <v>26</v>
      </c>
      <c r="K1353" s="48">
        <f t="shared" si="281"/>
        <v>8</v>
      </c>
      <c r="L1353" s="48">
        <f t="shared" si="282"/>
        <v>68</v>
      </c>
      <c r="N1353" s="72">
        <f t="shared" si="286"/>
        <v>1</v>
      </c>
      <c r="O1353" s="50">
        <f t="shared" si="284"/>
        <v>34.54</v>
      </c>
      <c r="P1353" s="56">
        <f t="shared" si="285"/>
        <v>24</v>
      </c>
      <c r="S1353" s="200" t="s">
        <v>2803</v>
      </c>
      <c r="T1353" s="201">
        <v>17</v>
      </c>
      <c r="U1353" s="58" t="s">
        <v>2804</v>
      </c>
      <c r="V1353" s="46"/>
      <c r="W1353" s="46"/>
      <c r="X1353" s="62" t="s">
        <v>25</v>
      </c>
      <c r="Y1353" s="63">
        <f t="shared" si="283"/>
        <v>34.54</v>
      </c>
      <c r="Z1353" s="64">
        <f t="shared" si="287"/>
        <v>0</v>
      </c>
    </row>
    <row r="1354" spans="1:26" ht="15.75" customHeight="1">
      <c r="A1354" s="63">
        <v>20260087</v>
      </c>
      <c r="B1354" s="65" t="s">
        <v>2760</v>
      </c>
      <c r="C1354" s="66">
        <v>46094</v>
      </c>
      <c r="E1354" s="63">
        <v>1</v>
      </c>
      <c r="F1354" s="68">
        <v>0</v>
      </c>
      <c r="G1354" s="69">
        <v>5</v>
      </c>
      <c r="H1354" s="65" t="s">
        <v>2802</v>
      </c>
      <c r="I1354" s="65" t="s">
        <v>24</v>
      </c>
      <c r="J1354" s="65" t="s">
        <v>24</v>
      </c>
      <c r="K1354" s="48">
        <f t="shared" si="281"/>
        <v>8</v>
      </c>
      <c r="L1354" s="48">
        <f t="shared" si="282"/>
        <v>68</v>
      </c>
      <c r="N1354" s="72">
        <f t="shared" si="286"/>
        <v>1</v>
      </c>
      <c r="O1354" s="50">
        <f t="shared" si="284"/>
        <v>0</v>
      </c>
      <c r="P1354" s="56">
        <f t="shared" si="285"/>
        <v>5</v>
      </c>
      <c r="S1354" s="200" t="s">
        <v>2803</v>
      </c>
      <c r="T1354" s="201">
        <v>17</v>
      </c>
      <c r="U1354" s="58"/>
      <c r="V1354" s="46"/>
      <c r="W1354" s="46"/>
      <c r="X1354" s="62" t="s">
        <v>25</v>
      </c>
      <c r="Y1354" s="63">
        <f t="shared" si="283"/>
        <v>0</v>
      </c>
      <c r="Z1354" s="64">
        <f t="shared" si="287"/>
        <v>0</v>
      </c>
    </row>
    <row r="1355" spans="1:26" ht="15.75" customHeight="1">
      <c r="A1355" s="63">
        <v>20260087</v>
      </c>
      <c r="B1355" s="65" t="s">
        <v>2760</v>
      </c>
      <c r="C1355" s="66">
        <v>46094</v>
      </c>
      <c r="E1355" s="63">
        <v>1</v>
      </c>
      <c r="F1355" s="68">
        <v>25.8</v>
      </c>
      <c r="G1355" s="69">
        <v>24</v>
      </c>
      <c r="H1355" s="65" t="s">
        <v>2802</v>
      </c>
      <c r="I1355" s="65" t="s">
        <v>718</v>
      </c>
      <c r="J1355" s="65" t="s">
        <v>26</v>
      </c>
      <c r="K1355" s="48">
        <f t="shared" ref="K1355:K1418" si="288">D1355+8</f>
        <v>8</v>
      </c>
      <c r="L1355" s="48">
        <f t="shared" ref="L1355:L1418" si="289">K1355+60</f>
        <v>68</v>
      </c>
      <c r="N1355" s="72">
        <f t="shared" si="286"/>
        <v>1</v>
      </c>
      <c r="O1355" s="50">
        <f t="shared" si="284"/>
        <v>25.8</v>
      </c>
      <c r="P1355" s="56">
        <f t="shared" si="285"/>
        <v>24</v>
      </c>
      <c r="S1355" s="200" t="s">
        <v>2805</v>
      </c>
      <c r="T1355" s="201">
        <v>18</v>
      </c>
      <c r="U1355" s="58" t="s">
        <v>2806</v>
      </c>
      <c r="V1355" s="46"/>
      <c r="W1355" s="46"/>
      <c r="X1355" s="62" t="s">
        <v>25</v>
      </c>
      <c r="Y1355" s="63">
        <f t="shared" si="283"/>
        <v>25.8</v>
      </c>
      <c r="Z1355" s="64">
        <f t="shared" si="287"/>
        <v>0</v>
      </c>
    </row>
    <row r="1356" spans="1:26" ht="15.75" customHeight="1">
      <c r="A1356" s="63">
        <v>20260087</v>
      </c>
      <c r="B1356" s="65" t="s">
        <v>2760</v>
      </c>
      <c r="C1356" s="66">
        <v>46094</v>
      </c>
      <c r="E1356" s="63">
        <v>2</v>
      </c>
      <c r="F1356" s="68">
        <v>0</v>
      </c>
      <c r="G1356" s="69">
        <v>10</v>
      </c>
      <c r="H1356" s="65" t="s">
        <v>2802</v>
      </c>
      <c r="I1356" s="65" t="s">
        <v>24</v>
      </c>
      <c r="J1356" s="65" t="s">
        <v>24</v>
      </c>
      <c r="K1356" s="48">
        <f t="shared" si="288"/>
        <v>8</v>
      </c>
      <c r="L1356" s="48">
        <f t="shared" si="289"/>
        <v>68</v>
      </c>
      <c r="N1356" s="72">
        <f t="shared" si="286"/>
        <v>2</v>
      </c>
      <c r="O1356" s="50">
        <f t="shared" si="284"/>
        <v>0</v>
      </c>
      <c r="P1356" s="56">
        <f t="shared" si="285"/>
        <v>10</v>
      </c>
      <c r="S1356" s="200" t="s">
        <v>2805</v>
      </c>
      <c r="T1356" s="201">
        <v>18</v>
      </c>
      <c r="U1356" s="58"/>
      <c r="V1356" s="46"/>
      <c r="W1356" s="46"/>
      <c r="X1356" s="62" t="s">
        <v>25</v>
      </c>
      <c r="Y1356" s="63">
        <f t="shared" si="283"/>
        <v>0</v>
      </c>
      <c r="Z1356" s="64">
        <f t="shared" si="287"/>
        <v>0</v>
      </c>
    </row>
    <row r="1357" spans="1:26" ht="15.75" customHeight="1">
      <c r="A1357" s="63">
        <v>20260087</v>
      </c>
      <c r="B1357" s="65" t="s">
        <v>2760</v>
      </c>
      <c r="C1357" s="66">
        <v>46094</v>
      </c>
      <c r="E1357" s="63">
        <v>1</v>
      </c>
      <c r="F1357" s="68">
        <v>38.505000000000003</v>
      </c>
      <c r="G1357" s="69">
        <v>24</v>
      </c>
      <c r="H1357" s="65" t="s">
        <v>2807</v>
      </c>
      <c r="I1357" s="65" t="s">
        <v>81</v>
      </c>
      <c r="J1357" s="65" t="s">
        <v>26</v>
      </c>
      <c r="K1357" s="48">
        <f t="shared" si="288"/>
        <v>8</v>
      </c>
      <c r="L1357" s="48">
        <f t="shared" si="289"/>
        <v>68</v>
      </c>
      <c r="N1357" s="72">
        <f t="shared" si="286"/>
        <v>1</v>
      </c>
      <c r="O1357" s="50">
        <f t="shared" si="284"/>
        <v>38.505000000000003</v>
      </c>
      <c r="P1357" s="56">
        <f t="shared" si="285"/>
        <v>24</v>
      </c>
      <c r="S1357" s="200" t="s">
        <v>2808</v>
      </c>
      <c r="T1357" s="201">
        <v>19</v>
      </c>
      <c r="U1357" s="58" t="s">
        <v>2809</v>
      </c>
      <c r="V1357" s="46"/>
      <c r="W1357" s="46"/>
      <c r="X1357" s="62" t="s">
        <v>25</v>
      </c>
      <c r="Y1357" s="63">
        <f t="shared" si="283"/>
        <v>38.505000000000003</v>
      </c>
      <c r="Z1357" s="64">
        <f t="shared" si="287"/>
        <v>0</v>
      </c>
    </row>
    <row r="1358" spans="1:26" ht="15.75" customHeight="1">
      <c r="A1358" s="63">
        <v>20260087</v>
      </c>
      <c r="B1358" s="65" t="s">
        <v>2760</v>
      </c>
      <c r="C1358" s="66">
        <v>46094</v>
      </c>
      <c r="E1358" s="63">
        <v>3</v>
      </c>
      <c r="F1358" s="68">
        <v>0</v>
      </c>
      <c r="G1358" s="69">
        <v>15</v>
      </c>
      <c r="H1358" s="65" t="s">
        <v>2807</v>
      </c>
      <c r="I1358" s="65" t="s">
        <v>24</v>
      </c>
      <c r="J1358" s="65" t="s">
        <v>24</v>
      </c>
      <c r="K1358" s="48">
        <f t="shared" si="288"/>
        <v>8</v>
      </c>
      <c r="L1358" s="48">
        <f t="shared" si="289"/>
        <v>68</v>
      </c>
      <c r="N1358" s="72">
        <f t="shared" si="286"/>
        <v>3</v>
      </c>
      <c r="O1358" s="50">
        <f t="shared" si="284"/>
        <v>0</v>
      </c>
      <c r="P1358" s="56">
        <f t="shared" si="285"/>
        <v>15</v>
      </c>
      <c r="S1358" s="200" t="s">
        <v>2808</v>
      </c>
      <c r="T1358" s="201">
        <v>19</v>
      </c>
      <c r="U1358" s="58"/>
      <c r="V1358" s="46"/>
      <c r="W1358" s="46"/>
      <c r="X1358" s="62" t="s">
        <v>25</v>
      </c>
      <c r="Y1358" s="63">
        <f t="shared" si="283"/>
        <v>0</v>
      </c>
      <c r="Z1358" s="64">
        <f t="shared" si="287"/>
        <v>0</v>
      </c>
    </row>
    <row r="1359" spans="1:26" ht="15.75" customHeight="1">
      <c r="A1359" s="63">
        <v>20260087</v>
      </c>
      <c r="B1359" s="65" t="s">
        <v>2760</v>
      </c>
      <c r="C1359" s="66">
        <v>46094</v>
      </c>
      <c r="E1359" s="63">
        <v>1</v>
      </c>
      <c r="F1359" s="68">
        <v>38.505000000000003</v>
      </c>
      <c r="G1359" s="69">
        <v>24</v>
      </c>
      <c r="H1359" s="65" t="s">
        <v>2067</v>
      </c>
      <c r="I1359" s="65" t="s">
        <v>81</v>
      </c>
      <c r="J1359" s="65" t="s">
        <v>26</v>
      </c>
      <c r="K1359" s="48">
        <f t="shared" si="288"/>
        <v>8</v>
      </c>
      <c r="L1359" s="48">
        <f t="shared" si="289"/>
        <v>68</v>
      </c>
      <c r="N1359" s="72">
        <f t="shared" si="286"/>
        <v>1</v>
      </c>
      <c r="O1359" s="50">
        <f t="shared" si="284"/>
        <v>38.505000000000003</v>
      </c>
      <c r="P1359" s="56">
        <f t="shared" si="285"/>
        <v>24</v>
      </c>
      <c r="S1359" s="200" t="s">
        <v>2810</v>
      </c>
      <c r="T1359" s="201">
        <v>20</v>
      </c>
      <c r="U1359" s="58" t="s">
        <v>2801</v>
      </c>
      <c r="V1359" s="46"/>
      <c r="W1359" s="46"/>
      <c r="X1359" s="62" t="s">
        <v>25</v>
      </c>
      <c r="Y1359" s="63">
        <f t="shared" si="283"/>
        <v>38.505000000000003</v>
      </c>
      <c r="Z1359" s="64">
        <f t="shared" si="287"/>
        <v>0</v>
      </c>
    </row>
    <row r="1360" spans="1:26" ht="15.75" customHeight="1">
      <c r="A1360" s="63">
        <v>20260087</v>
      </c>
      <c r="B1360" s="65" t="s">
        <v>2760</v>
      </c>
      <c r="C1360" s="66">
        <v>46094</v>
      </c>
      <c r="E1360" s="63">
        <v>3</v>
      </c>
      <c r="F1360" s="68">
        <v>0</v>
      </c>
      <c r="G1360" s="69">
        <v>15</v>
      </c>
      <c r="H1360" s="65" t="s">
        <v>2067</v>
      </c>
      <c r="I1360" s="65" t="s">
        <v>24</v>
      </c>
      <c r="J1360" s="65" t="s">
        <v>24</v>
      </c>
      <c r="K1360" s="48">
        <f t="shared" si="288"/>
        <v>8</v>
      </c>
      <c r="L1360" s="48">
        <f t="shared" si="289"/>
        <v>68</v>
      </c>
      <c r="N1360" s="72">
        <f t="shared" si="286"/>
        <v>3</v>
      </c>
      <c r="O1360" s="50">
        <f t="shared" si="284"/>
        <v>0</v>
      </c>
      <c r="P1360" s="56">
        <f t="shared" si="285"/>
        <v>15</v>
      </c>
      <c r="S1360" s="200" t="s">
        <v>2810</v>
      </c>
      <c r="T1360" s="201">
        <v>20</v>
      </c>
      <c r="U1360" s="58"/>
      <c r="V1360" s="46"/>
      <c r="W1360" s="46"/>
      <c r="X1360" s="62" t="s">
        <v>25</v>
      </c>
      <c r="Y1360" s="63">
        <f t="shared" si="283"/>
        <v>0</v>
      </c>
      <c r="Z1360" s="64">
        <f t="shared" si="287"/>
        <v>0</v>
      </c>
    </row>
    <row r="1361" spans="1:26" ht="15.75" customHeight="1">
      <c r="A1361" s="63">
        <v>20260087</v>
      </c>
      <c r="B1361" s="65" t="s">
        <v>2760</v>
      </c>
      <c r="C1361" s="66">
        <v>46094</v>
      </c>
      <c r="E1361" s="63">
        <v>1</v>
      </c>
      <c r="F1361" s="68">
        <v>38.505000000000003</v>
      </c>
      <c r="G1361" s="69">
        <v>24</v>
      </c>
      <c r="H1361" s="65" t="s">
        <v>2802</v>
      </c>
      <c r="I1361" s="65" t="s">
        <v>81</v>
      </c>
      <c r="J1361" s="65" t="s">
        <v>26</v>
      </c>
      <c r="K1361" s="48">
        <f t="shared" si="288"/>
        <v>8</v>
      </c>
      <c r="L1361" s="48">
        <f t="shared" si="289"/>
        <v>68</v>
      </c>
      <c r="N1361" s="72">
        <f t="shared" si="286"/>
        <v>1</v>
      </c>
      <c r="O1361" s="50">
        <f t="shared" si="284"/>
        <v>38.505000000000003</v>
      </c>
      <c r="P1361" s="56">
        <f t="shared" si="285"/>
        <v>24</v>
      </c>
      <c r="S1361" s="200" t="s">
        <v>2811</v>
      </c>
      <c r="T1361" s="201">
        <v>21</v>
      </c>
      <c r="U1361" s="58" t="s">
        <v>2809</v>
      </c>
      <c r="V1361" s="46"/>
      <c r="W1361" s="46"/>
      <c r="X1361" s="62" t="s">
        <v>25</v>
      </c>
      <c r="Y1361" s="63">
        <f t="shared" si="283"/>
        <v>38.505000000000003</v>
      </c>
      <c r="Z1361" s="64">
        <f t="shared" si="287"/>
        <v>0</v>
      </c>
    </row>
    <row r="1362" spans="1:26" ht="15.75" customHeight="1">
      <c r="A1362" s="63">
        <v>20260087</v>
      </c>
      <c r="B1362" s="65" t="s">
        <v>2760</v>
      </c>
      <c r="C1362" s="66">
        <v>46094</v>
      </c>
      <c r="E1362" s="63">
        <v>3</v>
      </c>
      <c r="F1362" s="68">
        <v>0</v>
      </c>
      <c r="G1362" s="69">
        <v>15</v>
      </c>
      <c r="H1362" s="65" t="s">
        <v>2802</v>
      </c>
      <c r="I1362" s="65" t="s">
        <v>24</v>
      </c>
      <c r="J1362" s="65" t="s">
        <v>24</v>
      </c>
      <c r="K1362" s="48">
        <f t="shared" si="288"/>
        <v>8</v>
      </c>
      <c r="L1362" s="48">
        <f t="shared" si="289"/>
        <v>68</v>
      </c>
      <c r="N1362" s="72">
        <f t="shared" si="286"/>
        <v>3</v>
      </c>
      <c r="O1362" s="50">
        <f t="shared" si="284"/>
        <v>0</v>
      </c>
      <c r="P1362" s="56">
        <f t="shared" si="285"/>
        <v>15</v>
      </c>
      <c r="S1362" s="200" t="s">
        <v>2811</v>
      </c>
      <c r="T1362" s="201">
        <v>21</v>
      </c>
      <c r="U1362" s="58"/>
      <c r="V1362" s="46"/>
      <c r="W1362" s="46"/>
      <c r="X1362" s="62" t="s">
        <v>25</v>
      </c>
      <c r="Y1362" s="63">
        <f t="shared" si="283"/>
        <v>0</v>
      </c>
      <c r="Z1362" s="64">
        <f t="shared" si="287"/>
        <v>0</v>
      </c>
    </row>
    <row r="1363" spans="1:26" ht="15.75" customHeight="1">
      <c r="A1363" s="63">
        <v>20260087</v>
      </c>
      <c r="B1363" s="65" t="s">
        <v>2760</v>
      </c>
      <c r="C1363" s="66">
        <v>46094</v>
      </c>
      <c r="E1363" s="63">
        <v>1</v>
      </c>
      <c r="F1363" s="68">
        <v>38.505000000000003</v>
      </c>
      <c r="G1363" s="69">
        <v>24</v>
      </c>
      <c r="H1363" s="65" t="s">
        <v>2021</v>
      </c>
      <c r="I1363" s="65" t="s">
        <v>81</v>
      </c>
      <c r="J1363" s="65" t="s">
        <v>26</v>
      </c>
      <c r="K1363" s="48">
        <f t="shared" si="288"/>
        <v>8</v>
      </c>
      <c r="L1363" s="48">
        <f t="shared" si="289"/>
        <v>68</v>
      </c>
      <c r="N1363" s="72">
        <f t="shared" si="286"/>
        <v>1</v>
      </c>
      <c r="O1363" s="50">
        <f t="shared" si="284"/>
        <v>38.505000000000003</v>
      </c>
      <c r="P1363" s="56">
        <f t="shared" si="285"/>
        <v>24</v>
      </c>
      <c r="S1363" s="200" t="s">
        <v>2812</v>
      </c>
      <c r="T1363" s="201">
        <v>22</v>
      </c>
      <c r="U1363" s="58" t="s">
        <v>2813</v>
      </c>
      <c r="V1363" s="46"/>
      <c r="W1363" s="46"/>
      <c r="X1363" s="62" t="s">
        <v>25</v>
      </c>
      <c r="Y1363" s="63">
        <f t="shared" si="283"/>
        <v>38.505000000000003</v>
      </c>
      <c r="Z1363" s="64">
        <f t="shared" si="287"/>
        <v>0</v>
      </c>
    </row>
    <row r="1364" spans="1:26" ht="15.75" customHeight="1">
      <c r="A1364" s="63">
        <v>20260087</v>
      </c>
      <c r="B1364" s="65" t="s">
        <v>2760</v>
      </c>
      <c r="C1364" s="66">
        <v>46094</v>
      </c>
      <c r="E1364" s="63">
        <v>3</v>
      </c>
      <c r="F1364" s="68">
        <v>0</v>
      </c>
      <c r="G1364" s="69">
        <v>15</v>
      </c>
      <c r="H1364" s="65" t="s">
        <v>2021</v>
      </c>
      <c r="I1364" s="65" t="s">
        <v>24</v>
      </c>
      <c r="J1364" s="65" t="s">
        <v>24</v>
      </c>
      <c r="K1364" s="48">
        <f t="shared" si="288"/>
        <v>8</v>
      </c>
      <c r="L1364" s="48">
        <f t="shared" si="289"/>
        <v>68</v>
      </c>
      <c r="N1364" s="72">
        <f t="shared" si="286"/>
        <v>3</v>
      </c>
      <c r="O1364" s="50">
        <f t="shared" si="284"/>
        <v>0</v>
      </c>
      <c r="P1364" s="56">
        <f t="shared" si="285"/>
        <v>15</v>
      </c>
      <c r="S1364" s="200" t="s">
        <v>2812</v>
      </c>
      <c r="T1364" s="201">
        <v>22</v>
      </c>
      <c r="U1364" s="58"/>
      <c r="V1364" s="46"/>
      <c r="W1364" s="46"/>
      <c r="X1364" s="62" t="s">
        <v>25</v>
      </c>
      <c r="Y1364" s="63">
        <f t="shared" si="283"/>
        <v>0</v>
      </c>
      <c r="Z1364" s="64">
        <f t="shared" si="287"/>
        <v>0</v>
      </c>
    </row>
    <row r="1365" spans="1:26" ht="15.75" customHeight="1">
      <c r="A1365" s="63">
        <v>20260087</v>
      </c>
      <c r="B1365" s="65" t="s">
        <v>2760</v>
      </c>
      <c r="C1365" s="66">
        <v>46094</v>
      </c>
      <c r="E1365" s="63">
        <v>1</v>
      </c>
      <c r="F1365" s="68">
        <v>17.649999999999999</v>
      </c>
      <c r="G1365" s="69">
        <v>24</v>
      </c>
      <c r="H1365" s="65" t="s">
        <v>2814</v>
      </c>
      <c r="I1365" s="65" t="s">
        <v>276</v>
      </c>
      <c r="J1365" s="65" t="s">
        <v>26</v>
      </c>
      <c r="K1365" s="48">
        <f t="shared" si="288"/>
        <v>8</v>
      </c>
      <c r="L1365" s="48">
        <f t="shared" si="289"/>
        <v>68</v>
      </c>
      <c r="N1365" s="72">
        <f t="shared" si="286"/>
        <v>1</v>
      </c>
      <c r="O1365" s="50">
        <f t="shared" si="284"/>
        <v>17.649999999999999</v>
      </c>
      <c r="P1365" s="56">
        <f t="shared" si="285"/>
        <v>24</v>
      </c>
      <c r="S1365" s="200" t="s">
        <v>2815</v>
      </c>
      <c r="T1365" s="201">
        <v>23</v>
      </c>
      <c r="U1365" s="58" t="s">
        <v>2816</v>
      </c>
      <c r="V1365" s="46"/>
      <c r="W1365" s="46"/>
      <c r="X1365" s="62" t="s">
        <v>25</v>
      </c>
      <c r="Y1365" s="63">
        <f t="shared" si="283"/>
        <v>17.649999999999999</v>
      </c>
      <c r="Z1365" s="64">
        <f t="shared" si="287"/>
        <v>0</v>
      </c>
    </row>
    <row r="1366" spans="1:26" ht="15.75" customHeight="1">
      <c r="A1366" s="63">
        <v>20260087</v>
      </c>
      <c r="B1366" s="65" t="s">
        <v>2760</v>
      </c>
      <c r="C1366" s="66">
        <v>46094</v>
      </c>
      <c r="E1366" s="63">
        <v>1</v>
      </c>
      <c r="F1366" s="68">
        <v>38.505000000000003</v>
      </c>
      <c r="G1366" s="69">
        <v>24</v>
      </c>
      <c r="H1366" s="65" t="s">
        <v>2817</v>
      </c>
      <c r="I1366" s="65" t="s">
        <v>81</v>
      </c>
      <c r="J1366" s="65" t="s">
        <v>26</v>
      </c>
      <c r="K1366" s="48">
        <f t="shared" si="288"/>
        <v>8</v>
      </c>
      <c r="L1366" s="48">
        <f t="shared" si="289"/>
        <v>68</v>
      </c>
      <c r="N1366" s="72">
        <f t="shared" si="286"/>
        <v>1</v>
      </c>
      <c r="O1366" s="50">
        <f t="shared" si="284"/>
        <v>38.505000000000003</v>
      </c>
      <c r="P1366" s="56">
        <f t="shared" si="285"/>
        <v>24</v>
      </c>
      <c r="S1366" s="200" t="s">
        <v>2818</v>
      </c>
      <c r="T1366" s="201">
        <v>24</v>
      </c>
      <c r="U1366" s="58" t="s">
        <v>2801</v>
      </c>
      <c r="V1366" s="46"/>
      <c r="W1366" s="46"/>
      <c r="X1366" s="62" t="s">
        <v>25</v>
      </c>
      <c r="Y1366" s="63">
        <f t="shared" si="283"/>
        <v>38.505000000000003</v>
      </c>
      <c r="Z1366" s="64">
        <f t="shared" si="287"/>
        <v>0</v>
      </c>
    </row>
    <row r="1367" spans="1:26" ht="15.75" customHeight="1">
      <c r="A1367" s="63">
        <v>20260087</v>
      </c>
      <c r="B1367" s="65" t="s">
        <v>2760</v>
      </c>
      <c r="C1367" s="66">
        <v>46094</v>
      </c>
      <c r="E1367" s="63">
        <v>3</v>
      </c>
      <c r="F1367" s="68">
        <v>0</v>
      </c>
      <c r="G1367" s="69">
        <v>15</v>
      </c>
      <c r="H1367" s="65" t="s">
        <v>2817</v>
      </c>
      <c r="I1367" s="65" t="s">
        <v>24</v>
      </c>
      <c r="J1367" s="65" t="s">
        <v>24</v>
      </c>
      <c r="K1367" s="48">
        <f t="shared" si="288"/>
        <v>8</v>
      </c>
      <c r="L1367" s="48">
        <f t="shared" si="289"/>
        <v>68</v>
      </c>
      <c r="N1367" s="72">
        <f t="shared" si="286"/>
        <v>3</v>
      </c>
      <c r="O1367" s="50">
        <f t="shared" si="284"/>
        <v>0</v>
      </c>
      <c r="P1367" s="56">
        <f t="shared" si="285"/>
        <v>15</v>
      </c>
      <c r="S1367" s="200" t="s">
        <v>2818</v>
      </c>
      <c r="T1367" s="201">
        <v>24</v>
      </c>
      <c r="U1367" s="58"/>
      <c r="V1367" s="46"/>
      <c r="W1367" s="46"/>
      <c r="X1367" s="62" t="s">
        <v>25</v>
      </c>
      <c r="Y1367" s="63">
        <f t="shared" si="283"/>
        <v>0</v>
      </c>
      <c r="Z1367" s="64">
        <f t="shared" si="287"/>
        <v>0</v>
      </c>
    </row>
    <row r="1368" spans="1:26" ht="15.75" customHeight="1">
      <c r="A1368" s="63">
        <v>20260087</v>
      </c>
      <c r="B1368" s="65" t="s">
        <v>2760</v>
      </c>
      <c r="C1368" s="66">
        <v>46094</v>
      </c>
      <c r="E1368" s="63">
        <v>1</v>
      </c>
      <c r="F1368" s="68">
        <v>34.54</v>
      </c>
      <c r="G1368" s="69">
        <v>24</v>
      </c>
      <c r="H1368" s="65" t="s">
        <v>2819</v>
      </c>
      <c r="I1368" s="65" t="s">
        <v>194</v>
      </c>
      <c r="J1368" s="65" t="s">
        <v>26</v>
      </c>
      <c r="K1368" s="48">
        <f t="shared" si="288"/>
        <v>8</v>
      </c>
      <c r="L1368" s="48">
        <f t="shared" si="289"/>
        <v>68</v>
      </c>
      <c r="N1368" s="72">
        <f t="shared" si="286"/>
        <v>1</v>
      </c>
      <c r="O1368" s="50">
        <f t="shared" si="284"/>
        <v>34.54</v>
      </c>
      <c r="P1368" s="56">
        <f t="shared" si="285"/>
        <v>24</v>
      </c>
      <c r="S1368" s="200" t="s">
        <v>2820</v>
      </c>
      <c r="T1368" s="201">
        <v>25</v>
      </c>
      <c r="U1368" s="58" t="s">
        <v>2804</v>
      </c>
      <c r="V1368" s="46"/>
      <c r="W1368" s="46"/>
      <c r="X1368" s="62" t="s">
        <v>25</v>
      </c>
      <c r="Y1368" s="63">
        <f t="shared" si="283"/>
        <v>34.54</v>
      </c>
      <c r="Z1368" s="64">
        <f t="shared" si="287"/>
        <v>0</v>
      </c>
    </row>
    <row r="1369" spans="1:26" ht="15.75" customHeight="1">
      <c r="A1369" s="63">
        <v>20260087</v>
      </c>
      <c r="B1369" s="65" t="s">
        <v>2760</v>
      </c>
      <c r="C1369" s="66">
        <v>46094</v>
      </c>
      <c r="E1369" s="63">
        <v>1</v>
      </c>
      <c r="F1369" s="68">
        <v>0</v>
      </c>
      <c r="G1369" s="69">
        <v>5</v>
      </c>
      <c r="H1369" s="65" t="s">
        <v>2819</v>
      </c>
      <c r="I1369" s="65" t="s">
        <v>24</v>
      </c>
      <c r="J1369" s="65" t="s">
        <v>24</v>
      </c>
      <c r="K1369" s="48">
        <f t="shared" si="288"/>
        <v>8</v>
      </c>
      <c r="L1369" s="48">
        <f t="shared" si="289"/>
        <v>68</v>
      </c>
      <c r="N1369" s="72">
        <f t="shared" si="286"/>
        <v>1</v>
      </c>
      <c r="O1369" s="50">
        <f t="shared" si="284"/>
        <v>0</v>
      </c>
      <c r="P1369" s="56">
        <f t="shared" si="285"/>
        <v>5</v>
      </c>
      <c r="S1369" s="200" t="s">
        <v>2820</v>
      </c>
      <c r="T1369" s="201">
        <v>25</v>
      </c>
      <c r="U1369" s="58"/>
      <c r="V1369" s="46"/>
      <c r="W1369" s="46"/>
      <c r="X1369" s="62" t="s">
        <v>25</v>
      </c>
      <c r="Y1369" s="63">
        <f t="shared" si="283"/>
        <v>0</v>
      </c>
      <c r="Z1369" s="64">
        <f t="shared" si="287"/>
        <v>0</v>
      </c>
    </row>
    <row r="1370" spans="1:26" ht="15.75" customHeight="1">
      <c r="A1370" s="63">
        <v>20260087</v>
      </c>
      <c r="B1370" s="65" t="s">
        <v>2760</v>
      </c>
      <c r="C1370" s="66">
        <v>46094</v>
      </c>
      <c r="E1370" s="63">
        <v>1</v>
      </c>
      <c r="F1370" s="68">
        <v>38.505000000000003</v>
      </c>
      <c r="G1370" s="69">
        <v>24</v>
      </c>
      <c r="H1370" s="65" t="s">
        <v>2821</v>
      </c>
      <c r="I1370" s="65" t="s">
        <v>81</v>
      </c>
      <c r="J1370" s="65" t="s">
        <v>26</v>
      </c>
      <c r="K1370" s="48">
        <f t="shared" si="288"/>
        <v>8</v>
      </c>
      <c r="L1370" s="48">
        <f t="shared" si="289"/>
        <v>68</v>
      </c>
      <c r="N1370" s="72">
        <f t="shared" si="286"/>
        <v>1</v>
      </c>
      <c r="O1370" s="50">
        <f t="shared" si="284"/>
        <v>38.505000000000003</v>
      </c>
      <c r="P1370" s="56">
        <f t="shared" si="285"/>
        <v>24</v>
      </c>
      <c r="S1370" s="200" t="s">
        <v>2822</v>
      </c>
      <c r="T1370" s="201">
        <v>26</v>
      </c>
      <c r="U1370" s="58" t="s">
        <v>2809</v>
      </c>
      <c r="V1370" s="46"/>
      <c r="W1370" s="46"/>
      <c r="X1370" s="62" t="s">
        <v>25</v>
      </c>
      <c r="Y1370" s="63">
        <f t="shared" si="283"/>
        <v>38.505000000000003</v>
      </c>
      <c r="Z1370" s="64">
        <f t="shared" si="287"/>
        <v>0</v>
      </c>
    </row>
    <row r="1371" spans="1:26" ht="15.75" customHeight="1">
      <c r="A1371" s="63">
        <v>20260087</v>
      </c>
      <c r="B1371" s="65" t="s">
        <v>2760</v>
      </c>
      <c r="C1371" s="66">
        <v>46094</v>
      </c>
      <c r="E1371" s="63">
        <v>3</v>
      </c>
      <c r="F1371" s="68">
        <v>0</v>
      </c>
      <c r="G1371" s="69">
        <v>15</v>
      </c>
      <c r="H1371" s="65" t="s">
        <v>2821</v>
      </c>
      <c r="I1371" s="65" t="s">
        <v>24</v>
      </c>
      <c r="J1371" s="65" t="s">
        <v>24</v>
      </c>
      <c r="K1371" s="48">
        <f t="shared" si="288"/>
        <v>8</v>
      </c>
      <c r="L1371" s="48">
        <f t="shared" si="289"/>
        <v>68</v>
      </c>
      <c r="N1371" s="72">
        <f t="shared" si="286"/>
        <v>3</v>
      </c>
      <c r="O1371" s="50">
        <f t="shared" si="284"/>
        <v>0</v>
      </c>
      <c r="P1371" s="56">
        <f t="shared" si="285"/>
        <v>15</v>
      </c>
      <c r="S1371" s="200" t="s">
        <v>2822</v>
      </c>
      <c r="T1371" s="201">
        <v>26</v>
      </c>
      <c r="U1371" s="58"/>
      <c r="V1371" s="46"/>
      <c r="W1371" s="46"/>
      <c r="X1371" s="62" t="s">
        <v>25</v>
      </c>
      <c r="Y1371" s="63">
        <f t="shared" si="283"/>
        <v>0</v>
      </c>
      <c r="Z1371" s="64">
        <f t="shared" si="287"/>
        <v>0</v>
      </c>
    </row>
    <row r="1372" spans="1:26" ht="15.75" customHeight="1">
      <c r="A1372" s="63">
        <v>20260087</v>
      </c>
      <c r="B1372" s="65" t="s">
        <v>2760</v>
      </c>
      <c r="C1372" s="66">
        <v>46094</v>
      </c>
      <c r="E1372" s="63">
        <v>1</v>
      </c>
      <c r="F1372" s="68">
        <v>17.649999999999999</v>
      </c>
      <c r="G1372" s="69">
        <v>24</v>
      </c>
      <c r="H1372" s="65" t="s">
        <v>2802</v>
      </c>
      <c r="I1372" s="65" t="s">
        <v>276</v>
      </c>
      <c r="J1372" s="65" t="s">
        <v>26</v>
      </c>
      <c r="K1372" s="48">
        <f t="shared" si="288"/>
        <v>8</v>
      </c>
      <c r="L1372" s="48">
        <f t="shared" si="289"/>
        <v>68</v>
      </c>
      <c r="N1372" s="72">
        <f t="shared" si="286"/>
        <v>1</v>
      </c>
      <c r="O1372" s="50">
        <f t="shared" si="284"/>
        <v>17.649999999999999</v>
      </c>
      <c r="P1372" s="56">
        <f t="shared" si="285"/>
        <v>24</v>
      </c>
      <c r="S1372" s="200" t="s">
        <v>2823</v>
      </c>
      <c r="T1372" s="201">
        <v>27</v>
      </c>
      <c r="U1372" s="58" t="s">
        <v>2816</v>
      </c>
      <c r="V1372" s="46"/>
      <c r="W1372" s="46"/>
      <c r="X1372" s="62" t="s">
        <v>25</v>
      </c>
      <c r="Y1372" s="63">
        <f t="shared" si="283"/>
        <v>17.649999999999999</v>
      </c>
      <c r="Z1372" s="64">
        <f t="shared" si="287"/>
        <v>0</v>
      </c>
    </row>
    <row r="1373" spans="1:26" ht="15.75" customHeight="1">
      <c r="A1373" s="63">
        <v>20260087</v>
      </c>
      <c r="B1373" s="65" t="s">
        <v>2760</v>
      </c>
      <c r="C1373" s="66">
        <v>46094</v>
      </c>
      <c r="E1373" s="63">
        <v>1</v>
      </c>
      <c r="F1373" s="68">
        <v>38.505000000000003</v>
      </c>
      <c r="G1373" s="69">
        <v>24</v>
      </c>
      <c r="H1373" s="65" t="s">
        <v>2824</v>
      </c>
      <c r="I1373" s="65" t="s">
        <v>81</v>
      </c>
      <c r="J1373" s="65" t="s">
        <v>26</v>
      </c>
      <c r="K1373" s="48">
        <f t="shared" si="288"/>
        <v>8</v>
      </c>
      <c r="L1373" s="48">
        <f t="shared" si="289"/>
        <v>68</v>
      </c>
      <c r="N1373" s="72">
        <f t="shared" si="286"/>
        <v>1</v>
      </c>
      <c r="O1373" s="50">
        <f t="shared" si="284"/>
        <v>38.505000000000003</v>
      </c>
      <c r="P1373" s="56">
        <f t="shared" si="285"/>
        <v>24</v>
      </c>
      <c r="S1373" s="200" t="s">
        <v>2825</v>
      </c>
      <c r="T1373" s="201">
        <v>28</v>
      </c>
      <c r="U1373" s="58" t="s">
        <v>2801</v>
      </c>
      <c r="V1373" s="46"/>
      <c r="W1373" s="46"/>
      <c r="X1373" s="62" t="s">
        <v>25</v>
      </c>
      <c r="Y1373" s="63">
        <f t="shared" si="283"/>
        <v>38.505000000000003</v>
      </c>
      <c r="Z1373" s="64">
        <f t="shared" si="287"/>
        <v>0</v>
      </c>
    </row>
    <row r="1374" spans="1:26" ht="15.75" customHeight="1">
      <c r="A1374" s="63">
        <v>20260087</v>
      </c>
      <c r="B1374" s="65" t="s">
        <v>2760</v>
      </c>
      <c r="C1374" s="66">
        <v>46094</v>
      </c>
      <c r="E1374" s="63">
        <v>3</v>
      </c>
      <c r="F1374" s="68">
        <v>0</v>
      </c>
      <c r="G1374" s="69">
        <v>15</v>
      </c>
      <c r="H1374" s="65" t="s">
        <v>2824</v>
      </c>
      <c r="I1374" s="65" t="s">
        <v>24</v>
      </c>
      <c r="J1374" s="65" t="s">
        <v>24</v>
      </c>
      <c r="K1374" s="48">
        <f t="shared" si="288"/>
        <v>8</v>
      </c>
      <c r="L1374" s="48">
        <f t="shared" si="289"/>
        <v>68</v>
      </c>
      <c r="N1374" s="72">
        <f t="shared" si="286"/>
        <v>3</v>
      </c>
      <c r="O1374" s="50">
        <f t="shared" si="284"/>
        <v>0</v>
      </c>
      <c r="P1374" s="56">
        <f t="shared" si="285"/>
        <v>15</v>
      </c>
      <c r="S1374" s="200" t="s">
        <v>2825</v>
      </c>
      <c r="T1374" s="201">
        <v>28</v>
      </c>
      <c r="U1374" s="58"/>
      <c r="V1374" s="46"/>
      <c r="W1374" s="46"/>
      <c r="X1374" s="62" t="s">
        <v>25</v>
      </c>
      <c r="Y1374" s="63">
        <f t="shared" si="283"/>
        <v>0</v>
      </c>
      <c r="Z1374" s="64">
        <f t="shared" si="287"/>
        <v>0</v>
      </c>
    </row>
    <row r="1375" spans="1:26" ht="15.75" customHeight="1">
      <c r="A1375" s="63">
        <v>20260087</v>
      </c>
      <c r="B1375" s="65" t="s">
        <v>2760</v>
      </c>
      <c r="C1375" s="66">
        <v>46094</v>
      </c>
      <c r="E1375" s="63">
        <v>2</v>
      </c>
      <c r="F1375" s="68">
        <v>21</v>
      </c>
      <c r="G1375" s="69">
        <v>48</v>
      </c>
      <c r="H1375" s="65" t="s">
        <v>2826</v>
      </c>
      <c r="I1375" s="65" t="s">
        <v>63</v>
      </c>
      <c r="J1375" s="65" t="s">
        <v>28</v>
      </c>
      <c r="K1375" s="48">
        <f t="shared" si="288"/>
        <v>8</v>
      </c>
      <c r="L1375" s="48">
        <f t="shared" si="289"/>
        <v>68</v>
      </c>
      <c r="N1375" s="72">
        <f t="shared" si="286"/>
        <v>2</v>
      </c>
      <c r="O1375" s="50">
        <f t="shared" si="284"/>
        <v>21</v>
      </c>
      <c r="P1375" s="56">
        <f t="shared" si="285"/>
        <v>48</v>
      </c>
      <c r="S1375" s="200" t="s">
        <v>2827</v>
      </c>
      <c r="T1375" s="201">
        <v>29</v>
      </c>
      <c r="U1375" s="58" t="s">
        <v>2828</v>
      </c>
      <c r="V1375" s="46"/>
      <c r="W1375" s="46"/>
      <c r="X1375" s="62" t="s">
        <v>25</v>
      </c>
      <c r="Y1375" s="63">
        <f t="shared" si="283"/>
        <v>10.5</v>
      </c>
      <c r="Z1375" s="64">
        <f t="shared" si="287"/>
        <v>0</v>
      </c>
    </row>
    <row r="1376" spans="1:26" ht="15.75" customHeight="1">
      <c r="A1376" s="63">
        <v>20260087</v>
      </c>
      <c r="B1376" s="65" t="s">
        <v>2760</v>
      </c>
      <c r="C1376" s="66">
        <v>46094</v>
      </c>
      <c r="E1376" s="63">
        <v>1</v>
      </c>
      <c r="F1376" s="68">
        <v>13.3</v>
      </c>
      <c r="G1376" s="69">
        <v>24</v>
      </c>
      <c r="H1376" s="65" t="s">
        <v>2829</v>
      </c>
      <c r="I1376" s="65" t="s">
        <v>42</v>
      </c>
      <c r="J1376" s="65" t="s">
        <v>28</v>
      </c>
      <c r="K1376" s="48">
        <f t="shared" si="288"/>
        <v>8</v>
      </c>
      <c r="L1376" s="48">
        <f t="shared" si="289"/>
        <v>68</v>
      </c>
      <c r="N1376" s="72">
        <f t="shared" si="286"/>
        <v>1</v>
      </c>
      <c r="O1376" s="50">
        <f t="shared" si="284"/>
        <v>13.3</v>
      </c>
      <c r="P1376" s="56">
        <f t="shared" si="285"/>
        <v>24</v>
      </c>
      <c r="S1376" s="200" t="s">
        <v>2830</v>
      </c>
      <c r="T1376" s="201">
        <v>30</v>
      </c>
      <c r="U1376" s="58" t="s">
        <v>2831</v>
      </c>
      <c r="V1376" s="46"/>
      <c r="W1376" s="46"/>
      <c r="X1376" s="62" t="s">
        <v>25</v>
      </c>
      <c r="Y1376" s="63">
        <f t="shared" si="283"/>
        <v>13.3</v>
      </c>
      <c r="Z1376" s="64">
        <f t="shared" si="287"/>
        <v>0</v>
      </c>
    </row>
    <row r="1377" spans="1:26" ht="15.75" customHeight="1">
      <c r="A1377" s="63">
        <v>20260087</v>
      </c>
      <c r="B1377" s="65" t="s">
        <v>2760</v>
      </c>
      <c r="C1377" s="66">
        <v>46094</v>
      </c>
      <c r="E1377" s="63">
        <v>1</v>
      </c>
      <c r="F1377" s="68">
        <v>13.3</v>
      </c>
      <c r="G1377" s="69">
        <v>24</v>
      </c>
      <c r="H1377" s="65" t="s">
        <v>2832</v>
      </c>
      <c r="I1377" s="65" t="s">
        <v>42</v>
      </c>
      <c r="J1377" s="65" t="s">
        <v>28</v>
      </c>
      <c r="K1377" s="48">
        <f t="shared" si="288"/>
        <v>8</v>
      </c>
      <c r="L1377" s="48">
        <f t="shared" si="289"/>
        <v>68</v>
      </c>
      <c r="N1377" s="72">
        <f t="shared" si="286"/>
        <v>1</v>
      </c>
      <c r="O1377" s="50">
        <f t="shared" si="284"/>
        <v>13.3</v>
      </c>
      <c r="P1377" s="56">
        <f t="shared" si="285"/>
        <v>24</v>
      </c>
      <c r="S1377" s="200" t="s">
        <v>2833</v>
      </c>
      <c r="T1377" s="201">
        <v>31</v>
      </c>
      <c r="U1377" s="58" t="s">
        <v>2831</v>
      </c>
      <c r="V1377" s="46"/>
      <c r="W1377" s="46"/>
      <c r="X1377" s="62" t="s">
        <v>25</v>
      </c>
      <c r="Y1377" s="63">
        <f t="shared" si="283"/>
        <v>13.3</v>
      </c>
      <c r="Z1377" s="64">
        <f t="shared" si="287"/>
        <v>0</v>
      </c>
    </row>
    <row r="1378" spans="1:26" ht="15.75" customHeight="1">
      <c r="A1378" s="63">
        <v>20260087</v>
      </c>
      <c r="B1378" s="65" t="s">
        <v>2760</v>
      </c>
      <c r="C1378" s="66">
        <v>46094</v>
      </c>
      <c r="E1378" s="63">
        <v>2</v>
      </c>
      <c r="F1378" s="68">
        <v>82.54</v>
      </c>
      <c r="G1378" s="69">
        <v>30</v>
      </c>
      <c r="H1378" s="65" t="s">
        <v>1639</v>
      </c>
      <c r="I1378" s="65" t="s">
        <v>24</v>
      </c>
      <c r="J1378" s="65" t="s">
        <v>24</v>
      </c>
      <c r="K1378" s="48">
        <f t="shared" si="288"/>
        <v>8</v>
      </c>
      <c r="L1378" s="48">
        <f t="shared" si="289"/>
        <v>68</v>
      </c>
      <c r="N1378" s="72">
        <f t="shared" si="286"/>
        <v>2</v>
      </c>
      <c r="O1378" s="50">
        <f t="shared" si="284"/>
        <v>82.54</v>
      </c>
      <c r="P1378" s="56">
        <f t="shared" si="285"/>
        <v>30</v>
      </c>
      <c r="S1378" s="200" t="s">
        <v>2834</v>
      </c>
      <c r="T1378" s="201">
        <v>34</v>
      </c>
      <c r="U1378" s="58" t="s">
        <v>2835</v>
      </c>
      <c r="V1378" s="46"/>
      <c r="W1378" s="46"/>
      <c r="X1378" s="62" t="s">
        <v>25</v>
      </c>
      <c r="Y1378" s="63">
        <f t="shared" si="283"/>
        <v>41.27</v>
      </c>
      <c r="Z1378" s="64">
        <f t="shared" si="287"/>
        <v>0</v>
      </c>
    </row>
    <row r="1379" spans="1:26" ht="15.75" customHeight="1">
      <c r="A1379" s="63">
        <v>20260087</v>
      </c>
      <c r="B1379" s="65" t="s">
        <v>2760</v>
      </c>
      <c r="C1379" s="66">
        <v>46094</v>
      </c>
      <c r="E1379" s="63">
        <v>220</v>
      </c>
      <c r="F1379" s="68">
        <v>839.86099999999999</v>
      </c>
      <c r="G1379" s="69">
        <v>180</v>
      </c>
      <c r="H1379" s="65" t="s">
        <v>2836</v>
      </c>
      <c r="I1379" s="65" t="s">
        <v>86</v>
      </c>
      <c r="J1379" s="65" t="s">
        <v>86</v>
      </c>
      <c r="K1379" s="48">
        <f t="shared" si="288"/>
        <v>8</v>
      </c>
      <c r="L1379" s="48">
        <f t="shared" si="289"/>
        <v>68</v>
      </c>
      <c r="N1379" s="72">
        <f t="shared" si="286"/>
        <v>220</v>
      </c>
      <c r="O1379" s="50">
        <f t="shared" si="284"/>
        <v>839.86099999999999</v>
      </c>
      <c r="P1379" s="56">
        <f t="shared" si="285"/>
        <v>180</v>
      </c>
      <c r="S1379" s="200" t="s">
        <v>2837</v>
      </c>
      <c r="T1379" s="201">
        <v>11</v>
      </c>
      <c r="U1379" s="58" t="s">
        <v>2838</v>
      </c>
      <c r="V1379" s="46"/>
      <c r="W1379" s="46"/>
      <c r="X1379" s="62" t="s">
        <v>25</v>
      </c>
      <c r="Y1379" s="63">
        <f t="shared" si="283"/>
        <v>3.8175499999999998</v>
      </c>
      <c r="Z1379" s="64">
        <f t="shared" si="287"/>
        <v>0</v>
      </c>
    </row>
    <row r="1380" spans="1:26" ht="15.75" customHeight="1">
      <c r="A1380" s="63">
        <v>20260087</v>
      </c>
      <c r="B1380" s="65" t="s">
        <v>2760</v>
      </c>
      <c r="C1380" s="66">
        <v>46094</v>
      </c>
      <c r="E1380" s="63">
        <v>508</v>
      </c>
      <c r="F1380" s="68">
        <v>2423.3530000000001</v>
      </c>
      <c r="G1380" s="69">
        <v>610</v>
      </c>
      <c r="H1380" s="65" t="s">
        <v>2839</v>
      </c>
      <c r="I1380" s="65" t="s">
        <v>52</v>
      </c>
      <c r="J1380" s="65" t="s">
        <v>52</v>
      </c>
      <c r="K1380" s="48">
        <f t="shared" si="288"/>
        <v>8</v>
      </c>
      <c r="L1380" s="48">
        <f t="shared" si="289"/>
        <v>68</v>
      </c>
      <c r="N1380" s="72">
        <f t="shared" si="286"/>
        <v>508</v>
      </c>
      <c r="O1380" s="50">
        <f t="shared" si="284"/>
        <v>2423.3530000000001</v>
      </c>
      <c r="P1380" s="56">
        <f t="shared" si="285"/>
        <v>610</v>
      </c>
      <c r="S1380" s="200" t="s">
        <v>2840</v>
      </c>
      <c r="T1380" s="201">
        <v>32</v>
      </c>
      <c r="U1380" s="58" t="s">
        <v>2841</v>
      </c>
      <c r="V1380" s="46"/>
      <c r="W1380" s="46"/>
      <c r="X1380" s="62" t="s">
        <v>25</v>
      </c>
      <c r="Y1380" s="63">
        <f t="shared" si="283"/>
        <v>4.7703799212598428</v>
      </c>
      <c r="Z1380" s="64">
        <f t="shared" si="287"/>
        <v>0</v>
      </c>
    </row>
    <row r="1381" spans="1:26" ht="15.75" customHeight="1">
      <c r="A1381" s="63">
        <v>20260087</v>
      </c>
      <c r="B1381" s="65" t="s">
        <v>2760</v>
      </c>
      <c r="C1381" s="66">
        <v>46094</v>
      </c>
      <c r="E1381" s="63">
        <v>6992</v>
      </c>
      <c r="F1381" s="68">
        <v>969.24</v>
      </c>
      <c r="G1381" s="69">
        <v>240</v>
      </c>
      <c r="H1381" s="65" t="s">
        <v>2839</v>
      </c>
      <c r="I1381" s="65" t="s">
        <v>52</v>
      </c>
      <c r="J1381" s="65" t="s">
        <v>52</v>
      </c>
      <c r="K1381" s="48">
        <f t="shared" si="288"/>
        <v>8</v>
      </c>
      <c r="L1381" s="48">
        <f t="shared" si="289"/>
        <v>68</v>
      </c>
      <c r="N1381" s="72">
        <f t="shared" si="286"/>
        <v>6992</v>
      </c>
      <c r="O1381" s="50">
        <f t="shared" si="284"/>
        <v>969.24</v>
      </c>
      <c r="P1381" s="56">
        <f t="shared" si="285"/>
        <v>240</v>
      </c>
      <c r="S1381" s="200" t="s">
        <v>2842</v>
      </c>
      <c r="T1381" s="201">
        <v>33</v>
      </c>
      <c r="U1381" s="58" t="s">
        <v>2843</v>
      </c>
      <c r="V1381" s="46"/>
      <c r="W1381" s="46"/>
      <c r="X1381" s="62" t="s">
        <v>25</v>
      </c>
      <c r="Y1381" s="63">
        <f t="shared" si="283"/>
        <v>0.1386212814645309</v>
      </c>
      <c r="Z1381" s="64">
        <f t="shared" si="287"/>
        <v>0</v>
      </c>
    </row>
    <row r="1382" spans="1:26" ht="15.75" customHeight="1">
      <c r="A1382" s="63">
        <v>20260087</v>
      </c>
      <c r="B1382" s="65" t="s">
        <v>2760</v>
      </c>
      <c r="C1382" s="66">
        <v>46094</v>
      </c>
      <c r="E1382" s="63">
        <v>2820</v>
      </c>
      <c r="F1382" s="68">
        <v>7757.9690000000001</v>
      </c>
      <c r="G1382" s="69">
        <v>48</v>
      </c>
      <c r="H1382" s="65" t="s">
        <v>2844</v>
      </c>
      <c r="I1382" s="65" t="s">
        <v>2845</v>
      </c>
      <c r="J1382" s="65" t="s">
        <v>2845</v>
      </c>
      <c r="K1382" s="48">
        <f t="shared" si="288"/>
        <v>8</v>
      </c>
      <c r="L1382" s="48">
        <f t="shared" si="289"/>
        <v>68</v>
      </c>
      <c r="N1382" s="72">
        <f t="shared" si="286"/>
        <v>2820</v>
      </c>
      <c r="O1382" s="50">
        <f t="shared" si="284"/>
        <v>7757.9689999999991</v>
      </c>
      <c r="P1382" s="56">
        <f t="shared" si="285"/>
        <v>48</v>
      </c>
      <c r="S1382" s="200" t="s">
        <v>2846</v>
      </c>
      <c r="T1382" s="201">
        <v>35</v>
      </c>
      <c r="U1382" s="58" t="s">
        <v>2847</v>
      </c>
      <c r="V1382" s="46"/>
      <c r="W1382" s="46"/>
      <c r="X1382" s="62" t="s">
        <v>25</v>
      </c>
      <c r="Y1382" s="63">
        <f t="shared" si="283"/>
        <v>2.7510528368794325</v>
      </c>
      <c r="Z1382" s="64">
        <f t="shared" si="287"/>
        <v>0</v>
      </c>
    </row>
    <row r="1383" spans="1:26" ht="15.75" customHeight="1">
      <c r="A1383" s="63">
        <v>20260087</v>
      </c>
      <c r="B1383" s="65" t="s">
        <v>2760</v>
      </c>
      <c r="C1383" s="66">
        <v>46094</v>
      </c>
      <c r="E1383" s="63">
        <v>4144</v>
      </c>
      <c r="F1383" s="68">
        <v>11859.743</v>
      </c>
      <c r="G1383" s="69">
        <v>100</v>
      </c>
      <c r="H1383" s="65" t="s">
        <v>2844</v>
      </c>
      <c r="I1383" s="65" t="s">
        <v>2845</v>
      </c>
      <c r="J1383" s="65" t="s">
        <v>2845</v>
      </c>
      <c r="K1383" s="48">
        <f t="shared" si="288"/>
        <v>8</v>
      </c>
      <c r="L1383" s="48">
        <f t="shared" si="289"/>
        <v>68</v>
      </c>
      <c r="N1383" s="72">
        <f t="shared" si="286"/>
        <v>4144</v>
      </c>
      <c r="O1383" s="50">
        <f t="shared" si="284"/>
        <v>11859.743</v>
      </c>
      <c r="P1383" s="56">
        <f t="shared" si="285"/>
        <v>100</v>
      </c>
      <c r="S1383" s="200" t="s">
        <v>2848</v>
      </c>
      <c r="T1383" s="201">
        <v>36</v>
      </c>
      <c r="U1383" s="58" t="s">
        <v>2849</v>
      </c>
      <c r="V1383" s="46"/>
      <c r="W1383" s="46"/>
      <c r="X1383" s="62" t="s">
        <v>25</v>
      </c>
      <c r="Y1383" s="63">
        <f t="shared" si="283"/>
        <v>2.8619070945945948</v>
      </c>
      <c r="Z1383" s="64">
        <f t="shared" si="287"/>
        <v>0</v>
      </c>
    </row>
    <row r="1384" spans="1:26" ht="15.75" customHeight="1">
      <c r="A1384" s="63">
        <v>20260087</v>
      </c>
      <c r="B1384" s="65" t="s">
        <v>2760</v>
      </c>
      <c r="C1384" s="66">
        <v>46094</v>
      </c>
      <c r="E1384" s="63">
        <v>1211</v>
      </c>
      <c r="F1384" s="68">
        <v>3084.982</v>
      </c>
      <c r="G1384" s="69">
        <v>20</v>
      </c>
      <c r="H1384" s="65" t="s">
        <v>2844</v>
      </c>
      <c r="I1384" s="65" t="s">
        <v>2845</v>
      </c>
      <c r="J1384" s="65" t="s">
        <v>2845</v>
      </c>
      <c r="K1384" s="48">
        <f t="shared" si="288"/>
        <v>8</v>
      </c>
      <c r="L1384" s="48">
        <f t="shared" si="289"/>
        <v>68</v>
      </c>
      <c r="N1384" s="72">
        <f t="shared" si="286"/>
        <v>1211</v>
      </c>
      <c r="O1384" s="50">
        <f t="shared" si="284"/>
        <v>3084.9819999999995</v>
      </c>
      <c r="P1384" s="56">
        <f t="shared" si="285"/>
        <v>20</v>
      </c>
      <c r="S1384" s="200" t="s">
        <v>2850</v>
      </c>
      <c r="T1384" s="201">
        <v>37</v>
      </c>
      <c r="U1384" s="58" t="s">
        <v>2851</v>
      </c>
      <c r="V1384" s="46"/>
      <c r="W1384" s="46"/>
      <c r="X1384" s="62" t="s">
        <v>25</v>
      </c>
      <c r="Y1384" s="63">
        <f t="shared" si="283"/>
        <v>2.5474665565648222</v>
      </c>
      <c r="Z1384" s="64">
        <f t="shared" si="287"/>
        <v>0</v>
      </c>
    </row>
    <row r="1385" spans="1:26" ht="15.75" customHeight="1">
      <c r="A1385" s="63">
        <v>20260087</v>
      </c>
      <c r="B1385" s="65" t="s">
        <v>2760</v>
      </c>
      <c r="C1385" s="66">
        <v>46094</v>
      </c>
      <c r="E1385" s="63">
        <v>89</v>
      </c>
      <c r="F1385" s="68">
        <v>476.14499999999998</v>
      </c>
      <c r="G1385" s="69">
        <v>57.85</v>
      </c>
      <c r="H1385" s="65" t="s">
        <v>1766</v>
      </c>
      <c r="I1385" s="65" t="s">
        <v>72</v>
      </c>
      <c r="J1385" s="65" t="s">
        <v>72</v>
      </c>
      <c r="K1385" s="48">
        <f t="shared" si="288"/>
        <v>8</v>
      </c>
      <c r="L1385" s="48">
        <f t="shared" si="289"/>
        <v>68</v>
      </c>
      <c r="N1385" s="215">
        <f t="shared" si="286"/>
        <v>89</v>
      </c>
      <c r="S1385" s="200" t="s">
        <v>2852</v>
      </c>
      <c r="T1385" s="201">
        <v>38</v>
      </c>
      <c r="U1385" s="58" t="s">
        <v>2853</v>
      </c>
      <c r="V1385" s="46"/>
      <c r="W1385" s="46"/>
      <c r="X1385" s="62" t="s">
        <v>25</v>
      </c>
      <c r="Y1385" s="63">
        <f t="shared" si="283"/>
        <v>5.3499438202247189</v>
      </c>
      <c r="Z1385" s="64">
        <f t="shared" si="287"/>
        <v>0</v>
      </c>
    </row>
    <row r="1386" spans="1:26" ht="15.75" customHeight="1">
      <c r="A1386" s="63">
        <v>20260087</v>
      </c>
      <c r="B1386" s="65" t="s">
        <v>2760</v>
      </c>
      <c r="C1386" s="66">
        <v>46094</v>
      </c>
      <c r="E1386" s="63">
        <v>106</v>
      </c>
      <c r="F1386" s="68">
        <v>483.01499999999999</v>
      </c>
      <c r="G1386" s="69">
        <v>68.900000000000006</v>
      </c>
      <c r="H1386" s="65" t="s">
        <v>1766</v>
      </c>
      <c r="I1386" s="65" t="s">
        <v>72</v>
      </c>
      <c r="J1386" s="65" t="s">
        <v>72</v>
      </c>
      <c r="K1386" s="48">
        <f t="shared" si="288"/>
        <v>8</v>
      </c>
      <c r="L1386" s="48">
        <f t="shared" si="289"/>
        <v>68</v>
      </c>
      <c r="N1386" s="215">
        <f t="shared" si="286"/>
        <v>106</v>
      </c>
      <c r="S1386" s="200" t="s">
        <v>2854</v>
      </c>
      <c r="T1386" s="201">
        <v>39</v>
      </c>
      <c r="U1386" s="58" t="s">
        <v>2855</v>
      </c>
      <c r="V1386" s="46"/>
      <c r="W1386" s="46"/>
      <c r="X1386" s="62" t="s">
        <v>25</v>
      </c>
      <c r="Y1386" s="63">
        <f t="shared" si="283"/>
        <v>4.5567452830188682</v>
      </c>
      <c r="Z1386" s="64">
        <f t="shared" si="287"/>
        <v>0</v>
      </c>
    </row>
    <row r="1387" spans="1:26" ht="15.75" customHeight="1">
      <c r="A1387" s="63">
        <v>20260087</v>
      </c>
      <c r="B1387" s="65" t="s">
        <v>2760</v>
      </c>
      <c r="C1387" s="66">
        <v>46094</v>
      </c>
      <c r="E1387" s="63">
        <v>64</v>
      </c>
      <c r="F1387" s="68">
        <v>276.61799999999999</v>
      </c>
      <c r="G1387" s="69">
        <v>41.6</v>
      </c>
      <c r="H1387" s="65" t="s">
        <v>1766</v>
      </c>
      <c r="I1387" s="65" t="s">
        <v>72</v>
      </c>
      <c r="J1387" s="65" t="s">
        <v>72</v>
      </c>
      <c r="K1387" s="48">
        <f t="shared" si="288"/>
        <v>8</v>
      </c>
      <c r="L1387" s="48">
        <f t="shared" si="289"/>
        <v>68</v>
      </c>
      <c r="N1387" s="215">
        <f t="shared" si="286"/>
        <v>64</v>
      </c>
      <c r="S1387" s="200" t="s">
        <v>2856</v>
      </c>
      <c r="T1387" s="201">
        <v>40</v>
      </c>
      <c r="U1387" s="58" t="s">
        <v>2857</v>
      </c>
      <c r="V1387" s="46"/>
      <c r="W1387" s="46"/>
      <c r="X1387" s="62" t="s">
        <v>25</v>
      </c>
      <c r="Y1387" s="63">
        <f t="shared" si="283"/>
        <v>4.3221562499999999</v>
      </c>
      <c r="Z1387" s="64">
        <f t="shared" si="287"/>
        <v>0</v>
      </c>
    </row>
    <row r="1388" spans="1:26" ht="15.75" customHeight="1">
      <c r="A1388" s="63">
        <v>20260087</v>
      </c>
      <c r="B1388" s="65" t="s">
        <v>2760</v>
      </c>
      <c r="C1388" s="66">
        <v>46094</v>
      </c>
      <c r="E1388" s="63">
        <v>79</v>
      </c>
      <c r="F1388" s="68">
        <v>671.28499999999997</v>
      </c>
      <c r="G1388" s="69">
        <v>51.35</v>
      </c>
      <c r="H1388" s="65" t="s">
        <v>1766</v>
      </c>
      <c r="I1388" s="65" t="s">
        <v>72</v>
      </c>
      <c r="J1388" s="65" t="s">
        <v>72</v>
      </c>
      <c r="K1388" s="48">
        <f t="shared" si="288"/>
        <v>8</v>
      </c>
      <c r="L1388" s="48">
        <f t="shared" si="289"/>
        <v>68</v>
      </c>
      <c r="N1388" s="215">
        <f t="shared" si="286"/>
        <v>79</v>
      </c>
      <c r="S1388" s="200" t="s">
        <v>2858</v>
      </c>
      <c r="T1388" s="201">
        <v>41</v>
      </c>
      <c r="U1388" s="58" t="s">
        <v>2859</v>
      </c>
      <c r="V1388" s="46"/>
      <c r="W1388" s="46"/>
      <c r="X1388" s="62" t="s">
        <v>25</v>
      </c>
      <c r="Y1388" s="63">
        <f t="shared" si="283"/>
        <v>8.4972784810126587</v>
      </c>
      <c r="Z1388" s="64">
        <f t="shared" si="287"/>
        <v>0</v>
      </c>
    </row>
    <row r="1389" spans="1:26" ht="15.75" customHeight="1">
      <c r="A1389" s="63">
        <v>20260087</v>
      </c>
      <c r="B1389" s="65" t="s">
        <v>2760</v>
      </c>
      <c r="C1389" s="66">
        <v>46094</v>
      </c>
      <c r="E1389" s="63">
        <v>72</v>
      </c>
      <c r="F1389" s="68">
        <v>395.38</v>
      </c>
      <c r="G1389" s="69">
        <v>46.800000000000004</v>
      </c>
      <c r="H1389" s="65" t="s">
        <v>1766</v>
      </c>
      <c r="I1389" s="65" t="s">
        <v>72</v>
      </c>
      <c r="J1389" s="65" t="s">
        <v>72</v>
      </c>
      <c r="K1389" s="48">
        <f t="shared" si="288"/>
        <v>8</v>
      </c>
      <c r="L1389" s="48">
        <f t="shared" si="289"/>
        <v>68</v>
      </c>
      <c r="N1389" s="215">
        <f t="shared" si="286"/>
        <v>72</v>
      </c>
      <c r="S1389" s="200" t="s">
        <v>2860</v>
      </c>
      <c r="T1389" s="201">
        <v>42</v>
      </c>
      <c r="U1389" s="58" t="s">
        <v>2861</v>
      </c>
      <c r="V1389" s="46"/>
      <c r="W1389" s="46"/>
      <c r="X1389" s="62" t="s">
        <v>25</v>
      </c>
      <c r="Y1389" s="63">
        <f t="shared" si="283"/>
        <v>5.4913888888888884</v>
      </c>
      <c r="Z1389" s="64">
        <f t="shared" si="287"/>
        <v>0</v>
      </c>
    </row>
    <row r="1390" spans="1:26" ht="15.75" customHeight="1">
      <c r="A1390" s="63">
        <v>20260087</v>
      </c>
      <c r="B1390" s="65" t="s">
        <v>2760</v>
      </c>
      <c r="C1390" s="66">
        <v>46094</v>
      </c>
      <c r="E1390" s="63">
        <v>75</v>
      </c>
      <c r="F1390" s="68">
        <v>439.34500000000003</v>
      </c>
      <c r="G1390" s="69">
        <v>48.75</v>
      </c>
      <c r="H1390" s="65" t="s">
        <v>1766</v>
      </c>
      <c r="I1390" s="65" t="s">
        <v>72</v>
      </c>
      <c r="J1390" s="65" t="s">
        <v>72</v>
      </c>
      <c r="K1390" s="48">
        <f t="shared" si="288"/>
        <v>8</v>
      </c>
      <c r="L1390" s="48">
        <f t="shared" si="289"/>
        <v>68</v>
      </c>
      <c r="N1390" s="215">
        <f t="shared" si="286"/>
        <v>75</v>
      </c>
      <c r="S1390" s="200" t="s">
        <v>2862</v>
      </c>
      <c r="T1390" s="201">
        <v>43</v>
      </c>
      <c r="U1390" s="58" t="s">
        <v>2863</v>
      </c>
      <c r="V1390" s="46"/>
      <c r="W1390" s="46"/>
      <c r="X1390" s="62" t="s">
        <v>25</v>
      </c>
      <c r="Y1390" s="63">
        <f t="shared" si="283"/>
        <v>5.8579333333333334</v>
      </c>
      <c r="Z1390" s="64">
        <f t="shared" si="287"/>
        <v>0</v>
      </c>
    </row>
    <row r="1391" spans="1:26" ht="15.75" customHeight="1">
      <c r="A1391" s="63">
        <v>20260087</v>
      </c>
      <c r="B1391" s="65" t="s">
        <v>2760</v>
      </c>
      <c r="C1391" s="66">
        <v>46094</v>
      </c>
      <c r="E1391" s="63">
        <v>112</v>
      </c>
      <c r="F1391" s="68">
        <v>1101.7</v>
      </c>
      <c r="G1391" s="69">
        <v>72.8</v>
      </c>
      <c r="H1391" s="65" t="s">
        <v>1766</v>
      </c>
      <c r="I1391" s="65" t="s">
        <v>72</v>
      </c>
      <c r="J1391" s="65" t="s">
        <v>72</v>
      </c>
      <c r="K1391" s="48">
        <f t="shared" si="288"/>
        <v>8</v>
      </c>
      <c r="L1391" s="48">
        <f t="shared" si="289"/>
        <v>68</v>
      </c>
      <c r="N1391" s="215">
        <f t="shared" si="286"/>
        <v>112</v>
      </c>
      <c r="S1391" s="200" t="s">
        <v>2864</v>
      </c>
      <c r="T1391" s="201">
        <v>44</v>
      </c>
      <c r="U1391" s="58" t="s">
        <v>2865</v>
      </c>
      <c r="V1391" s="46"/>
      <c r="W1391" s="46"/>
      <c r="X1391" s="62" t="s">
        <v>25</v>
      </c>
      <c r="Y1391" s="63">
        <f t="shared" si="283"/>
        <v>9.8366071428571438</v>
      </c>
      <c r="Z1391" s="64">
        <f t="shared" si="287"/>
        <v>0</v>
      </c>
    </row>
    <row r="1392" spans="1:26" ht="15.75" customHeight="1">
      <c r="A1392" s="87">
        <v>20260093</v>
      </c>
      <c r="B1392" s="88" t="s">
        <v>2866</v>
      </c>
      <c r="C1392" s="89">
        <v>46098</v>
      </c>
      <c r="E1392" s="63">
        <v>82</v>
      </c>
      <c r="F1392" s="68">
        <v>759.31</v>
      </c>
      <c r="G1392" s="69">
        <v>52.48</v>
      </c>
      <c r="H1392" s="65" t="s">
        <v>2867</v>
      </c>
      <c r="I1392" s="65" t="s">
        <v>72</v>
      </c>
      <c r="J1392" s="65" t="s">
        <v>72</v>
      </c>
      <c r="K1392" s="48">
        <f t="shared" si="288"/>
        <v>8</v>
      </c>
      <c r="L1392" s="48">
        <f t="shared" si="289"/>
        <v>68</v>
      </c>
      <c r="N1392" s="215">
        <f t="shared" si="286"/>
        <v>82</v>
      </c>
      <c r="S1392" s="200" t="s">
        <v>2868</v>
      </c>
      <c r="T1392" s="201">
        <v>1</v>
      </c>
      <c r="U1392" s="58" t="s">
        <v>2869</v>
      </c>
      <c r="V1392" s="46"/>
      <c r="W1392" s="46"/>
      <c r="X1392" s="62" t="s">
        <v>25</v>
      </c>
      <c r="Y1392" s="63">
        <f t="shared" si="283"/>
        <v>9.2598780487804877</v>
      </c>
      <c r="Z1392" s="64">
        <f t="shared" si="287"/>
        <v>0</v>
      </c>
    </row>
    <row r="1393" spans="1:26" ht="15.75" customHeight="1">
      <c r="A1393" s="63">
        <v>20260093</v>
      </c>
      <c r="B1393" s="65" t="s">
        <v>2866</v>
      </c>
      <c r="C1393" s="66">
        <v>46098</v>
      </c>
      <c r="E1393" s="63">
        <v>1065</v>
      </c>
      <c r="F1393" s="68">
        <v>10741.44</v>
      </c>
      <c r="G1393" s="69">
        <v>681.6</v>
      </c>
      <c r="H1393" s="65" t="s">
        <v>928</v>
      </c>
      <c r="I1393" s="65" t="s">
        <v>72</v>
      </c>
      <c r="J1393" s="65" t="s">
        <v>72</v>
      </c>
      <c r="K1393" s="48">
        <f t="shared" si="288"/>
        <v>8</v>
      </c>
      <c r="L1393" s="48">
        <f t="shared" si="289"/>
        <v>68</v>
      </c>
      <c r="N1393" s="215">
        <f t="shared" si="286"/>
        <v>1065</v>
      </c>
      <c r="S1393" s="200" t="s">
        <v>2870</v>
      </c>
      <c r="T1393" s="201">
        <v>2</v>
      </c>
      <c r="U1393" s="58" t="s">
        <v>666</v>
      </c>
      <c r="V1393" s="46"/>
      <c r="W1393" s="46"/>
      <c r="X1393" s="62" t="s">
        <v>25</v>
      </c>
      <c r="Y1393" s="63">
        <f t="shared" si="283"/>
        <v>10.085859154929578</v>
      </c>
      <c r="Z1393" s="64">
        <f t="shared" si="287"/>
        <v>0</v>
      </c>
    </row>
    <row r="1394" spans="1:26" ht="15.75" customHeight="1">
      <c r="A1394" s="63">
        <v>20260093</v>
      </c>
      <c r="B1394" s="65" t="s">
        <v>2866</v>
      </c>
      <c r="C1394" s="66">
        <v>46098</v>
      </c>
      <c r="E1394" s="63">
        <v>831</v>
      </c>
      <c r="F1394" s="68">
        <v>6768.7049999999999</v>
      </c>
      <c r="G1394" s="69">
        <v>531.84</v>
      </c>
      <c r="H1394" s="65" t="s">
        <v>666</v>
      </c>
      <c r="I1394" s="65" t="s">
        <v>72</v>
      </c>
      <c r="J1394" s="65" t="s">
        <v>72</v>
      </c>
      <c r="K1394" s="48">
        <f t="shared" si="288"/>
        <v>8</v>
      </c>
      <c r="L1394" s="48">
        <f t="shared" si="289"/>
        <v>68</v>
      </c>
      <c r="N1394" s="215">
        <f t="shared" si="286"/>
        <v>831</v>
      </c>
      <c r="S1394" s="200" t="s">
        <v>2871</v>
      </c>
      <c r="T1394" s="201">
        <v>3</v>
      </c>
      <c r="U1394" s="58" t="s">
        <v>666</v>
      </c>
      <c r="V1394" s="46"/>
      <c r="W1394" s="46"/>
      <c r="X1394" s="62" t="s">
        <v>25</v>
      </c>
      <c r="Y1394" s="63">
        <f t="shared" si="283"/>
        <v>8.1452527075812267</v>
      </c>
      <c r="Z1394" s="64">
        <f t="shared" si="287"/>
        <v>0</v>
      </c>
    </row>
    <row r="1395" spans="1:26" ht="15.75" customHeight="1">
      <c r="A1395" s="63">
        <v>20260093</v>
      </c>
      <c r="B1395" s="65" t="s">
        <v>2866</v>
      </c>
      <c r="C1395" s="66">
        <v>46098</v>
      </c>
      <c r="E1395" s="63">
        <v>161</v>
      </c>
      <c r="F1395" s="68">
        <v>1479.04</v>
      </c>
      <c r="G1395" s="69">
        <v>103.04</v>
      </c>
      <c r="H1395" s="65" t="s">
        <v>1596</v>
      </c>
      <c r="I1395" s="65" t="s">
        <v>72</v>
      </c>
      <c r="J1395" s="65" t="s">
        <v>72</v>
      </c>
      <c r="K1395" s="48">
        <f t="shared" si="288"/>
        <v>8</v>
      </c>
      <c r="L1395" s="48">
        <f t="shared" si="289"/>
        <v>68</v>
      </c>
      <c r="N1395" s="215">
        <f t="shared" si="286"/>
        <v>161</v>
      </c>
      <c r="S1395" s="200" t="s">
        <v>2872</v>
      </c>
      <c r="T1395" s="201">
        <v>4</v>
      </c>
      <c r="U1395" s="58" t="s">
        <v>666</v>
      </c>
      <c r="V1395" s="46"/>
      <c r="W1395" s="46"/>
      <c r="X1395" s="62" t="s">
        <v>25</v>
      </c>
      <c r="Y1395" s="63">
        <f t="shared" si="283"/>
        <v>9.186583850931676</v>
      </c>
      <c r="Z1395" s="64">
        <f t="shared" si="287"/>
        <v>0</v>
      </c>
    </row>
    <row r="1396" spans="1:26" ht="15.75" customHeight="1">
      <c r="A1396" s="63">
        <v>20260093</v>
      </c>
      <c r="B1396" s="65" t="s">
        <v>2866</v>
      </c>
      <c r="C1396" s="66">
        <v>46098</v>
      </c>
      <c r="E1396" s="63">
        <v>159</v>
      </c>
      <c r="F1396" s="68">
        <v>1481.4</v>
      </c>
      <c r="G1396" s="69">
        <v>101.76</v>
      </c>
      <c r="H1396" s="65" t="s">
        <v>2873</v>
      </c>
      <c r="I1396" s="65" t="s">
        <v>72</v>
      </c>
      <c r="J1396" s="65" t="s">
        <v>72</v>
      </c>
      <c r="K1396" s="48">
        <f t="shared" si="288"/>
        <v>8</v>
      </c>
      <c r="L1396" s="48">
        <f t="shared" si="289"/>
        <v>68</v>
      </c>
      <c r="N1396" s="215">
        <f t="shared" si="286"/>
        <v>159</v>
      </c>
      <c r="S1396" s="200" t="s">
        <v>2874</v>
      </c>
      <c r="T1396" s="201">
        <v>5</v>
      </c>
      <c r="U1396" s="58" t="s">
        <v>666</v>
      </c>
      <c r="V1396" s="46"/>
      <c r="W1396" s="46"/>
      <c r="X1396" s="62" t="s">
        <v>25</v>
      </c>
      <c r="Y1396" s="63">
        <f t="shared" ref="Y1396:Y1459" si="290">F1396/E1396</f>
        <v>9.3169811320754725</v>
      </c>
      <c r="Z1396" s="64">
        <f t="shared" si="287"/>
        <v>0</v>
      </c>
    </row>
    <row r="1397" spans="1:26" ht="15.75" customHeight="1">
      <c r="A1397" s="63">
        <v>20260093</v>
      </c>
      <c r="B1397" s="65" t="s">
        <v>2866</v>
      </c>
      <c r="C1397" s="66">
        <v>46098</v>
      </c>
      <c r="E1397" s="63">
        <v>675</v>
      </c>
      <c r="F1397" s="68">
        <v>499.64</v>
      </c>
      <c r="G1397" s="69">
        <v>432</v>
      </c>
      <c r="H1397" s="65" t="s">
        <v>2875</v>
      </c>
      <c r="I1397" s="65" t="s">
        <v>72</v>
      </c>
      <c r="J1397" s="65" t="s">
        <v>72</v>
      </c>
      <c r="K1397" s="48">
        <f t="shared" si="288"/>
        <v>8</v>
      </c>
      <c r="L1397" s="48">
        <f t="shared" si="289"/>
        <v>68</v>
      </c>
      <c r="N1397" s="215">
        <f t="shared" si="286"/>
        <v>675</v>
      </c>
      <c r="S1397" s="200" t="s">
        <v>2876</v>
      </c>
      <c r="T1397" s="201">
        <v>37</v>
      </c>
      <c r="U1397" s="58" t="s">
        <v>2877</v>
      </c>
      <c r="V1397" s="46"/>
      <c r="W1397" s="46"/>
      <c r="X1397" s="62" t="s">
        <v>25</v>
      </c>
      <c r="Y1397" s="63">
        <f t="shared" si="290"/>
        <v>0.74020740740740743</v>
      </c>
      <c r="Z1397" s="64">
        <f t="shared" si="287"/>
        <v>0</v>
      </c>
    </row>
    <row r="1398" spans="1:26" ht="15.75" customHeight="1">
      <c r="A1398" s="63">
        <v>20260093</v>
      </c>
      <c r="B1398" s="65" t="s">
        <v>2866</v>
      </c>
      <c r="C1398" s="66">
        <v>46098</v>
      </c>
      <c r="E1398" s="63">
        <v>8026</v>
      </c>
      <c r="F1398" s="68">
        <v>2881.1239999999998</v>
      </c>
      <c r="H1398" s="65" t="s">
        <v>2878</v>
      </c>
      <c r="I1398" s="65" t="s">
        <v>52</v>
      </c>
      <c r="J1398" s="65" t="s">
        <v>52</v>
      </c>
      <c r="K1398" s="48">
        <f t="shared" si="288"/>
        <v>8</v>
      </c>
      <c r="L1398" s="48">
        <f t="shared" si="289"/>
        <v>68</v>
      </c>
      <c r="N1398" s="215">
        <f t="shared" si="286"/>
        <v>8026</v>
      </c>
      <c r="S1398" s="200" t="s">
        <v>2879</v>
      </c>
      <c r="T1398" s="201">
        <v>38</v>
      </c>
      <c r="U1398" s="58" t="s">
        <v>2880</v>
      </c>
      <c r="V1398" s="46"/>
      <c r="W1398" s="46"/>
      <c r="X1398" s="62" t="s">
        <v>25</v>
      </c>
      <c r="Y1398" s="63">
        <f t="shared" si="290"/>
        <v>0.35897383503613256</v>
      </c>
      <c r="Z1398" s="64">
        <f t="shared" si="287"/>
        <v>0</v>
      </c>
    </row>
    <row r="1399" spans="1:26" ht="15.75" customHeight="1">
      <c r="A1399" s="63">
        <v>20260093</v>
      </c>
      <c r="B1399" s="65" t="s">
        <v>2866</v>
      </c>
      <c r="C1399" s="66">
        <v>46098</v>
      </c>
      <c r="E1399" s="63">
        <v>2120</v>
      </c>
      <c r="F1399" s="68">
        <v>1495.08</v>
      </c>
      <c r="H1399" s="65" t="s">
        <v>2881</v>
      </c>
      <c r="I1399" s="65" t="s">
        <v>52</v>
      </c>
      <c r="J1399" s="65" t="s">
        <v>52</v>
      </c>
      <c r="K1399" s="48">
        <f t="shared" si="288"/>
        <v>8</v>
      </c>
      <c r="L1399" s="48">
        <f t="shared" si="289"/>
        <v>68</v>
      </c>
      <c r="N1399" s="215">
        <f t="shared" si="286"/>
        <v>2120</v>
      </c>
      <c r="S1399" s="200" t="s">
        <v>2882</v>
      </c>
      <c r="T1399" s="201">
        <v>39</v>
      </c>
      <c r="U1399" s="58" t="s">
        <v>2877</v>
      </c>
      <c r="V1399" s="46"/>
      <c r="W1399" s="46"/>
      <c r="X1399" s="62" t="s">
        <v>25</v>
      </c>
      <c r="Y1399" s="63">
        <f t="shared" si="290"/>
        <v>0.70522641509433959</v>
      </c>
      <c r="Z1399" s="64">
        <f t="shared" si="287"/>
        <v>0</v>
      </c>
    </row>
    <row r="1400" spans="1:26" ht="15.75" customHeight="1">
      <c r="A1400" s="63">
        <v>20260093</v>
      </c>
      <c r="B1400" s="65" t="s">
        <v>2866</v>
      </c>
      <c r="C1400" s="66">
        <v>46098</v>
      </c>
      <c r="E1400" s="63">
        <v>10949</v>
      </c>
      <c r="F1400" s="68">
        <v>4841.5720000000001</v>
      </c>
      <c r="H1400" s="65" t="s">
        <v>1891</v>
      </c>
      <c r="I1400" s="65" t="s">
        <v>52</v>
      </c>
      <c r="J1400" s="65" t="s">
        <v>52</v>
      </c>
      <c r="K1400" s="48">
        <f t="shared" si="288"/>
        <v>8</v>
      </c>
      <c r="L1400" s="48">
        <f t="shared" si="289"/>
        <v>68</v>
      </c>
      <c r="N1400" s="215">
        <f t="shared" si="286"/>
        <v>10949</v>
      </c>
      <c r="S1400" s="200" t="s">
        <v>2883</v>
      </c>
      <c r="T1400" s="201">
        <v>40</v>
      </c>
      <c r="U1400" s="58" t="s">
        <v>2880</v>
      </c>
      <c r="V1400" s="46"/>
      <c r="W1400" s="46"/>
      <c r="X1400" s="62" t="s">
        <v>25</v>
      </c>
      <c r="Y1400" s="63">
        <f t="shared" si="290"/>
        <v>0.44219307699333271</v>
      </c>
      <c r="Z1400" s="64">
        <f t="shared" si="287"/>
        <v>0</v>
      </c>
    </row>
    <row r="1401" spans="1:26" ht="15.75" customHeight="1">
      <c r="A1401" s="63">
        <v>20260093</v>
      </c>
      <c r="B1401" s="65" t="s">
        <v>2866</v>
      </c>
      <c r="C1401" s="66">
        <v>46098</v>
      </c>
      <c r="E1401" s="63">
        <v>57</v>
      </c>
      <c r="F1401" s="68">
        <v>408.185</v>
      </c>
      <c r="G1401" s="69">
        <v>36.479999999999997</v>
      </c>
      <c r="H1401" s="65" t="s">
        <v>2884</v>
      </c>
      <c r="I1401" s="65" t="s">
        <v>72</v>
      </c>
      <c r="J1401" s="65" t="s">
        <v>72</v>
      </c>
      <c r="K1401" s="48">
        <f t="shared" si="288"/>
        <v>8</v>
      </c>
      <c r="L1401" s="48">
        <f t="shared" si="289"/>
        <v>68</v>
      </c>
      <c r="N1401" s="215">
        <f t="shared" si="286"/>
        <v>57</v>
      </c>
      <c r="S1401" s="200" t="s">
        <v>2885</v>
      </c>
      <c r="T1401" s="201">
        <v>41</v>
      </c>
      <c r="U1401" s="58" t="s">
        <v>1022</v>
      </c>
      <c r="V1401" s="46"/>
      <c r="W1401" s="46"/>
      <c r="X1401" s="62" t="s">
        <v>25</v>
      </c>
      <c r="Y1401" s="63">
        <f t="shared" si="290"/>
        <v>7.1611403508771927</v>
      </c>
      <c r="Z1401" s="64">
        <f t="shared" si="287"/>
        <v>0</v>
      </c>
    </row>
    <row r="1402" spans="1:26" ht="15.75" customHeight="1">
      <c r="A1402" s="63">
        <v>20260093</v>
      </c>
      <c r="B1402" s="65" t="s">
        <v>2866</v>
      </c>
      <c r="C1402" s="66">
        <v>46098</v>
      </c>
      <c r="E1402" s="63">
        <v>200</v>
      </c>
      <c r="F1402" s="68">
        <v>2139</v>
      </c>
      <c r="G1402" s="69">
        <v>8000</v>
      </c>
      <c r="H1402" s="65" t="s">
        <v>1321</v>
      </c>
      <c r="I1402" s="65" t="s">
        <v>106</v>
      </c>
      <c r="J1402" s="65" t="s">
        <v>29</v>
      </c>
      <c r="K1402" s="48">
        <f t="shared" si="288"/>
        <v>8</v>
      </c>
      <c r="L1402" s="48">
        <f t="shared" si="289"/>
        <v>68</v>
      </c>
      <c r="N1402" s="72">
        <f t="shared" si="286"/>
        <v>200</v>
      </c>
      <c r="O1402" s="50">
        <f t="shared" ref="O1402:O1437" si="291">F1402/E1402*N1402</f>
        <v>2139</v>
      </c>
      <c r="P1402" s="56">
        <f t="shared" ref="P1402:P1437" si="292">G1402/E1402*N1402</f>
        <v>8000</v>
      </c>
      <c r="S1402" s="200" t="s">
        <v>2886</v>
      </c>
      <c r="T1402" s="201">
        <v>6</v>
      </c>
      <c r="U1402" s="58" t="s">
        <v>2887</v>
      </c>
      <c r="V1402" s="46"/>
      <c r="W1402" s="46"/>
      <c r="X1402" s="62" t="s">
        <v>25</v>
      </c>
      <c r="Y1402" s="63">
        <f t="shared" si="290"/>
        <v>10.695</v>
      </c>
      <c r="Z1402" s="64">
        <f t="shared" si="287"/>
        <v>0</v>
      </c>
    </row>
    <row r="1403" spans="1:26" ht="15.75" customHeight="1">
      <c r="A1403" s="63">
        <v>20260093</v>
      </c>
      <c r="B1403" s="65" t="s">
        <v>2866</v>
      </c>
      <c r="C1403" s="66">
        <v>46098</v>
      </c>
      <c r="E1403" s="63">
        <v>47</v>
      </c>
      <c r="F1403" s="68">
        <v>2.548</v>
      </c>
      <c r="G1403" s="69">
        <v>0</v>
      </c>
      <c r="H1403" s="65" t="s">
        <v>1321</v>
      </c>
      <c r="I1403" s="65" t="s">
        <v>24</v>
      </c>
      <c r="J1403" s="65" t="s">
        <v>24</v>
      </c>
      <c r="K1403" s="48">
        <f t="shared" si="288"/>
        <v>8</v>
      </c>
      <c r="L1403" s="48">
        <f t="shared" si="289"/>
        <v>68</v>
      </c>
      <c r="N1403" s="72">
        <f t="shared" si="286"/>
        <v>47</v>
      </c>
      <c r="O1403" s="50">
        <f t="shared" si="291"/>
        <v>2.548</v>
      </c>
      <c r="P1403" s="56">
        <f t="shared" si="292"/>
        <v>0</v>
      </c>
      <c r="S1403" s="200" t="s">
        <v>2888</v>
      </c>
      <c r="T1403" s="201">
        <v>7</v>
      </c>
      <c r="U1403" s="58" t="s">
        <v>527</v>
      </c>
      <c r="V1403" s="46"/>
      <c r="W1403" s="46"/>
      <c r="X1403" s="62" t="s">
        <v>25</v>
      </c>
      <c r="Y1403" s="63">
        <f t="shared" si="290"/>
        <v>5.4212765957446812E-2</v>
      </c>
      <c r="Z1403" s="64">
        <f t="shared" si="287"/>
        <v>0</v>
      </c>
    </row>
    <row r="1404" spans="1:26" ht="15.75" customHeight="1">
      <c r="A1404" s="63">
        <v>20260093</v>
      </c>
      <c r="B1404" s="65" t="s">
        <v>2866</v>
      </c>
      <c r="C1404" s="66">
        <v>46098</v>
      </c>
      <c r="E1404" s="63">
        <v>1</v>
      </c>
      <c r="F1404" s="68">
        <v>1.9950000000000001</v>
      </c>
      <c r="G1404" s="69">
        <v>24</v>
      </c>
      <c r="H1404" s="65" t="s">
        <v>2889</v>
      </c>
      <c r="I1404" s="65" t="s">
        <v>1518</v>
      </c>
      <c r="J1404" s="65" t="s">
        <v>29</v>
      </c>
      <c r="K1404" s="48">
        <f t="shared" si="288"/>
        <v>8</v>
      </c>
      <c r="L1404" s="48">
        <f t="shared" si="289"/>
        <v>68</v>
      </c>
      <c r="N1404" s="72">
        <f t="shared" si="286"/>
        <v>1</v>
      </c>
      <c r="O1404" s="50">
        <f t="shared" si="291"/>
        <v>1.9950000000000001</v>
      </c>
      <c r="P1404" s="56">
        <f t="shared" si="292"/>
        <v>24</v>
      </c>
      <c r="S1404" s="200" t="s">
        <v>2890</v>
      </c>
      <c r="T1404" s="201">
        <v>8</v>
      </c>
      <c r="U1404" s="58" t="s">
        <v>2891</v>
      </c>
      <c r="V1404" s="46"/>
      <c r="W1404" s="46"/>
      <c r="X1404" s="62" t="s">
        <v>25</v>
      </c>
      <c r="Y1404" s="63">
        <f t="shared" si="290"/>
        <v>1.9950000000000001</v>
      </c>
      <c r="Z1404" s="64">
        <f t="shared" si="287"/>
        <v>0</v>
      </c>
    </row>
    <row r="1405" spans="1:26" ht="15.75" customHeight="1">
      <c r="A1405" s="63">
        <v>20260093</v>
      </c>
      <c r="B1405" s="65" t="s">
        <v>2866</v>
      </c>
      <c r="C1405" s="66">
        <v>46098</v>
      </c>
      <c r="E1405" s="63">
        <v>1</v>
      </c>
      <c r="F1405" s="68">
        <v>15</v>
      </c>
      <c r="G1405" s="69">
        <v>24</v>
      </c>
      <c r="H1405" s="65" t="s">
        <v>2091</v>
      </c>
      <c r="I1405" s="65" t="s">
        <v>42</v>
      </c>
      <c r="J1405" s="65" t="s">
        <v>28</v>
      </c>
      <c r="K1405" s="48">
        <f t="shared" si="288"/>
        <v>8</v>
      </c>
      <c r="L1405" s="48">
        <f t="shared" si="289"/>
        <v>68</v>
      </c>
      <c r="N1405" s="72">
        <f t="shared" ref="N1405:N1437" si="293">E1405</f>
        <v>1</v>
      </c>
      <c r="O1405" s="50">
        <f t="shared" si="291"/>
        <v>15</v>
      </c>
      <c r="P1405" s="56">
        <f t="shared" si="292"/>
        <v>24</v>
      </c>
      <c r="S1405" s="200" t="s">
        <v>2892</v>
      </c>
      <c r="T1405" s="201">
        <v>9</v>
      </c>
      <c r="U1405" s="58" t="s">
        <v>2893</v>
      </c>
      <c r="V1405" s="46"/>
      <c r="W1405" s="46"/>
      <c r="X1405" s="62" t="s">
        <v>25</v>
      </c>
      <c r="Y1405" s="63">
        <f t="shared" si="290"/>
        <v>15</v>
      </c>
      <c r="Z1405" s="64">
        <f t="shared" si="287"/>
        <v>0</v>
      </c>
    </row>
    <row r="1406" spans="1:26" ht="15.75" customHeight="1">
      <c r="A1406" s="63">
        <v>20260093</v>
      </c>
      <c r="B1406" s="65" t="s">
        <v>2866</v>
      </c>
      <c r="C1406" s="66">
        <v>46098</v>
      </c>
      <c r="E1406" s="63">
        <v>2</v>
      </c>
      <c r="F1406" s="68">
        <v>38.066666666666698</v>
      </c>
      <c r="G1406" s="69">
        <v>48</v>
      </c>
      <c r="H1406" s="65" t="s">
        <v>2894</v>
      </c>
      <c r="I1406" s="65" t="s">
        <v>208</v>
      </c>
      <c r="J1406" s="65" t="s">
        <v>26</v>
      </c>
      <c r="K1406" s="48">
        <f t="shared" si="288"/>
        <v>8</v>
      </c>
      <c r="L1406" s="48">
        <f t="shared" si="289"/>
        <v>68</v>
      </c>
      <c r="N1406" s="72">
        <f t="shared" si="293"/>
        <v>2</v>
      </c>
      <c r="O1406" s="50">
        <f t="shared" si="291"/>
        <v>38.066666666666698</v>
      </c>
      <c r="P1406" s="56">
        <f t="shared" si="292"/>
        <v>48</v>
      </c>
      <c r="S1406" s="200" t="s">
        <v>2895</v>
      </c>
      <c r="T1406" s="201">
        <v>10</v>
      </c>
      <c r="U1406" s="58" t="s">
        <v>2896</v>
      </c>
      <c r="V1406" s="46"/>
      <c r="W1406" s="46"/>
      <c r="X1406" s="62" t="s">
        <v>25</v>
      </c>
      <c r="Y1406" s="63">
        <f t="shared" si="290"/>
        <v>19.033333333333349</v>
      </c>
      <c r="Z1406" s="64">
        <f t="shared" ref="Z1406:Z1469" si="294">E1406-N1406</f>
        <v>0</v>
      </c>
    </row>
    <row r="1407" spans="1:26" ht="15.75" customHeight="1">
      <c r="A1407" s="63">
        <v>20260093</v>
      </c>
      <c r="B1407" s="65" t="s">
        <v>2866</v>
      </c>
      <c r="C1407" s="66">
        <v>46098</v>
      </c>
      <c r="E1407" s="63">
        <v>1</v>
      </c>
      <c r="F1407" s="68">
        <v>19.033333333333299</v>
      </c>
      <c r="G1407" s="69">
        <v>24</v>
      </c>
      <c r="H1407" s="65" t="s">
        <v>2894</v>
      </c>
      <c r="I1407" s="65" t="s">
        <v>276</v>
      </c>
      <c r="J1407" s="65" t="s">
        <v>26</v>
      </c>
      <c r="K1407" s="48">
        <f t="shared" si="288"/>
        <v>8</v>
      </c>
      <c r="L1407" s="48">
        <f t="shared" si="289"/>
        <v>68</v>
      </c>
      <c r="N1407" s="72">
        <f t="shared" si="293"/>
        <v>1</v>
      </c>
      <c r="O1407" s="50">
        <f t="shared" si="291"/>
        <v>19.033333333333299</v>
      </c>
      <c r="P1407" s="56">
        <f t="shared" si="292"/>
        <v>24</v>
      </c>
      <c r="S1407" s="200" t="s">
        <v>2895</v>
      </c>
      <c r="T1407" s="201">
        <v>10</v>
      </c>
      <c r="U1407" s="58"/>
      <c r="V1407" s="46"/>
      <c r="W1407" s="46"/>
      <c r="X1407" s="62" t="s">
        <v>25</v>
      </c>
      <c r="Y1407" s="63">
        <f t="shared" si="290"/>
        <v>19.033333333333299</v>
      </c>
      <c r="Z1407" s="64">
        <f t="shared" si="294"/>
        <v>0</v>
      </c>
    </row>
    <row r="1408" spans="1:26" ht="15.75" customHeight="1">
      <c r="A1408" s="63">
        <v>20260093</v>
      </c>
      <c r="B1408" s="65" t="s">
        <v>2866</v>
      </c>
      <c r="C1408" s="66">
        <v>46098</v>
      </c>
      <c r="E1408" s="63">
        <v>1</v>
      </c>
      <c r="F1408" s="68">
        <v>16</v>
      </c>
      <c r="G1408" s="69">
        <v>24</v>
      </c>
      <c r="H1408" s="65" t="s">
        <v>2894</v>
      </c>
      <c r="I1408" s="65" t="s">
        <v>208</v>
      </c>
      <c r="J1408" s="65" t="s">
        <v>26</v>
      </c>
      <c r="K1408" s="48">
        <f t="shared" si="288"/>
        <v>8</v>
      </c>
      <c r="L1408" s="48">
        <f t="shared" si="289"/>
        <v>68</v>
      </c>
      <c r="N1408" s="72">
        <f t="shared" si="293"/>
        <v>1</v>
      </c>
      <c r="O1408" s="50">
        <f t="shared" si="291"/>
        <v>16</v>
      </c>
      <c r="P1408" s="56">
        <f t="shared" si="292"/>
        <v>24</v>
      </c>
      <c r="S1408" s="200" t="s">
        <v>2897</v>
      </c>
      <c r="T1408" s="201">
        <v>11</v>
      </c>
      <c r="U1408" s="58" t="s">
        <v>2898</v>
      </c>
      <c r="V1408" s="46"/>
      <c r="W1408" s="46"/>
      <c r="X1408" s="62" t="s">
        <v>25</v>
      </c>
      <c r="Y1408" s="63">
        <f t="shared" si="290"/>
        <v>16</v>
      </c>
      <c r="Z1408" s="64">
        <f t="shared" si="294"/>
        <v>0</v>
      </c>
    </row>
    <row r="1409" spans="1:26" ht="15.75" customHeight="1">
      <c r="A1409" s="63">
        <v>20260093</v>
      </c>
      <c r="B1409" s="65" t="s">
        <v>2866</v>
      </c>
      <c r="C1409" s="66">
        <v>46098</v>
      </c>
      <c r="E1409" s="63">
        <v>1</v>
      </c>
      <c r="F1409" s="68">
        <v>15</v>
      </c>
      <c r="G1409" s="69">
        <v>24</v>
      </c>
      <c r="H1409" s="65" t="s">
        <v>2899</v>
      </c>
      <c r="I1409" s="65" t="s">
        <v>42</v>
      </c>
      <c r="J1409" s="65" t="s">
        <v>28</v>
      </c>
      <c r="K1409" s="48">
        <f t="shared" si="288"/>
        <v>8</v>
      </c>
      <c r="L1409" s="48">
        <f t="shared" si="289"/>
        <v>68</v>
      </c>
      <c r="N1409" s="72">
        <f t="shared" si="293"/>
        <v>1</v>
      </c>
      <c r="O1409" s="50">
        <f t="shared" si="291"/>
        <v>15</v>
      </c>
      <c r="P1409" s="56">
        <f t="shared" si="292"/>
        <v>24</v>
      </c>
      <c r="S1409" s="200" t="s">
        <v>2900</v>
      </c>
      <c r="T1409" s="201">
        <v>12</v>
      </c>
      <c r="U1409" s="58" t="s">
        <v>2901</v>
      </c>
      <c r="V1409" s="46"/>
      <c r="W1409" s="46"/>
      <c r="X1409" s="62" t="s">
        <v>25</v>
      </c>
      <c r="Y1409" s="63">
        <f t="shared" si="290"/>
        <v>15</v>
      </c>
      <c r="Z1409" s="64">
        <f t="shared" si="294"/>
        <v>0</v>
      </c>
    </row>
    <row r="1410" spans="1:26" ht="15.75" customHeight="1">
      <c r="A1410" s="63">
        <v>20260093</v>
      </c>
      <c r="B1410" s="65" t="s">
        <v>2866</v>
      </c>
      <c r="C1410" s="66">
        <v>46098</v>
      </c>
      <c r="E1410" s="63">
        <v>1</v>
      </c>
      <c r="F1410" s="68">
        <v>17.5</v>
      </c>
      <c r="G1410" s="69">
        <v>24</v>
      </c>
      <c r="H1410" s="65" t="s">
        <v>2902</v>
      </c>
      <c r="I1410" s="65" t="s">
        <v>42</v>
      </c>
      <c r="J1410" s="65" t="s">
        <v>28</v>
      </c>
      <c r="K1410" s="48">
        <f t="shared" si="288"/>
        <v>8</v>
      </c>
      <c r="L1410" s="48">
        <f t="shared" si="289"/>
        <v>68</v>
      </c>
      <c r="N1410" s="72">
        <f t="shared" si="293"/>
        <v>1</v>
      </c>
      <c r="O1410" s="50">
        <f t="shared" si="291"/>
        <v>17.5</v>
      </c>
      <c r="P1410" s="56">
        <f t="shared" si="292"/>
        <v>24</v>
      </c>
      <c r="S1410" s="200" t="s">
        <v>2903</v>
      </c>
      <c r="T1410" s="201">
        <v>13</v>
      </c>
      <c r="U1410" s="58" t="s">
        <v>2904</v>
      </c>
      <c r="V1410" s="46"/>
      <c r="W1410" s="46"/>
      <c r="X1410" s="62" t="s">
        <v>25</v>
      </c>
      <c r="Y1410" s="63">
        <f t="shared" si="290"/>
        <v>17.5</v>
      </c>
      <c r="Z1410" s="64">
        <f t="shared" si="294"/>
        <v>0</v>
      </c>
    </row>
    <row r="1411" spans="1:26" ht="15.75" customHeight="1">
      <c r="A1411" s="63">
        <v>20260093</v>
      </c>
      <c r="B1411" s="65" t="s">
        <v>2866</v>
      </c>
      <c r="C1411" s="66">
        <v>46098</v>
      </c>
      <c r="E1411" s="63">
        <v>1</v>
      </c>
      <c r="F1411" s="68">
        <v>17.100000000000001</v>
      </c>
      <c r="G1411" s="69">
        <v>24</v>
      </c>
      <c r="H1411" s="65" t="s">
        <v>2905</v>
      </c>
      <c r="I1411" s="65" t="s">
        <v>276</v>
      </c>
      <c r="J1411" s="65" t="s">
        <v>26</v>
      </c>
      <c r="K1411" s="48">
        <f t="shared" si="288"/>
        <v>8</v>
      </c>
      <c r="L1411" s="48">
        <f t="shared" si="289"/>
        <v>68</v>
      </c>
      <c r="N1411" s="72">
        <f t="shared" si="293"/>
        <v>1</v>
      </c>
      <c r="O1411" s="50">
        <f t="shared" si="291"/>
        <v>17.100000000000001</v>
      </c>
      <c r="P1411" s="56">
        <f t="shared" si="292"/>
        <v>24</v>
      </c>
      <c r="S1411" s="200" t="s">
        <v>2906</v>
      </c>
      <c r="T1411" s="201">
        <v>14</v>
      </c>
      <c r="U1411" s="58" t="s">
        <v>2907</v>
      </c>
      <c r="V1411" s="46"/>
      <c r="W1411" s="46"/>
      <c r="X1411" s="62" t="s">
        <v>25</v>
      </c>
      <c r="Y1411" s="63">
        <f t="shared" si="290"/>
        <v>17.100000000000001</v>
      </c>
      <c r="Z1411" s="64">
        <f t="shared" si="294"/>
        <v>0</v>
      </c>
    </row>
    <row r="1412" spans="1:26" ht="15.75" customHeight="1">
      <c r="A1412" s="63">
        <v>20260093</v>
      </c>
      <c r="B1412" s="65" t="s">
        <v>2866</v>
      </c>
      <c r="C1412" s="66">
        <v>46098</v>
      </c>
      <c r="E1412" s="63">
        <v>1</v>
      </c>
      <c r="F1412" s="68">
        <v>13.5</v>
      </c>
      <c r="G1412" s="69">
        <v>24</v>
      </c>
      <c r="H1412" s="65" t="s">
        <v>2908</v>
      </c>
      <c r="I1412" s="65" t="s">
        <v>42</v>
      </c>
      <c r="J1412" s="65" t="s">
        <v>28</v>
      </c>
      <c r="K1412" s="48">
        <f t="shared" si="288"/>
        <v>8</v>
      </c>
      <c r="L1412" s="48">
        <f t="shared" si="289"/>
        <v>68</v>
      </c>
      <c r="N1412" s="72">
        <f t="shared" si="293"/>
        <v>1</v>
      </c>
      <c r="O1412" s="50">
        <f t="shared" si="291"/>
        <v>13.5</v>
      </c>
      <c r="P1412" s="56">
        <f t="shared" si="292"/>
        <v>24</v>
      </c>
      <c r="S1412" s="200" t="s">
        <v>2909</v>
      </c>
      <c r="T1412" s="201">
        <v>15</v>
      </c>
      <c r="U1412" s="58" t="s">
        <v>2910</v>
      </c>
      <c r="V1412" s="46"/>
      <c r="W1412" s="46"/>
      <c r="X1412" s="62" t="s">
        <v>25</v>
      </c>
      <c r="Y1412" s="63">
        <f t="shared" si="290"/>
        <v>13.5</v>
      </c>
      <c r="Z1412" s="64">
        <f t="shared" si="294"/>
        <v>0</v>
      </c>
    </row>
    <row r="1413" spans="1:26" ht="15.75" customHeight="1">
      <c r="A1413" s="63">
        <v>20260093</v>
      </c>
      <c r="B1413" s="65" t="s">
        <v>2866</v>
      </c>
      <c r="C1413" s="66">
        <v>46098</v>
      </c>
      <c r="E1413" s="63">
        <v>2</v>
      </c>
      <c r="F1413" s="68">
        <v>30</v>
      </c>
      <c r="G1413" s="69">
        <v>48</v>
      </c>
      <c r="H1413" s="65" t="s">
        <v>2911</v>
      </c>
      <c r="I1413" s="65" t="s">
        <v>42</v>
      </c>
      <c r="J1413" s="65" t="s">
        <v>28</v>
      </c>
      <c r="K1413" s="48">
        <f t="shared" si="288"/>
        <v>8</v>
      </c>
      <c r="L1413" s="48">
        <f t="shared" si="289"/>
        <v>68</v>
      </c>
      <c r="N1413" s="72">
        <f t="shared" si="293"/>
        <v>2</v>
      </c>
      <c r="O1413" s="50">
        <f t="shared" si="291"/>
        <v>30</v>
      </c>
      <c r="P1413" s="56">
        <f t="shared" si="292"/>
        <v>48</v>
      </c>
      <c r="S1413" s="200" t="s">
        <v>2912</v>
      </c>
      <c r="T1413" s="201">
        <v>16</v>
      </c>
      <c r="U1413" s="58" t="s">
        <v>2913</v>
      </c>
      <c r="V1413" s="46"/>
      <c r="W1413" s="46"/>
      <c r="X1413" s="62" t="s">
        <v>25</v>
      </c>
      <c r="Y1413" s="63">
        <f t="shared" si="290"/>
        <v>15</v>
      </c>
      <c r="Z1413" s="64">
        <f t="shared" si="294"/>
        <v>0</v>
      </c>
    </row>
    <row r="1414" spans="1:26" ht="15.75" customHeight="1">
      <c r="A1414" s="63">
        <v>20260093</v>
      </c>
      <c r="B1414" s="65" t="s">
        <v>2866</v>
      </c>
      <c r="C1414" s="66">
        <v>46098</v>
      </c>
      <c r="E1414" s="63">
        <v>1</v>
      </c>
      <c r="F1414" s="68">
        <v>15</v>
      </c>
      <c r="G1414" s="69">
        <v>24</v>
      </c>
      <c r="H1414" s="65" t="s">
        <v>2914</v>
      </c>
      <c r="I1414" s="65" t="s">
        <v>42</v>
      </c>
      <c r="J1414" s="65" t="s">
        <v>28</v>
      </c>
      <c r="K1414" s="48">
        <f t="shared" si="288"/>
        <v>8</v>
      </c>
      <c r="L1414" s="48">
        <f t="shared" si="289"/>
        <v>68</v>
      </c>
      <c r="N1414" s="72">
        <f t="shared" si="293"/>
        <v>1</v>
      </c>
      <c r="O1414" s="50">
        <f t="shared" si="291"/>
        <v>15</v>
      </c>
      <c r="P1414" s="56">
        <f t="shared" si="292"/>
        <v>24</v>
      </c>
      <c r="S1414" s="200" t="s">
        <v>2915</v>
      </c>
      <c r="T1414" s="201">
        <v>17</v>
      </c>
      <c r="U1414" s="58" t="s">
        <v>2916</v>
      </c>
      <c r="V1414" s="46"/>
      <c r="W1414" s="46"/>
      <c r="X1414" s="62" t="s">
        <v>25</v>
      </c>
      <c r="Y1414" s="63">
        <f t="shared" si="290"/>
        <v>15</v>
      </c>
      <c r="Z1414" s="64">
        <f t="shared" si="294"/>
        <v>0</v>
      </c>
    </row>
    <row r="1415" spans="1:26" ht="15.75" customHeight="1">
      <c r="A1415" s="63">
        <v>20260093</v>
      </c>
      <c r="B1415" s="65" t="s">
        <v>2866</v>
      </c>
      <c r="C1415" s="66">
        <v>46098</v>
      </c>
      <c r="E1415" s="63">
        <v>1</v>
      </c>
      <c r="F1415" s="68">
        <v>15</v>
      </c>
      <c r="G1415" s="69">
        <v>24</v>
      </c>
      <c r="H1415" s="65" t="s">
        <v>2917</v>
      </c>
      <c r="I1415" s="65" t="s">
        <v>42</v>
      </c>
      <c r="J1415" s="65" t="s">
        <v>28</v>
      </c>
      <c r="K1415" s="48">
        <f t="shared" si="288"/>
        <v>8</v>
      </c>
      <c r="L1415" s="48">
        <f t="shared" si="289"/>
        <v>68</v>
      </c>
      <c r="N1415" s="72">
        <f t="shared" si="293"/>
        <v>1</v>
      </c>
      <c r="O1415" s="50">
        <f t="shared" si="291"/>
        <v>15</v>
      </c>
      <c r="P1415" s="56">
        <f t="shared" si="292"/>
        <v>24</v>
      </c>
      <c r="S1415" s="200" t="s">
        <v>2918</v>
      </c>
      <c r="T1415" s="201">
        <v>18</v>
      </c>
      <c r="U1415" s="58" t="s">
        <v>2916</v>
      </c>
      <c r="V1415" s="46"/>
      <c r="W1415" s="46"/>
      <c r="X1415" s="62" t="s">
        <v>25</v>
      </c>
      <c r="Y1415" s="63">
        <f t="shared" si="290"/>
        <v>15</v>
      </c>
      <c r="Z1415" s="64">
        <f t="shared" si="294"/>
        <v>0</v>
      </c>
    </row>
    <row r="1416" spans="1:26" ht="15.75" customHeight="1">
      <c r="A1416" s="63">
        <v>20260093</v>
      </c>
      <c r="B1416" s="65" t="s">
        <v>2866</v>
      </c>
      <c r="C1416" s="66">
        <v>46098</v>
      </c>
      <c r="E1416" s="63">
        <v>1</v>
      </c>
      <c r="F1416" s="68">
        <v>15</v>
      </c>
      <c r="G1416" s="69">
        <v>24</v>
      </c>
      <c r="H1416" s="65" t="s">
        <v>2919</v>
      </c>
      <c r="I1416" s="65" t="s">
        <v>42</v>
      </c>
      <c r="J1416" s="65" t="s">
        <v>28</v>
      </c>
      <c r="K1416" s="48">
        <f t="shared" si="288"/>
        <v>8</v>
      </c>
      <c r="L1416" s="48">
        <f t="shared" si="289"/>
        <v>68</v>
      </c>
      <c r="N1416" s="72">
        <f t="shared" si="293"/>
        <v>1</v>
      </c>
      <c r="O1416" s="50">
        <f t="shared" si="291"/>
        <v>15</v>
      </c>
      <c r="P1416" s="56">
        <f t="shared" si="292"/>
        <v>24</v>
      </c>
      <c r="S1416" s="200" t="s">
        <v>2920</v>
      </c>
      <c r="T1416" s="201">
        <v>19</v>
      </c>
      <c r="U1416" s="58" t="s">
        <v>2916</v>
      </c>
      <c r="V1416" s="46"/>
      <c r="W1416" s="46"/>
      <c r="X1416" s="62" t="s">
        <v>25</v>
      </c>
      <c r="Y1416" s="63">
        <f t="shared" si="290"/>
        <v>15</v>
      </c>
      <c r="Z1416" s="64">
        <f t="shared" si="294"/>
        <v>0</v>
      </c>
    </row>
    <row r="1417" spans="1:26" ht="15.75" customHeight="1">
      <c r="A1417" s="63">
        <v>20260093</v>
      </c>
      <c r="B1417" s="65" t="s">
        <v>2866</v>
      </c>
      <c r="C1417" s="66">
        <v>46098</v>
      </c>
      <c r="E1417" s="63">
        <v>1</v>
      </c>
      <c r="F1417" s="68">
        <v>15</v>
      </c>
      <c r="G1417" s="69">
        <v>24</v>
      </c>
      <c r="H1417" s="65" t="s">
        <v>1920</v>
      </c>
      <c r="I1417" s="65" t="s">
        <v>42</v>
      </c>
      <c r="J1417" s="65" t="s">
        <v>28</v>
      </c>
      <c r="K1417" s="48">
        <f t="shared" si="288"/>
        <v>8</v>
      </c>
      <c r="L1417" s="48">
        <f t="shared" si="289"/>
        <v>68</v>
      </c>
      <c r="N1417" s="72">
        <f t="shared" si="293"/>
        <v>1</v>
      </c>
      <c r="O1417" s="50">
        <f t="shared" si="291"/>
        <v>15</v>
      </c>
      <c r="P1417" s="56">
        <f t="shared" si="292"/>
        <v>24</v>
      </c>
      <c r="S1417" s="200" t="s">
        <v>2921</v>
      </c>
      <c r="T1417" s="201">
        <v>20</v>
      </c>
      <c r="U1417" s="58" t="s">
        <v>2922</v>
      </c>
      <c r="V1417" s="46"/>
      <c r="W1417" s="46"/>
      <c r="X1417" s="62" t="s">
        <v>25</v>
      </c>
      <c r="Y1417" s="63">
        <f t="shared" si="290"/>
        <v>15</v>
      </c>
      <c r="Z1417" s="64">
        <f t="shared" si="294"/>
        <v>0</v>
      </c>
    </row>
    <row r="1418" spans="1:26" ht="15.75" customHeight="1">
      <c r="A1418" s="63">
        <v>20260093</v>
      </c>
      <c r="B1418" s="65" t="s">
        <v>2866</v>
      </c>
      <c r="C1418" s="66">
        <v>46098</v>
      </c>
      <c r="E1418" s="63">
        <v>1</v>
      </c>
      <c r="F1418" s="68">
        <v>8.8000000000000007</v>
      </c>
      <c r="G1418" s="69">
        <v>24</v>
      </c>
      <c r="H1418" s="65" t="s">
        <v>1920</v>
      </c>
      <c r="I1418" s="65" t="s">
        <v>42</v>
      </c>
      <c r="J1418" s="65" t="s">
        <v>28</v>
      </c>
      <c r="K1418" s="48">
        <f t="shared" si="288"/>
        <v>8</v>
      </c>
      <c r="L1418" s="48">
        <f t="shared" si="289"/>
        <v>68</v>
      </c>
      <c r="N1418" s="72">
        <f t="shared" si="293"/>
        <v>1</v>
      </c>
      <c r="O1418" s="50">
        <f t="shared" si="291"/>
        <v>8.8000000000000007</v>
      </c>
      <c r="P1418" s="56">
        <f t="shared" si="292"/>
        <v>24</v>
      </c>
      <c r="S1418" s="200" t="s">
        <v>2923</v>
      </c>
      <c r="T1418" s="201">
        <v>21</v>
      </c>
      <c r="U1418" s="58" t="s">
        <v>2924</v>
      </c>
      <c r="V1418" s="46"/>
      <c r="W1418" s="46"/>
      <c r="X1418" s="62" t="s">
        <v>25</v>
      </c>
      <c r="Y1418" s="63">
        <f t="shared" si="290"/>
        <v>8.8000000000000007</v>
      </c>
      <c r="Z1418" s="64">
        <f t="shared" si="294"/>
        <v>0</v>
      </c>
    </row>
    <row r="1419" spans="1:26" ht="15.75" customHeight="1">
      <c r="A1419" s="63">
        <v>20260093</v>
      </c>
      <c r="B1419" s="65" t="s">
        <v>2866</v>
      </c>
      <c r="C1419" s="66">
        <v>46098</v>
      </c>
      <c r="E1419" s="63">
        <v>1</v>
      </c>
      <c r="F1419" s="68">
        <v>15</v>
      </c>
      <c r="G1419" s="69">
        <v>24</v>
      </c>
      <c r="H1419" s="65" t="s">
        <v>2925</v>
      </c>
      <c r="I1419" s="65" t="s">
        <v>42</v>
      </c>
      <c r="J1419" s="65" t="s">
        <v>28</v>
      </c>
      <c r="K1419" s="48">
        <f t="shared" ref="K1419:K1482" si="295">D1419+8</f>
        <v>8</v>
      </c>
      <c r="L1419" s="48">
        <f t="shared" ref="L1419:L1482" si="296">K1419+60</f>
        <v>68</v>
      </c>
      <c r="N1419" s="72">
        <f t="shared" si="293"/>
        <v>1</v>
      </c>
      <c r="O1419" s="50">
        <f t="shared" si="291"/>
        <v>15</v>
      </c>
      <c r="P1419" s="56">
        <f t="shared" si="292"/>
        <v>24</v>
      </c>
      <c r="S1419" s="200" t="s">
        <v>2926</v>
      </c>
      <c r="T1419" s="201">
        <v>22</v>
      </c>
      <c r="U1419" s="58" t="s">
        <v>2916</v>
      </c>
      <c r="V1419" s="46"/>
      <c r="W1419" s="46"/>
      <c r="X1419" s="62" t="s">
        <v>25</v>
      </c>
      <c r="Y1419" s="63">
        <f t="shared" si="290"/>
        <v>15</v>
      </c>
      <c r="Z1419" s="64">
        <f t="shared" si="294"/>
        <v>0</v>
      </c>
    </row>
    <row r="1420" spans="1:26" ht="15.75" customHeight="1">
      <c r="A1420" s="63">
        <v>20260093</v>
      </c>
      <c r="B1420" s="65" t="s">
        <v>2866</v>
      </c>
      <c r="C1420" s="66">
        <v>46098</v>
      </c>
      <c r="E1420" s="63">
        <v>1</v>
      </c>
      <c r="F1420" s="68">
        <v>8.8000000000000007</v>
      </c>
      <c r="G1420" s="69">
        <v>24</v>
      </c>
      <c r="H1420" s="65" t="s">
        <v>2925</v>
      </c>
      <c r="I1420" s="65" t="s">
        <v>42</v>
      </c>
      <c r="J1420" s="65" t="s">
        <v>28</v>
      </c>
      <c r="K1420" s="48">
        <f t="shared" si="295"/>
        <v>8</v>
      </c>
      <c r="L1420" s="48">
        <f t="shared" si="296"/>
        <v>68</v>
      </c>
      <c r="N1420" s="72">
        <f t="shared" si="293"/>
        <v>1</v>
      </c>
      <c r="O1420" s="50">
        <f t="shared" si="291"/>
        <v>8.8000000000000007</v>
      </c>
      <c r="P1420" s="56">
        <f t="shared" si="292"/>
        <v>24</v>
      </c>
      <c r="S1420" s="200" t="s">
        <v>2927</v>
      </c>
      <c r="T1420" s="201">
        <v>23</v>
      </c>
      <c r="U1420" s="58" t="s">
        <v>2928</v>
      </c>
      <c r="V1420" s="46"/>
      <c r="W1420" s="46"/>
      <c r="X1420" s="62" t="s">
        <v>25</v>
      </c>
      <c r="Y1420" s="63">
        <f t="shared" si="290"/>
        <v>8.8000000000000007</v>
      </c>
      <c r="Z1420" s="64">
        <f t="shared" si="294"/>
        <v>0</v>
      </c>
    </row>
    <row r="1421" spans="1:26" ht="15.75" customHeight="1">
      <c r="A1421" s="63">
        <v>20260093</v>
      </c>
      <c r="B1421" s="65" t="s">
        <v>2866</v>
      </c>
      <c r="C1421" s="66">
        <v>46098</v>
      </c>
      <c r="E1421" s="63">
        <v>1</v>
      </c>
      <c r="F1421" s="68">
        <v>17.399999999999999</v>
      </c>
      <c r="G1421" s="69">
        <v>24</v>
      </c>
      <c r="H1421" s="65" t="s">
        <v>2925</v>
      </c>
      <c r="I1421" s="65" t="s">
        <v>276</v>
      </c>
      <c r="J1421" s="65" t="s">
        <v>26</v>
      </c>
      <c r="K1421" s="48">
        <f t="shared" si="295"/>
        <v>8</v>
      </c>
      <c r="L1421" s="48">
        <f t="shared" si="296"/>
        <v>68</v>
      </c>
      <c r="N1421" s="72">
        <f t="shared" si="293"/>
        <v>1</v>
      </c>
      <c r="O1421" s="50">
        <f t="shared" si="291"/>
        <v>17.399999999999999</v>
      </c>
      <c r="P1421" s="56">
        <f t="shared" si="292"/>
        <v>24</v>
      </c>
      <c r="S1421" s="200" t="s">
        <v>2929</v>
      </c>
      <c r="T1421" s="201">
        <v>24</v>
      </c>
      <c r="U1421" s="58" t="s">
        <v>2930</v>
      </c>
      <c r="V1421" s="46"/>
      <c r="W1421" s="46"/>
      <c r="X1421" s="62" t="s">
        <v>25</v>
      </c>
      <c r="Y1421" s="63">
        <f t="shared" si="290"/>
        <v>17.399999999999999</v>
      </c>
      <c r="Z1421" s="64">
        <f t="shared" si="294"/>
        <v>0</v>
      </c>
    </row>
    <row r="1422" spans="1:26" ht="15.75" customHeight="1">
      <c r="A1422" s="63">
        <v>20260093</v>
      </c>
      <c r="B1422" s="65" t="s">
        <v>2866</v>
      </c>
      <c r="C1422" s="66">
        <v>46098</v>
      </c>
      <c r="E1422" s="63">
        <v>2</v>
      </c>
      <c r="F1422" s="68">
        <v>29.06</v>
      </c>
      <c r="G1422" s="69">
        <v>48</v>
      </c>
      <c r="H1422" s="65" t="s">
        <v>1655</v>
      </c>
      <c r="I1422" s="65" t="s">
        <v>42</v>
      </c>
      <c r="J1422" s="65" t="s">
        <v>28</v>
      </c>
      <c r="K1422" s="48">
        <f t="shared" si="295"/>
        <v>8</v>
      </c>
      <c r="L1422" s="48">
        <f t="shared" si="296"/>
        <v>68</v>
      </c>
      <c r="N1422" s="72">
        <f t="shared" si="293"/>
        <v>2</v>
      </c>
      <c r="O1422" s="50">
        <f t="shared" si="291"/>
        <v>29.06</v>
      </c>
      <c r="P1422" s="56">
        <f t="shared" si="292"/>
        <v>48</v>
      </c>
      <c r="S1422" s="200" t="s">
        <v>2931</v>
      </c>
      <c r="T1422" s="201">
        <v>25</v>
      </c>
      <c r="U1422" s="58" t="s">
        <v>2932</v>
      </c>
      <c r="V1422" s="46"/>
      <c r="W1422" s="46"/>
      <c r="X1422" s="62" t="s">
        <v>25</v>
      </c>
      <c r="Y1422" s="63">
        <f t="shared" si="290"/>
        <v>14.53</v>
      </c>
      <c r="Z1422" s="64">
        <f t="shared" si="294"/>
        <v>0</v>
      </c>
    </row>
    <row r="1423" spans="1:26" ht="15.75" customHeight="1">
      <c r="A1423" s="63">
        <v>20260093</v>
      </c>
      <c r="B1423" s="65" t="s">
        <v>2866</v>
      </c>
      <c r="C1423" s="66">
        <v>46098</v>
      </c>
      <c r="E1423" s="63">
        <v>2</v>
      </c>
      <c r="F1423" s="68">
        <v>20.5</v>
      </c>
      <c r="G1423" s="69">
        <v>48</v>
      </c>
      <c r="H1423" s="65" t="s">
        <v>2933</v>
      </c>
      <c r="I1423" s="65" t="s">
        <v>42</v>
      </c>
      <c r="J1423" s="65" t="s">
        <v>28</v>
      </c>
      <c r="K1423" s="48">
        <f t="shared" si="295"/>
        <v>8</v>
      </c>
      <c r="L1423" s="48">
        <f t="shared" si="296"/>
        <v>68</v>
      </c>
      <c r="N1423" s="72">
        <f t="shared" si="293"/>
        <v>2</v>
      </c>
      <c r="O1423" s="50">
        <f t="shared" si="291"/>
        <v>20.5</v>
      </c>
      <c r="P1423" s="56">
        <f t="shared" si="292"/>
        <v>48</v>
      </c>
      <c r="S1423" s="200" t="s">
        <v>2934</v>
      </c>
      <c r="T1423" s="201">
        <v>26</v>
      </c>
      <c r="U1423" s="58" t="s">
        <v>2935</v>
      </c>
      <c r="V1423" s="46"/>
      <c r="W1423" s="46"/>
      <c r="X1423" s="62" t="s">
        <v>25</v>
      </c>
      <c r="Y1423" s="63">
        <f t="shared" si="290"/>
        <v>10.25</v>
      </c>
      <c r="Z1423" s="64">
        <f t="shared" si="294"/>
        <v>0</v>
      </c>
    </row>
    <row r="1424" spans="1:26" ht="15.75" customHeight="1">
      <c r="A1424" s="63">
        <v>20260093</v>
      </c>
      <c r="B1424" s="65" t="s">
        <v>2866</v>
      </c>
      <c r="C1424" s="66">
        <v>46098</v>
      </c>
      <c r="E1424" s="63">
        <v>1</v>
      </c>
      <c r="F1424" s="68">
        <v>15</v>
      </c>
      <c r="G1424" s="69">
        <v>24</v>
      </c>
      <c r="H1424" s="65" t="s">
        <v>2936</v>
      </c>
      <c r="I1424" s="65" t="s">
        <v>42</v>
      </c>
      <c r="J1424" s="65" t="s">
        <v>28</v>
      </c>
      <c r="K1424" s="48">
        <f t="shared" si="295"/>
        <v>8</v>
      </c>
      <c r="L1424" s="48">
        <f t="shared" si="296"/>
        <v>68</v>
      </c>
      <c r="N1424" s="72">
        <f t="shared" si="293"/>
        <v>1</v>
      </c>
      <c r="O1424" s="50">
        <f t="shared" si="291"/>
        <v>15</v>
      </c>
      <c r="P1424" s="56">
        <f t="shared" si="292"/>
        <v>24</v>
      </c>
      <c r="S1424" s="200" t="s">
        <v>2937</v>
      </c>
      <c r="T1424" s="201">
        <v>27</v>
      </c>
      <c r="U1424" s="58" t="s">
        <v>2893</v>
      </c>
      <c r="V1424" s="46"/>
      <c r="W1424" s="46"/>
      <c r="X1424" s="62" t="s">
        <v>25</v>
      </c>
      <c r="Y1424" s="63">
        <f t="shared" si="290"/>
        <v>15</v>
      </c>
      <c r="Z1424" s="64">
        <f t="shared" si="294"/>
        <v>0</v>
      </c>
    </row>
    <row r="1425" spans="1:26" ht="15.75" customHeight="1">
      <c r="A1425" s="63">
        <v>20260093</v>
      </c>
      <c r="B1425" s="65" t="s">
        <v>2866</v>
      </c>
      <c r="C1425" s="66">
        <v>46098</v>
      </c>
      <c r="E1425" s="63">
        <v>2</v>
      </c>
      <c r="F1425" s="68">
        <v>28.5</v>
      </c>
      <c r="G1425" s="69">
        <v>48</v>
      </c>
      <c r="H1425" s="65" t="s">
        <v>2938</v>
      </c>
      <c r="I1425" s="65" t="s">
        <v>42</v>
      </c>
      <c r="J1425" s="65" t="s">
        <v>28</v>
      </c>
      <c r="K1425" s="48">
        <f t="shared" si="295"/>
        <v>8</v>
      </c>
      <c r="L1425" s="48">
        <f t="shared" si="296"/>
        <v>68</v>
      </c>
      <c r="N1425" s="72">
        <f t="shared" si="293"/>
        <v>2</v>
      </c>
      <c r="O1425" s="50">
        <f t="shared" si="291"/>
        <v>28.5</v>
      </c>
      <c r="P1425" s="56">
        <f t="shared" si="292"/>
        <v>48</v>
      </c>
      <c r="S1425" s="200" t="s">
        <v>2939</v>
      </c>
      <c r="T1425" s="201">
        <v>28</v>
      </c>
      <c r="U1425" s="58" t="s">
        <v>2940</v>
      </c>
      <c r="V1425" s="46"/>
      <c r="W1425" s="46"/>
      <c r="X1425" s="62" t="s">
        <v>25</v>
      </c>
      <c r="Y1425" s="63">
        <f t="shared" si="290"/>
        <v>14.25</v>
      </c>
      <c r="Z1425" s="64">
        <f t="shared" si="294"/>
        <v>0</v>
      </c>
    </row>
    <row r="1426" spans="1:26" ht="15.75" customHeight="1">
      <c r="A1426" s="63">
        <v>20260093</v>
      </c>
      <c r="B1426" s="65" t="s">
        <v>2866</v>
      </c>
      <c r="C1426" s="66">
        <v>46098</v>
      </c>
      <c r="E1426" s="63">
        <v>1</v>
      </c>
      <c r="F1426" s="68">
        <v>7.5</v>
      </c>
      <c r="G1426" s="69">
        <v>24</v>
      </c>
      <c r="H1426" s="65" t="s">
        <v>2941</v>
      </c>
      <c r="I1426" s="65" t="s">
        <v>42</v>
      </c>
      <c r="J1426" s="65" t="s">
        <v>28</v>
      </c>
      <c r="K1426" s="48">
        <f t="shared" si="295"/>
        <v>8</v>
      </c>
      <c r="L1426" s="48">
        <f t="shared" si="296"/>
        <v>68</v>
      </c>
      <c r="N1426" s="72">
        <f t="shared" si="293"/>
        <v>1</v>
      </c>
      <c r="O1426" s="50">
        <f t="shared" si="291"/>
        <v>7.5</v>
      </c>
      <c r="P1426" s="56">
        <f t="shared" si="292"/>
        <v>24</v>
      </c>
      <c r="S1426" s="200" t="s">
        <v>2942</v>
      </c>
      <c r="T1426" s="201">
        <v>29</v>
      </c>
      <c r="U1426" s="58" t="s">
        <v>2943</v>
      </c>
      <c r="V1426" s="46"/>
      <c r="W1426" s="46"/>
      <c r="X1426" s="62" t="s">
        <v>25</v>
      </c>
      <c r="Y1426" s="63">
        <f t="shared" si="290"/>
        <v>7.5</v>
      </c>
      <c r="Z1426" s="64">
        <f t="shared" si="294"/>
        <v>0</v>
      </c>
    </row>
    <row r="1427" spans="1:26" ht="15.75" customHeight="1">
      <c r="A1427" s="63">
        <v>20260093</v>
      </c>
      <c r="B1427" s="65" t="s">
        <v>2866</v>
      </c>
      <c r="C1427" s="66">
        <v>46098</v>
      </c>
      <c r="E1427" s="63">
        <v>1</v>
      </c>
      <c r="F1427" s="68">
        <v>15</v>
      </c>
      <c r="G1427" s="69">
        <v>24</v>
      </c>
      <c r="H1427" s="65" t="s">
        <v>2944</v>
      </c>
      <c r="I1427" s="65" t="s">
        <v>42</v>
      </c>
      <c r="J1427" s="65" t="s">
        <v>28</v>
      </c>
      <c r="K1427" s="48">
        <f t="shared" si="295"/>
        <v>8</v>
      </c>
      <c r="L1427" s="48">
        <f t="shared" si="296"/>
        <v>68</v>
      </c>
      <c r="N1427" s="72">
        <f t="shared" si="293"/>
        <v>1</v>
      </c>
      <c r="O1427" s="50">
        <f t="shared" si="291"/>
        <v>15</v>
      </c>
      <c r="P1427" s="56">
        <f t="shared" si="292"/>
        <v>24</v>
      </c>
      <c r="S1427" s="200" t="s">
        <v>2945</v>
      </c>
      <c r="T1427" s="201">
        <v>30</v>
      </c>
      <c r="U1427" s="58" t="s">
        <v>2893</v>
      </c>
      <c r="V1427" s="46"/>
      <c r="W1427" s="46"/>
      <c r="X1427" s="62" t="s">
        <v>25</v>
      </c>
      <c r="Y1427" s="63">
        <f t="shared" si="290"/>
        <v>15</v>
      </c>
      <c r="Z1427" s="64">
        <f t="shared" si="294"/>
        <v>0</v>
      </c>
    </row>
    <row r="1428" spans="1:26" ht="15.75" customHeight="1">
      <c r="A1428" s="63">
        <v>20260093</v>
      </c>
      <c r="B1428" s="65" t="s">
        <v>2866</v>
      </c>
      <c r="C1428" s="66">
        <v>46098</v>
      </c>
      <c r="E1428" s="63">
        <v>1</v>
      </c>
      <c r="F1428" s="68">
        <v>5.5</v>
      </c>
      <c r="G1428" s="69">
        <v>24</v>
      </c>
      <c r="H1428" s="65" t="s">
        <v>2946</v>
      </c>
      <c r="I1428" s="65" t="s">
        <v>42</v>
      </c>
      <c r="J1428" s="65" t="s">
        <v>28</v>
      </c>
      <c r="K1428" s="48">
        <f t="shared" si="295"/>
        <v>8</v>
      </c>
      <c r="L1428" s="48">
        <f t="shared" si="296"/>
        <v>68</v>
      </c>
      <c r="N1428" s="72">
        <f t="shared" si="293"/>
        <v>1</v>
      </c>
      <c r="O1428" s="50">
        <f t="shared" si="291"/>
        <v>5.5</v>
      </c>
      <c r="P1428" s="56">
        <f t="shared" si="292"/>
        <v>24</v>
      </c>
      <c r="S1428" s="200" t="s">
        <v>2947</v>
      </c>
      <c r="T1428" s="201">
        <v>31</v>
      </c>
      <c r="U1428" s="58" t="s">
        <v>2948</v>
      </c>
      <c r="V1428" s="46"/>
      <c r="W1428" s="46"/>
      <c r="X1428" s="62" t="s">
        <v>25</v>
      </c>
      <c r="Y1428" s="63">
        <f t="shared" si="290"/>
        <v>5.5</v>
      </c>
      <c r="Z1428" s="64">
        <f t="shared" si="294"/>
        <v>0</v>
      </c>
    </row>
    <row r="1429" spans="1:26" ht="15.75" customHeight="1">
      <c r="A1429" s="63">
        <v>20260093</v>
      </c>
      <c r="B1429" s="65" t="s">
        <v>2866</v>
      </c>
      <c r="C1429" s="66">
        <v>46098</v>
      </c>
      <c r="E1429" s="63">
        <v>2</v>
      </c>
      <c r="F1429" s="68">
        <v>17.2</v>
      </c>
      <c r="G1429" s="69">
        <v>48</v>
      </c>
      <c r="H1429" s="65" t="s">
        <v>2949</v>
      </c>
      <c r="I1429" s="65" t="s">
        <v>42</v>
      </c>
      <c r="J1429" s="65" t="s">
        <v>28</v>
      </c>
      <c r="K1429" s="48">
        <f t="shared" si="295"/>
        <v>8</v>
      </c>
      <c r="L1429" s="48">
        <f t="shared" si="296"/>
        <v>68</v>
      </c>
      <c r="N1429" s="72">
        <f t="shared" si="293"/>
        <v>2</v>
      </c>
      <c r="O1429" s="50">
        <f t="shared" si="291"/>
        <v>17.2</v>
      </c>
      <c r="P1429" s="56">
        <f t="shared" si="292"/>
        <v>48</v>
      </c>
      <c r="S1429" s="200" t="s">
        <v>2950</v>
      </c>
      <c r="T1429" s="201">
        <v>32</v>
      </c>
      <c r="U1429" s="58" t="s">
        <v>2951</v>
      </c>
      <c r="V1429" s="46"/>
      <c r="W1429" s="46"/>
      <c r="X1429" s="62" t="s">
        <v>25</v>
      </c>
      <c r="Y1429" s="63">
        <f t="shared" si="290"/>
        <v>8.6</v>
      </c>
      <c r="Z1429" s="64">
        <f t="shared" si="294"/>
        <v>0</v>
      </c>
    </row>
    <row r="1430" spans="1:26" ht="15.75" customHeight="1">
      <c r="A1430" s="63">
        <v>20260093</v>
      </c>
      <c r="B1430" s="65" t="s">
        <v>2866</v>
      </c>
      <c r="C1430" s="66">
        <v>46098</v>
      </c>
      <c r="E1430" s="63">
        <v>1</v>
      </c>
      <c r="F1430" s="68">
        <v>8.6</v>
      </c>
      <c r="G1430" s="69">
        <v>24</v>
      </c>
      <c r="H1430" s="65" t="s">
        <v>2949</v>
      </c>
      <c r="I1430" s="65" t="s">
        <v>63</v>
      </c>
      <c r="J1430" s="65" t="s">
        <v>28</v>
      </c>
      <c r="K1430" s="48">
        <f t="shared" si="295"/>
        <v>8</v>
      </c>
      <c r="L1430" s="48">
        <f t="shared" si="296"/>
        <v>68</v>
      </c>
      <c r="N1430" s="72">
        <f t="shared" si="293"/>
        <v>1</v>
      </c>
      <c r="O1430" s="50">
        <f t="shared" si="291"/>
        <v>8.6</v>
      </c>
      <c r="P1430" s="56">
        <f t="shared" si="292"/>
        <v>24</v>
      </c>
      <c r="S1430" s="200" t="s">
        <v>2950</v>
      </c>
      <c r="T1430" s="201">
        <v>32</v>
      </c>
      <c r="U1430" s="58"/>
      <c r="V1430" s="46"/>
      <c r="W1430" s="46"/>
      <c r="X1430" s="62" t="s">
        <v>25</v>
      </c>
      <c r="Y1430" s="63">
        <f t="shared" si="290"/>
        <v>8.6</v>
      </c>
      <c r="Z1430" s="64">
        <f t="shared" si="294"/>
        <v>0</v>
      </c>
    </row>
    <row r="1431" spans="1:26" ht="15.75" customHeight="1">
      <c r="A1431" s="63">
        <v>20260093</v>
      </c>
      <c r="B1431" s="65" t="s">
        <v>2866</v>
      </c>
      <c r="C1431" s="66">
        <v>46098</v>
      </c>
      <c r="E1431" s="63">
        <v>1</v>
      </c>
      <c r="F1431" s="68">
        <v>10</v>
      </c>
      <c r="G1431" s="69">
        <v>24</v>
      </c>
      <c r="H1431" s="65" t="s">
        <v>2952</v>
      </c>
      <c r="I1431" s="65" t="s">
        <v>42</v>
      </c>
      <c r="J1431" s="65" t="s">
        <v>28</v>
      </c>
      <c r="K1431" s="48">
        <f t="shared" si="295"/>
        <v>8</v>
      </c>
      <c r="L1431" s="48">
        <f t="shared" si="296"/>
        <v>68</v>
      </c>
      <c r="N1431" s="72">
        <f t="shared" si="293"/>
        <v>1</v>
      </c>
      <c r="O1431" s="50">
        <f t="shared" si="291"/>
        <v>10</v>
      </c>
      <c r="P1431" s="56">
        <f t="shared" si="292"/>
        <v>24</v>
      </c>
      <c r="S1431" s="200" t="s">
        <v>2953</v>
      </c>
      <c r="T1431" s="201">
        <v>33</v>
      </c>
      <c r="U1431" s="58" t="s">
        <v>2954</v>
      </c>
      <c r="V1431" s="46"/>
      <c r="W1431" s="46"/>
      <c r="X1431" s="62" t="s">
        <v>25</v>
      </c>
      <c r="Y1431" s="63">
        <f t="shared" si="290"/>
        <v>10</v>
      </c>
      <c r="Z1431" s="64">
        <f t="shared" si="294"/>
        <v>0</v>
      </c>
    </row>
    <row r="1432" spans="1:26" ht="15.75" customHeight="1">
      <c r="A1432" s="63">
        <v>20260093</v>
      </c>
      <c r="B1432" s="65" t="s">
        <v>2866</v>
      </c>
      <c r="C1432" s="66">
        <v>46098</v>
      </c>
      <c r="E1432" s="63">
        <v>1</v>
      </c>
      <c r="F1432" s="68">
        <v>11.95</v>
      </c>
      <c r="G1432" s="69">
        <v>24</v>
      </c>
      <c r="H1432" s="65" t="s">
        <v>2952</v>
      </c>
      <c r="I1432" s="65" t="s">
        <v>446</v>
      </c>
      <c r="J1432" s="65" t="s">
        <v>26</v>
      </c>
      <c r="K1432" s="48">
        <f t="shared" si="295"/>
        <v>8</v>
      </c>
      <c r="L1432" s="48">
        <f t="shared" si="296"/>
        <v>68</v>
      </c>
      <c r="N1432" s="72">
        <f t="shared" si="293"/>
        <v>1</v>
      </c>
      <c r="O1432" s="50">
        <f t="shared" si="291"/>
        <v>11.95</v>
      </c>
      <c r="P1432" s="56">
        <f t="shared" si="292"/>
        <v>24</v>
      </c>
      <c r="S1432" s="200" t="s">
        <v>2953</v>
      </c>
      <c r="T1432" s="201">
        <v>33</v>
      </c>
      <c r="U1432" s="58"/>
      <c r="V1432" s="46"/>
      <c r="W1432" s="46"/>
      <c r="X1432" s="62" t="s">
        <v>25</v>
      </c>
      <c r="Y1432" s="63">
        <f t="shared" si="290"/>
        <v>11.95</v>
      </c>
      <c r="Z1432" s="64">
        <f t="shared" si="294"/>
        <v>0</v>
      </c>
    </row>
    <row r="1433" spans="1:26" ht="15.75" customHeight="1">
      <c r="A1433" s="63">
        <v>20260093</v>
      </c>
      <c r="B1433" s="65" t="s">
        <v>2866</v>
      </c>
      <c r="C1433" s="66">
        <v>46098</v>
      </c>
      <c r="E1433" s="63">
        <v>1</v>
      </c>
      <c r="F1433" s="68">
        <v>7.48</v>
      </c>
      <c r="G1433" s="69">
        <v>24</v>
      </c>
      <c r="H1433" s="65" t="s">
        <v>2955</v>
      </c>
      <c r="I1433" s="65" t="s">
        <v>63</v>
      </c>
      <c r="J1433" s="65" t="s">
        <v>28</v>
      </c>
      <c r="K1433" s="48">
        <f t="shared" si="295"/>
        <v>8</v>
      </c>
      <c r="L1433" s="48">
        <f t="shared" si="296"/>
        <v>68</v>
      </c>
      <c r="N1433" s="72">
        <f t="shared" si="293"/>
        <v>1</v>
      </c>
      <c r="O1433" s="50">
        <f t="shared" si="291"/>
        <v>7.48</v>
      </c>
      <c r="P1433" s="56">
        <f t="shared" si="292"/>
        <v>24</v>
      </c>
      <c r="S1433" s="200" t="s">
        <v>2956</v>
      </c>
      <c r="T1433" s="201">
        <v>34</v>
      </c>
      <c r="U1433" s="58" t="s">
        <v>2957</v>
      </c>
      <c r="V1433" s="46"/>
      <c r="W1433" s="46"/>
      <c r="X1433" s="62" t="s">
        <v>25</v>
      </c>
      <c r="Y1433" s="63">
        <f t="shared" si="290"/>
        <v>7.48</v>
      </c>
      <c r="Z1433" s="64">
        <f t="shared" si="294"/>
        <v>0</v>
      </c>
    </row>
    <row r="1434" spans="1:26" ht="15.75" customHeight="1">
      <c r="A1434" s="63">
        <v>20260093</v>
      </c>
      <c r="B1434" s="65" t="s">
        <v>2866</v>
      </c>
      <c r="C1434" s="66">
        <v>46098</v>
      </c>
      <c r="E1434" s="63">
        <v>1</v>
      </c>
      <c r="F1434" s="68">
        <v>7.48</v>
      </c>
      <c r="G1434" s="69">
        <v>24</v>
      </c>
      <c r="H1434" s="65" t="s">
        <v>2955</v>
      </c>
      <c r="I1434" s="65" t="s">
        <v>42</v>
      </c>
      <c r="J1434" s="65" t="s">
        <v>28</v>
      </c>
      <c r="K1434" s="48">
        <f t="shared" si="295"/>
        <v>8</v>
      </c>
      <c r="L1434" s="48">
        <f t="shared" si="296"/>
        <v>68</v>
      </c>
      <c r="N1434" s="72">
        <f t="shared" si="293"/>
        <v>1</v>
      </c>
      <c r="O1434" s="50">
        <f t="shared" si="291"/>
        <v>7.48</v>
      </c>
      <c r="P1434" s="56">
        <f t="shared" si="292"/>
        <v>24</v>
      </c>
      <c r="S1434" s="200" t="s">
        <v>2956</v>
      </c>
      <c r="T1434" s="201">
        <v>34</v>
      </c>
      <c r="U1434" s="58"/>
      <c r="V1434" s="46"/>
      <c r="W1434" s="46"/>
      <c r="X1434" s="62" t="s">
        <v>25</v>
      </c>
      <c r="Y1434" s="63">
        <f t="shared" si="290"/>
        <v>7.48</v>
      </c>
      <c r="Z1434" s="64">
        <f t="shared" si="294"/>
        <v>0</v>
      </c>
    </row>
    <row r="1435" spans="1:26" ht="15.75" customHeight="1">
      <c r="A1435" s="63">
        <v>20260093</v>
      </c>
      <c r="B1435" s="65" t="s">
        <v>2866</v>
      </c>
      <c r="C1435" s="66">
        <v>46098</v>
      </c>
      <c r="E1435" s="63">
        <v>1</v>
      </c>
      <c r="F1435" s="68">
        <v>12.5</v>
      </c>
      <c r="G1435" s="69">
        <v>24</v>
      </c>
      <c r="H1435" s="65" t="s">
        <v>1291</v>
      </c>
      <c r="I1435" s="65" t="s">
        <v>42</v>
      </c>
      <c r="J1435" s="65" t="s">
        <v>28</v>
      </c>
      <c r="K1435" s="48">
        <f t="shared" si="295"/>
        <v>8</v>
      </c>
      <c r="L1435" s="48">
        <f t="shared" si="296"/>
        <v>68</v>
      </c>
      <c r="N1435" s="72">
        <f t="shared" si="293"/>
        <v>1</v>
      </c>
      <c r="O1435" s="50">
        <f t="shared" si="291"/>
        <v>12.5</v>
      </c>
      <c r="P1435" s="56">
        <f t="shared" si="292"/>
        <v>24</v>
      </c>
      <c r="S1435" s="200" t="s">
        <v>2958</v>
      </c>
      <c r="T1435" s="201">
        <v>35</v>
      </c>
      <c r="U1435" s="58" t="s">
        <v>2959</v>
      </c>
      <c r="V1435" s="46"/>
      <c r="W1435" s="46"/>
      <c r="X1435" s="62" t="s">
        <v>25</v>
      </c>
      <c r="Y1435" s="63">
        <f t="shared" si="290"/>
        <v>12.5</v>
      </c>
      <c r="Z1435" s="64">
        <f t="shared" si="294"/>
        <v>0</v>
      </c>
    </row>
    <row r="1436" spans="1:26" ht="15.75" customHeight="1">
      <c r="A1436" s="63">
        <v>20260093</v>
      </c>
      <c r="B1436" s="65" t="s">
        <v>2866</v>
      </c>
      <c r="C1436" s="66">
        <v>46098</v>
      </c>
      <c r="E1436" s="63">
        <v>1</v>
      </c>
      <c r="F1436" s="68">
        <v>13.5</v>
      </c>
      <c r="G1436" s="69">
        <v>24</v>
      </c>
      <c r="H1436" s="65" t="s">
        <v>1291</v>
      </c>
      <c r="I1436" s="65" t="s">
        <v>42</v>
      </c>
      <c r="J1436" s="65" t="s">
        <v>28</v>
      </c>
      <c r="K1436" s="48">
        <f t="shared" si="295"/>
        <v>8</v>
      </c>
      <c r="L1436" s="48">
        <f t="shared" si="296"/>
        <v>68</v>
      </c>
      <c r="N1436" s="72">
        <f t="shared" si="293"/>
        <v>1</v>
      </c>
      <c r="O1436" s="50">
        <f t="shared" si="291"/>
        <v>13.5</v>
      </c>
      <c r="P1436" s="56">
        <f t="shared" si="292"/>
        <v>24</v>
      </c>
      <c r="S1436" s="200" t="s">
        <v>2960</v>
      </c>
      <c r="T1436" s="201">
        <v>36</v>
      </c>
      <c r="U1436" s="58" t="s">
        <v>2910</v>
      </c>
      <c r="V1436" s="46"/>
      <c r="W1436" s="46"/>
      <c r="X1436" s="62" t="s">
        <v>25</v>
      </c>
      <c r="Y1436" s="63">
        <f t="shared" si="290"/>
        <v>13.5</v>
      </c>
      <c r="Z1436" s="64">
        <f t="shared" si="294"/>
        <v>0</v>
      </c>
    </row>
    <row r="1437" spans="1:26" ht="15.75" customHeight="1">
      <c r="A1437" s="63">
        <v>20260093</v>
      </c>
      <c r="B1437" s="65" t="s">
        <v>2866</v>
      </c>
      <c r="C1437" s="66">
        <v>46098</v>
      </c>
      <c r="E1437" s="63">
        <v>2</v>
      </c>
      <c r="F1437" s="68">
        <v>27.5</v>
      </c>
      <c r="G1437" s="69">
        <v>48</v>
      </c>
      <c r="H1437" s="65" t="s">
        <v>1149</v>
      </c>
      <c r="I1437" s="65" t="s">
        <v>42</v>
      </c>
      <c r="J1437" s="65" t="s">
        <v>28</v>
      </c>
      <c r="K1437" s="48">
        <f t="shared" si="295"/>
        <v>8</v>
      </c>
      <c r="L1437" s="48">
        <f t="shared" si="296"/>
        <v>68</v>
      </c>
      <c r="N1437" s="72">
        <f t="shared" si="293"/>
        <v>2</v>
      </c>
      <c r="O1437" s="50">
        <f t="shared" si="291"/>
        <v>27.5</v>
      </c>
      <c r="P1437" s="56">
        <f t="shared" si="292"/>
        <v>48</v>
      </c>
      <c r="S1437" s="200" t="s">
        <v>2961</v>
      </c>
      <c r="T1437" s="201">
        <v>42</v>
      </c>
      <c r="U1437" s="58" t="s">
        <v>2962</v>
      </c>
      <c r="V1437" s="46"/>
      <c r="W1437" s="46"/>
      <c r="X1437" s="62" t="s">
        <v>25</v>
      </c>
      <c r="Y1437" s="63">
        <f t="shared" si="290"/>
        <v>13.75</v>
      </c>
      <c r="Z1437" s="64">
        <f t="shared" si="294"/>
        <v>0</v>
      </c>
    </row>
    <row r="1438" spans="1:26" ht="15.75" customHeight="1">
      <c r="K1438" s="48">
        <f t="shared" si="295"/>
        <v>8</v>
      </c>
      <c r="L1438" s="48">
        <f t="shared" si="296"/>
        <v>68</v>
      </c>
      <c r="S1438" s="200"/>
      <c r="T1438" s="201"/>
      <c r="U1438" s="58"/>
      <c r="V1438" s="46"/>
      <c r="W1438" s="46"/>
      <c r="X1438" s="62" t="s">
        <v>25</v>
      </c>
      <c r="Y1438" s="63" t="e">
        <f t="shared" si="290"/>
        <v>#DIV/0!</v>
      </c>
      <c r="Z1438" s="64">
        <f t="shared" si="294"/>
        <v>0</v>
      </c>
    </row>
    <row r="1439" spans="1:26" ht="15.75" customHeight="1">
      <c r="K1439" s="48">
        <f t="shared" si="295"/>
        <v>8</v>
      </c>
      <c r="L1439" s="48">
        <f t="shared" si="296"/>
        <v>68</v>
      </c>
      <c r="S1439" s="200"/>
      <c r="T1439" s="201"/>
      <c r="U1439" s="58"/>
      <c r="V1439" s="46"/>
      <c r="W1439" s="46"/>
      <c r="X1439" s="62" t="s">
        <v>25</v>
      </c>
      <c r="Y1439" s="63" t="e">
        <f t="shared" si="290"/>
        <v>#DIV/0!</v>
      </c>
      <c r="Z1439" s="64">
        <f t="shared" si="294"/>
        <v>0</v>
      </c>
    </row>
    <row r="1440" spans="1:26" ht="15.75" customHeight="1">
      <c r="K1440" s="48">
        <f t="shared" si="295"/>
        <v>8</v>
      </c>
      <c r="L1440" s="48">
        <f t="shared" si="296"/>
        <v>68</v>
      </c>
      <c r="S1440" s="200"/>
      <c r="T1440" s="201"/>
      <c r="U1440" s="58"/>
      <c r="V1440" s="46"/>
      <c r="W1440" s="46"/>
      <c r="X1440" s="62" t="s">
        <v>25</v>
      </c>
      <c r="Y1440" s="63" t="e">
        <f t="shared" si="290"/>
        <v>#DIV/0!</v>
      </c>
      <c r="Z1440" s="64">
        <f t="shared" si="294"/>
        <v>0</v>
      </c>
    </row>
    <row r="1441" spans="11:26" ht="15.75" customHeight="1">
      <c r="K1441" s="48">
        <f t="shared" si="295"/>
        <v>8</v>
      </c>
      <c r="L1441" s="48">
        <f t="shared" si="296"/>
        <v>68</v>
      </c>
      <c r="S1441" s="200"/>
      <c r="T1441" s="201"/>
      <c r="U1441" s="58"/>
      <c r="V1441" s="46"/>
      <c r="W1441" s="46"/>
      <c r="X1441" s="62" t="s">
        <v>25</v>
      </c>
      <c r="Y1441" s="63" t="e">
        <f t="shared" si="290"/>
        <v>#DIV/0!</v>
      </c>
      <c r="Z1441" s="64">
        <f t="shared" si="294"/>
        <v>0</v>
      </c>
    </row>
    <row r="1442" spans="11:26" ht="15.75" customHeight="1">
      <c r="K1442" s="48">
        <f t="shared" si="295"/>
        <v>8</v>
      </c>
      <c r="L1442" s="48">
        <f t="shared" si="296"/>
        <v>68</v>
      </c>
      <c r="S1442" s="200"/>
      <c r="T1442" s="201"/>
      <c r="U1442" s="58"/>
      <c r="V1442" s="46"/>
      <c r="W1442" s="46"/>
      <c r="X1442" s="62" t="s">
        <v>25</v>
      </c>
      <c r="Y1442" s="63" t="e">
        <f t="shared" si="290"/>
        <v>#DIV/0!</v>
      </c>
      <c r="Z1442" s="64">
        <f t="shared" si="294"/>
        <v>0</v>
      </c>
    </row>
    <row r="1443" spans="11:26" ht="15.75" customHeight="1">
      <c r="K1443" s="48">
        <f t="shared" si="295"/>
        <v>8</v>
      </c>
      <c r="L1443" s="48">
        <f t="shared" si="296"/>
        <v>68</v>
      </c>
      <c r="S1443" s="200"/>
      <c r="T1443" s="201"/>
      <c r="U1443" s="58"/>
      <c r="V1443" s="46"/>
      <c r="W1443" s="46"/>
      <c r="X1443" s="62" t="s">
        <v>25</v>
      </c>
      <c r="Y1443" s="63" t="e">
        <f t="shared" si="290"/>
        <v>#DIV/0!</v>
      </c>
      <c r="Z1443" s="64">
        <f t="shared" si="294"/>
        <v>0</v>
      </c>
    </row>
    <row r="1444" spans="11:26" ht="15.75" customHeight="1">
      <c r="K1444" s="48">
        <f t="shared" si="295"/>
        <v>8</v>
      </c>
      <c r="L1444" s="48">
        <f t="shared" si="296"/>
        <v>68</v>
      </c>
      <c r="S1444" s="200"/>
      <c r="T1444" s="201"/>
      <c r="U1444" s="58"/>
      <c r="V1444" s="46"/>
      <c r="W1444" s="46"/>
      <c r="X1444" s="62" t="s">
        <v>25</v>
      </c>
      <c r="Y1444" s="63" t="e">
        <f t="shared" si="290"/>
        <v>#DIV/0!</v>
      </c>
      <c r="Z1444" s="64">
        <f t="shared" si="294"/>
        <v>0</v>
      </c>
    </row>
    <row r="1445" spans="11:26" ht="15.75" customHeight="1">
      <c r="K1445" s="48">
        <f t="shared" si="295"/>
        <v>8</v>
      </c>
      <c r="L1445" s="48">
        <f t="shared" si="296"/>
        <v>68</v>
      </c>
      <c r="S1445" s="200"/>
      <c r="T1445" s="201"/>
      <c r="U1445" s="58"/>
      <c r="V1445" s="46"/>
      <c r="W1445" s="46"/>
      <c r="X1445" s="62" t="s">
        <v>25</v>
      </c>
      <c r="Y1445" s="63" t="e">
        <f t="shared" si="290"/>
        <v>#DIV/0!</v>
      </c>
      <c r="Z1445" s="64">
        <f t="shared" si="294"/>
        <v>0</v>
      </c>
    </row>
    <row r="1446" spans="11:26" ht="15.75" customHeight="1">
      <c r="K1446" s="48">
        <f t="shared" si="295"/>
        <v>8</v>
      </c>
      <c r="L1446" s="48">
        <f t="shared" si="296"/>
        <v>68</v>
      </c>
      <c r="S1446" s="200"/>
      <c r="T1446" s="201"/>
      <c r="U1446" s="58"/>
      <c r="V1446" s="46"/>
      <c r="W1446" s="46"/>
      <c r="X1446" s="62" t="s">
        <v>25</v>
      </c>
      <c r="Y1446" s="63" t="e">
        <f t="shared" si="290"/>
        <v>#DIV/0!</v>
      </c>
      <c r="Z1446" s="64">
        <f t="shared" si="294"/>
        <v>0</v>
      </c>
    </row>
    <row r="1447" spans="11:26" ht="15.75" customHeight="1">
      <c r="K1447" s="48">
        <f t="shared" si="295"/>
        <v>8</v>
      </c>
      <c r="L1447" s="48">
        <f t="shared" si="296"/>
        <v>68</v>
      </c>
      <c r="S1447" s="200"/>
      <c r="T1447" s="201"/>
      <c r="U1447" s="58"/>
      <c r="V1447" s="46"/>
      <c r="W1447" s="46"/>
      <c r="X1447" s="62" t="s">
        <v>25</v>
      </c>
      <c r="Y1447" s="63" t="e">
        <f t="shared" si="290"/>
        <v>#DIV/0!</v>
      </c>
      <c r="Z1447" s="64">
        <f t="shared" si="294"/>
        <v>0</v>
      </c>
    </row>
    <row r="1448" spans="11:26" ht="15.75" customHeight="1">
      <c r="K1448" s="48">
        <f t="shared" si="295"/>
        <v>8</v>
      </c>
      <c r="L1448" s="48">
        <f t="shared" si="296"/>
        <v>68</v>
      </c>
      <c r="S1448" s="200"/>
      <c r="T1448" s="201"/>
      <c r="U1448" s="58"/>
      <c r="V1448" s="46"/>
      <c r="W1448" s="46"/>
      <c r="X1448" s="62" t="s">
        <v>25</v>
      </c>
      <c r="Y1448" s="63" t="e">
        <f t="shared" si="290"/>
        <v>#DIV/0!</v>
      </c>
      <c r="Z1448" s="64">
        <f t="shared" si="294"/>
        <v>0</v>
      </c>
    </row>
    <row r="1449" spans="11:26" ht="15.75" customHeight="1">
      <c r="K1449" s="48">
        <f t="shared" si="295"/>
        <v>8</v>
      </c>
      <c r="L1449" s="48">
        <f t="shared" si="296"/>
        <v>68</v>
      </c>
      <c r="S1449" s="200"/>
      <c r="T1449" s="201"/>
      <c r="U1449" s="58"/>
      <c r="V1449" s="46"/>
      <c r="W1449" s="46"/>
      <c r="X1449" s="62" t="s">
        <v>25</v>
      </c>
      <c r="Y1449" s="63" t="e">
        <f t="shared" si="290"/>
        <v>#DIV/0!</v>
      </c>
      <c r="Z1449" s="64">
        <f t="shared" si="294"/>
        <v>0</v>
      </c>
    </row>
    <row r="1450" spans="11:26" ht="15.75" customHeight="1">
      <c r="K1450" s="48">
        <f t="shared" si="295"/>
        <v>8</v>
      </c>
      <c r="L1450" s="48">
        <f t="shared" si="296"/>
        <v>68</v>
      </c>
      <c r="S1450" s="200"/>
      <c r="T1450" s="201"/>
      <c r="U1450" s="58"/>
      <c r="V1450" s="46"/>
      <c r="W1450" s="46"/>
      <c r="X1450" s="62" t="s">
        <v>25</v>
      </c>
      <c r="Y1450" s="63" t="e">
        <f t="shared" si="290"/>
        <v>#DIV/0!</v>
      </c>
      <c r="Z1450" s="64">
        <f t="shared" si="294"/>
        <v>0</v>
      </c>
    </row>
    <row r="1451" spans="11:26" ht="15.75" customHeight="1">
      <c r="K1451" s="48">
        <f t="shared" si="295"/>
        <v>8</v>
      </c>
      <c r="L1451" s="48">
        <f t="shared" si="296"/>
        <v>68</v>
      </c>
      <c r="S1451" s="200"/>
      <c r="T1451" s="201"/>
      <c r="U1451" s="58"/>
      <c r="V1451" s="46"/>
      <c r="W1451" s="46"/>
      <c r="X1451" s="62" t="s">
        <v>25</v>
      </c>
      <c r="Y1451" s="63" t="e">
        <f t="shared" si="290"/>
        <v>#DIV/0!</v>
      </c>
      <c r="Z1451" s="64">
        <f t="shared" si="294"/>
        <v>0</v>
      </c>
    </row>
    <row r="1452" spans="11:26" ht="15.75" customHeight="1">
      <c r="K1452" s="48">
        <f t="shared" si="295"/>
        <v>8</v>
      </c>
      <c r="L1452" s="48">
        <f t="shared" si="296"/>
        <v>68</v>
      </c>
      <c r="S1452" s="200"/>
      <c r="T1452" s="201"/>
      <c r="U1452" s="58"/>
      <c r="V1452" s="46"/>
      <c r="W1452" s="46"/>
      <c r="X1452" s="62" t="s">
        <v>25</v>
      </c>
      <c r="Y1452" s="63" t="e">
        <f t="shared" si="290"/>
        <v>#DIV/0!</v>
      </c>
      <c r="Z1452" s="64">
        <f t="shared" si="294"/>
        <v>0</v>
      </c>
    </row>
    <row r="1453" spans="11:26" ht="15.75" customHeight="1">
      <c r="K1453" s="48">
        <f t="shared" si="295"/>
        <v>8</v>
      </c>
      <c r="L1453" s="48">
        <f t="shared" si="296"/>
        <v>68</v>
      </c>
      <c r="S1453" s="200"/>
      <c r="T1453" s="201"/>
      <c r="U1453" s="58"/>
      <c r="V1453" s="46"/>
      <c r="W1453" s="46"/>
      <c r="X1453" s="62" t="s">
        <v>25</v>
      </c>
      <c r="Y1453" s="63" t="e">
        <f t="shared" si="290"/>
        <v>#DIV/0!</v>
      </c>
      <c r="Z1453" s="64">
        <f t="shared" si="294"/>
        <v>0</v>
      </c>
    </row>
    <row r="1454" spans="11:26" ht="15.75" customHeight="1">
      <c r="K1454" s="48">
        <f t="shared" si="295"/>
        <v>8</v>
      </c>
      <c r="L1454" s="48">
        <f t="shared" si="296"/>
        <v>68</v>
      </c>
      <c r="S1454" s="200"/>
      <c r="T1454" s="201"/>
      <c r="U1454" s="58"/>
      <c r="V1454" s="46"/>
      <c r="W1454" s="46"/>
      <c r="X1454" s="62" t="s">
        <v>25</v>
      </c>
      <c r="Y1454" s="63" t="e">
        <f t="shared" si="290"/>
        <v>#DIV/0!</v>
      </c>
      <c r="Z1454" s="64">
        <f t="shared" si="294"/>
        <v>0</v>
      </c>
    </row>
    <row r="1455" spans="11:26" ht="15.75" customHeight="1">
      <c r="K1455" s="48">
        <f t="shared" si="295"/>
        <v>8</v>
      </c>
      <c r="L1455" s="48">
        <f t="shared" si="296"/>
        <v>68</v>
      </c>
      <c r="S1455" s="200"/>
      <c r="T1455" s="201"/>
      <c r="U1455" s="58"/>
      <c r="V1455" s="46"/>
      <c r="W1455" s="46"/>
      <c r="X1455" s="62" t="s">
        <v>25</v>
      </c>
      <c r="Y1455" s="63" t="e">
        <f t="shared" si="290"/>
        <v>#DIV/0!</v>
      </c>
      <c r="Z1455" s="64">
        <f t="shared" si="294"/>
        <v>0</v>
      </c>
    </row>
    <row r="1456" spans="11:26" ht="15.75" customHeight="1">
      <c r="K1456" s="48">
        <f t="shared" si="295"/>
        <v>8</v>
      </c>
      <c r="L1456" s="48">
        <f t="shared" si="296"/>
        <v>68</v>
      </c>
      <c r="S1456" s="200"/>
      <c r="T1456" s="201"/>
      <c r="U1456" s="58"/>
      <c r="V1456" s="46"/>
      <c r="W1456" s="46"/>
      <c r="X1456" s="62" t="s">
        <v>25</v>
      </c>
      <c r="Y1456" s="63" t="e">
        <f t="shared" si="290"/>
        <v>#DIV/0!</v>
      </c>
      <c r="Z1456" s="64">
        <f t="shared" si="294"/>
        <v>0</v>
      </c>
    </row>
    <row r="1457" spans="11:26" ht="15.75" customHeight="1">
      <c r="K1457" s="48">
        <f t="shared" si="295"/>
        <v>8</v>
      </c>
      <c r="L1457" s="48">
        <f t="shared" si="296"/>
        <v>68</v>
      </c>
      <c r="S1457" s="200"/>
      <c r="T1457" s="201"/>
      <c r="U1457" s="58"/>
      <c r="V1457" s="46"/>
      <c r="W1457" s="46"/>
      <c r="X1457" s="62" t="s">
        <v>25</v>
      </c>
      <c r="Y1457" s="63" t="e">
        <f t="shared" si="290"/>
        <v>#DIV/0!</v>
      </c>
      <c r="Z1457" s="64">
        <f t="shared" si="294"/>
        <v>0</v>
      </c>
    </row>
    <row r="1458" spans="11:26" ht="15.75" customHeight="1">
      <c r="K1458" s="48">
        <f t="shared" si="295"/>
        <v>8</v>
      </c>
      <c r="L1458" s="48">
        <f t="shared" si="296"/>
        <v>68</v>
      </c>
      <c r="S1458" s="200"/>
      <c r="T1458" s="201"/>
      <c r="U1458" s="58"/>
      <c r="V1458" s="46"/>
      <c r="W1458" s="46"/>
      <c r="X1458" s="62" t="s">
        <v>25</v>
      </c>
      <c r="Y1458" s="63" t="e">
        <f t="shared" si="290"/>
        <v>#DIV/0!</v>
      </c>
      <c r="Z1458" s="64">
        <f t="shared" si="294"/>
        <v>0</v>
      </c>
    </row>
    <row r="1459" spans="11:26" ht="15.75" customHeight="1">
      <c r="K1459" s="48">
        <f t="shared" si="295"/>
        <v>8</v>
      </c>
      <c r="L1459" s="48">
        <f t="shared" si="296"/>
        <v>68</v>
      </c>
      <c r="S1459" s="200"/>
      <c r="T1459" s="201"/>
      <c r="U1459" s="58"/>
      <c r="V1459" s="46"/>
      <c r="W1459" s="46"/>
      <c r="X1459" s="62" t="s">
        <v>25</v>
      </c>
      <c r="Y1459" s="63" t="e">
        <f t="shared" si="290"/>
        <v>#DIV/0!</v>
      </c>
      <c r="Z1459" s="64">
        <f t="shared" si="294"/>
        <v>0</v>
      </c>
    </row>
    <row r="1460" spans="11:26" ht="15.75" customHeight="1">
      <c r="K1460" s="48">
        <f t="shared" si="295"/>
        <v>8</v>
      </c>
      <c r="L1460" s="48">
        <f t="shared" si="296"/>
        <v>68</v>
      </c>
      <c r="S1460" s="200"/>
      <c r="T1460" s="201"/>
      <c r="U1460" s="58"/>
      <c r="V1460" s="46"/>
      <c r="W1460" s="46"/>
      <c r="X1460" s="62" t="s">
        <v>25</v>
      </c>
      <c r="Y1460" s="63" t="e">
        <f t="shared" ref="Y1460:Y1523" si="297">F1460/E1460</f>
        <v>#DIV/0!</v>
      </c>
      <c r="Z1460" s="64">
        <f t="shared" si="294"/>
        <v>0</v>
      </c>
    </row>
    <row r="1461" spans="11:26" ht="15.75" customHeight="1">
      <c r="K1461" s="48">
        <f t="shared" si="295"/>
        <v>8</v>
      </c>
      <c r="L1461" s="48">
        <f t="shared" si="296"/>
        <v>68</v>
      </c>
      <c r="S1461" s="200"/>
      <c r="T1461" s="201"/>
      <c r="U1461" s="58"/>
      <c r="V1461" s="46"/>
      <c r="W1461" s="46"/>
      <c r="X1461" s="62" t="s">
        <v>25</v>
      </c>
      <c r="Y1461" s="63" t="e">
        <f t="shared" si="297"/>
        <v>#DIV/0!</v>
      </c>
      <c r="Z1461" s="64">
        <f t="shared" si="294"/>
        <v>0</v>
      </c>
    </row>
    <row r="1462" spans="11:26" ht="15.75" customHeight="1">
      <c r="K1462" s="48">
        <f t="shared" si="295"/>
        <v>8</v>
      </c>
      <c r="L1462" s="48">
        <f t="shared" si="296"/>
        <v>68</v>
      </c>
      <c r="S1462" s="200"/>
      <c r="T1462" s="201"/>
      <c r="U1462" s="58"/>
      <c r="V1462" s="46"/>
      <c r="W1462" s="46"/>
      <c r="X1462" s="62" t="s">
        <v>25</v>
      </c>
      <c r="Y1462" s="63" t="e">
        <f t="shared" si="297"/>
        <v>#DIV/0!</v>
      </c>
      <c r="Z1462" s="64">
        <f t="shared" si="294"/>
        <v>0</v>
      </c>
    </row>
    <row r="1463" spans="11:26" ht="15.75" customHeight="1">
      <c r="K1463" s="48">
        <f t="shared" si="295"/>
        <v>8</v>
      </c>
      <c r="L1463" s="48">
        <f t="shared" si="296"/>
        <v>68</v>
      </c>
      <c r="S1463" s="200"/>
      <c r="T1463" s="201"/>
      <c r="U1463" s="58"/>
      <c r="V1463" s="46"/>
      <c r="W1463" s="46"/>
      <c r="X1463" s="62" t="s">
        <v>25</v>
      </c>
      <c r="Y1463" s="63" t="e">
        <f t="shared" si="297"/>
        <v>#DIV/0!</v>
      </c>
      <c r="Z1463" s="64">
        <f t="shared" si="294"/>
        <v>0</v>
      </c>
    </row>
    <row r="1464" spans="11:26" ht="15.75" customHeight="1">
      <c r="K1464" s="48">
        <f t="shared" si="295"/>
        <v>8</v>
      </c>
      <c r="L1464" s="48">
        <f t="shared" si="296"/>
        <v>68</v>
      </c>
      <c r="S1464" s="200"/>
      <c r="T1464" s="201"/>
      <c r="U1464" s="58"/>
      <c r="V1464" s="46"/>
      <c r="W1464" s="46"/>
      <c r="X1464" s="62" t="s">
        <v>25</v>
      </c>
      <c r="Y1464" s="63" t="e">
        <f t="shared" si="297"/>
        <v>#DIV/0!</v>
      </c>
      <c r="Z1464" s="64">
        <f t="shared" si="294"/>
        <v>0</v>
      </c>
    </row>
    <row r="1465" spans="11:26" ht="15.75" customHeight="1">
      <c r="K1465" s="48">
        <f t="shared" si="295"/>
        <v>8</v>
      </c>
      <c r="L1465" s="48">
        <f t="shared" si="296"/>
        <v>68</v>
      </c>
      <c r="S1465" s="200"/>
      <c r="T1465" s="201"/>
      <c r="U1465" s="58"/>
      <c r="V1465" s="46"/>
      <c r="W1465" s="46"/>
      <c r="X1465" s="62" t="s">
        <v>25</v>
      </c>
      <c r="Y1465" s="63" t="e">
        <f t="shared" si="297"/>
        <v>#DIV/0!</v>
      </c>
      <c r="Z1465" s="64">
        <f t="shared" si="294"/>
        <v>0</v>
      </c>
    </row>
    <row r="1466" spans="11:26" ht="15.75" customHeight="1">
      <c r="K1466" s="48">
        <f t="shared" si="295"/>
        <v>8</v>
      </c>
      <c r="L1466" s="48">
        <f t="shared" si="296"/>
        <v>68</v>
      </c>
      <c r="S1466" s="200"/>
      <c r="T1466" s="201"/>
      <c r="U1466" s="58"/>
      <c r="V1466" s="46"/>
      <c r="W1466" s="46"/>
      <c r="X1466" s="62" t="s">
        <v>25</v>
      </c>
      <c r="Y1466" s="63" t="e">
        <f t="shared" si="297"/>
        <v>#DIV/0!</v>
      </c>
      <c r="Z1466" s="64">
        <f t="shared" si="294"/>
        <v>0</v>
      </c>
    </row>
    <row r="1467" spans="11:26" ht="15.75" customHeight="1">
      <c r="K1467" s="48">
        <f t="shared" si="295"/>
        <v>8</v>
      </c>
      <c r="L1467" s="48">
        <f t="shared" si="296"/>
        <v>68</v>
      </c>
      <c r="S1467" s="200"/>
      <c r="T1467" s="201"/>
      <c r="U1467" s="58"/>
      <c r="V1467" s="46"/>
      <c r="W1467" s="46"/>
      <c r="X1467" s="62" t="s">
        <v>25</v>
      </c>
      <c r="Y1467" s="63" t="e">
        <f t="shared" si="297"/>
        <v>#DIV/0!</v>
      </c>
      <c r="Z1467" s="64">
        <f t="shared" si="294"/>
        <v>0</v>
      </c>
    </row>
    <row r="1468" spans="11:26" ht="15.75" customHeight="1">
      <c r="K1468" s="48">
        <f t="shared" si="295"/>
        <v>8</v>
      </c>
      <c r="L1468" s="48">
        <f t="shared" si="296"/>
        <v>68</v>
      </c>
      <c r="S1468" s="200"/>
      <c r="T1468" s="201"/>
      <c r="U1468" s="58"/>
      <c r="V1468" s="46"/>
      <c r="W1468" s="46"/>
      <c r="X1468" s="62" t="s">
        <v>25</v>
      </c>
      <c r="Y1468" s="63" t="e">
        <f t="shared" si="297"/>
        <v>#DIV/0!</v>
      </c>
      <c r="Z1468" s="64">
        <f t="shared" si="294"/>
        <v>0</v>
      </c>
    </row>
    <row r="1469" spans="11:26" ht="15.75" customHeight="1">
      <c r="K1469" s="48">
        <f t="shared" si="295"/>
        <v>8</v>
      </c>
      <c r="L1469" s="48">
        <f t="shared" si="296"/>
        <v>68</v>
      </c>
      <c r="S1469" s="200"/>
      <c r="T1469" s="201"/>
      <c r="U1469" s="58"/>
      <c r="V1469" s="46"/>
      <c r="W1469" s="46"/>
      <c r="X1469" s="62" t="s">
        <v>25</v>
      </c>
      <c r="Y1469" s="63" t="e">
        <f t="shared" si="297"/>
        <v>#DIV/0!</v>
      </c>
      <c r="Z1469" s="64">
        <f t="shared" si="294"/>
        <v>0</v>
      </c>
    </row>
    <row r="1470" spans="11:26" ht="15.75" customHeight="1">
      <c r="K1470" s="48">
        <f t="shared" si="295"/>
        <v>8</v>
      </c>
      <c r="L1470" s="48">
        <f t="shared" si="296"/>
        <v>68</v>
      </c>
      <c r="S1470" s="200"/>
      <c r="T1470" s="201"/>
      <c r="U1470" s="58"/>
      <c r="V1470" s="46"/>
      <c r="W1470" s="46"/>
      <c r="X1470" s="62" t="s">
        <v>25</v>
      </c>
      <c r="Y1470" s="63" t="e">
        <f t="shared" si="297"/>
        <v>#DIV/0!</v>
      </c>
      <c r="Z1470" s="64">
        <f t="shared" ref="Z1470:Z1533" si="298">E1470-N1470</f>
        <v>0</v>
      </c>
    </row>
    <row r="1471" spans="11:26" ht="15.75" customHeight="1">
      <c r="K1471" s="48">
        <f t="shared" si="295"/>
        <v>8</v>
      </c>
      <c r="L1471" s="48">
        <f t="shared" si="296"/>
        <v>68</v>
      </c>
      <c r="S1471" s="200"/>
      <c r="T1471" s="201"/>
      <c r="U1471" s="58"/>
      <c r="V1471" s="46"/>
      <c r="W1471" s="46"/>
      <c r="X1471" s="62" t="s">
        <v>25</v>
      </c>
      <c r="Y1471" s="63" t="e">
        <f t="shared" si="297"/>
        <v>#DIV/0!</v>
      </c>
      <c r="Z1471" s="64">
        <f t="shared" si="298"/>
        <v>0</v>
      </c>
    </row>
    <row r="1472" spans="11:26" ht="15.75" customHeight="1">
      <c r="K1472" s="48">
        <f t="shared" si="295"/>
        <v>8</v>
      </c>
      <c r="L1472" s="48">
        <f t="shared" si="296"/>
        <v>68</v>
      </c>
      <c r="S1472" s="200"/>
      <c r="T1472" s="201"/>
      <c r="U1472" s="58"/>
      <c r="V1472" s="46"/>
      <c r="W1472" s="46"/>
      <c r="X1472" s="62" t="s">
        <v>25</v>
      </c>
      <c r="Y1472" s="63" t="e">
        <f t="shared" si="297"/>
        <v>#DIV/0!</v>
      </c>
      <c r="Z1472" s="64">
        <f t="shared" si="298"/>
        <v>0</v>
      </c>
    </row>
    <row r="1473" spans="11:26" ht="15.75" customHeight="1">
      <c r="K1473" s="48">
        <f t="shared" si="295"/>
        <v>8</v>
      </c>
      <c r="L1473" s="48">
        <f t="shared" si="296"/>
        <v>68</v>
      </c>
      <c r="S1473" s="200"/>
      <c r="T1473" s="201"/>
      <c r="U1473" s="58"/>
      <c r="V1473" s="46"/>
      <c r="W1473" s="46"/>
      <c r="X1473" s="62" t="s">
        <v>25</v>
      </c>
      <c r="Y1473" s="63" t="e">
        <f t="shared" si="297"/>
        <v>#DIV/0!</v>
      </c>
      <c r="Z1473" s="64">
        <f t="shared" si="298"/>
        <v>0</v>
      </c>
    </row>
    <row r="1474" spans="11:26" ht="15.75" customHeight="1">
      <c r="K1474" s="48">
        <f t="shared" si="295"/>
        <v>8</v>
      </c>
      <c r="L1474" s="48">
        <f t="shared" si="296"/>
        <v>68</v>
      </c>
      <c r="S1474" s="200"/>
      <c r="T1474" s="201"/>
      <c r="U1474" s="58"/>
      <c r="V1474" s="46"/>
      <c r="W1474" s="46"/>
      <c r="X1474" s="62" t="s">
        <v>25</v>
      </c>
      <c r="Y1474" s="63" t="e">
        <f t="shared" si="297"/>
        <v>#DIV/0!</v>
      </c>
      <c r="Z1474" s="64">
        <f t="shared" si="298"/>
        <v>0</v>
      </c>
    </row>
    <row r="1475" spans="11:26" ht="15.75" customHeight="1">
      <c r="K1475" s="48">
        <f t="shared" si="295"/>
        <v>8</v>
      </c>
      <c r="L1475" s="48">
        <f t="shared" si="296"/>
        <v>68</v>
      </c>
      <c r="S1475" s="200"/>
      <c r="T1475" s="201"/>
      <c r="U1475" s="58"/>
      <c r="V1475" s="46"/>
      <c r="W1475" s="46"/>
      <c r="X1475" s="62" t="s">
        <v>25</v>
      </c>
      <c r="Y1475" s="63" t="e">
        <f t="shared" si="297"/>
        <v>#DIV/0!</v>
      </c>
      <c r="Z1475" s="64">
        <f t="shared" si="298"/>
        <v>0</v>
      </c>
    </row>
    <row r="1476" spans="11:26" ht="15.75" customHeight="1">
      <c r="K1476" s="48">
        <f t="shared" si="295"/>
        <v>8</v>
      </c>
      <c r="L1476" s="48">
        <f t="shared" si="296"/>
        <v>68</v>
      </c>
      <c r="S1476" s="200"/>
      <c r="T1476" s="201"/>
      <c r="U1476" s="58"/>
      <c r="V1476" s="46"/>
      <c r="W1476" s="46"/>
      <c r="X1476" s="62" t="s">
        <v>25</v>
      </c>
      <c r="Y1476" s="63" t="e">
        <f t="shared" si="297"/>
        <v>#DIV/0!</v>
      </c>
      <c r="Z1476" s="64">
        <f t="shared" si="298"/>
        <v>0</v>
      </c>
    </row>
    <row r="1477" spans="11:26" ht="15.75" customHeight="1">
      <c r="K1477" s="48">
        <f t="shared" si="295"/>
        <v>8</v>
      </c>
      <c r="L1477" s="48">
        <f t="shared" si="296"/>
        <v>68</v>
      </c>
      <c r="S1477" s="200"/>
      <c r="T1477" s="201"/>
      <c r="U1477" s="58"/>
      <c r="V1477" s="46"/>
      <c r="W1477" s="46"/>
      <c r="X1477" s="62" t="s">
        <v>25</v>
      </c>
      <c r="Y1477" s="63" t="e">
        <f t="shared" si="297"/>
        <v>#DIV/0!</v>
      </c>
      <c r="Z1477" s="64">
        <f t="shared" si="298"/>
        <v>0</v>
      </c>
    </row>
    <row r="1478" spans="11:26" ht="15.75" customHeight="1">
      <c r="K1478" s="48">
        <f t="shared" si="295"/>
        <v>8</v>
      </c>
      <c r="L1478" s="48">
        <f t="shared" si="296"/>
        <v>68</v>
      </c>
      <c r="S1478" s="200"/>
      <c r="T1478" s="201"/>
      <c r="U1478" s="58"/>
      <c r="V1478" s="46"/>
      <c r="W1478" s="46"/>
      <c r="X1478" s="62" t="s">
        <v>25</v>
      </c>
      <c r="Y1478" s="63" t="e">
        <f t="shared" si="297"/>
        <v>#DIV/0!</v>
      </c>
      <c r="Z1478" s="64">
        <f t="shared" si="298"/>
        <v>0</v>
      </c>
    </row>
    <row r="1479" spans="11:26" ht="15.75" customHeight="1">
      <c r="K1479" s="48">
        <f t="shared" si="295"/>
        <v>8</v>
      </c>
      <c r="L1479" s="48">
        <f t="shared" si="296"/>
        <v>68</v>
      </c>
      <c r="S1479" s="200"/>
      <c r="T1479" s="201"/>
      <c r="U1479" s="58"/>
      <c r="V1479" s="46"/>
      <c r="W1479" s="46"/>
      <c r="X1479" s="62" t="s">
        <v>25</v>
      </c>
      <c r="Y1479" s="63" t="e">
        <f t="shared" si="297"/>
        <v>#DIV/0!</v>
      </c>
      <c r="Z1479" s="64">
        <f t="shared" si="298"/>
        <v>0</v>
      </c>
    </row>
    <row r="1480" spans="11:26" ht="15.75" customHeight="1">
      <c r="K1480" s="48">
        <f t="shared" si="295"/>
        <v>8</v>
      </c>
      <c r="L1480" s="48">
        <f t="shared" si="296"/>
        <v>68</v>
      </c>
      <c r="S1480" s="200"/>
      <c r="T1480" s="201"/>
      <c r="U1480" s="58"/>
      <c r="V1480" s="46"/>
      <c r="W1480" s="46"/>
      <c r="X1480" s="62" t="s">
        <v>25</v>
      </c>
      <c r="Y1480" s="63" t="e">
        <f t="shared" si="297"/>
        <v>#DIV/0!</v>
      </c>
      <c r="Z1480" s="64">
        <f t="shared" si="298"/>
        <v>0</v>
      </c>
    </row>
    <row r="1481" spans="11:26" ht="15.75" customHeight="1">
      <c r="K1481" s="48">
        <f t="shared" si="295"/>
        <v>8</v>
      </c>
      <c r="L1481" s="48">
        <f t="shared" si="296"/>
        <v>68</v>
      </c>
      <c r="S1481" s="200"/>
      <c r="T1481" s="201"/>
      <c r="U1481" s="58"/>
      <c r="V1481" s="46"/>
      <c r="W1481" s="46"/>
      <c r="X1481" s="62" t="s">
        <v>25</v>
      </c>
      <c r="Y1481" s="63" t="e">
        <f t="shared" si="297"/>
        <v>#DIV/0!</v>
      </c>
      <c r="Z1481" s="64">
        <f t="shared" si="298"/>
        <v>0</v>
      </c>
    </row>
    <row r="1482" spans="11:26" ht="15.75" customHeight="1">
      <c r="K1482" s="48">
        <f t="shared" si="295"/>
        <v>8</v>
      </c>
      <c r="L1482" s="48">
        <f t="shared" si="296"/>
        <v>68</v>
      </c>
      <c r="S1482" s="200"/>
      <c r="T1482" s="201"/>
      <c r="U1482" s="58"/>
      <c r="V1482" s="46"/>
      <c r="W1482" s="46"/>
      <c r="X1482" s="62" t="s">
        <v>25</v>
      </c>
      <c r="Y1482" s="63" t="e">
        <f t="shared" si="297"/>
        <v>#DIV/0!</v>
      </c>
      <c r="Z1482" s="64">
        <f t="shared" si="298"/>
        <v>0</v>
      </c>
    </row>
    <row r="1483" spans="11:26" ht="15.75" customHeight="1">
      <c r="K1483" s="48">
        <f t="shared" ref="K1483:K1546" si="299">D1483+8</f>
        <v>8</v>
      </c>
      <c r="L1483" s="48">
        <f t="shared" ref="L1483:L1546" si="300">K1483+60</f>
        <v>68</v>
      </c>
      <c r="S1483" s="200"/>
      <c r="T1483" s="201"/>
      <c r="U1483" s="58"/>
      <c r="V1483" s="46"/>
      <c r="W1483" s="46"/>
      <c r="X1483" s="62" t="s">
        <v>25</v>
      </c>
      <c r="Y1483" s="63" t="e">
        <f t="shared" si="297"/>
        <v>#DIV/0!</v>
      </c>
      <c r="Z1483" s="64">
        <f t="shared" si="298"/>
        <v>0</v>
      </c>
    </row>
    <row r="1484" spans="11:26" ht="15.75" customHeight="1">
      <c r="K1484" s="48">
        <f t="shared" si="299"/>
        <v>8</v>
      </c>
      <c r="L1484" s="48">
        <f t="shared" si="300"/>
        <v>68</v>
      </c>
      <c r="S1484" s="200"/>
      <c r="T1484" s="201"/>
      <c r="U1484" s="58"/>
      <c r="V1484" s="46"/>
      <c r="W1484" s="46"/>
      <c r="X1484" s="62" t="s">
        <v>25</v>
      </c>
      <c r="Y1484" s="63" t="e">
        <f t="shared" si="297"/>
        <v>#DIV/0!</v>
      </c>
      <c r="Z1484" s="64">
        <f t="shared" si="298"/>
        <v>0</v>
      </c>
    </row>
    <row r="1485" spans="11:26" ht="15.75" customHeight="1">
      <c r="K1485" s="48">
        <f t="shared" si="299"/>
        <v>8</v>
      </c>
      <c r="L1485" s="48">
        <f t="shared" si="300"/>
        <v>68</v>
      </c>
      <c r="S1485" s="200"/>
      <c r="T1485" s="201"/>
      <c r="U1485" s="58"/>
      <c r="V1485" s="46"/>
      <c r="W1485" s="46"/>
      <c r="X1485" s="62" t="s">
        <v>25</v>
      </c>
      <c r="Y1485" s="63" t="e">
        <f t="shared" si="297"/>
        <v>#DIV/0!</v>
      </c>
      <c r="Z1485" s="64">
        <f t="shared" si="298"/>
        <v>0</v>
      </c>
    </row>
    <row r="1486" spans="11:26" ht="15.75" customHeight="1">
      <c r="K1486" s="48">
        <f t="shared" si="299"/>
        <v>8</v>
      </c>
      <c r="L1486" s="48">
        <f t="shared" si="300"/>
        <v>68</v>
      </c>
      <c r="S1486" s="200"/>
      <c r="T1486" s="201"/>
      <c r="U1486" s="58"/>
      <c r="V1486" s="46"/>
      <c r="W1486" s="46"/>
      <c r="X1486" s="62" t="s">
        <v>25</v>
      </c>
      <c r="Y1486" s="63" t="e">
        <f t="shared" si="297"/>
        <v>#DIV/0!</v>
      </c>
      <c r="Z1486" s="64">
        <f t="shared" si="298"/>
        <v>0</v>
      </c>
    </row>
    <row r="1487" spans="11:26" ht="15.75" customHeight="1">
      <c r="K1487" s="48">
        <f t="shared" si="299"/>
        <v>8</v>
      </c>
      <c r="L1487" s="48">
        <f t="shared" si="300"/>
        <v>68</v>
      </c>
      <c r="S1487" s="200"/>
      <c r="T1487" s="201"/>
      <c r="U1487" s="58"/>
      <c r="V1487" s="46"/>
      <c r="W1487" s="46"/>
      <c r="X1487" s="62" t="s">
        <v>25</v>
      </c>
      <c r="Y1487" s="63" t="e">
        <f t="shared" si="297"/>
        <v>#DIV/0!</v>
      </c>
      <c r="Z1487" s="64">
        <f t="shared" si="298"/>
        <v>0</v>
      </c>
    </row>
    <row r="1488" spans="11:26" ht="15.75" customHeight="1">
      <c r="K1488" s="48">
        <f t="shared" si="299"/>
        <v>8</v>
      </c>
      <c r="L1488" s="48">
        <f t="shared" si="300"/>
        <v>68</v>
      </c>
      <c r="S1488" s="200"/>
      <c r="T1488" s="201"/>
      <c r="U1488" s="58"/>
      <c r="V1488" s="46"/>
      <c r="W1488" s="46"/>
      <c r="X1488" s="62" t="s">
        <v>25</v>
      </c>
      <c r="Y1488" s="63" t="e">
        <f t="shared" si="297"/>
        <v>#DIV/0!</v>
      </c>
      <c r="Z1488" s="64">
        <f t="shared" si="298"/>
        <v>0</v>
      </c>
    </row>
    <row r="1489" spans="11:26" ht="15.75" customHeight="1">
      <c r="K1489" s="48">
        <f t="shared" si="299"/>
        <v>8</v>
      </c>
      <c r="L1489" s="48">
        <f t="shared" si="300"/>
        <v>68</v>
      </c>
      <c r="S1489" s="200"/>
      <c r="T1489" s="201"/>
      <c r="U1489" s="58"/>
      <c r="V1489" s="46"/>
      <c r="W1489" s="46"/>
      <c r="X1489" s="62" t="s">
        <v>25</v>
      </c>
      <c r="Y1489" s="63" t="e">
        <f t="shared" si="297"/>
        <v>#DIV/0!</v>
      </c>
      <c r="Z1489" s="64">
        <f t="shared" si="298"/>
        <v>0</v>
      </c>
    </row>
    <row r="1490" spans="11:26" ht="15.75" customHeight="1">
      <c r="K1490" s="48">
        <f t="shared" si="299"/>
        <v>8</v>
      </c>
      <c r="L1490" s="48">
        <f t="shared" si="300"/>
        <v>68</v>
      </c>
      <c r="S1490" s="200"/>
      <c r="T1490" s="201"/>
      <c r="U1490" s="58"/>
      <c r="V1490" s="46"/>
      <c r="W1490" s="46"/>
      <c r="X1490" s="62" t="s">
        <v>25</v>
      </c>
      <c r="Y1490" s="63" t="e">
        <f t="shared" si="297"/>
        <v>#DIV/0!</v>
      </c>
      <c r="Z1490" s="64">
        <f t="shared" si="298"/>
        <v>0</v>
      </c>
    </row>
    <row r="1491" spans="11:26" ht="15.75" customHeight="1">
      <c r="K1491" s="48">
        <f t="shared" si="299"/>
        <v>8</v>
      </c>
      <c r="L1491" s="48">
        <f t="shared" si="300"/>
        <v>68</v>
      </c>
      <c r="S1491" s="200"/>
      <c r="T1491" s="201"/>
      <c r="U1491" s="58"/>
      <c r="V1491" s="46"/>
      <c r="W1491" s="46"/>
      <c r="X1491" s="62" t="s">
        <v>25</v>
      </c>
      <c r="Y1491" s="63" t="e">
        <f t="shared" si="297"/>
        <v>#DIV/0!</v>
      </c>
      <c r="Z1491" s="64">
        <f t="shared" si="298"/>
        <v>0</v>
      </c>
    </row>
    <row r="1492" spans="11:26" ht="15.75" customHeight="1">
      <c r="K1492" s="48">
        <f t="shared" si="299"/>
        <v>8</v>
      </c>
      <c r="L1492" s="48">
        <f t="shared" si="300"/>
        <v>68</v>
      </c>
      <c r="S1492" s="200"/>
      <c r="T1492" s="201"/>
      <c r="U1492" s="58"/>
      <c r="V1492" s="46"/>
      <c r="W1492" s="46"/>
      <c r="X1492" s="62" t="s">
        <v>25</v>
      </c>
      <c r="Y1492" s="63" t="e">
        <f t="shared" si="297"/>
        <v>#DIV/0!</v>
      </c>
      <c r="Z1492" s="64">
        <f t="shared" si="298"/>
        <v>0</v>
      </c>
    </row>
    <row r="1493" spans="11:26" ht="15.75" customHeight="1">
      <c r="K1493" s="48">
        <f t="shared" si="299"/>
        <v>8</v>
      </c>
      <c r="L1493" s="48">
        <f t="shared" si="300"/>
        <v>68</v>
      </c>
      <c r="S1493" s="200"/>
      <c r="T1493" s="201"/>
      <c r="U1493" s="58"/>
      <c r="V1493" s="46"/>
      <c r="W1493" s="46"/>
      <c r="X1493" s="62" t="s">
        <v>25</v>
      </c>
      <c r="Y1493" s="63" t="e">
        <f t="shared" si="297"/>
        <v>#DIV/0!</v>
      </c>
      <c r="Z1493" s="64">
        <f t="shared" si="298"/>
        <v>0</v>
      </c>
    </row>
    <row r="1494" spans="11:26" ht="15.75" customHeight="1">
      <c r="K1494" s="48">
        <f t="shared" si="299"/>
        <v>8</v>
      </c>
      <c r="L1494" s="48">
        <f t="shared" si="300"/>
        <v>68</v>
      </c>
      <c r="S1494" s="200"/>
      <c r="T1494" s="201"/>
      <c r="U1494" s="58"/>
      <c r="V1494" s="46"/>
      <c r="W1494" s="46"/>
      <c r="X1494" s="62" t="s">
        <v>25</v>
      </c>
      <c r="Y1494" s="63" t="e">
        <f t="shared" si="297"/>
        <v>#DIV/0!</v>
      </c>
      <c r="Z1494" s="64">
        <f t="shared" si="298"/>
        <v>0</v>
      </c>
    </row>
    <row r="1495" spans="11:26" ht="15.75" customHeight="1">
      <c r="K1495" s="48">
        <f t="shared" si="299"/>
        <v>8</v>
      </c>
      <c r="L1495" s="48">
        <f t="shared" si="300"/>
        <v>68</v>
      </c>
      <c r="S1495" s="200"/>
      <c r="T1495" s="201"/>
      <c r="U1495" s="58"/>
      <c r="V1495" s="46"/>
      <c r="W1495" s="46"/>
      <c r="X1495" s="62" t="s">
        <v>25</v>
      </c>
      <c r="Y1495" s="63" t="e">
        <f t="shared" si="297"/>
        <v>#DIV/0!</v>
      </c>
      <c r="Z1495" s="64">
        <f t="shared" si="298"/>
        <v>0</v>
      </c>
    </row>
    <row r="1496" spans="11:26" ht="15.75" customHeight="1">
      <c r="K1496" s="48">
        <f t="shared" si="299"/>
        <v>8</v>
      </c>
      <c r="L1496" s="48">
        <f t="shared" si="300"/>
        <v>68</v>
      </c>
      <c r="S1496" s="200"/>
      <c r="T1496" s="201"/>
      <c r="U1496" s="58"/>
      <c r="V1496" s="46"/>
      <c r="W1496" s="46"/>
      <c r="X1496" s="62" t="s">
        <v>25</v>
      </c>
      <c r="Y1496" s="63" t="e">
        <f t="shared" si="297"/>
        <v>#DIV/0!</v>
      </c>
      <c r="Z1496" s="64">
        <f t="shared" si="298"/>
        <v>0</v>
      </c>
    </row>
    <row r="1497" spans="11:26" ht="15.75" customHeight="1">
      <c r="K1497" s="48">
        <f t="shared" si="299"/>
        <v>8</v>
      </c>
      <c r="L1497" s="48">
        <f t="shared" si="300"/>
        <v>68</v>
      </c>
      <c r="S1497" s="200"/>
      <c r="T1497" s="201"/>
      <c r="U1497" s="58"/>
      <c r="V1497" s="46"/>
      <c r="W1497" s="46"/>
      <c r="X1497" s="62" t="s">
        <v>25</v>
      </c>
      <c r="Y1497" s="63" t="e">
        <f t="shared" si="297"/>
        <v>#DIV/0!</v>
      </c>
      <c r="Z1497" s="64">
        <f t="shared" si="298"/>
        <v>0</v>
      </c>
    </row>
    <row r="1498" spans="11:26" ht="15.75" customHeight="1">
      <c r="K1498" s="48">
        <f t="shared" si="299"/>
        <v>8</v>
      </c>
      <c r="L1498" s="48">
        <f t="shared" si="300"/>
        <v>68</v>
      </c>
      <c r="S1498" s="200"/>
      <c r="T1498" s="201"/>
      <c r="U1498" s="58"/>
      <c r="V1498" s="46"/>
      <c r="W1498" s="46"/>
      <c r="X1498" s="62" t="s">
        <v>25</v>
      </c>
      <c r="Y1498" s="63" t="e">
        <f t="shared" si="297"/>
        <v>#DIV/0!</v>
      </c>
      <c r="Z1498" s="64">
        <f t="shared" si="298"/>
        <v>0</v>
      </c>
    </row>
    <row r="1499" spans="11:26" ht="15.75" customHeight="1">
      <c r="K1499" s="48">
        <f t="shared" si="299"/>
        <v>8</v>
      </c>
      <c r="L1499" s="48">
        <f t="shared" si="300"/>
        <v>68</v>
      </c>
      <c r="S1499" s="200"/>
      <c r="T1499" s="201"/>
      <c r="U1499" s="58"/>
      <c r="V1499" s="46"/>
      <c r="W1499" s="46"/>
      <c r="X1499" s="62" t="s">
        <v>25</v>
      </c>
      <c r="Y1499" s="63" t="e">
        <f t="shared" si="297"/>
        <v>#DIV/0!</v>
      </c>
      <c r="Z1499" s="64">
        <f t="shared" si="298"/>
        <v>0</v>
      </c>
    </row>
    <row r="1500" spans="11:26" ht="15.75" customHeight="1">
      <c r="K1500" s="48">
        <f t="shared" si="299"/>
        <v>8</v>
      </c>
      <c r="L1500" s="48">
        <f t="shared" si="300"/>
        <v>68</v>
      </c>
      <c r="S1500" s="200"/>
      <c r="T1500" s="201"/>
      <c r="U1500" s="58"/>
      <c r="V1500" s="46"/>
      <c r="W1500" s="46"/>
      <c r="X1500" s="62" t="s">
        <v>25</v>
      </c>
      <c r="Y1500" s="63" t="e">
        <f t="shared" si="297"/>
        <v>#DIV/0!</v>
      </c>
      <c r="Z1500" s="64">
        <f t="shared" si="298"/>
        <v>0</v>
      </c>
    </row>
    <row r="1501" spans="11:26" ht="15.75" customHeight="1">
      <c r="K1501" s="48">
        <f t="shared" si="299"/>
        <v>8</v>
      </c>
      <c r="L1501" s="48">
        <f t="shared" si="300"/>
        <v>68</v>
      </c>
      <c r="S1501" s="200"/>
      <c r="T1501" s="201"/>
      <c r="U1501" s="58"/>
      <c r="V1501" s="46"/>
      <c r="W1501" s="46"/>
      <c r="X1501" s="62" t="s">
        <v>25</v>
      </c>
      <c r="Y1501" s="63" t="e">
        <f t="shared" si="297"/>
        <v>#DIV/0!</v>
      </c>
      <c r="Z1501" s="64">
        <f t="shared" si="298"/>
        <v>0</v>
      </c>
    </row>
    <row r="1502" spans="11:26" ht="15.75" customHeight="1">
      <c r="K1502" s="48">
        <f t="shared" si="299"/>
        <v>8</v>
      </c>
      <c r="L1502" s="48">
        <f t="shared" si="300"/>
        <v>68</v>
      </c>
      <c r="S1502" s="200"/>
      <c r="T1502" s="201"/>
      <c r="U1502" s="58"/>
      <c r="V1502" s="46"/>
      <c r="W1502" s="46"/>
      <c r="X1502" s="62" t="s">
        <v>25</v>
      </c>
      <c r="Y1502" s="63" t="e">
        <f t="shared" si="297"/>
        <v>#DIV/0!</v>
      </c>
      <c r="Z1502" s="64">
        <f t="shared" si="298"/>
        <v>0</v>
      </c>
    </row>
    <row r="1503" spans="11:26" ht="15.75" customHeight="1">
      <c r="K1503" s="48">
        <f t="shared" si="299"/>
        <v>8</v>
      </c>
      <c r="L1503" s="48">
        <f t="shared" si="300"/>
        <v>68</v>
      </c>
      <c r="S1503" s="200"/>
      <c r="T1503" s="201"/>
      <c r="U1503" s="58"/>
      <c r="V1503" s="46"/>
      <c r="W1503" s="46"/>
      <c r="X1503" s="62" t="s">
        <v>25</v>
      </c>
      <c r="Y1503" s="63" t="e">
        <f t="shared" si="297"/>
        <v>#DIV/0!</v>
      </c>
      <c r="Z1503" s="64">
        <f t="shared" si="298"/>
        <v>0</v>
      </c>
    </row>
    <row r="1504" spans="11:26" ht="15.75" customHeight="1">
      <c r="K1504" s="48">
        <f t="shared" si="299"/>
        <v>8</v>
      </c>
      <c r="L1504" s="48">
        <f t="shared" si="300"/>
        <v>68</v>
      </c>
      <c r="S1504" s="200"/>
      <c r="T1504" s="201"/>
      <c r="U1504" s="58"/>
      <c r="V1504" s="46"/>
      <c r="W1504" s="46"/>
      <c r="X1504" s="62" t="s">
        <v>25</v>
      </c>
      <c r="Y1504" s="63" t="e">
        <f t="shared" si="297"/>
        <v>#DIV/0!</v>
      </c>
      <c r="Z1504" s="64">
        <f t="shared" si="298"/>
        <v>0</v>
      </c>
    </row>
    <row r="1505" spans="11:26" ht="15.75" customHeight="1">
      <c r="K1505" s="48">
        <f t="shared" si="299"/>
        <v>8</v>
      </c>
      <c r="L1505" s="48">
        <f t="shared" si="300"/>
        <v>68</v>
      </c>
      <c r="S1505" s="200"/>
      <c r="T1505" s="201"/>
      <c r="U1505" s="58"/>
      <c r="V1505" s="46"/>
      <c r="W1505" s="46"/>
      <c r="X1505" s="62" t="s">
        <v>25</v>
      </c>
      <c r="Y1505" s="63" t="e">
        <f t="shared" si="297"/>
        <v>#DIV/0!</v>
      </c>
      <c r="Z1505" s="64">
        <f t="shared" si="298"/>
        <v>0</v>
      </c>
    </row>
    <row r="1506" spans="11:26" ht="15.75" customHeight="1">
      <c r="K1506" s="48">
        <f t="shared" si="299"/>
        <v>8</v>
      </c>
      <c r="L1506" s="48">
        <f t="shared" si="300"/>
        <v>68</v>
      </c>
      <c r="S1506" s="200"/>
      <c r="T1506" s="201"/>
      <c r="U1506" s="58"/>
      <c r="V1506" s="46"/>
      <c r="W1506" s="46"/>
      <c r="X1506" s="62" t="s">
        <v>25</v>
      </c>
      <c r="Y1506" s="63" t="e">
        <f t="shared" si="297"/>
        <v>#DIV/0!</v>
      </c>
      <c r="Z1506" s="64">
        <f t="shared" si="298"/>
        <v>0</v>
      </c>
    </row>
    <row r="1507" spans="11:26" ht="15.75" customHeight="1">
      <c r="K1507" s="48">
        <f t="shared" si="299"/>
        <v>8</v>
      </c>
      <c r="L1507" s="48">
        <f t="shared" si="300"/>
        <v>68</v>
      </c>
      <c r="S1507" s="200"/>
      <c r="T1507" s="201"/>
      <c r="U1507" s="58"/>
      <c r="V1507" s="46"/>
      <c r="W1507" s="46"/>
      <c r="X1507" s="62" t="s">
        <v>25</v>
      </c>
      <c r="Y1507" s="63" t="e">
        <f t="shared" si="297"/>
        <v>#DIV/0!</v>
      </c>
      <c r="Z1507" s="64">
        <f t="shared" si="298"/>
        <v>0</v>
      </c>
    </row>
    <row r="1508" spans="11:26" ht="15.75" customHeight="1">
      <c r="K1508" s="48">
        <f t="shared" si="299"/>
        <v>8</v>
      </c>
      <c r="L1508" s="48">
        <f t="shared" si="300"/>
        <v>68</v>
      </c>
      <c r="S1508" s="200"/>
      <c r="T1508" s="201"/>
      <c r="U1508" s="58"/>
      <c r="V1508" s="46"/>
      <c r="W1508" s="46"/>
      <c r="X1508" s="62" t="s">
        <v>25</v>
      </c>
      <c r="Y1508" s="63" t="e">
        <f t="shared" si="297"/>
        <v>#DIV/0!</v>
      </c>
      <c r="Z1508" s="64">
        <f t="shared" si="298"/>
        <v>0</v>
      </c>
    </row>
    <row r="1509" spans="11:26" ht="15.75" customHeight="1">
      <c r="K1509" s="48">
        <f t="shared" si="299"/>
        <v>8</v>
      </c>
      <c r="L1509" s="48">
        <f t="shared" si="300"/>
        <v>68</v>
      </c>
      <c r="S1509" s="200"/>
      <c r="T1509" s="201"/>
      <c r="U1509" s="58"/>
      <c r="V1509" s="46"/>
      <c r="W1509" s="46"/>
      <c r="X1509" s="62" t="s">
        <v>25</v>
      </c>
      <c r="Y1509" s="63" t="e">
        <f t="shared" si="297"/>
        <v>#DIV/0!</v>
      </c>
      <c r="Z1509" s="64">
        <f t="shared" si="298"/>
        <v>0</v>
      </c>
    </row>
    <row r="1510" spans="11:26" ht="15.75" customHeight="1">
      <c r="K1510" s="48">
        <f t="shared" si="299"/>
        <v>8</v>
      </c>
      <c r="L1510" s="48">
        <f t="shared" si="300"/>
        <v>68</v>
      </c>
      <c r="S1510" s="200"/>
      <c r="T1510" s="201"/>
      <c r="U1510" s="58"/>
      <c r="V1510" s="46"/>
      <c r="W1510" s="46"/>
      <c r="X1510" s="62" t="s">
        <v>25</v>
      </c>
      <c r="Y1510" s="63" t="e">
        <f t="shared" si="297"/>
        <v>#DIV/0!</v>
      </c>
      <c r="Z1510" s="64">
        <f t="shared" si="298"/>
        <v>0</v>
      </c>
    </row>
    <row r="1511" spans="11:26" ht="15.75" customHeight="1">
      <c r="K1511" s="48">
        <f t="shared" si="299"/>
        <v>8</v>
      </c>
      <c r="L1511" s="48">
        <f t="shared" si="300"/>
        <v>68</v>
      </c>
      <c r="S1511" s="200"/>
      <c r="T1511" s="201"/>
      <c r="U1511" s="58"/>
      <c r="V1511" s="46"/>
      <c r="W1511" s="46"/>
      <c r="X1511" s="62" t="s">
        <v>25</v>
      </c>
      <c r="Y1511" s="63" t="e">
        <f t="shared" si="297"/>
        <v>#DIV/0!</v>
      </c>
      <c r="Z1511" s="64">
        <f t="shared" si="298"/>
        <v>0</v>
      </c>
    </row>
    <row r="1512" spans="11:26" ht="15.75" customHeight="1">
      <c r="K1512" s="48">
        <f t="shared" si="299"/>
        <v>8</v>
      </c>
      <c r="L1512" s="48">
        <f t="shared" si="300"/>
        <v>68</v>
      </c>
      <c r="S1512" s="200"/>
      <c r="T1512" s="201"/>
      <c r="U1512" s="58"/>
      <c r="V1512" s="46"/>
      <c r="W1512" s="46"/>
      <c r="X1512" s="62" t="s">
        <v>25</v>
      </c>
      <c r="Y1512" s="63" t="e">
        <f t="shared" si="297"/>
        <v>#DIV/0!</v>
      </c>
      <c r="Z1512" s="64">
        <f t="shared" si="298"/>
        <v>0</v>
      </c>
    </row>
    <row r="1513" spans="11:26" ht="15.75" customHeight="1">
      <c r="K1513" s="48">
        <f t="shared" si="299"/>
        <v>8</v>
      </c>
      <c r="L1513" s="48">
        <f t="shared" si="300"/>
        <v>68</v>
      </c>
      <c r="S1513" s="200"/>
      <c r="T1513" s="201"/>
      <c r="U1513" s="58"/>
      <c r="V1513" s="46"/>
      <c r="W1513" s="46"/>
      <c r="X1513" s="62" t="s">
        <v>25</v>
      </c>
      <c r="Y1513" s="63" t="e">
        <f t="shared" si="297"/>
        <v>#DIV/0!</v>
      </c>
      <c r="Z1513" s="64">
        <f t="shared" si="298"/>
        <v>0</v>
      </c>
    </row>
    <row r="1514" spans="11:26" ht="15.75" customHeight="1">
      <c r="K1514" s="48">
        <f t="shared" si="299"/>
        <v>8</v>
      </c>
      <c r="L1514" s="48">
        <f t="shared" si="300"/>
        <v>68</v>
      </c>
      <c r="S1514" s="200"/>
      <c r="T1514" s="201"/>
      <c r="U1514" s="58"/>
      <c r="V1514" s="46"/>
      <c r="W1514" s="46"/>
      <c r="X1514" s="62" t="s">
        <v>25</v>
      </c>
      <c r="Y1514" s="63" t="e">
        <f t="shared" si="297"/>
        <v>#DIV/0!</v>
      </c>
      <c r="Z1514" s="64">
        <f t="shared" si="298"/>
        <v>0</v>
      </c>
    </row>
    <row r="1515" spans="11:26" ht="15.75" customHeight="1">
      <c r="K1515" s="48">
        <f t="shared" si="299"/>
        <v>8</v>
      </c>
      <c r="L1515" s="48">
        <f t="shared" si="300"/>
        <v>68</v>
      </c>
      <c r="S1515" s="200"/>
      <c r="T1515" s="201"/>
      <c r="U1515" s="58"/>
      <c r="V1515" s="46"/>
      <c r="W1515" s="46"/>
      <c r="X1515" s="62" t="s">
        <v>25</v>
      </c>
      <c r="Y1515" s="63" t="e">
        <f t="shared" si="297"/>
        <v>#DIV/0!</v>
      </c>
      <c r="Z1515" s="64">
        <f t="shared" si="298"/>
        <v>0</v>
      </c>
    </row>
    <row r="1516" spans="11:26" ht="15.75" customHeight="1">
      <c r="K1516" s="48">
        <f t="shared" si="299"/>
        <v>8</v>
      </c>
      <c r="L1516" s="48">
        <f t="shared" si="300"/>
        <v>68</v>
      </c>
      <c r="S1516" s="200"/>
      <c r="T1516" s="201"/>
      <c r="U1516" s="58"/>
      <c r="V1516" s="46"/>
      <c r="W1516" s="46"/>
      <c r="X1516" s="62" t="s">
        <v>25</v>
      </c>
      <c r="Y1516" s="63" t="e">
        <f t="shared" si="297"/>
        <v>#DIV/0!</v>
      </c>
      <c r="Z1516" s="64">
        <f t="shared" si="298"/>
        <v>0</v>
      </c>
    </row>
    <row r="1517" spans="11:26" ht="15.75" customHeight="1">
      <c r="K1517" s="48">
        <f t="shared" si="299"/>
        <v>8</v>
      </c>
      <c r="L1517" s="48">
        <f t="shared" si="300"/>
        <v>68</v>
      </c>
      <c r="S1517" s="200"/>
      <c r="T1517" s="201"/>
      <c r="U1517" s="58"/>
      <c r="V1517" s="46"/>
      <c r="W1517" s="46"/>
      <c r="X1517" s="62" t="s">
        <v>25</v>
      </c>
      <c r="Y1517" s="63" t="e">
        <f t="shared" si="297"/>
        <v>#DIV/0!</v>
      </c>
      <c r="Z1517" s="64">
        <f t="shared" si="298"/>
        <v>0</v>
      </c>
    </row>
    <row r="1518" spans="11:26" ht="15.75" customHeight="1">
      <c r="K1518" s="48">
        <f t="shared" si="299"/>
        <v>8</v>
      </c>
      <c r="L1518" s="48">
        <f t="shared" si="300"/>
        <v>68</v>
      </c>
      <c r="S1518" s="200"/>
      <c r="T1518" s="201"/>
      <c r="U1518" s="58"/>
      <c r="V1518" s="46"/>
      <c r="W1518" s="46"/>
      <c r="X1518" s="62" t="s">
        <v>25</v>
      </c>
      <c r="Y1518" s="63" t="e">
        <f t="shared" si="297"/>
        <v>#DIV/0!</v>
      </c>
      <c r="Z1518" s="64">
        <f t="shared" si="298"/>
        <v>0</v>
      </c>
    </row>
    <row r="1519" spans="11:26" ht="15.75" customHeight="1">
      <c r="K1519" s="48">
        <f t="shared" si="299"/>
        <v>8</v>
      </c>
      <c r="L1519" s="48">
        <f t="shared" si="300"/>
        <v>68</v>
      </c>
      <c r="S1519" s="200"/>
      <c r="T1519" s="201"/>
      <c r="U1519" s="58"/>
      <c r="V1519" s="46"/>
      <c r="W1519" s="46"/>
      <c r="X1519" s="62" t="s">
        <v>25</v>
      </c>
      <c r="Y1519" s="63" t="e">
        <f t="shared" si="297"/>
        <v>#DIV/0!</v>
      </c>
      <c r="Z1519" s="64">
        <f t="shared" si="298"/>
        <v>0</v>
      </c>
    </row>
    <row r="1520" spans="11:26" ht="15.75" customHeight="1">
      <c r="K1520" s="48">
        <f t="shared" si="299"/>
        <v>8</v>
      </c>
      <c r="L1520" s="48">
        <f t="shared" si="300"/>
        <v>68</v>
      </c>
      <c r="S1520" s="200"/>
      <c r="T1520" s="201"/>
      <c r="U1520" s="58"/>
      <c r="V1520" s="46"/>
      <c r="W1520" s="46"/>
      <c r="X1520" s="62" t="s">
        <v>25</v>
      </c>
      <c r="Y1520" s="63" t="e">
        <f t="shared" si="297"/>
        <v>#DIV/0!</v>
      </c>
      <c r="Z1520" s="64">
        <f t="shared" si="298"/>
        <v>0</v>
      </c>
    </row>
    <row r="1521" spans="11:26" ht="15.75" customHeight="1">
      <c r="K1521" s="48">
        <f t="shared" si="299"/>
        <v>8</v>
      </c>
      <c r="L1521" s="48">
        <f t="shared" si="300"/>
        <v>68</v>
      </c>
      <c r="S1521" s="200"/>
      <c r="T1521" s="201"/>
      <c r="U1521" s="58"/>
      <c r="V1521" s="46"/>
      <c r="W1521" s="46"/>
      <c r="X1521" s="62" t="s">
        <v>25</v>
      </c>
      <c r="Y1521" s="63" t="e">
        <f t="shared" si="297"/>
        <v>#DIV/0!</v>
      </c>
      <c r="Z1521" s="64">
        <f t="shared" si="298"/>
        <v>0</v>
      </c>
    </row>
    <row r="1522" spans="11:26" ht="15.75" customHeight="1">
      <c r="K1522" s="48">
        <f t="shared" si="299"/>
        <v>8</v>
      </c>
      <c r="L1522" s="48">
        <f t="shared" si="300"/>
        <v>68</v>
      </c>
      <c r="S1522" s="200"/>
      <c r="T1522" s="201"/>
      <c r="U1522" s="58"/>
      <c r="V1522" s="46"/>
      <c r="W1522" s="46"/>
      <c r="X1522" s="62" t="s">
        <v>25</v>
      </c>
      <c r="Y1522" s="63" t="e">
        <f t="shared" si="297"/>
        <v>#DIV/0!</v>
      </c>
      <c r="Z1522" s="64">
        <f t="shared" si="298"/>
        <v>0</v>
      </c>
    </row>
    <row r="1523" spans="11:26" ht="15.75" customHeight="1">
      <c r="K1523" s="48">
        <f t="shared" si="299"/>
        <v>8</v>
      </c>
      <c r="L1523" s="48">
        <f t="shared" si="300"/>
        <v>68</v>
      </c>
      <c r="S1523" s="200"/>
      <c r="T1523" s="201"/>
      <c r="U1523" s="58"/>
      <c r="V1523" s="46"/>
      <c r="W1523" s="46"/>
      <c r="X1523" s="62" t="s">
        <v>25</v>
      </c>
      <c r="Y1523" s="63" t="e">
        <f t="shared" si="297"/>
        <v>#DIV/0!</v>
      </c>
      <c r="Z1523" s="64">
        <f t="shared" si="298"/>
        <v>0</v>
      </c>
    </row>
    <row r="1524" spans="11:26" ht="15.75" customHeight="1">
      <c r="K1524" s="48">
        <f t="shared" si="299"/>
        <v>8</v>
      </c>
      <c r="L1524" s="48">
        <f t="shared" si="300"/>
        <v>68</v>
      </c>
      <c r="S1524" s="200"/>
      <c r="T1524" s="201"/>
      <c r="U1524" s="58"/>
      <c r="V1524" s="46"/>
      <c r="W1524" s="46"/>
      <c r="X1524" s="62" t="s">
        <v>25</v>
      </c>
      <c r="Y1524" s="63" t="e">
        <f t="shared" ref="Y1524:Y1587" si="301">F1524/E1524</f>
        <v>#DIV/0!</v>
      </c>
      <c r="Z1524" s="64">
        <f t="shared" si="298"/>
        <v>0</v>
      </c>
    </row>
    <row r="1525" spans="11:26" ht="15.75" customHeight="1">
      <c r="K1525" s="48">
        <f t="shared" si="299"/>
        <v>8</v>
      </c>
      <c r="L1525" s="48">
        <f t="shared" si="300"/>
        <v>68</v>
      </c>
      <c r="S1525" s="200"/>
      <c r="T1525" s="201"/>
      <c r="U1525" s="58"/>
      <c r="V1525" s="46"/>
      <c r="W1525" s="46"/>
      <c r="X1525" s="62" t="s">
        <v>25</v>
      </c>
      <c r="Y1525" s="63" t="e">
        <f t="shared" si="301"/>
        <v>#DIV/0!</v>
      </c>
      <c r="Z1525" s="64">
        <f t="shared" si="298"/>
        <v>0</v>
      </c>
    </row>
    <row r="1526" spans="11:26" ht="15.75" customHeight="1">
      <c r="K1526" s="48">
        <f t="shared" si="299"/>
        <v>8</v>
      </c>
      <c r="L1526" s="48">
        <f t="shared" si="300"/>
        <v>68</v>
      </c>
      <c r="S1526" s="200"/>
      <c r="T1526" s="201"/>
      <c r="U1526" s="58"/>
      <c r="V1526" s="46"/>
      <c r="W1526" s="46"/>
      <c r="X1526" s="62" t="s">
        <v>25</v>
      </c>
      <c r="Y1526" s="63" t="e">
        <f t="shared" si="301"/>
        <v>#DIV/0!</v>
      </c>
      <c r="Z1526" s="64">
        <f t="shared" si="298"/>
        <v>0</v>
      </c>
    </row>
    <row r="1527" spans="11:26" ht="15.75" customHeight="1">
      <c r="K1527" s="48">
        <f t="shared" si="299"/>
        <v>8</v>
      </c>
      <c r="L1527" s="48">
        <f t="shared" si="300"/>
        <v>68</v>
      </c>
      <c r="S1527" s="200"/>
      <c r="T1527" s="201"/>
      <c r="U1527" s="58"/>
      <c r="V1527" s="46"/>
      <c r="W1527" s="46"/>
      <c r="X1527" s="62" t="s">
        <v>25</v>
      </c>
      <c r="Y1527" s="63" t="e">
        <f t="shared" si="301"/>
        <v>#DIV/0!</v>
      </c>
      <c r="Z1527" s="64">
        <f t="shared" si="298"/>
        <v>0</v>
      </c>
    </row>
    <row r="1528" spans="11:26" ht="15.75" customHeight="1">
      <c r="K1528" s="48">
        <f t="shared" si="299"/>
        <v>8</v>
      </c>
      <c r="L1528" s="48">
        <f t="shared" si="300"/>
        <v>68</v>
      </c>
      <c r="S1528" s="200"/>
      <c r="T1528" s="201"/>
      <c r="U1528" s="58"/>
      <c r="V1528" s="46"/>
      <c r="W1528" s="46"/>
      <c r="X1528" s="62" t="s">
        <v>25</v>
      </c>
      <c r="Y1528" s="63" t="e">
        <f t="shared" si="301"/>
        <v>#DIV/0!</v>
      </c>
      <c r="Z1528" s="64">
        <f t="shared" si="298"/>
        <v>0</v>
      </c>
    </row>
    <row r="1529" spans="11:26" ht="15.75" customHeight="1">
      <c r="K1529" s="48">
        <f t="shared" si="299"/>
        <v>8</v>
      </c>
      <c r="L1529" s="48">
        <f t="shared" si="300"/>
        <v>68</v>
      </c>
      <c r="S1529" s="200"/>
      <c r="T1529" s="201"/>
      <c r="U1529" s="58"/>
      <c r="V1529" s="46"/>
      <c r="W1529" s="46"/>
      <c r="X1529" s="62" t="s">
        <v>25</v>
      </c>
      <c r="Y1529" s="63" t="e">
        <f t="shared" si="301"/>
        <v>#DIV/0!</v>
      </c>
      <c r="Z1529" s="64">
        <f t="shared" si="298"/>
        <v>0</v>
      </c>
    </row>
    <row r="1530" spans="11:26" ht="15.75" customHeight="1">
      <c r="K1530" s="48">
        <f t="shared" si="299"/>
        <v>8</v>
      </c>
      <c r="L1530" s="48">
        <f t="shared" si="300"/>
        <v>68</v>
      </c>
      <c r="S1530" s="200"/>
      <c r="T1530" s="201"/>
      <c r="U1530" s="58"/>
      <c r="V1530" s="46"/>
      <c r="W1530" s="46"/>
      <c r="X1530" s="62" t="s">
        <v>25</v>
      </c>
      <c r="Y1530" s="63" t="e">
        <f t="shared" si="301"/>
        <v>#DIV/0!</v>
      </c>
      <c r="Z1530" s="64">
        <f t="shared" si="298"/>
        <v>0</v>
      </c>
    </row>
    <row r="1531" spans="11:26" ht="15.75" customHeight="1">
      <c r="K1531" s="48">
        <f t="shared" si="299"/>
        <v>8</v>
      </c>
      <c r="L1531" s="48">
        <f t="shared" si="300"/>
        <v>68</v>
      </c>
      <c r="S1531" s="200"/>
      <c r="T1531" s="201"/>
      <c r="U1531" s="58"/>
      <c r="V1531" s="46"/>
      <c r="W1531" s="46"/>
      <c r="X1531" s="62" t="s">
        <v>25</v>
      </c>
      <c r="Y1531" s="63" t="e">
        <f t="shared" si="301"/>
        <v>#DIV/0!</v>
      </c>
      <c r="Z1531" s="64">
        <f t="shared" si="298"/>
        <v>0</v>
      </c>
    </row>
    <row r="1532" spans="11:26" ht="15.75" customHeight="1">
      <c r="K1532" s="48">
        <f t="shared" si="299"/>
        <v>8</v>
      </c>
      <c r="L1532" s="48">
        <f t="shared" si="300"/>
        <v>68</v>
      </c>
      <c r="S1532" s="200"/>
      <c r="T1532" s="201"/>
      <c r="U1532" s="58"/>
      <c r="V1532" s="46"/>
      <c r="W1532" s="46"/>
      <c r="X1532" s="62" t="s">
        <v>25</v>
      </c>
      <c r="Y1532" s="63" t="e">
        <f t="shared" si="301"/>
        <v>#DIV/0!</v>
      </c>
      <c r="Z1532" s="64">
        <f t="shared" si="298"/>
        <v>0</v>
      </c>
    </row>
    <row r="1533" spans="11:26" ht="15.75" customHeight="1">
      <c r="K1533" s="48">
        <f t="shared" si="299"/>
        <v>8</v>
      </c>
      <c r="L1533" s="48">
        <f t="shared" si="300"/>
        <v>68</v>
      </c>
      <c r="S1533" s="200"/>
      <c r="T1533" s="201"/>
      <c r="U1533" s="58"/>
      <c r="V1533" s="46"/>
      <c r="W1533" s="46"/>
      <c r="X1533" s="62" t="s">
        <v>25</v>
      </c>
      <c r="Y1533" s="63" t="e">
        <f t="shared" si="301"/>
        <v>#DIV/0!</v>
      </c>
      <c r="Z1533" s="64">
        <f t="shared" si="298"/>
        <v>0</v>
      </c>
    </row>
    <row r="1534" spans="11:26" ht="15.75" customHeight="1">
      <c r="K1534" s="48">
        <f t="shared" si="299"/>
        <v>8</v>
      </c>
      <c r="L1534" s="48">
        <f t="shared" si="300"/>
        <v>68</v>
      </c>
      <c r="S1534" s="200"/>
      <c r="T1534" s="201"/>
      <c r="U1534" s="58"/>
      <c r="V1534" s="46"/>
      <c r="W1534" s="46"/>
      <c r="X1534" s="62" t="s">
        <v>25</v>
      </c>
      <c r="Y1534" s="63" t="e">
        <f t="shared" si="301"/>
        <v>#DIV/0!</v>
      </c>
      <c r="Z1534" s="64">
        <f t="shared" ref="Z1534:Z1597" si="302">E1534-N1534</f>
        <v>0</v>
      </c>
    </row>
    <row r="1535" spans="11:26" ht="15.75" customHeight="1">
      <c r="K1535" s="48">
        <f t="shared" si="299"/>
        <v>8</v>
      </c>
      <c r="L1535" s="48">
        <f t="shared" si="300"/>
        <v>68</v>
      </c>
      <c r="S1535" s="200"/>
      <c r="T1535" s="201"/>
      <c r="U1535" s="58"/>
      <c r="V1535" s="46"/>
      <c r="W1535" s="46"/>
      <c r="X1535" s="62" t="s">
        <v>25</v>
      </c>
      <c r="Y1535" s="63" t="e">
        <f t="shared" si="301"/>
        <v>#DIV/0!</v>
      </c>
      <c r="Z1535" s="64">
        <f t="shared" si="302"/>
        <v>0</v>
      </c>
    </row>
    <row r="1536" spans="11:26" ht="15.75" customHeight="1">
      <c r="K1536" s="48">
        <f t="shared" si="299"/>
        <v>8</v>
      </c>
      <c r="L1536" s="48">
        <f t="shared" si="300"/>
        <v>68</v>
      </c>
      <c r="S1536" s="200"/>
      <c r="T1536" s="201"/>
      <c r="U1536" s="58"/>
      <c r="V1536" s="46"/>
      <c r="W1536" s="46"/>
      <c r="X1536" s="62" t="s">
        <v>25</v>
      </c>
      <c r="Y1536" s="63" t="e">
        <f t="shared" si="301"/>
        <v>#DIV/0!</v>
      </c>
      <c r="Z1536" s="64">
        <f t="shared" si="302"/>
        <v>0</v>
      </c>
    </row>
    <row r="1537" spans="11:26" ht="15.75" customHeight="1">
      <c r="K1537" s="48">
        <f t="shared" si="299"/>
        <v>8</v>
      </c>
      <c r="L1537" s="48">
        <f t="shared" si="300"/>
        <v>68</v>
      </c>
      <c r="S1537" s="200"/>
      <c r="T1537" s="201"/>
      <c r="U1537" s="58"/>
      <c r="V1537" s="46"/>
      <c r="W1537" s="46"/>
      <c r="X1537" s="62" t="s">
        <v>25</v>
      </c>
      <c r="Y1537" s="63" t="e">
        <f t="shared" si="301"/>
        <v>#DIV/0!</v>
      </c>
      <c r="Z1537" s="64">
        <f t="shared" si="302"/>
        <v>0</v>
      </c>
    </row>
    <row r="1538" spans="11:26" ht="15.75" customHeight="1">
      <c r="K1538" s="48">
        <f t="shared" si="299"/>
        <v>8</v>
      </c>
      <c r="L1538" s="48">
        <f t="shared" si="300"/>
        <v>68</v>
      </c>
      <c r="S1538" s="200"/>
      <c r="T1538" s="201"/>
      <c r="U1538" s="58"/>
      <c r="V1538" s="46"/>
      <c r="W1538" s="46"/>
      <c r="X1538" s="62" t="s">
        <v>25</v>
      </c>
      <c r="Y1538" s="63" t="e">
        <f t="shared" si="301"/>
        <v>#DIV/0!</v>
      </c>
      <c r="Z1538" s="64">
        <f t="shared" si="302"/>
        <v>0</v>
      </c>
    </row>
    <row r="1539" spans="11:26" ht="15.75" customHeight="1">
      <c r="K1539" s="48">
        <f t="shared" si="299"/>
        <v>8</v>
      </c>
      <c r="L1539" s="48">
        <f t="shared" si="300"/>
        <v>68</v>
      </c>
      <c r="S1539" s="200"/>
      <c r="T1539" s="201"/>
      <c r="U1539" s="58"/>
      <c r="V1539" s="46"/>
      <c r="W1539" s="46"/>
      <c r="X1539" s="62" t="s">
        <v>25</v>
      </c>
      <c r="Y1539" s="63" t="e">
        <f t="shared" si="301"/>
        <v>#DIV/0!</v>
      </c>
      <c r="Z1539" s="64">
        <f t="shared" si="302"/>
        <v>0</v>
      </c>
    </row>
    <row r="1540" spans="11:26" ht="15.75" customHeight="1">
      <c r="K1540" s="48">
        <f t="shared" si="299"/>
        <v>8</v>
      </c>
      <c r="L1540" s="48">
        <f t="shared" si="300"/>
        <v>68</v>
      </c>
      <c r="S1540" s="200"/>
      <c r="T1540" s="201"/>
      <c r="U1540" s="58"/>
      <c r="V1540" s="46"/>
      <c r="W1540" s="46"/>
      <c r="X1540" s="62" t="s">
        <v>25</v>
      </c>
      <c r="Y1540" s="63" t="e">
        <f t="shared" si="301"/>
        <v>#DIV/0!</v>
      </c>
      <c r="Z1540" s="64">
        <f t="shared" si="302"/>
        <v>0</v>
      </c>
    </row>
    <row r="1541" spans="11:26" ht="15.75" customHeight="1">
      <c r="K1541" s="48">
        <f t="shared" si="299"/>
        <v>8</v>
      </c>
      <c r="L1541" s="48">
        <f t="shared" si="300"/>
        <v>68</v>
      </c>
      <c r="S1541" s="200"/>
      <c r="T1541" s="201"/>
      <c r="U1541" s="58"/>
      <c r="V1541" s="46"/>
      <c r="W1541" s="46"/>
      <c r="X1541" s="62" t="s">
        <v>25</v>
      </c>
      <c r="Y1541" s="63" t="e">
        <f t="shared" si="301"/>
        <v>#DIV/0!</v>
      </c>
      <c r="Z1541" s="64">
        <f t="shared" si="302"/>
        <v>0</v>
      </c>
    </row>
    <row r="1542" spans="11:26" ht="15.75" customHeight="1">
      <c r="K1542" s="48">
        <f t="shared" si="299"/>
        <v>8</v>
      </c>
      <c r="L1542" s="48">
        <f t="shared" si="300"/>
        <v>68</v>
      </c>
      <c r="S1542" s="200"/>
      <c r="T1542" s="201"/>
      <c r="U1542" s="58"/>
      <c r="V1542" s="46"/>
      <c r="W1542" s="46"/>
      <c r="X1542" s="62" t="s">
        <v>25</v>
      </c>
      <c r="Y1542" s="63" t="e">
        <f t="shared" si="301"/>
        <v>#DIV/0!</v>
      </c>
      <c r="Z1542" s="64">
        <f t="shared" si="302"/>
        <v>0</v>
      </c>
    </row>
    <row r="1543" spans="11:26" ht="15.75" customHeight="1">
      <c r="K1543" s="48">
        <f t="shared" si="299"/>
        <v>8</v>
      </c>
      <c r="L1543" s="48">
        <f t="shared" si="300"/>
        <v>68</v>
      </c>
      <c r="S1543" s="200"/>
      <c r="T1543" s="201"/>
      <c r="U1543" s="58"/>
      <c r="V1543" s="46"/>
      <c r="W1543" s="46"/>
      <c r="X1543" s="62" t="s">
        <v>25</v>
      </c>
      <c r="Y1543" s="63" t="e">
        <f t="shared" si="301"/>
        <v>#DIV/0!</v>
      </c>
      <c r="Z1543" s="64">
        <f t="shared" si="302"/>
        <v>0</v>
      </c>
    </row>
    <row r="1544" spans="11:26" ht="15.75" customHeight="1">
      <c r="K1544" s="48">
        <f t="shared" si="299"/>
        <v>8</v>
      </c>
      <c r="L1544" s="48">
        <f t="shared" si="300"/>
        <v>68</v>
      </c>
      <c r="S1544" s="200"/>
      <c r="T1544" s="201"/>
      <c r="U1544" s="58"/>
      <c r="V1544" s="46"/>
      <c r="W1544" s="46"/>
      <c r="X1544" s="62" t="s">
        <v>25</v>
      </c>
      <c r="Y1544" s="63" t="e">
        <f t="shared" si="301"/>
        <v>#DIV/0!</v>
      </c>
      <c r="Z1544" s="64">
        <f t="shared" si="302"/>
        <v>0</v>
      </c>
    </row>
    <row r="1545" spans="11:26" ht="15.75" customHeight="1">
      <c r="K1545" s="48">
        <f t="shared" si="299"/>
        <v>8</v>
      </c>
      <c r="L1545" s="48">
        <f t="shared" si="300"/>
        <v>68</v>
      </c>
      <c r="S1545" s="200"/>
      <c r="T1545" s="201"/>
      <c r="U1545" s="58"/>
      <c r="V1545" s="46"/>
      <c r="W1545" s="46"/>
      <c r="X1545" s="62" t="s">
        <v>25</v>
      </c>
      <c r="Y1545" s="63" t="e">
        <f t="shared" si="301"/>
        <v>#DIV/0!</v>
      </c>
      <c r="Z1545" s="64">
        <f t="shared" si="302"/>
        <v>0</v>
      </c>
    </row>
    <row r="1546" spans="11:26" ht="15.75" customHeight="1">
      <c r="K1546" s="48">
        <f t="shared" si="299"/>
        <v>8</v>
      </c>
      <c r="L1546" s="48">
        <f t="shared" si="300"/>
        <v>68</v>
      </c>
      <c r="S1546" s="200"/>
      <c r="T1546" s="201"/>
      <c r="U1546" s="58"/>
      <c r="V1546" s="46"/>
      <c r="W1546" s="46"/>
      <c r="X1546" s="62" t="s">
        <v>25</v>
      </c>
      <c r="Y1546" s="63" t="e">
        <f t="shared" si="301"/>
        <v>#DIV/0!</v>
      </c>
      <c r="Z1546" s="64">
        <f t="shared" si="302"/>
        <v>0</v>
      </c>
    </row>
    <row r="1547" spans="11:26" ht="15.75" customHeight="1">
      <c r="K1547" s="48">
        <f t="shared" ref="K1547:K1610" si="303">D1547+8</f>
        <v>8</v>
      </c>
      <c r="L1547" s="48">
        <f t="shared" ref="L1547:L1610" si="304">K1547+60</f>
        <v>68</v>
      </c>
      <c r="S1547" s="200"/>
      <c r="T1547" s="201"/>
      <c r="U1547" s="58"/>
      <c r="V1547" s="46"/>
      <c r="W1547" s="46"/>
      <c r="X1547" s="62" t="s">
        <v>25</v>
      </c>
      <c r="Y1547" s="63" t="e">
        <f t="shared" si="301"/>
        <v>#DIV/0!</v>
      </c>
      <c r="Z1547" s="64">
        <f t="shared" si="302"/>
        <v>0</v>
      </c>
    </row>
    <row r="1548" spans="11:26" ht="15.75" customHeight="1">
      <c r="K1548" s="48">
        <f t="shared" si="303"/>
        <v>8</v>
      </c>
      <c r="L1548" s="48">
        <f t="shared" si="304"/>
        <v>68</v>
      </c>
      <c r="S1548" s="200"/>
      <c r="T1548" s="201"/>
      <c r="U1548" s="58"/>
      <c r="V1548" s="46"/>
      <c r="W1548" s="46"/>
      <c r="X1548" s="62" t="s">
        <v>25</v>
      </c>
      <c r="Y1548" s="63" t="e">
        <f t="shared" si="301"/>
        <v>#DIV/0!</v>
      </c>
      <c r="Z1548" s="64">
        <f t="shared" si="302"/>
        <v>0</v>
      </c>
    </row>
    <row r="1549" spans="11:26" ht="15.75" customHeight="1">
      <c r="K1549" s="48">
        <f t="shared" si="303"/>
        <v>8</v>
      </c>
      <c r="L1549" s="48">
        <f t="shared" si="304"/>
        <v>68</v>
      </c>
      <c r="S1549" s="200"/>
      <c r="T1549" s="201"/>
      <c r="U1549" s="58"/>
      <c r="V1549" s="46"/>
      <c r="W1549" s="46"/>
      <c r="X1549" s="62" t="s">
        <v>25</v>
      </c>
      <c r="Y1549" s="63" t="e">
        <f t="shared" si="301"/>
        <v>#DIV/0!</v>
      </c>
      <c r="Z1549" s="64">
        <f t="shared" si="302"/>
        <v>0</v>
      </c>
    </row>
    <row r="1550" spans="11:26" ht="15.75" customHeight="1">
      <c r="K1550" s="48">
        <f t="shared" si="303"/>
        <v>8</v>
      </c>
      <c r="L1550" s="48">
        <f t="shared" si="304"/>
        <v>68</v>
      </c>
      <c r="S1550" s="200"/>
      <c r="T1550" s="201"/>
      <c r="U1550" s="58"/>
      <c r="V1550" s="46"/>
      <c r="W1550" s="46"/>
      <c r="X1550" s="62" t="s">
        <v>25</v>
      </c>
      <c r="Y1550" s="63" t="e">
        <f t="shared" si="301"/>
        <v>#DIV/0!</v>
      </c>
      <c r="Z1550" s="64">
        <f t="shared" si="302"/>
        <v>0</v>
      </c>
    </row>
    <row r="1551" spans="11:26" ht="15.75" customHeight="1">
      <c r="K1551" s="48">
        <f t="shared" si="303"/>
        <v>8</v>
      </c>
      <c r="L1551" s="48">
        <f t="shared" si="304"/>
        <v>68</v>
      </c>
      <c r="S1551" s="200"/>
      <c r="T1551" s="201"/>
      <c r="U1551" s="58"/>
      <c r="V1551" s="46"/>
      <c r="W1551" s="46"/>
      <c r="X1551" s="62" t="s">
        <v>25</v>
      </c>
      <c r="Y1551" s="63" t="e">
        <f t="shared" si="301"/>
        <v>#DIV/0!</v>
      </c>
      <c r="Z1551" s="64">
        <f t="shared" si="302"/>
        <v>0</v>
      </c>
    </row>
    <row r="1552" spans="11:26" ht="15.75" customHeight="1">
      <c r="K1552" s="48">
        <f t="shared" si="303"/>
        <v>8</v>
      </c>
      <c r="L1552" s="48">
        <f t="shared" si="304"/>
        <v>68</v>
      </c>
      <c r="S1552" s="200"/>
      <c r="T1552" s="201"/>
      <c r="U1552" s="58"/>
      <c r="V1552" s="46"/>
      <c r="W1552" s="46"/>
      <c r="X1552" s="62" t="s">
        <v>25</v>
      </c>
      <c r="Y1552" s="63" t="e">
        <f t="shared" si="301"/>
        <v>#DIV/0!</v>
      </c>
      <c r="Z1552" s="64">
        <f t="shared" si="302"/>
        <v>0</v>
      </c>
    </row>
    <row r="1553" spans="11:26" ht="15.75" customHeight="1">
      <c r="K1553" s="48">
        <f t="shared" si="303"/>
        <v>8</v>
      </c>
      <c r="L1553" s="48">
        <f t="shared" si="304"/>
        <v>68</v>
      </c>
      <c r="S1553" s="200"/>
      <c r="T1553" s="201"/>
      <c r="U1553" s="58"/>
      <c r="V1553" s="46"/>
      <c r="W1553" s="46"/>
      <c r="X1553" s="62" t="s">
        <v>25</v>
      </c>
      <c r="Y1553" s="63" t="e">
        <f t="shared" si="301"/>
        <v>#DIV/0!</v>
      </c>
      <c r="Z1553" s="64">
        <f t="shared" si="302"/>
        <v>0</v>
      </c>
    </row>
    <row r="1554" spans="11:26" ht="15.75" customHeight="1">
      <c r="K1554" s="48">
        <f t="shared" si="303"/>
        <v>8</v>
      </c>
      <c r="L1554" s="48">
        <f t="shared" si="304"/>
        <v>68</v>
      </c>
      <c r="S1554" s="200"/>
      <c r="T1554" s="201"/>
      <c r="U1554" s="58"/>
      <c r="V1554" s="46"/>
      <c r="W1554" s="46"/>
      <c r="X1554" s="62" t="s">
        <v>25</v>
      </c>
      <c r="Y1554" s="63" t="e">
        <f t="shared" si="301"/>
        <v>#DIV/0!</v>
      </c>
      <c r="Z1554" s="64">
        <f t="shared" si="302"/>
        <v>0</v>
      </c>
    </row>
    <row r="1555" spans="11:26" ht="15.75" customHeight="1">
      <c r="K1555" s="48">
        <f t="shared" si="303"/>
        <v>8</v>
      </c>
      <c r="L1555" s="48">
        <f t="shared" si="304"/>
        <v>68</v>
      </c>
      <c r="S1555" s="200"/>
      <c r="T1555" s="201"/>
      <c r="U1555" s="58"/>
      <c r="V1555" s="46"/>
      <c r="W1555" s="46"/>
      <c r="X1555" s="62" t="s">
        <v>25</v>
      </c>
      <c r="Y1555" s="63" t="e">
        <f t="shared" si="301"/>
        <v>#DIV/0!</v>
      </c>
      <c r="Z1555" s="64">
        <f t="shared" si="302"/>
        <v>0</v>
      </c>
    </row>
    <row r="1556" spans="11:26" ht="15.75" customHeight="1">
      <c r="K1556" s="48">
        <f t="shared" si="303"/>
        <v>8</v>
      </c>
      <c r="L1556" s="48">
        <f t="shared" si="304"/>
        <v>68</v>
      </c>
      <c r="S1556" s="200"/>
      <c r="T1556" s="201"/>
      <c r="U1556" s="58"/>
      <c r="V1556" s="46"/>
      <c r="W1556" s="46"/>
      <c r="X1556" s="62" t="s">
        <v>25</v>
      </c>
      <c r="Y1556" s="63" t="e">
        <f t="shared" si="301"/>
        <v>#DIV/0!</v>
      </c>
      <c r="Z1556" s="64">
        <f t="shared" si="302"/>
        <v>0</v>
      </c>
    </row>
    <row r="1557" spans="11:26" ht="15.75" customHeight="1">
      <c r="K1557" s="48">
        <f t="shared" si="303"/>
        <v>8</v>
      </c>
      <c r="L1557" s="48">
        <f t="shared" si="304"/>
        <v>68</v>
      </c>
      <c r="S1557" s="200"/>
      <c r="T1557" s="201"/>
      <c r="U1557" s="58"/>
      <c r="V1557" s="46"/>
      <c r="W1557" s="46"/>
      <c r="X1557" s="62" t="s">
        <v>25</v>
      </c>
      <c r="Y1557" s="63" t="e">
        <f t="shared" si="301"/>
        <v>#DIV/0!</v>
      </c>
      <c r="Z1557" s="64">
        <f t="shared" si="302"/>
        <v>0</v>
      </c>
    </row>
    <row r="1558" spans="11:26" ht="15.75" customHeight="1">
      <c r="K1558" s="48">
        <f t="shared" si="303"/>
        <v>8</v>
      </c>
      <c r="L1558" s="48">
        <f t="shared" si="304"/>
        <v>68</v>
      </c>
      <c r="S1558" s="200"/>
      <c r="T1558" s="201"/>
      <c r="U1558" s="58"/>
      <c r="V1558" s="46"/>
      <c r="W1558" s="46"/>
      <c r="X1558" s="62" t="s">
        <v>25</v>
      </c>
      <c r="Y1558" s="63" t="e">
        <f t="shared" si="301"/>
        <v>#DIV/0!</v>
      </c>
      <c r="Z1558" s="64">
        <f t="shared" si="302"/>
        <v>0</v>
      </c>
    </row>
    <row r="1559" spans="11:26" ht="15.75" customHeight="1">
      <c r="K1559" s="48">
        <f t="shared" si="303"/>
        <v>8</v>
      </c>
      <c r="L1559" s="48">
        <f t="shared" si="304"/>
        <v>68</v>
      </c>
      <c r="S1559" s="200"/>
      <c r="T1559" s="201"/>
      <c r="U1559" s="58"/>
      <c r="V1559" s="46"/>
      <c r="W1559" s="46"/>
      <c r="X1559" s="62" t="s">
        <v>25</v>
      </c>
      <c r="Y1559" s="63" t="e">
        <f t="shared" si="301"/>
        <v>#DIV/0!</v>
      </c>
      <c r="Z1559" s="64">
        <f t="shared" si="302"/>
        <v>0</v>
      </c>
    </row>
    <row r="1560" spans="11:26" ht="15.75" customHeight="1">
      <c r="K1560" s="48">
        <f t="shared" si="303"/>
        <v>8</v>
      </c>
      <c r="L1560" s="48">
        <f t="shared" si="304"/>
        <v>68</v>
      </c>
      <c r="S1560" s="200"/>
      <c r="T1560" s="201"/>
      <c r="U1560" s="58"/>
      <c r="V1560" s="46"/>
      <c r="W1560" s="46"/>
      <c r="X1560" s="62" t="s">
        <v>25</v>
      </c>
      <c r="Y1560" s="63" t="e">
        <f t="shared" si="301"/>
        <v>#DIV/0!</v>
      </c>
      <c r="Z1560" s="64">
        <f t="shared" si="302"/>
        <v>0</v>
      </c>
    </row>
    <row r="1561" spans="11:26" ht="15.75" customHeight="1">
      <c r="K1561" s="48">
        <f t="shared" si="303"/>
        <v>8</v>
      </c>
      <c r="L1561" s="48">
        <f t="shared" si="304"/>
        <v>68</v>
      </c>
      <c r="S1561" s="200"/>
      <c r="T1561" s="201"/>
      <c r="U1561" s="58"/>
      <c r="V1561" s="46"/>
      <c r="W1561" s="46"/>
      <c r="X1561" s="62" t="s">
        <v>25</v>
      </c>
      <c r="Y1561" s="63" t="e">
        <f t="shared" si="301"/>
        <v>#DIV/0!</v>
      </c>
      <c r="Z1561" s="64">
        <f t="shared" si="302"/>
        <v>0</v>
      </c>
    </row>
    <row r="1562" spans="11:26" ht="15.75" customHeight="1">
      <c r="K1562" s="48">
        <f t="shared" si="303"/>
        <v>8</v>
      </c>
      <c r="L1562" s="48">
        <f t="shared" si="304"/>
        <v>68</v>
      </c>
      <c r="S1562" s="200"/>
      <c r="T1562" s="201"/>
      <c r="U1562" s="58"/>
      <c r="V1562" s="46"/>
      <c r="W1562" s="46"/>
      <c r="X1562" s="62" t="s">
        <v>25</v>
      </c>
      <c r="Y1562" s="63" t="e">
        <f t="shared" si="301"/>
        <v>#DIV/0!</v>
      </c>
      <c r="Z1562" s="64">
        <f t="shared" si="302"/>
        <v>0</v>
      </c>
    </row>
    <row r="1563" spans="11:26" ht="15.75" customHeight="1">
      <c r="K1563" s="48">
        <f t="shared" si="303"/>
        <v>8</v>
      </c>
      <c r="L1563" s="48">
        <f t="shared" si="304"/>
        <v>68</v>
      </c>
      <c r="S1563" s="200"/>
      <c r="T1563" s="201"/>
      <c r="U1563" s="58"/>
      <c r="V1563" s="46"/>
      <c r="W1563" s="46"/>
      <c r="X1563" s="62" t="s">
        <v>25</v>
      </c>
      <c r="Y1563" s="63" t="e">
        <f t="shared" si="301"/>
        <v>#DIV/0!</v>
      </c>
      <c r="Z1563" s="64">
        <f t="shared" si="302"/>
        <v>0</v>
      </c>
    </row>
    <row r="1564" spans="11:26" ht="15.75" customHeight="1">
      <c r="K1564" s="48">
        <f t="shared" si="303"/>
        <v>8</v>
      </c>
      <c r="L1564" s="48">
        <f t="shared" si="304"/>
        <v>68</v>
      </c>
      <c r="S1564" s="200"/>
      <c r="T1564" s="201"/>
      <c r="U1564" s="58"/>
      <c r="V1564" s="46"/>
      <c r="W1564" s="46"/>
      <c r="X1564" s="62" t="s">
        <v>25</v>
      </c>
      <c r="Y1564" s="63" t="e">
        <f t="shared" si="301"/>
        <v>#DIV/0!</v>
      </c>
      <c r="Z1564" s="64">
        <f t="shared" si="302"/>
        <v>0</v>
      </c>
    </row>
    <row r="1565" spans="11:26" ht="15.75" customHeight="1">
      <c r="K1565" s="48">
        <f t="shared" si="303"/>
        <v>8</v>
      </c>
      <c r="L1565" s="48">
        <f t="shared" si="304"/>
        <v>68</v>
      </c>
      <c r="S1565" s="200"/>
      <c r="T1565" s="201"/>
      <c r="U1565" s="58"/>
      <c r="V1565" s="46"/>
      <c r="W1565" s="46"/>
      <c r="X1565" s="62" t="s">
        <v>25</v>
      </c>
      <c r="Y1565" s="63" t="e">
        <f t="shared" si="301"/>
        <v>#DIV/0!</v>
      </c>
      <c r="Z1565" s="64">
        <f t="shared" si="302"/>
        <v>0</v>
      </c>
    </row>
    <row r="1566" spans="11:26" ht="15.75" customHeight="1">
      <c r="K1566" s="48">
        <f t="shared" si="303"/>
        <v>8</v>
      </c>
      <c r="L1566" s="48">
        <f t="shared" si="304"/>
        <v>68</v>
      </c>
      <c r="S1566" s="200"/>
      <c r="T1566" s="201"/>
      <c r="U1566" s="58"/>
      <c r="V1566" s="46"/>
      <c r="W1566" s="46"/>
      <c r="X1566" s="62" t="s">
        <v>25</v>
      </c>
      <c r="Y1566" s="63" t="e">
        <f t="shared" si="301"/>
        <v>#DIV/0!</v>
      </c>
      <c r="Z1566" s="64">
        <f t="shared" si="302"/>
        <v>0</v>
      </c>
    </row>
    <row r="1567" spans="11:26" ht="15.75" customHeight="1">
      <c r="K1567" s="48">
        <f t="shared" si="303"/>
        <v>8</v>
      </c>
      <c r="L1567" s="48">
        <f t="shared" si="304"/>
        <v>68</v>
      </c>
      <c r="S1567" s="200"/>
      <c r="T1567" s="201"/>
      <c r="U1567" s="58"/>
      <c r="V1567" s="46"/>
      <c r="W1567" s="46"/>
      <c r="X1567" s="62" t="s">
        <v>25</v>
      </c>
      <c r="Y1567" s="63" t="e">
        <f t="shared" si="301"/>
        <v>#DIV/0!</v>
      </c>
      <c r="Z1567" s="64">
        <f t="shared" si="302"/>
        <v>0</v>
      </c>
    </row>
    <row r="1568" spans="11:26" ht="15.75" customHeight="1">
      <c r="K1568" s="48">
        <f t="shared" si="303"/>
        <v>8</v>
      </c>
      <c r="L1568" s="48">
        <f t="shared" si="304"/>
        <v>68</v>
      </c>
      <c r="S1568" s="200"/>
      <c r="T1568" s="201"/>
      <c r="U1568" s="58"/>
      <c r="V1568" s="46"/>
      <c r="W1568" s="46"/>
      <c r="X1568" s="62" t="s">
        <v>25</v>
      </c>
      <c r="Y1568" s="63" t="e">
        <f t="shared" si="301"/>
        <v>#DIV/0!</v>
      </c>
      <c r="Z1568" s="64">
        <f t="shared" si="302"/>
        <v>0</v>
      </c>
    </row>
    <row r="1569" spans="11:26" ht="15.75" customHeight="1">
      <c r="K1569" s="48">
        <f t="shared" si="303"/>
        <v>8</v>
      </c>
      <c r="L1569" s="48">
        <f t="shared" si="304"/>
        <v>68</v>
      </c>
      <c r="S1569" s="200"/>
      <c r="T1569" s="201"/>
      <c r="U1569" s="58"/>
      <c r="V1569" s="46"/>
      <c r="W1569" s="46"/>
      <c r="X1569" s="62" t="s">
        <v>25</v>
      </c>
      <c r="Y1569" s="63" t="e">
        <f t="shared" si="301"/>
        <v>#DIV/0!</v>
      </c>
      <c r="Z1569" s="64">
        <f t="shared" si="302"/>
        <v>0</v>
      </c>
    </row>
    <row r="1570" spans="11:26" ht="15.75" customHeight="1">
      <c r="K1570" s="48">
        <f t="shared" si="303"/>
        <v>8</v>
      </c>
      <c r="L1570" s="48">
        <f t="shared" si="304"/>
        <v>68</v>
      </c>
      <c r="S1570" s="200"/>
      <c r="T1570" s="201"/>
      <c r="U1570" s="58"/>
      <c r="V1570" s="46"/>
      <c r="W1570" s="46"/>
      <c r="X1570" s="62" t="s">
        <v>25</v>
      </c>
      <c r="Y1570" s="63" t="e">
        <f t="shared" si="301"/>
        <v>#DIV/0!</v>
      </c>
      <c r="Z1570" s="64">
        <f t="shared" si="302"/>
        <v>0</v>
      </c>
    </row>
    <row r="1571" spans="11:26" ht="15.75" customHeight="1">
      <c r="K1571" s="48">
        <f t="shared" si="303"/>
        <v>8</v>
      </c>
      <c r="L1571" s="48">
        <f t="shared" si="304"/>
        <v>68</v>
      </c>
      <c r="S1571" s="200"/>
      <c r="T1571" s="201"/>
      <c r="U1571" s="58"/>
      <c r="V1571" s="46"/>
      <c r="W1571" s="46"/>
      <c r="X1571" s="62" t="s">
        <v>25</v>
      </c>
      <c r="Y1571" s="63" t="e">
        <f t="shared" si="301"/>
        <v>#DIV/0!</v>
      </c>
      <c r="Z1571" s="64">
        <f t="shared" si="302"/>
        <v>0</v>
      </c>
    </row>
    <row r="1572" spans="11:26" ht="15.75" customHeight="1">
      <c r="K1572" s="48">
        <f t="shared" si="303"/>
        <v>8</v>
      </c>
      <c r="L1572" s="48">
        <f t="shared" si="304"/>
        <v>68</v>
      </c>
      <c r="S1572" s="200"/>
      <c r="T1572" s="201"/>
      <c r="U1572" s="58"/>
      <c r="V1572" s="46"/>
      <c r="W1572" s="46"/>
      <c r="X1572" s="62" t="s">
        <v>25</v>
      </c>
      <c r="Y1572" s="63" t="e">
        <f t="shared" si="301"/>
        <v>#DIV/0!</v>
      </c>
      <c r="Z1572" s="64">
        <f t="shared" si="302"/>
        <v>0</v>
      </c>
    </row>
    <row r="1573" spans="11:26" ht="15.75" customHeight="1">
      <c r="K1573" s="48">
        <f t="shared" si="303"/>
        <v>8</v>
      </c>
      <c r="L1573" s="48">
        <f t="shared" si="304"/>
        <v>68</v>
      </c>
      <c r="S1573" s="200"/>
      <c r="T1573" s="201"/>
      <c r="U1573" s="58"/>
      <c r="V1573" s="46"/>
      <c r="W1573" s="46"/>
      <c r="X1573" s="62" t="s">
        <v>25</v>
      </c>
      <c r="Y1573" s="63" t="e">
        <f t="shared" si="301"/>
        <v>#DIV/0!</v>
      </c>
      <c r="Z1573" s="64">
        <f t="shared" si="302"/>
        <v>0</v>
      </c>
    </row>
    <row r="1574" spans="11:26" ht="15.75" customHeight="1">
      <c r="K1574" s="48">
        <f t="shared" si="303"/>
        <v>8</v>
      </c>
      <c r="L1574" s="48">
        <f t="shared" si="304"/>
        <v>68</v>
      </c>
      <c r="S1574" s="200"/>
      <c r="T1574" s="201"/>
      <c r="U1574" s="58"/>
      <c r="V1574" s="46"/>
      <c r="W1574" s="46"/>
      <c r="X1574" s="62" t="s">
        <v>25</v>
      </c>
      <c r="Y1574" s="63" t="e">
        <f t="shared" si="301"/>
        <v>#DIV/0!</v>
      </c>
      <c r="Z1574" s="64">
        <f t="shared" si="302"/>
        <v>0</v>
      </c>
    </row>
    <row r="1575" spans="11:26" ht="15.75" customHeight="1">
      <c r="K1575" s="48">
        <f t="shared" si="303"/>
        <v>8</v>
      </c>
      <c r="L1575" s="48">
        <f t="shared" si="304"/>
        <v>68</v>
      </c>
      <c r="S1575" s="200"/>
      <c r="T1575" s="201"/>
      <c r="U1575" s="58"/>
      <c r="V1575" s="46"/>
      <c r="W1575" s="46"/>
      <c r="X1575" s="62" t="s">
        <v>25</v>
      </c>
      <c r="Y1575" s="63" t="e">
        <f t="shared" si="301"/>
        <v>#DIV/0!</v>
      </c>
      <c r="Z1575" s="64">
        <f t="shared" si="302"/>
        <v>0</v>
      </c>
    </row>
    <row r="1576" spans="11:26" ht="15.75" customHeight="1">
      <c r="K1576" s="48">
        <f t="shared" si="303"/>
        <v>8</v>
      </c>
      <c r="L1576" s="48">
        <f t="shared" si="304"/>
        <v>68</v>
      </c>
      <c r="S1576" s="200"/>
      <c r="T1576" s="201"/>
      <c r="U1576" s="58"/>
      <c r="V1576" s="46"/>
      <c r="W1576" s="46"/>
      <c r="X1576" s="62" t="s">
        <v>25</v>
      </c>
      <c r="Y1576" s="63" t="e">
        <f t="shared" si="301"/>
        <v>#DIV/0!</v>
      </c>
      <c r="Z1576" s="64">
        <f t="shared" si="302"/>
        <v>0</v>
      </c>
    </row>
    <row r="1577" spans="11:26" ht="15.75" customHeight="1">
      <c r="K1577" s="48">
        <f t="shared" si="303"/>
        <v>8</v>
      </c>
      <c r="L1577" s="48">
        <f t="shared" si="304"/>
        <v>68</v>
      </c>
      <c r="S1577" s="200"/>
      <c r="T1577" s="201"/>
      <c r="U1577" s="58"/>
      <c r="V1577" s="46"/>
      <c r="W1577" s="46"/>
      <c r="X1577" s="62" t="s">
        <v>25</v>
      </c>
      <c r="Y1577" s="63" t="e">
        <f t="shared" si="301"/>
        <v>#DIV/0!</v>
      </c>
      <c r="Z1577" s="64">
        <f t="shared" si="302"/>
        <v>0</v>
      </c>
    </row>
    <row r="1578" spans="11:26" ht="15.75" customHeight="1">
      <c r="K1578" s="48">
        <f t="shared" si="303"/>
        <v>8</v>
      </c>
      <c r="L1578" s="48">
        <f t="shared" si="304"/>
        <v>68</v>
      </c>
      <c r="S1578" s="200"/>
      <c r="T1578" s="201"/>
      <c r="U1578" s="58"/>
      <c r="V1578" s="46"/>
      <c r="W1578" s="46"/>
      <c r="X1578" s="62" t="s">
        <v>25</v>
      </c>
      <c r="Y1578" s="63" t="e">
        <f t="shared" si="301"/>
        <v>#DIV/0!</v>
      </c>
      <c r="Z1578" s="64">
        <f t="shared" si="302"/>
        <v>0</v>
      </c>
    </row>
    <row r="1579" spans="11:26" ht="15.75" customHeight="1">
      <c r="K1579" s="48">
        <f t="shared" si="303"/>
        <v>8</v>
      </c>
      <c r="L1579" s="48">
        <f t="shared" si="304"/>
        <v>68</v>
      </c>
      <c r="S1579" s="200"/>
      <c r="T1579" s="201"/>
      <c r="U1579" s="58"/>
      <c r="V1579" s="46"/>
      <c r="W1579" s="46"/>
      <c r="X1579" s="62" t="s">
        <v>25</v>
      </c>
      <c r="Y1579" s="63" t="e">
        <f t="shared" si="301"/>
        <v>#DIV/0!</v>
      </c>
      <c r="Z1579" s="64">
        <f t="shared" si="302"/>
        <v>0</v>
      </c>
    </row>
    <row r="1580" spans="11:26" ht="15.75" customHeight="1">
      <c r="K1580" s="48">
        <f t="shared" si="303"/>
        <v>8</v>
      </c>
      <c r="L1580" s="48">
        <f t="shared" si="304"/>
        <v>68</v>
      </c>
      <c r="S1580" s="200"/>
      <c r="T1580" s="201"/>
      <c r="U1580" s="58"/>
      <c r="V1580" s="46"/>
      <c r="W1580" s="46"/>
      <c r="X1580" s="62" t="s">
        <v>25</v>
      </c>
      <c r="Y1580" s="63" t="e">
        <f t="shared" si="301"/>
        <v>#DIV/0!</v>
      </c>
      <c r="Z1580" s="64">
        <f t="shared" si="302"/>
        <v>0</v>
      </c>
    </row>
    <row r="1581" spans="11:26" ht="15.75" customHeight="1">
      <c r="K1581" s="48">
        <f t="shared" si="303"/>
        <v>8</v>
      </c>
      <c r="L1581" s="48">
        <f t="shared" si="304"/>
        <v>68</v>
      </c>
      <c r="S1581" s="200"/>
      <c r="T1581" s="201"/>
      <c r="U1581" s="58"/>
      <c r="V1581" s="46"/>
      <c r="W1581" s="46"/>
      <c r="X1581" s="62" t="s">
        <v>25</v>
      </c>
      <c r="Y1581" s="63" t="e">
        <f t="shared" si="301"/>
        <v>#DIV/0!</v>
      </c>
      <c r="Z1581" s="64">
        <f t="shared" si="302"/>
        <v>0</v>
      </c>
    </row>
    <row r="1582" spans="11:26" ht="15.75" customHeight="1">
      <c r="K1582" s="48">
        <f t="shared" si="303"/>
        <v>8</v>
      </c>
      <c r="L1582" s="48">
        <f t="shared" si="304"/>
        <v>68</v>
      </c>
      <c r="S1582" s="200"/>
      <c r="T1582" s="201"/>
      <c r="U1582" s="58"/>
      <c r="V1582" s="46"/>
      <c r="W1582" s="46"/>
      <c r="X1582" s="62" t="s">
        <v>25</v>
      </c>
      <c r="Y1582" s="63" t="e">
        <f t="shared" si="301"/>
        <v>#DIV/0!</v>
      </c>
      <c r="Z1582" s="64">
        <f t="shared" si="302"/>
        <v>0</v>
      </c>
    </row>
    <row r="1583" spans="11:26" ht="15.75" customHeight="1">
      <c r="K1583" s="48">
        <f t="shared" si="303"/>
        <v>8</v>
      </c>
      <c r="L1583" s="48">
        <f t="shared" si="304"/>
        <v>68</v>
      </c>
      <c r="S1583" s="200"/>
      <c r="T1583" s="201"/>
      <c r="U1583" s="58"/>
      <c r="V1583" s="46"/>
      <c r="W1583" s="46"/>
      <c r="X1583" s="62" t="s">
        <v>25</v>
      </c>
      <c r="Y1583" s="63" t="e">
        <f t="shared" si="301"/>
        <v>#DIV/0!</v>
      </c>
      <c r="Z1583" s="64">
        <f t="shared" si="302"/>
        <v>0</v>
      </c>
    </row>
    <row r="1584" spans="11:26" ht="15.75" customHeight="1">
      <c r="K1584" s="48">
        <f t="shared" si="303"/>
        <v>8</v>
      </c>
      <c r="L1584" s="48">
        <f t="shared" si="304"/>
        <v>68</v>
      </c>
      <c r="S1584" s="200"/>
      <c r="T1584" s="201"/>
      <c r="U1584" s="58"/>
      <c r="V1584" s="46"/>
      <c r="W1584" s="46"/>
      <c r="X1584" s="62" t="s">
        <v>25</v>
      </c>
      <c r="Y1584" s="63" t="e">
        <f t="shared" si="301"/>
        <v>#DIV/0!</v>
      </c>
      <c r="Z1584" s="64">
        <f t="shared" si="302"/>
        <v>0</v>
      </c>
    </row>
    <row r="1585" spans="11:26" ht="15.75" customHeight="1">
      <c r="K1585" s="48">
        <f t="shared" si="303"/>
        <v>8</v>
      </c>
      <c r="L1585" s="48">
        <f t="shared" si="304"/>
        <v>68</v>
      </c>
      <c r="S1585" s="200"/>
      <c r="T1585" s="201"/>
      <c r="U1585" s="58"/>
      <c r="V1585" s="46"/>
      <c r="W1585" s="46"/>
      <c r="X1585" s="62" t="s">
        <v>25</v>
      </c>
      <c r="Y1585" s="63" t="e">
        <f t="shared" si="301"/>
        <v>#DIV/0!</v>
      </c>
      <c r="Z1585" s="64">
        <f t="shared" si="302"/>
        <v>0</v>
      </c>
    </row>
    <row r="1586" spans="11:26" ht="15.75" customHeight="1">
      <c r="K1586" s="48">
        <f t="shared" si="303"/>
        <v>8</v>
      </c>
      <c r="L1586" s="48">
        <f t="shared" si="304"/>
        <v>68</v>
      </c>
      <c r="S1586" s="200"/>
      <c r="T1586" s="201"/>
      <c r="U1586" s="58"/>
      <c r="V1586" s="46"/>
      <c r="W1586" s="46"/>
      <c r="X1586" s="62" t="s">
        <v>25</v>
      </c>
      <c r="Y1586" s="63" t="e">
        <f t="shared" si="301"/>
        <v>#DIV/0!</v>
      </c>
      <c r="Z1586" s="64">
        <f t="shared" si="302"/>
        <v>0</v>
      </c>
    </row>
    <row r="1587" spans="11:26" ht="15.75" customHeight="1">
      <c r="K1587" s="48">
        <f t="shared" si="303"/>
        <v>8</v>
      </c>
      <c r="L1587" s="48">
        <f t="shared" si="304"/>
        <v>68</v>
      </c>
      <c r="S1587" s="200"/>
      <c r="T1587" s="201"/>
      <c r="U1587" s="58"/>
      <c r="V1587" s="46"/>
      <c r="W1587" s="46"/>
      <c r="X1587" s="62" t="s">
        <v>25</v>
      </c>
      <c r="Y1587" s="63" t="e">
        <f t="shared" si="301"/>
        <v>#DIV/0!</v>
      </c>
      <c r="Z1587" s="64">
        <f t="shared" si="302"/>
        <v>0</v>
      </c>
    </row>
    <row r="1588" spans="11:26" ht="15.75" customHeight="1">
      <c r="K1588" s="48">
        <f t="shared" si="303"/>
        <v>8</v>
      </c>
      <c r="L1588" s="48">
        <f t="shared" si="304"/>
        <v>68</v>
      </c>
      <c r="S1588" s="200"/>
      <c r="T1588" s="201"/>
      <c r="U1588" s="58"/>
      <c r="V1588" s="46"/>
      <c r="W1588" s="46"/>
      <c r="X1588" s="62" t="s">
        <v>25</v>
      </c>
      <c r="Y1588" s="63" t="e">
        <f t="shared" ref="Y1588:Y1651" si="305">F1588/E1588</f>
        <v>#DIV/0!</v>
      </c>
      <c r="Z1588" s="64">
        <f t="shared" si="302"/>
        <v>0</v>
      </c>
    </row>
    <row r="1589" spans="11:26" ht="15.75" customHeight="1">
      <c r="K1589" s="48">
        <f t="shared" si="303"/>
        <v>8</v>
      </c>
      <c r="L1589" s="48">
        <f t="shared" si="304"/>
        <v>68</v>
      </c>
      <c r="S1589" s="200"/>
      <c r="T1589" s="201"/>
      <c r="U1589" s="58"/>
      <c r="V1589" s="46"/>
      <c r="W1589" s="46"/>
      <c r="X1589" s="62" t="s">
        <v>25</v>
      </c>
      <c r="Y1589" s="63" t="e">
        <f t="shared" si="305"/>
        <v>#DIV/0!</v>
      </c>
      <c r="Z1589" s="64">
        <f t="shared" si="302"/>
        <v>0</v>
      </c>
    </row>
    <row r="1590" spans="11:26" ht="15.75" customHeight="1">
      <c r="K1590" s="48">
        <f t="shared" si="303"/>
        <v>8</v>
      </c>
      <c r="L1590" s="48">
        <f t="shared" si="304"/>
        <v>68</v>
      </c>
      <c r="S1590" s="200"/>
      <c r="T1590" s="201"/>
      <c r="U1590" s="58"/>
      <c r="V1590" s="46"/>
      <c r="W1590" s="46"/>
      <c r="X1590" s="62" t="s">
        <v>25</v>
      </c>
      <c r="Y1590" s="63" t="e">
        <f t="shared" si="305"/>
        <v>#DIV/0!</v>
      </c>
      <c r="Z1590" s="64">
        <f t="shared" si="302"/>
        <v>0</v>
      </c>
    </row>
    <row r="1591" spans="11:26" ht="15.75" customHeight="1">
      <c r="K1591" s="48">
        <f t="shared" si="303"/>
        <v>8</v>
      </c>
      <c r="L1591" s="48">
        <f t="shared" si="304"/>
        <v>68</v>
      </c>
      <c r="S1591" s="200"/>
      <c r="T1591" s="201"/>
      <c r="U1591" s="58"/>
      <c r="V1591" s="46"/>
      <c r="W1591" s="46"/>
      <c r="X1591" s="62" t="s">
        <v>25</v>
      </c>
      <c r="Y1591" s="63" t="e">
        <f t="shared" si="305"/>
        <v>#DIV/0!</v>
      </c>
      <c r="Z1591" s="64">
        <f t="shared" si="302"/>
        <v>0</v>
      </c>
    </row>
    <row r="1592" spans="11:26" ht="15.75" customHeight="1">
      <c r="K1592" s="48">
        <f t="shared" si="303"/>
        <v>8</v>
      </c>
      <c r="L1592" s="48">
        <f t="shared" si="304"/>
        <v>68</v>
      </c>
      <c r="S1592" s="200"/>
      <c r="T1592" s="201"/>
      <c r="U1592" s="58"/>
      <c r="V1592" s="46"/>
      <c r="W1592" s="46"/>
      <c r="X1592" s="62" t="s">
        <v>25</v>
      </c>
      <c r="Y1592" s="63" t="e">
        <f t="shared" si="305"/>
        <v>#DIV/0!</v>
      </c>
      <c r="Z1592" s="64">
        <f t="shared" si="302"/>
        <v>0</v>
      </c>
    </row>
    <row r="1593" spans="11:26" ht="15.75" customHeight="1">
      <c r="K1593" s="48">
        <f t="shared" si="303"/>
        <v>8</v>
      </c>
      <c r="L1593" s="48">
        <f t="shared" si="304"/>
        <v>68</v>
      </c>
      <c r="S1593" s="200"/>
      <c r="T1593" s="201"/>
      <c r="U1593" s="58"/>
      <c r="V1593" s="46"/>
      <c r="W1593" s="46"/>
      <c r="X1593" s="62" t="s">
        <v>25</v>
      </c>
      <c r="Y1593" s="63" t="e">
        <f t="shared" si="305"/>
        <v>#DIV/0!</v>
      </c>
      <c r="Z1593" s="64">
        <f t="shared" si="302"/>
        <v>0</v>
      </c>
    </row>
    <row r="1594" spans="11:26" ht="15.75" customHeight="1">
      <c r="K1594" s="48">
        <f t="shared" si="303"/>
        <v>8</v>
      </c>
      <c r="L1594" s="48">
        <f t="shared" si="304"/>
        <v>68</v>
      </c>
      <c r="S1594" s="200"/>
      <c r="T1594" s="201"/>
      <c r="U1594" s="58"/>
      <c r="V1594" s="46"/>
      <c r="W1594" s="46"/>
      <c r="X1594" s="62" t="s">
        <v>25</v>
      </c>
      <c r="Y1594" s="63" t="e">
        <f t="shared" si="305"/>
        <v>#DIV/0!</v>
      </c>
      <c r="Z1594" s="64">
        <f t="shared" si="302"/>
        <v>0</v>
      </c>
    </row>
    <row r="1595" spans="11:26" ht="15.75" customHeight="1">
      <c r="K1595" s="48">
        <f t="shared" si="303"/>
        <v>8</v>
      </c>
      <c r="L1595" s="48">
        <f t="shared" si="304"/>
        <v>68</v>
      </c>
      <c r="S1595" s="200"/>
      <c r="T1595" s="201"/>
      <c r="U1595" s="58"/>
      <c r="V1595" s="46"/>
      <c r="W1595" s="46"/>
      <c r="X1595" s="62" t="s">
        <v>25</v>
      </c>
      <c r="Y1595" s="63" t="e">
        <f t="shared" si="305"/>
        <v>#DIV/0!</v>
      </c>
      <c r="Z1595" s="64">
        <f t="shared" si="302"/>
        <v>0</v>
      </c>
    </row>
    <row r="1596" spans="11:26" ht="15.75" customHeight="1">
      <c r="K1596" s="48">
        <f t="shared" si="303"/>
        <v>8</v>
      </c>
      <c r="L1596" s="48">
        <f t="shared" si="304"/>
        <v>68</v>
      </c>
      <c r="S1596" s="200"/>
      <c r="T1596" s="201"/>
      <c r="U1596" s="58"/>
      <c r="V1596" s="46"/>
      <c r="W1596" s="46"/>
      <c r="X1596" s="62" t="s">
        <v>25</v>
      </c>
      <c r="Y1596" s="63" t="e">
        <f t="shared" si="305"/>
        <v>#DIV/0!</v>
      </c>
      <c r="Z1596" s="64">
        <f t="shared" si="302"/>
        <v>0</v>
      </c>
    </row>
    <row r="1597" spans="11:26" ht="15.75" customHeight="1">
      <c r="K1597" s="48">
        <f t="shared" si="303"/>
        <v>8</v>
      </c>
      <c r="L1597" s="48">
        <f t="shared" si="304"/>
        <v>68</v>
      </c>
      <c r="S1597" s="200"/>
      <c r="T1597" s="201"/>
      <c r="U1597" s="58"/>
      <c r="V1597" s="46"/>
      <c r="W1597" s="46"/>
      <c r="X1597" s="62" t="s">
        <v>25</v>
      </c>
      <c r="Y1597" s="63" t="e">
        <f t="shared" si="305"/>
        <v>#DIV/0!</v>
      </c>
      <c r="Z1597" s="64">
        <f t="shared" si="302"/>
        <v>0</v>
      </c>
    </row>
    <row r="1598" spans="11:26" ht="15.75" customHeight="1">
      <c r="K1598" s="48">
        <f t="shared" si="303"/>
        <v>8</v>
      </c>
      <c r="L1598" s="48">
        <f t="shared" si="304"/>
        <v>68</v>
      </c>
      <c r="S1598" s="200"/>
      <c r="T1598" s="201"/>
      <c r="U1598" s="58"/>
      <c r="V1598" s="46"/>
      <c r="W1598" s="46"/>
      <c r="X1598" s="62" t="s">
        <v>25</v>
      </c>
      <c r="Y1598" s="63" t="e">
        <f t="shared" si="305"/>
        <v>#DIV/0!</v>
      </c>
      <c r="Z1598" s="64">
        <f t="shared" ref="Z1598:Z1661" si="306">E1598-N1598</f>
        <v>0</v>
      </c>
    </row>
    <row r="1599" spans="11:26" ht="15.75" customHeight="1">
      <c r="K1599" s="48">
        <f t="shared" si="303"/>
        <v>8</v>
      </c>
      <c r="L1599" s="48">
        <f t="shared" si="304"/>
        <v>68</v>
      </c>
      <c r="S1599" s="200"/>
      <c r="T1599" s="201"/>
      <c r="U1599" s="58"/>
      <c r="V1599" s="46"/>
      <c r="W1599" s="46"/>
      <c r="X1599" s="62" t="s">
        <v>25</v>
      </c>
      <c r="Y1599" s="63" t="e">
        <f t="shared" si="305"/>
        <v>#DIV/0!</v>
      </c>
      <c r="Z1599" s="64">
        <f t="shared" si="306"/>
        <v>0</v>
      </c>
    </row>
    <row r="1600" spans="11:26" ht="15.75" customHeight="1">
      <c r="K1600" s="48">
        <f t="shared" si="303"/>
        <v>8</v>
      </c>
      <c r="L1600" s="48">
        <f t="shared" si="304"/>
        <v>68</v>
      </c>
      <c r="S1600" s="200"/>
      <c r="T1600" s="201"/>
      <c r="U1600" s="58"/>
      <c r="V1600" s="46"/>
      <c r="W1600" s="46"/>
      <c r="X1600" s="62" t="s">
        <v>25</v>
      </c>
      <c r="Y1600" s="63" t="e">
        <f t="shared" si="305"/>
        <v>#DIV/0!</v>
      </c>
      <c r="Z1600" s="64">
        <f t="shared" si="306"/>
        <v>0</v>
      </c>
    </row>
    <row r="1601" spans="11:26" ht="15.75" customHeight="1">
      <c r="K1601" s="48">
        <f t="shared" si="303"/>
        <v>8</v>
      </c>
      <c r="L1601" s="48">
        <f t="shared" si="304"/>
        <v>68</v>
      </c>
      <c r="S1601" s="200"/>
      <c r="T1601" s="201"/>
      <c r="U1601" s="58"/>
      <c r="V1601" s="46"/>
      <c r="W1601" s="46"/>
      <c r="X1601" s="62" t="s">
        <v>25</v>
      </c>
      <c r="Y1601" s="63" t="e">
        <f t="shared" si="305"/>
        <v>#DIV/0!</v>
      </c>
      <c r="Z1601" s="64">
        <f t="shared" si="306"/>
        <v>0</v>
      </c>
    </row>
    <row r="1602" spans="11:26" ht="15.75" customHeight="1">
      <c r="K1602" s="48">
        <f t="shared" si="303"/>
        <v>8</v>
      </c>
      <c r="L1602" s="48">
        <f t="shared" si="304"/>
        <v>68</v>
      </c>
      <c r="S1602" s="200"/>
      <c r="T1602" s="201"/>
      <c r="U1602" s="58"/>
      <c r="V1602" s="46"/>
      <c r="W1602" s="46"/>
      <c r="X1602" s="62" t="s">
        <v>25</v>
      </c>
      <c r="Y1602" s="63" t="e">
        <f t="shared" si="305"/>
        <v>#DIV/0!</v>
      </c>
      <c r="Z1602" s="64">
        <f t="shared" si="306"/>
        <v>0</v>
      </c>
    </row>
    <row r="1603" spans="11:26" ht="15.75" customHeight="1">
      <c r="K1603" s="48">
        <f t="shared" si="303"/>
        <v>8</v>
      </c>
      <c r="L1603" s="48">
        <f t="shared" si="304"/>
        <v>68</v>
      </c>
      <c r="S1603" s="200"/>
      <c r="T1603" s="201"/>
      <c r="U1603" s="58"/>
      <c r="V1603" s="46"/>
      <c r="W1603" s="46"/>
      <c r="X1603" s="62" t="s">
        <v>25</v>
      </c>
      <c r="Y1603" s="63" t="e">
        <f t="shared" si="305"/>
        <v>#DIV/0!</v>
      </c>
      <c r="Z1603" s="64">
        <f t="shared" si="306"/>
        <v>0</v>
      </c>
    </row>
    <row r="1604" spans="11:26" ht="15.75" customHeight="1">
      <c r="K1604" s="48">
        <f t="shared" si="303"/>
        <v>8</v>
      </c>
      <c r="L1604" s="48">
        <f t="shared" si="304"/>
        <v>68</v>
      </c>
      <c r="S1604" s="200"/>
      <c r="T1604" s="201"/>
      <c r="U1604" s="58"/>
      <c r="V1604" s="46"/>
      <c r="W1604" s="46"/>
      <c r="X1604" s="62" t="s">
        <v>25</v>
      </c>
      <c r="Y1604" s="63" t="e">
        <f t="shared" si="305"/>
        <v>#DIV/0!</v>
      </c>
      <c r="Z1604" s="64">
        <f t="shared" si="306"/>
        <v>0</v>
      </c>
    </row>
    <row r="1605" spans="11:26" ht="15.75" customHeight="1">
      <c r="K1605" s="48">
        <f t="shared" si="303"/>
        <v>8</v>
      </c>
      <c r="L1605" s="48">
        <f t="shared" si="304"/>
        <v>68</v>
      </c>
      <c r="S1605" s="200"/>
      <c r="T1605" s="201"/>
      <c r="U1605" s="58"/>
      <c r="V1605" s="46"/>
      <c r="W1605" s="46"/>
      <c r="X1605" s="62" t="s">
        <v>25</v>
      </c>
      <c r="Y1605" s="63" t="e">
        <f t="shared" si="305"/>
        <v>#DIV/0!</v>
      </c>
      <c r="Z1605" s="64">
        <f t="shared" si="306"/>
        <v>0</v>
      </c>
    </row>
    <row r="1606" spans="11:26" ht="15.75" customHeight="1">
      <c r="K1606" s="48">
        <f t="shared" si="303"/>
        <v>8</v>
      </c>
      <c r="L1606" s="48">
        <f t="shared" si="304"/>
        <v>68</v>
      </c>
      <c r="S1606" s="200"/>
      <c r="T1606" s="201"/>
      <c r="U1606" s="58"/>
      <c r="V1606" s="46"/>
      <c r="W1606" s="46"/>
      <c r="X1606" s="62" t="s">
        <v>25</v>
      </c>
      <c r="Y1606" s="63" t="e">
        <f t="shared" si="305"/>
        <v>#DIV/0!</v>
      </c>
      <c r="Z1606" s="64">
        <f t="shared" si="306"/>
        <v>0</v>
      </c>
    </row>
    <row r="1607" spans="11:26" ht="15.75" customHeight="1">
      <c r="K1607" s="48">
        <f t="shared" si="303"/>
        <v>8</v>
      </c>
      <c r="L1607" s="48">
        <f t="shared" si="304"/>
        <v>68</v>
      </c>
      <c r="S1607" s="200"/>
      <c r="T1607" s="201"/>
      <c r="U1607" s="58"/>
      <c r="V1607" s="46"/>
      <c r="W1607" s="46"/>
      <c r="X1607" s="62" t="s">
        <v>25</v>
      </c>
      <c r="Y1607" s="63" t="e">
        <f t="shared" si="305"/>
        <v>#DIV/0!</v>
      </c>
      <c r="Z1607" s="64">
        <f t="shared" si="306"/>
        <v>0</v>
      </c>
    </row>
    <row r="1608" spans="11:26" ht="15.75" customHeight="1">
      <c r="K1608" s="48">
        <f t="shared" si="303"/>
        <v>8</v>
      </c>
      <c r="L1608" s="48">
        <f t="shared" si="304"/>
        <v>68</v>
      </c>
      <c r="S1608" s="200"/>
      <c r="T1608" s="201"/>
      <c r="U1608" s="58"/>
      <c r="V1608" s="46"/>
      <c r="W1608" s="46"/>
      <c r="X1608" s="62" t="s">
        <v>25</v>
      </c>
      <c r="Y1608" s="63" t="e">
        <f t="shared" si="305"/>
        <v>#DIV/0!</v>
      </c>
      <c r="Z1608" s="64">
        <f t="shared" si="306"/>
        <v>0</v>
      </c>
    </row>
    <row r="1609" spans="11:26" ht="15.75" customHeight="1">
      <c r="K1609" s="48">
        <f t="shared" si="303"/>
        <v>8</v>
      </c>
      <c r="L1609" s="48">
        <f t="shared" si="304"/>
        <v>68</v>
      </c>
      <c r="S1609" s="200"/>
      <c r="T1609" s="201"/>
      <c r="U1609" s="58"/>
      <c r="V1609" s="46"/>
      <c r="W1609" s="46"/>
      <c r="X1609" s="62" t="s">
        <v>25</v>
      </c>
      <c r="Y1609" s="63" t="e">
        <f t="shared" si="305"/>
        <v>#DIV/0!</v>
      </c>
      <c r="Z1609" s="64">
        <f t="shared" si="306"/>
        <v>0</v>
      </c>
    </row>
    <row r="1610" spans="11:26" ht="15.75" customHeight="1">
      <c r="K1610" s="48">
        <f t="shared" si="303"/>
        <v>8</v>
      </c>
      <c r="L1610" s="48">
        <f t="shared" si="304"/>
        <v>68</v>
      </c>
      <c r="S1610" s="200"/>
      <c r="T1610" s="201"/>
      <c r="U1610" s="58"/>
      <c r="V1610" s="46"/>
      <c r="W1610" s="46"/>
      <c r="X1610" s="62" t="s">
        <v>25</v>
      </c>
      <c r="Y1610" s="63" t="e">
        <f t="shared" si="305"/>
        <v>#DIV/0!</v>
      </c>
      <c r="Z1610" s="64">
        <f t="shared" si="306"/>
        <v>0</v>
      </c>
    </row>
    <row r="1611" spans="11:26" ht="15.75" customHeight="1">
      <c r="K1611" s="48">
        <f t="shared" ref="K1611:K1674" si="307">D1611+8</f>
        <v>8</v>
      </c>
      <c r="L1611" s="48">
        <f t="shared" ref="L1611:L1674" si="308">K1611+60</f>
        <v>68</v>
      </c>
      <c r="S1611" s="200"/>
      <c r="T1611" s="201"/>
      <c r="U1611" s="58"/>
      <c r="V1611" s="46"/>
      <c r="W1611" s="46"/>
      <c r="X1611" s="62" t="s">
        <v>25</v>
      </c>
      <c r="Y1611" s="63" t="e">
        <f t="shared" si="305"/>
        <v>#DIV/0!</v>
      </c>
      <c r="Z1611" s="64">
        <f t="shared" si="306"/>
        <v>0</v>
      </c>
    </row>
    <row r="1612" spans="11:26" ht="15.75" customHeight="1">
      <c r="K1612" s="48">
        <f t="shared" si="307"/>
        <v>8</v>
      </c>
      <c r="L1612" s="48">
        <f t="shared" si="308"/>
        <v>68</v>
      </c>
      <c r="S1612" s="200"/>
      <c r="T1612" s="201"/>
      <c r="U1612" s="58"/>
      <c r="V1612" s="46"/>
      <c r="W1612" s="46"/>
      <c r="X1612" s="62" t="s">
        <v>25</v>
      </c>
      <c r="Y1612" s="63" t="e">
        <f t="shared" si="305"/>
        <v>#DIV/0!</v>
      </c>
      <c r="Z1612" s="64">
        <f t="shared" si="306"/>
        <v>0</v>
      </c>
    </row>
    <row r="1613" spans="11:26" ht="15.75" customHeight="1">
      <c r="K1613" s="48">
        <f t="shared" si="307"/>
        <v>8</v>
      </c>
      <c r="L1613" s="48">
        <f t="shared" si="308"/>
        <v>68</v>
      </c>
      <c r="S1613" s="200"/>
      <c r="T1613" s="201"/>
      <c r="U1613" s="58"/>
      <c r="V1613" s="46"/>
      <c r="W1613" s="46"/>
      <c r="X1613" s="62" t="s">
        <v>25</v>
      </c>
      <c r="Y1613" s="63" t="e">
        <f t="shared" si="305"/>
        <v>#DIV/0!</v>
      </c>
      <c r="Z1613" s="64">
        <f t="shared" si="306"/>
        <v>0</v>
      </c>
    </row>
    <row r="1614" spans="11:26" ht="15.75" customHeight="1">
      <c r="K1614" s="48">
        <f t="shared" si="307"/>
        <v>8</v>
      </c>
      <c r="L1614" s="48">
        <f t="shared" si="308"/>
        <v>68</v>
      </c>
      <c r="S1614" s="200"/>
      <c r="T1614" s="201"/>
      <c r="U1614" s="58"/>
      <c r="V1614" s="46"/>
      <c r="W1614" s="46"/>
      <c r="X1614" s="62" t="s">
        <v>25</v>
      </c>
      <c r="Y1614" s="63" t="e">
        <f t="shared" si="305"/>
        <v>#DIV/0!</v>
      </c>
      <c r="Z1614" s="64">
        <f t="shared" si="306"/>
        <v>0</v>
      </c>
    </row>
    <row r="1615" spans="11:26" ht="15.75" customHeight="1">
      <c r="K1615" s="48">
        <f t="shared" si="307"/>
        <v>8</v>
      </c>
      <c r="L1615" s="48">
        <f t="shared" si="308"/>
        <v>68</v>
      </c>
      <c r="S1615" s="200"/>
      <c r="T1615" s="201"/>
      <c r="U1615" s="58"/>
      <c r="V1615" s="46"/>
      <c r="W1615" s="46"/>
      <c r="X1615" s="62" t="s">
        <v>25</v>
      </c>
      <c r="Y1615" s="63" t="e">
        <f t="shared" si="305"/>
        <v>#DIV/0!</v>
      </c>
      <c r="Z1615" s="64">
        <f t="shared" si="306"/>
        <v>0</v>
      </c>
    </row>
    <row r="1616" spans="11:26" ht="15.75" customHeight="1">
      <c r="K1616" s="48">
        <f t="shared" si="307"/>
        <v>8</v>
      </c>
      <c r="L1616" s="48">
        <f t="shared" si="308"/>
        <v>68</v>
      </c>
      <c r="S1616" s="200"/>
      <c r="T1616" s="201"/>
      <c r="U1616" s="58"/>
      <c r="V1616" s="46"/>
      <c r="W1616" s="46"/>
      <c r="X1616" s="62" t="s">
        <v>25</v>
      </c>
      <c r="Y1616" s="63" t="e">
        <f t="shared" si="305"/>
        <v>#DIV/0!</v>
      </c>
      <c r="Z1616" s="64">
        <f t="shared" si="306"/>
        <v>0</v>
      </c>
    </row>
    <row r="1617" spans="11:26" ht="15.75" customHeight="1">
      <c r="K1617" s="48">
        <f t="shared" si="307"/>
        <v>8</v>
      </c>
      <c r="L1617" s="48">
        <f t="shared" si="308"/>
        <v>68</v>
      </c>
      <c r="S1617" s="200"/>
      <c r="T1617" s="201"/>
      <c r="U1617" s="58"/>
      <c r="V1617" s="46"/>
      <c r="W1617" s="46"/>
      <c r="X1617" s="62" t="s">
        <v>25</v>
      </c>
      <c r="Y1617" s="63" t="e">
        <f t="shared" si="305"/>
        <v>#DIV/0!</v>
      </c>
      <c r="Z1617" s="64">
        <f t="shared" si="306"/>
        <v>0</v>
      </c>
    </row>
    <row r="1618" spans="11:26" ht="15.75" customHeight="1">
      <c r="K1618" s="48">
        <f t="shared" si="307"/>
        <v>8</v>
      </c>
      <c r="L1618" s="48">
        <f t="shared" si="308"/>
        <v>68</v>
      </c>
      <c r="S1618" s="200"/>
      <c r="T1618" s="201"/>
      <c r="U1618" s="58"/>
      <c r="V1618" s="46"/>
      <c r="W1618" s="46"/>
      <c r="X1618" s="62" t="s">
        <v>25</v>
      </c>
      <c r="Y1618" s="63" t="e">
        <f t="shared" si="305"/>
        <v>#DIV/0!</v>
      </c>
      <c r="Z1618" s="64">
        <f t="shared" si="306"/>
        <v>0</v>
      </c>
    </row>
    <row r="1619" spans="11:26" ht="15.75" customHeight="1">
      <c r="K1619" s="48">
        <f t="shared" si="307"/>
        <v>8</v>
      </c>
      <c r="L1619" s="48">
        <f t="shared" si="308"/>
        <v>68</v>
      </c>
      <c r="S1619" s="200"/>
      <c r="T1619" s="201"/>
      <c r="U1619" s="58"/>
      <c r="V1619" s="46"/>
      <c r="W1619" s="46"/>
      <c r="X1619" s="62" t="s">
        <v>25</v>
      </c>
      <c r="Y1619" s="63" t="e">
        <f t="shared" si="305"/>
        <v>#DIV/0!</v>
      </c>
      <c r="Z1619" s="64">
        <f t="shared" si="306"/>
        <v>0</v>
      </c>
    </row>
    <row r="1620" spans="11:26" ht="15.75" customHeight="1">
      <c r="K1620" s="48">
        <f t="shared" si="307"/>
        <v>8</v>
      </c>
      <c r="L1620" s="48">
        <f t="shared" si="308"/>
        <v>68</v>
      </c>
      <c r="S1620" s="200"/>
      <c r="T1620" s="201"/>
      <c r="U1620" s="58"/>
      <c r="V1620" s="46"/>
      <c r="W1620" s="46"/>
      <c r="X1620" s="62" t="s">
        <v>25</v>
      </c>
      <c r="Y1620" s="63" t="e">
        <f t="shared" si="305"/>
        <v>#DIV/0!</v>
      </c>
      <c r="Z1620" s="64">
        <f t="shared" si="306"/>
        <v>0</v>
      </c>
    </row>
    <row r="1621" spans="11:26" ht="15.75" customHeight="1">
      <c r="K1621" s="48">
        <f t="shared" si="307"/>
        <v>8</v>
      </c>
      <c r="L1621" s="48">
        <f t="shared" si="308"/>
        <v>68</v>
      </c>
      <c r="S1621" s="200"/>
      <c r="T1621" s="201"/>
      <c r="U1621" s="58"/>
      <c r="V1621" s="46"/>
      <c r="W1621" s="46"/>
      <c r="X1621" s="62" t="s">
        <v>25</v>
      </c>
      <c r="Y1621" s="63" t="e">
        <f t="shared" si="305"/>
        <v>#DIV/0!</v>
      </c>
      <c r="Z1621" s="64">
        <f t="shared" si="306"/>
        <v>0</v>
      </c>
    </row>
    <row r="1622" spans="11:26" ht="15.75" customHeight="1">
      <c r="K1622" s="48">
        <f t="shared" si="307"/>
        <v>8</v>
      </c>
      <c r="L1622" s="48">
        <f t="shared" si="308"/>
        <v>68</v>
      </c>
      <c r="S1622" s="200"/>
      <c r="T1622" s="201"/>
      <c r="U1622" s="58"/>
      <c r="V1622" s="46"/>
      <c r="W1622" s="46"/>
      <c r="X1622" s="62" t="s">
        <v>25</v>
      </c>
      <c r="Y1622" s="63" t="e">
        <f t="shared" si="305"/>
        <v>#DIV/0!</v>
      </c>
      <c r="Z1622" s="64">
        <f t="shared" si="306"/>
        <v>0</v>
      </c>
    </row>
    <row r="1623" spans="11:26" ht="15.75" customHeight="1">
      <c r="K1623" s="48">
        <f t="shared" si="307"/>
        <v>8</v>
      </c>
      <c r="L1623" s="48">
        <f t="shared" si="308"/>
        <v>68</v>
      </c>
      <c r="S1623" s="200"/>
      <c r="T1623" s="201"/>
      <c r="U1623" s="58"/>
      <c r="V1623" s="46"/>
      <c r="W1623" s="46"/>
      <c r="X1623" s="62" t="s">
        <v>25</v>
      </c>
      <c r="Y1623" s="63" t="e">
        <f t="shared" si="305"/>
        <v>#DIV/0!</v>
      </c>
      <c r="Z1623" s="64">
        <f t="shared" si="306"/>
        <v>0</v>
      </c>
    </row>
    <row r="1624" spans="11:26" ht="15.75" customHeight="1">
      <c r="K1624" s="48">
        <f t="shared" si="307"/>
        <v>8</v>
      </c>
      <c r="L1624" s="48">
        <f t="shared" si="308"/>
        <v>68</v>
      </c>
      <c r="S1624" s="200"/>
      <c r="T1624" s="201"/>
      <c r="U1624" s="58"/>
      <c r="V1624" s="46"/>
      <c r="W1624" s="46"/>
      <c r="X1624" s="62" t="s">
        <v>25</v>
      </c>
      <c r="Y1624" s="63" t="e">
        <f t="shared" si="305"/>
        <v>#DIV/0!</v>
      </c>
      <c r="Z1624" s="64">
        <f t="shared" si="306"/>
        <v>0</v>
      </c>
    </row>
    <row r="1625" spans="11:26" ht="15.75" customHeight="1">
      <c r="K1625" s="48">
        <f t="shared" si="307"/>
        <v>8</v>
      </c>
      <c r="L1625" s="48">
        <f t="shared" si="308"/>
        <v>68</v>
      </c>
      <c r="S1625" s="200"/>
      <c r="T1625" s="201"/>
      <c r="U1625" s="58"/>
      <c r="V1625" s="46"/>
      <c r="W1625" s="46"/>
      <c r="X1625" s="62" t="s">
        <v>25</v>
      </c>
      <c r="Y1625" s="63" t="e">
        <f t="shared" si="305"/>
        <v>#DIV/0!</v>
      </c>
      <c r="Z1625" s="64">
        <f t="shared" si="306"/>
        <v>0</v>
      </c>
    </row>
    <row r="1626" spans="11:26" ht="15.75" customHeight="1">
      <c r="K1626" s="48">
        <f t="shared" si="307"/>
        <v>8</v>
      </c>
      <c r="L1626" s="48">
        <f t="shared" si="308"/>
        <v>68</v>
      </c>
      <c r="S1626" s="200"/>
      <c r="T1626" s="201"/>
      <c r="U1626" s="58"/>
      <c r="V1626" s="46"/>
      <c r="W1626" s="46"/>
      <c r="X1626" s="62" t="s">
        <v>25</v>
      </c>
      <c r="Y1626" s="63" t="e">
        <f t="shared" si="305"/>
        <v>#DIV/0!</v>
      </c>
      <c r="Z1626" s="64">
        <f t="shared" si="306"/>
        <v>0</v>
      </c>
    </row>
    <row r="1627" spans="11:26" ht="15.75" customHeight="1">
      <c r="K1627" s="48">
        <f t="shared" si="307"/>
        <v>8</v>
      </c>
      <c r="L1627" s="48">
        <f t="shared" si="308"/>
        <v>68</v>
      </c>
      <c r="S1627" s="200"/>
      <c r="T1627" s="201"/>
      <c r="U1627" s="58"/>
      <c r="V1627" s="46"/>
      <c r="W1627" s="46"/>
      <c r="X1627" s="62" t="s">
        <v>25</v>
      </c>
      <c r="Y1627" s="63" t="e">
        <f t="shared" si="305"/>
        <v>#DIV/0!</v>
      </c>
      <c r="Z1627" s="64">
        <f t="shared" si="306"/>
        <v>0</v>
      </c>
    </row>
    <row r="1628" spans="11:26" ht="15.75" customHeight="1">
      <c r="K1628" s="48">
        <f t="shared" si="307"/>
        <v>8</v>
      </c>
      <c r="L1628" s="48">
        <f t="shared" si="308"/>
        <v>68</v>
      </c>
      <c r="S1628" s="200"/>
      <c r="T1628" s="201"/>
      <c r="U1628" s="58"/>
      <c r="V1628" s="46"/>
      <c r="W1628" s="46"/>
      <c r="X1628" s="62" t="s">
        <v>25</v>
      </c>
      <c r="Y1628" s="63" t="e">
        <f t="shared" si="305"/>
        <v>#DIV/0!</v>
      </c>
      <c r="Z1628" s="64">
        <f t="shared" si="306"/>
        <v>0</v>
      </c>
    </row>
    <row r="1629" spans="11:26" ht="15.75" customHeight="1">
      <c r="K1629" s="48">
        <f t="shared" si="307"/>
        <v>8</v>
      </c>
      <c r="L1629" s="48">
        <f t="shared" si="308"/>
        <v>68</v>
      </c>
      <c r="S1629" s="200"/>
      <c r="T1629" s="201"/>
      <c r="U1629" s="58"/>
      <c r="V1629" s="46"/>
      <c r="W1629" s="46"/>
      <c r="X1629" s="62" t="s">
        <v>25</v>
      </c>
      <c r="Y1629" s="63" t="e">
        <f t="shared" si="305"/>
        <v>#DIV/0!</v>
      </c>
      <c r="Z1629" s="64">
        <f t="shared" si="306"/>
        <v>0</v>
      </c>
    </row>
    <row r="1630" spans="11:26" ht="15.75" customHeight="1">
      <c r="K1630" s="48">
        <f t="shared" si="307"/>
        <v>8</v>
      </c>
      <c r="L1630" s="48">
        <f t="shared" si="308"/>
        <v>68</v>
      </c>
      <c r="S1630" s="200"/>
      <c r="T1630" s="201"/>
      <c r="U1630" s="58"/>
      <c r="V1630" s="46"/>
      <c r="W1630" s="46"/>
      <c r="X1630" s="62" t="s">
        <v>25</v>
      </c>
      <c r="Y1630" s="63" t="e">
        <f t="shared" si="305"/>
        <v>#DIV/0!</v>
      </c>
      <c r="Z1630" s="64">
        <f t="shared" si="306"/>
        <v>0</v>
      </c>
    </row>
    <row r="1631" spans="11:26" ht="15.75" customHeight="1">
      <c r="K1631" s="48">
        <f t="shared" si="307"/>
        <v>8</v>
      </c>
      <c r="L1631" s="48">
        <f t="shared" si="308"/>
        <v>68</v>
      </c>
      <c r="S1631" s="200"/>
      <c r="T1631" s="201"/>
      <c r="U1631" s="58"/>
      <c r="V1631" s="46"/>
      <c r="W1631" s="46"/>
      <c r="X1631" s="62" t="s">
        <v>25</v>
      </c>
      <c r="Y1631" s="63" t="e">
        <f t="shared" si="305"/>
        <v>#DIV/0!</v>
      </c>
      <c r="Z1631" s="64">
        <f t="shared" si="306"/>
        <v>0</v>
      </c>
    </row>
    <row r="1632" spans="11:26" ht="15.75" customHeight="1">
      <c r="K1632" s="48">
        <f t="shared" si="307"/>
        <v>8</v>
      </c>
      <c r="L1632" s="48">
        <f t="shared" si="308"/>
        <v>68</v>
      </c>
      <c r="S1632" s="200"/>
      <c r="T1632" s="201"/>
      <c r="U1632" s="58"/>
      <c r="V1632" s="46"/>
      <c r="W1632" s="46"/>
      <c r="X1632" s="62" t="s">
        <v>25</v>
      </c>
      <c r="Y1632" s="63" t="e">
        <f t="shared" si="305"/>
        <v>#DIV/0!</v>
      </c>
      <c r="Z1632" s="64">
        <f t="shared" si="306"/>
        <v>0</v>
      </c>
    </row>
    <row r="1633" spans="11:26" ht="15.75" customHeight="1">
      <c r="K1633" s="48">
        <f t="shared" si="307"/>
        <v>8</v>
      </c>
      <c r="L1633" s="48">
        <f t="shared" si="308"/>
        <v>68</v>
      </c>
      <c r="S1633" s="200"/>
      <c r="T1633" s="201"/>
      <c r="U1633" s="58"/>
      <c r="V1633" s="46"/>
      <c r="W1633" s="46"/>
      <c r="X1633" s="62" t="s">
        <v>25</v>
      </c>
      <c r="Y1633" s="63" t="e">
        <f t="shared" si="305"/>
        <v>#DIV/0!</v>
      </c>
      <c r="Z1633" s="64">
        <f t="shared" si="306"/>
        <v>0</v>
      </c>
    </row>
    <row r="1634" spans="11:26" ht="15.75" customHeight="1">
      <c r="K1634" s="48">
        <f t="shared" si="307"/>
        <v>8</v>
      </c>
      <c r="L1634" s="48">
        <f t="shared" si="308"/>
        <v>68</v>
      </c>
      <c r="S1634" s="200"/>
      <c r="T1634" s="201"/>
      <c r="U1634" s="58"/>
      <c r="V1634" s="46"/>
      <c r="W1634" s="46"/>
      <c r="X1634" s="62" t="s">
        <v>25</v>
      </c>
      <c r="Y1634" s="63" t="e">
        <f t="shared" si="305"/>
        <v>#DIV/0!</v>
      </c>
      <c r="Z1634" s="64">
        <f t="shared" si="306"/>
        <v>0</v>
      </c>
    </row>
    <row r="1635" spans="11:26" ht="15.75" customHeight="1">
      <c r="K1635" s="48">
        <f t="shared" si="307"/>
        <v>8</v>
      </c>
      <c r="L1635" s="48">
        <f t="shared" si="308"/>
        <v>68</v>
      </c>
      <c r="S1635" s="200"/>
      <c r="T1635" s="201"/>
      <c r="U1635" s="58"/>
      <c r="V1635" s="46"/>
      <c r="W1635" s="46"/>
      <c r="X1635" s="62" t="s">
        <v>25</v>
      </c>
      <c r="Y1635" s="63" t="e">
        <f t="shared" si="305"/>
        <v>#DIV/0!</v>
      </c>
      <c r="Z1635" s="64">
        <f t="shared" si="306"/>
        <v>0</v>
      </c>
    </row>
    <row r="1636" spans="11:26" ht="15.75" customHeight="1">
      <c r="K1636" s="48">
        <f t="shared" si="307"/>
        <v>8</v>
      </c>
      <c r="L1636" s="48">
        <f t="shared" si="308"/>
        <v>68</v>
      </c>
      <c r="S1636" s="200"/>
      <c r="T1636" s="201"/>
      <c r="U1636" s="58"/>
      <c r="V1636" s="46"/>
      <c r="W1636" s="46"/>
      <c r="X1636" s="62" t="s">
        <v>25</v>
      </c>
      <c r="Y1636" s="63" t="e">
        <f t="shared" si="305"/>
        <v>#DIV/0!</v>
      </c>
      <c r="Z1636" s="64">
        <f t="shared" si="306"/>
        <v>0</v>
      </c>
    </row>
    <row r="1637" spans="11:26" ht="15.75" customHeight="1">
      <c r="K1637" s="48">
        <f t="shared" si="307"/>
        <v>8</v>
      </c>
      <c r="L1637" s="48">
        <f t="shared" si="308"/>
        <v>68</v>
      </c>
      <c r="S1637" s="200"/>
      <c r="T1637" s="201"/>
      <c r="U1637" s="58"/>
      <c r="V1637" s="46"/>
      <c r="W1637" s="46"/>
      <c r="X1637" s="62" t="s">
        <v>25</v>
      </c>
      <c r="Y1637" s="63" t="e">
        <f t="shared" si="305"/>
        <v>#DIV/0!</v>
      </c>
      <c r="Z1637" s="64">
        <f t="shared" si="306"/>
        <v>0</v>
      </c>
    </row>
    <row r="1638" spans="11:26" ht="15.75" customHeight="1">
      <c r="K1638" s="48">
        <f t="shared" si="307"/>
        <v>8</v>
      </c>
      <c r="L1638" s="48">
        <f t="shared" si="308"/>
        <v>68</v>
      </c>
      <c r="S1638" s="200"/>
      <c r="T1638" s="201"/>
      <c r="U1638" s="58"/>
      <c r="V1638" s="46"/>
      <c r="W1638" s="46"/>
      <c r="X1638" s="62" t="s">
        <v>25</v>
      </c>
      <c r="Y1638" s="63" t="e">
        <f t="shared" si="305"/>
        <v>#DIV/0!</v>
      </c>
      <c r="Z1638" s="64">
        <f t="shared" si="306"/>
        <v>0</v>
      </c>
    </row>
    <row r="1639" spans="11:26" ht="15.75" customHeight="1">
      <c r="K1639" s="48">
        <f t="shared" si="307"/>
        <v>8</v>
      </c>
      <c r="L1639" s="48">
        <f t="shared" si="308"/>
        <v>68</v>
      </c>
      <c r="S1639" s="200"/>
      <c r="T1639" s="201"/>
      <c r="U1639" s="58"/>
      <c r="V1639" s="46"/>
      <c r="W1639" s="46"/>
      <c r="X1639" s="62" t="s">
        <v>25</v>
      </c>
      <c r="Y1639" s="63" t="e">
        <f t="shared" si="305"/>
        <v>#DIV/0!</v>
      </c>
      <c r="Z1639" s="64">
        <f t="shared" si="306"/>
        <v>0</v>
      </c>
    </row>
    <row r="1640" spans="11:26" ht="15.75" customHeight="1">
      <c r="K1640" s="48">
        <f t="shared" si="307"/>
        <v>8</v>
      </c>
      <c r="L1640" s="48">
        <f t="shared" si="308"/>
        <v>68</v>
      </c>
      <c r="S1640" s="200"/>
      <c r="T1640" s="201"/>
      <c r="U1640" s="58"/>
      <c r="V1640" s="46"/>
      <c r="W1640" s="46"/>
      <c r="X1640" s="62" t="s">
        <v>25</v>
      </c>
      <c r="Y1640" s="63" t="e">
        <f t="shared" si="305"/>
        <v>#DIV/0!</v>
      </c>
      <c r="Z1640" s="64">
        <f t="shared" si="306"/>
        <v>0</v>
      </c>
    </row>
    <row r="1641" spans="11:26" ht="15.75" customHeight="1">
      <c r="K1641" s="48">
        <f t="shared" si="307"/>
        <v>8</v>
      </c>
      <c r="L1641" s="48">
        <f t="shared" si="308"/>
        <v>68</v>
      </c>
      <c r="S1641" s="200"/>
      <c r="T1641" s="201"/>
      <c r="U1641" s="58"/>
      <c r="V1641" s="46"/>
      <c r="W1641" s="46"/>
      <c r="X1641" s="62" t="s">
        <v>25</v>
      </c>
      <c r="Y1641" s="63" t="e">
        <f t="shared" si="305"/>
        <v>#DIV/0!</v>
      </c>
      <c r="Z1641" s="64">
        <f t="shared" si="306"/>
        <v>0</v>
      </c>
    </row>
    <row r="1642" spans="11:26" ht="15.75" customHeight="1">
      <c r="K1642" s="48">
        <f t="shared" si="307"/>
        <v>8</v>
      </c>
      <c r="L1642" s="48">
        <f t="shared" si="308"/>
        <v>68</v>
      </c>
      <c r="S1642" s="200"/>
      <c r="T1642" s="201"/>
      <c r="U1642" s="58"/>
      <c r="V1642" s="46"/>
      <c r="W1642" s="46"/>
      <c r="X1642" s="62" t="s">
        <v>25</v>
      </c>
      <c r="Y1642" s="63" t="e">
        <f t="shared" si="305"/>
        <v>#DIV/0!</v>
      </c>
      <c r="Z1642" s="64">
        <f t="shared" si="306"/>
        <v>0</v>
      </c>
    </row>
    <row r="1643" spans="11:26" ht="15.75" customHeight="1">
      <c r="K1643" s="48">
        <f t="shared" si="307"/>
        <v>8</v>
      </c>
      <c r="L1643" s="48">
        <f t="shared" si="308"/>
        <v>68</v>
      </c>
      <c r="S1643" s="200"/>
      <c r="T1643" s="201"/>
      <c r="U1643" s="58"/>
      <c r="V1643" s="46"/>
      <c r="W1643" s="46"/>
      <c r="X1643" s="62" t="s">
        <v>25</v>
      </c>
      <c r="Y1643" s="63" t="e">
        <f t="shared" si="305"/>
        <v>#DIV/0!</v>
      </c>
      <c r="Z1643" s="64">
        <f t="shared" si="306"/>
        <v>0</v>
      </c>
    </row>
    <row r="1644" spans="11:26" ht="15.75" customHeight="1">
      <c r="K1644" s="48">
        <f t="shared" si="307"/>
        <v>8</v>
      </c>
      <c r="L1644" s="48">
        <f t="shared" si="308"/>
        <v>68</v>
      </c>
      <c r="S1644" s="200"/>
      <c r="T1644" s="201"/>
      <c r="U1644" s="58"/>
      <c r="V1644" s="46"/>
      <c r="W1644" s="46"/>
      <c r="X1644" s="62" t="s">
        <v>25</v>
      </c>
      <c r="Y1644" s="63" t="e">
        <f t="shared" si="305"/>
        <v>#DIV/0!</v>
      </c>
      <c r="Z1644" s="64">
        <f t="shared" si="306"/>
        <v>0</v>
      </c>
    </row>
    <row r="1645" spans="11:26" ht="15.75" customHeight="1">
      <c r="K1645" s="48">
        <f t="shared" si="307"/>
        <v>8</v>
      </c>
      <c r="L1645" s="48">
        <f t="shared" si="308"/>
        <v>68</v>
      </c>
      <c r="S1645" s="200"/>
      <c r="T1645" s="201"/>
      <c r="U1645" s="58"/>
      <c r="V1645" s="46"/>
      <c r="W1645" s="46"/>
      <c r="X1645" s="62" t="s">
        <v>25</v>
      </c>
      <c r="Y1645" s="63" t="e">
        <f t="shared" si="305"/>
        <v>#DIV/0!</v>
      </c>
      <c r="Z1645" s="64">
        <f t="shared" si="306"/>
        <v>0</v>
      </c>
    </row>
    <row r="1646" spans="11:26" ht="15.75" customHeight="1">
      <c r="K1646" s="48">
        <f t="shared" si="307"/>
        <v>8</v>
      </c>
      <c r="L1646" s="48">
        <f t="shared" si="308"/>
        <v>68</v>
      </c>
      <c r="S1646" s="200"/>
      <c r="T1646" s="201"/>
      <c r="U1646" s="58"/>
      <c r="V1646" s="46"/>
      <c r="W1646" s="46"/>
      <c r="X1646" s="62" t="s">
        <v>25</v>
      </c>
      <c r="Y1646" s="63" t="e">
        <f t="shared" si="305"/>
        <v>#DIV/0!</v>
      </c>
      <c r="Z1646" s="64">
        <f t="shared" si="306"/>
        <v>0</v>
      </c>
    </row>
    <row r="1647" spans="11:26" ht="15.75" customHeight="1">
      <c r="K1647" s="48">
        <f t="shared" si="307"/>
        <v>8</v>
      </c>
      <c r="L1647" s="48">
        <f t="shared" si="308"/>
        <v>68</v>
      </c>
      <c r="S1647" s="200"/>
      <c r="T1647" s="201"/>
      <c r="U1647" s="58"/>
      <c r="V1647" s="46"/>
      <c r="W1647" s="46"/>
      <c r="X1647" s="62" t="s">
        <v>25</v>
      </c>
      <c r="Y1647" s="63" t="e">
        <f t="shared" si="305"/>
        <v>#DIV/0!</v>
      </c>
      <c r="Z1647" s="64">
        <f t="shared" si="306"/>
        <v>0</v>
      </c>
    </row>
    <row r="1648" spans="11:26" ht="15.75" customHeight="1">
      <c r="K1648" s="48">
        <f t="shared" si="307"/>
        <v>8</v>
      </c>
      <c r="L1648" s="48">
        <f t="shared" si="308"/>
        <v>68</v>
      </c>
      <c r="S1648" s="200"/>
      <c r="T1648" s="201"/>
      <c r="U1648" s="58"/>
      <c r="V1648" s="46"/>
      <c r="W1648" s="46"/>
      <c r="X1648" s="62" t="s">
        <v>25</v>
      </c>
      <c r="Y1648" s="63" t="e">
        <f t="shared" si="305"/>
        <v>#DIV/0!</v>
      </c>
      <c r="Z1648" s="64">
        <f t="shared" si="306"/>
        <v>0</v>
      </c>
    </row>
    <row r="1649" spans="11:26" ht="15.75" customHeight="1">
      <c r="K1649" s="48">
        <f t="shared" si="307"/>
        <v>8</v>
      </c>
      <c r="L1649" s="48">
        <f t="shared" si="308"/>
        <v>68</v>
      </c>
      <c r="S1649" s="200"/>
      <c r="T1649" s="201"/>
      <c r="U1649" s="58"/>
      <c r="V1649" s="46"/>
      <c r="W1649" s="46"/>
      <c r="X1649" s="62" t="s">
        <v>25</v>
      </c>
      <c r="Y1649" s="63" t="e">
        <f t="shared" si="305"/>
        <v>#DIV/0!</v>
      </c>
      <c r="Z1649" s="64">
        <f t="shared" si="306"/>
        <v>0</v>
      </c>
    </row>
    <row r="1650" spans="11:26" ht="15.75" customHeight="1">
      <c r="K1650" s="48">
        <f t="shared" si="307"/>
        <v>8</v>
      </c>
      <c r="L1650" s="48">
        <f t="shared" si="308"/>
        <v>68</v>
      </c>
      <c r="S1650" s="200"/>
      <c r="T1650" s="201"/>
      <c r="U1650" s="58"/>
      <c r="V1650" s="46"/>
      <c r="W1650" s="46"/>
      <c r="X1650" s="62" t="s">
        <v>25</v>
      </c>
      <c r="Y1650" s="63" t="e">
        <f t="shared" si="305"/>
        <v>#DIV/0!</v>
      </c>
      <c r="Z1650" s="64">
        <f t="shared" si="306"/>
        <v>0</v>
      </c>
    </row>
    <row r="1651" spans="11:26" ht="15.75" customHeight="1">
      <c r="K1651" s="48">
        <f t="shared" si="307"/>
        <v>8</v>
      </c>
      <c r="L1651" s="48">
        <f t="shared" si="308"/>
        <v>68</v>
      </c>
      <c r="S1651" s="200"/>
      <c r="T1651" s="201"/>
      <c r="U1651" s="58"/>
      <c r="V1651" s="46"/>
      <c r="W1651" s="46"/>
      <c r="X1651" s="62" t="s">
        <v>25</v>
      </c>
      <c r="Y1651" s="63" t="e">
        <f t="shared" si="305"/>
        <v>#DIV/0!</v>
      </c>
      <c r="Z1651" s="64">
        <f t="shared" si="306"/>
        <v>0</v>
      </c>
    </row>
    <row r="1652" spans="11:26" ht="15.75" customHeight="1">
      <c r="K1652" s="48">
        <f t="shared" si="307"/>
        <v>8</v>
      </c>
      <c r="L1652" s="48">
        <f t="shared" si="308"/>
        <v>68</v>
      </c>
      <c r="S1652" s="200"/>
      <c r="T1652" s="201"/>
      <c r="U1652" s="58"/>
      <c r="V1652" s="46"/>
      <c r="W1652" s="46"/>
      <c r="X1652" s="62" t="s">
        <v>25</v>
      </c>
      <c r="Y1652" s="63" t="e">
        <f t="shared" ref="Y1652:Y1715" si="309">F1652/E1652</f>
        <v>#DIV/0!</v>
      </c>
      <c r="Z1652" s="64">
        <f t="shared" si="306"/>
        <v>0</v>
      </c>
    </row>
    <row r="1653" spans="11:26" ht="15.75" customHeight="1">
      <c r="K1653" s="48">
        <f t="shared" si="307"/>
        <v>8</v>
      </c>
      <c r="L1653" s="48">
        <f t="shared" si="308"/>
        <v>68</v>
      </c>
      <c r="S1653" s="200"/>
      <c r="T1653" s="201"/>
      <c r="U1653" s="58"/>
      <c r="V1653" s="46"/>
      <c r="W1653" s="46"/>
      <c r="X1653" s="62" t="s">
        <v>25</v>
      </c>
      <c r="Y1653" s="63" t="e">
        <f t="shared" si="309"/>
        <v>#DIV/0!</v>
      </c>
      <c r="Z1653" s="64">
        <f t="shared" si="306"/>
        <v>0</v>
      </c>
    </row>
    <row r="1654" spans="11:26" ht="15.75" customHeight="1">
      <c r="K1654" s="48">
        <f t="shared" si="307"/>
        <v>8</v>
      </c>
      <c r="L1654" s="48">
        <f t="shared" si="308"/>
        <v>68</v>
      </c>
      <c r="S1654" s="200"/>
      <c r="T1654" s="201"/>
      <c r="U1654" s="58"/>
      <c r="V1654" s="46"/>
      <c r="W1654" s="46"/>
      <c r="X1654" s="62" t="s">
        <v>25</v>
      </c>
      <c r="Y1654" s="63" t="e">
        <f t="shared" si="309"/>
        <v>#DIV/0!</v>
      </c>
      <c r="Z1654" s="64">
        <f t="shared" si="306"/>
        <v>0</v>
      </c>
    </row>
    <row r="1655" spans="11:26" ht="15.75" customHeight="1">
      <c r="K1655" s="48">
        <f t="shared" si="307"/>
        <v>8</v>
      </c>
      <c r="L1655" s="48">
        <f t="shared" si="308"/>
        <v>68</v>
      </c>
      <c r="S1655" s="200"/>
      <c r="T1655" s="201"/>
      <c r="U1655" s="58"/>
      <c r="V1655" s="46"/>
      <c r="W1655" s="46"/>
      <c r="X1655" s="62" t="s">
        <v>25</v>
      </c>
      <c r="Y1655" s="63" t="e">
        <f t="shared" si="309"/>
        <v>#DIV/0!</v>
      </c>
      <c r="Z1655" s="64">
        <f t="shared" si="306"/>
        <v>0</v>
      </c>
    </row>
    <row r="1656" spans="11:26" ht="15.75" customHeight="1">
      <c r="K1656" s="48">
        <f t="shared" si="307"/>
        <v>8</v>
      </c>
      <c r="L1656" s="48">
        <f t="shared" si="308"/>
        <v>68</v>
      </c>
      <c r="S1656" s="200"/>
      <c r="T1656" s="201"/>
      <c r="U1656" s="58"/>
      <c r="V1656" s="46"/>
      <c r="W1656" s="46"/>
      <c r="X1656" s="62" t="s">
        <v>25</v>
      </c>
      <c r="Y1656" s="63" t="e">
        <f t="shared" si="309"/>
        <v>#DIV/0!</v>
      </c>
      <c r="Z1656" s="64">
        <f t="shared" si="306"/>
        <v>0</v>
      </c>
    </row>
    <row r="1657" spans="11:26" ht="15.75" customHeight="1">
      <c r="K1657" s="48">
        <f t="shared" si="307"/>
        <v>8</v>
      </c>
      <c r="L1657" s="48">
        <f t="shared" si="308"/>
        <v>68</v>
      </c>
      <c r="S1657" s="200"/>
      <c r="T1657" s="201"/>
      <c r="U1657" s="58"/>
      <c r="V1657" s="46"/>
      <c r="W1657" s="46"/>
      <c r="X1657" s="62" t="s">
        <v>25</v>
      </c>
      <c r="Y1657" s="63" t="e">
        <f t="shared" si="309"/>
        <v>#DIV/0!</v>
      </c>
      <c r="Z1657" s="64">
        <f t="shared" si="306"/>
        <v>0</v>
      </c>
    </row>
    <row r="1658" spans="11:26" ht="15.75" customHeight="1">
      <c r="K1658" s="48">
        <f t="shared" si="307"/>
        <v>8</v>
      </c>
      <c r="L1658" s="48">
        <f t="shared" si="308"/>
        <v>68</v>
      </c>
      <c r="S1658" s="200"/>
      <c r="T1658" s="201"/>
      <c r="U1658" s="58"/>
      <c r="V1658" s="46"/>
      <c r="W1658" s="46"/>
      <c r="X1658" s="62" t="s">
        <v>25</v>
      </c>
      <c r="Y1658" s="63" t="e">
        <f t="shared" si="309"/>
        <v>#DIV/0!</v>
      </c>
      <c r="Z1658" s="64">
        <f t="shared" si="306"/>
        <v>0</v>
      </c>
    </row>
    <row r="1659" spans="11:26" ht="15.75" customHeight="1">
      <c r="K1659" s="48">
        <f t="shared" si="307"/>
        <v>8</v>
      </c>
      <c r="L1659" s="48">
        <f t="shared" si="308"/>
        <v>68</v>
      </c>
      <c r="S1659" s="200"/>
      <c r="T1659" s="201"/>
      <c r="U1659" s="58"/>
      <c r="V1659" s="46"/>
      <c r="W1659" s="46"/>
      <c r="X1659" s="62" t="s">
        <v>25</v>
      </c>
      <c r="Y1659" s="63" t="e">
        <f t="shared" si="309"/>
        <v>#DIV/0!</v>
      </c>
      <c r="Z1659" s="64">
        <f t="shared" si="306"/>
        <v>0</v>
      </c>
    </row>
    <row r="1660" spans="11:26" ht="15.75" customHeight="1">
      <c r="K1660" s="48">
        <f t="shared" si="307"/>
        <v>8</v>
      </c>
      <c r="L1660" s="48">
        <f t="shared" si="308"/>
        <v>68</v>
      </c>
      <c r="S1660" s="200"/>
      <c r="T1660" s="201"/>
      <c r="U1660" s="58"/>
      <c r="V1660" s="46"/>
      <c r="W1660" s="46"/>
      <c r="X1660" s="62" t="s">
        <v>25</v>
      </c>
      <c r="Y1660" s="63" t="e">
        <f t="shared" si="309"/>
        <v>#DIV/0!</v>
      </c>
      <c r="Z1660" s="64">
        <f t="shared" si="306"/>
        <v>0</v>
      </c>
    </row>
    <row r="1661" spans="11:26" ht="15.75" customHeight="1">
      <c r="K1661" s="48">
        <f t="shared" si="307"/>
        <v>8</v>
      </c>
      <c r="L1661" s="48">
        <f t="shared" si="308"/>
        <v>68</v>
      </c>
      <c r="S1661" s="200"/>
      <c r="T1661" s="201"/>
      <c r="U1661" s="58"/>
      <c r="V1661" s="46"/>
      <c r="W1661" s="46"/>
      <c r="X1661" s="62" t="s">
        <v>25</v>
      </c>
      <c r="Y1661" s="63" t="e">
        <f t="shared" si="309"/>
        <v>#DIV/0!</v>
      </c>
      <c r="Z1661" s="64">
        <f t="shared" si="306"/>
        <v>0</v>
      </c>
    </row>
    <row r="1662" spans="11:26" ht="15.75" customHeight="1">
      <c r="K1662" s="48">
        <f t="shared" si="307"/>
        <v>8</v>
      </c>
      <c r="L1662" s="48">
        <f t="shared" si="308"/>
        <v>68</v>
      </c>
      <c r="S1662" s="200"/>
      <c r="T1662" s="201"/>
      <c r="U1662" s="58"/>
      <c r="V1662" s="46"/>
      <c r="W1662" s="46"/>
      <c r="X1662" s="62" t="s">
        <v>25</v>
      </c>
      <c r="Y1662" s="63" t="e">
        <f t="shared" si="309"/>
        <v>#DIV/0!</v>
      </c>
      <c r="Z1662" s="64">
        <f t="shared" ref="Z1662:Z1725" si="310">E1662-N1662</f>
        <v>0</v>
      </c>
    </row>
    <row r="1663" spans="11:26" ht="15.75" customHeight="1">
      <c r="K1663" s="48">
        <f t="shared" si="307"/>
        <v>8</v>
      </c>
      <c r="L1663" s="48">
        <f t="shared" si="308"/>
        <v>68</v>
      </c>
      <c r="S1663" s="200"/>
      <c r="T1663" s="201"/>
      <c r="U1663" s="58"/>
      <c r="V1663" s="46"/>
      <c r="W1663" s="46"/>
      <c r="X1663" s="62" t="s">
        <v>25</v>
      </c>
      <c r="Y1663" s="63" t="e">
        <f t="shared" si="309"/>
        <v>#DIV/0!</v>
      </c>
      <c r="Z1663" s="64">
        <f t="shared" si="310"/>
        <v>0</v>
      </c>
    </row>
    <row r="1664" spans="11:26" ht="15.75" customHeight="1">
      <c r="K1664" s="48">
        <f t="shared" si="307"/>
        <v>8</v>
      </c>
      <c r="L1664" s="48">
        <f t="shared" si="308"/>
        <v>68</v>
      </c>
      <c r="S1664" s="200"/>
      <c r="T1664" s="201"/>
      <c r="U1664" s="58"/>
      <c r="V1664" s="46"/>
      <c r="W1664" s="46"/>
      <c r="X1664" s="62" t="s">
        <v>25</v>
      </c>
      <c r="Y1664" s="63" t="e">
        <f t="shared" si="309"/>
        <v>#DIV/0!</v>
      </c>
      <c r="Z1664" s="64">
        <f t="shared" si="310"/>
        <v>0</v>
      </c>
    </row>
    <row r="1665" spans="11:26" ht="15.75" customHeight="1">
      <c r="K1665" s="48">
        <f t="shared" si="307"/>
        <v>8</v>
      </c>
      <c r="L1665" s="48">
        <f t="shared" si="308"/>
        <v>68</v>
      </c>
      <c r="S1665" s="200"/>
      <c r="T1665" s="201"/>
      <c r="U1665" s="58"/>
      <c r="V1665" s="46"/>
      <c r="W1665" s="46"/>
      <c r="X1665" s="62" t="s">
        <v>25</v>
      </c>
      <c r="Y1665" s="63" t="e">
        <f t="shared" si="309"/>
        <v>#DIV/0!</v>
      </c>
      <c r="Z1665" s="64">
        <f t="shared" si="310"/>
        <v>0</v>
      </c>
    </row>
    <row r="1666" spans="11:26" ht="15.75" customHeight="1">
      <c r="K1666" s="48">
        <f t="shared" si="307"/>
        <v>8</v>
      </c>
      <c r="L1666" s="48">
        <f t="shared" si="308"/>
        <v>68</v>
      </c>
      <c r="S1666" s="200"/>
      <c r="T1666" s="201"/>
      <c r="U1666" s="58"/>
      <c r="V1666" s="46"/>
      <c r="W1666" s="46"/>
      <c r="X1666" s="62" t="s">
        <v>25</v>
      </c>
      <c r="Y1666" s="63" t="e">
        <f t="shared" si="309"/>
        <v>#DIV/0!</v>
      </c>
      <c r="Z1666" s="64">
        <f t="shared" si="310"/>
        <v>0</v>
      </c>
    </row>
    <row r="1667" spans="11:26" ht="15.75" customHeight="1">
      <c r="K1667" s="48">
        <f t="shared" si="307"/>
        <v>8</v>
      </c>
      <c r="L1667" s="48">
        <f t="shared" si="308"/>
        <v>68</v>
      </c>
      <c r="S1667" s="200"/>
      <c r="T1667" s="201"/>
      <c r="U1667" s="58"/>
      <c r="V1667" s="46"/>
      <c r="W1667" s="46"/>
      <c r="X1667" s="62" t="s">
        <v>25</v>
      </c>
      <c r="Y1667" s="63" t="e">
        <f t="shared" si="309"/>
        <v>#DIV/0!</v>
      </c>
      <c r="Z1667" s="64">
        <f t="shared" si="310"/>
        <v>0</v>
      </c>
    </row>
    <row r="1668" spans="11:26" ht="15.75" customHeight="1">
      <c r="K1668" s="48">
        <f t="shared" si="307"/>
        <v>8</v>
      </c>
      <c r="L1668" s="48">
        <f t="shared" si="308"/>
        <v>68</v>
      </c>
      <c r="S1668" s="200"/>
      <c r="T1668" s="201"/>
      <c r="U1668" s="58"/>
      <c r="V1668" s="46"/>
      <c r="W1668" s="46"/>
      <c r="X1668" s="62" t="s">
        <v>25</v>
      </c>
      <c r="Y1668" s="63" t="e">
        <f t="shared" si="309"/>
        <v>#DIV/0!</v>
      </c>
      <c r="Z1668" s="64">
        <f t="shared" si="310"/>
        <v>0</v>
      </c>
    </row>
    <row r="1669" spans="11:26" ht="15.75" customHeight="1">
      <c r="K1669" s="48">
        <f t="shared" si="307"/>
        <v>8</v>
      </c>
      <c r="L1669" s="48">
        <f t="shared" si="308"/>
        <v>68</v>
      </c>
      <c r="S1669" s="200"/>
      <c r="T1669" s="201"/>
      <c r="U1669" s="58"/>
      <c r="V1669" s="46"/>
      <c r="W1669" s="46"/>
      <c r="X1669" s="62" t="s">
        <v>25</v>
      </c>
      <c r="Y1669" s="63" t="e">
        <f t="shared" si="309"/>
        <v>#DIV/0!</v>
      </c>
      <c r="Z1669" s="64">
        <f t="shared" si="310"/>
        <v>0</v>
      </c>
    </row>
    <row r="1670" spans="11:26" ht="15.75" customHeight="1">
      <c r="K1670" s="48">
        <f t="shared" si="307"/>
        <v>8</v>
      </c>
      <c r="L1670" s="48">
        <f t="shared" si="308"/>
        <v>68</v>
      </c>
      <c r="S1670" s="200"/>
      <c r="T1670" s="201"/>
      <c r="U1670" s="58"/>
      <c r="V1670" s="46"/>
      <c r="W1670" s="46"/>
      <c r="X1670" s="62" t="s">
        <v>25</v>
      </c>
      <c r="Y1670" s="63" t="e">
        <f t="shared" si="309"/>
        <v>#DIV/0!</v>
      </c>
      <c r="Z1670" s="64">
        <f t="shared" si="310"/>
        <v>0</v>
      </c>
    </row>
    <row r="1671" spans="11:26" ht="15.75" customHeight="1">
      <c r="K1671" s="48">
        <f t="shared" si="307"/>
        <v>8</v>
      </c>
      <c r="L1671" s="48">
        <f t="shared" si="308"/>
        <v>68</v>
      </c>
      <c r="S1671" s="200"/>
      <c r="T1671" s="201"/>
      <c r="U1671" s="58"/>
      <c r="V1671" s="46"/>
      <c r="W1671" s="46"/>
      <c r="X1671" s="62" t="s">
        <v>25</v>
      </c>
      <c r="Y1671" s="63" t="e">
        <f t="shared" si="309"/>
        <v>#DIV/0!</v>
      </c>
      <c r="Z1671" s="64">
        <f t="shared" si="310"/>
        <v>0</v>
      </c>
    </row>
    <row r="1672" spans="11:26" ht="15.75" customHeight="1">
      <c r="K1672" s="48">
        <f t="shared" si="307"/>
        <v>8</v>
      </c>
      <c r="L1672" s="48">
        <f t="shared" si="308"/>
        <v>68</v>
      </c>
      <c r="S1672" s="200"/>
      <c r="T1672" s="201"/>
      <c r="U1672" s="58"/>
      <c r="V1672" s="46"/>
      <c r="W1672" s="46"/>
      <c r="X1672" s="62" t="s">
        <v>25</v>
      </c>
      <c r="Y1672" s="63" t="e">
        <f t="shared" si="309"/>
        <v>#DIV/0!</v>
      </c>
      <c r="Z1672" s="64">
        <f t="shared" si="310"/>
        <v>0</v>
      </c>
    </row>
    <row r="1673" spans="11:26" ht="15.75" customHeight="1">
      <c r="K1673" s="48">
        <f t="shared" si="307"/>
        <v>8</v>
      </c>
      <c r="L1673" s="48">
        <f t="shared" si="308"/>
        <v>68</v>
      </c>
      <c r="S1673" s="200"/>
      <c r="T1673" s="201"/>
      <c r="U1673" s="58"/>
      <c r="V1673" s="46"/>
      <c r="W1673" s="46"/>
      <c r="X1673" s="62" t="s">
        <v>25</v>
      </c>
      <c r="Y1673" s="63" t="e">
        <f t="shared" si="309"/>
        <v>#DIV/0!</v>
      </c>
      <c r="Z1673" s="64">
        <f t="shared" si="310"/>
        <v>0</v>
      </c>
    </row>
    <row r="1674" spans="11:26" ht="15.75" customHeight="1">
      <c r="K1674" s="48">
        <f t="shared" si="307"/>
        <v>8</v>
      </c>
      <c r="L1674" s="48">
        <f t="shared" si="308"/>
        <v>68</v>
      </c>
      <c r="S1674" s="200"/>
      <c r="T1674" s="201"/>
      <c r="U1674" s="58"/>
      <c r="V1674" s="46"/>
      <c r="W1674" s="46"/>
      <c r="X1674" s="62" t="s">
        <v>25</v>
      </c>
      <c r="Y1674" s="63" t="e">
        <f t="shared" si="309"/>
        <v>#DIV/0!</v>
      </c>
      <c r="Z1674" s="64">
        <f t="shared" si="310"/>
        <v>0</v>
      </c>
    </row>
    <row r="1675" spans="11:26" ht="15.75" customHeight="1">
      <c r="K1675" s="48">
        <f t="shared" ref="K1675:K1738" si="311">D1675+8</f>
        <v>8</v>
      </c>
      <c r="L1675" s="48">
        <f t="shared" ref="L1675:L1738" si="312">K1675+60</f>
        <v>68</v>
      </c>
      <c r="S1675" s="200"/>
      <c r="T1675" s="201"/>
      <c r="U1675" s="58"/>
      <c r="V1675" s="46"/>
      <c r="W1675" s="46"/>
      <c r="X1675" s="62" t="s">
        <v>25</v>
      </c>
      <c r="Y1675" s="63" t="e">
        <f t="shared" si="309"/>
        <v>#DIV/0!</v>
      </c>
      <c r="Z1675" s="64">
        <f t="shared" si="310"/>
        <v>0</v>
      </c>
    </row>
    <row r="1676" spans="11:26" ht="15.75" customHeight="1">
      <c r="K1676" s="48">
        <f t="shared" si="311"/>
        <v>8</v>
      </c>
      <c r="L1676" s="48">
        <f t="shared" si="312"/>
        <v>68</v>
      </c>
      <c r="S1676" s="200"/>
      <c r="T1676" s="201"/>
      <c r="U1676" s="58"/>
      <c r="V1676" s="46"/>
      <c r="W1676" s="46"/>
      <c r="X1676" s="62" t="s">
        <v>25</v>
      </c>
      <c r="Y1676" s="63" t="e">
        <f t="shared" si="309"/>
        <v>#DIV/0!</v>
      </c>
      <c r="Z1676" s="64">
        <f t="shared" si="310"/>
        <v>0</v>
      </c>
    </row>
    <row r="1677" spans="11:26" ht="15.75" customHeight="1">
      <c r="K1677" s="48">
        <f t="shared" si="311"/>
        <v>8</v>
      </c>
      <c r="L1677" s="48">
        <f t="shared" si="312"/>
        <v>68</v>
      </c>
      <c r="S1677" s="200"/>
      <c r="T1677" s="201"/>
      <c r="U1677" s="58"/>
      <c r="V1677" s="46"/>
      <c r="W1677" s="46"/>
      <c r="X1677" s="62" t="s">
        <v>25</v>
      </c>
      <c r="Y1677" s="63" t="e">
        <f t="shared" si="309"/>
        <v>#DIV/0!</v>
      </c>
      <c r="Z1677" s="64">
        <f t="shared" si="310"/>
        <v>0</v>
      </c>
    </row>
    <row r="1678" spans="11:26" ht="15.75" customHeight="1">
      <c r="K1678" s="48">
        <f t="shared" si="311"/>
        <v>8</v>
      </c>
      <c r="L1678" s="48">
        <f t="shared" si="312"/>
        <v>68</v>
      </c>
      <c r="S1678" s="200"/>
      <c r="T1678" s="201"/>
      <c r="U1678" s="58"/>
      <c r="V1678" s="46"/>
      <c r="W1678" s="46"/>
      <c r="X1678" s="62" t="s">
        <v>25</v>
      </c>
      <c r="Y1678" s="63" t="e">
        <f t="shared" si="309"/>
        <v>#DIV/0!</v>
      </c>
      <c r="Z1678" s="64">
        <f t="shared" si="310"/>
        <v>0</v>
      </c>
    </row>
    <row r="1679" spans="11:26" ht="15.75" customHeight="1">
      <c r="K1679" s="48">
        <f t="shared" si="311"/>
        <v>8</v>
      </c>
      <c r="L1679" s="48">
        <f t="shared" si="312"/>
        <v>68</v>
      </c>
      <c r="S1679" s="200"/>
      <c r="T1679" s="201"/>
      <c r="U1679" s="58"/>
      <c r="V1679" s="46"/>
      <c r="W1679" s="46"/>
      <c r="X1679" s="62" t="s">
        <v>25</v>
      </c>
      <c r="Y1679" s="63" t="e">
        <f t="shared" si="309"/>
        <v>#DIV/0!</v>
      </c>
      <c r="Z1679" s="64">
        <f t="shared" si="310"/>
        <v>0</v>
      </c>
    </row>
    <row r="1680" spans="11:26" ht="15.75" customHeight="1">
      <c r="K1680" s="48">
        <f t="shared" si="311"/>
        <v>8</v>
      </c>
      <c r="L1680" s="48">
        <f t="shared" si="312"/>
        <v>68</v>
      </c>
      <c r="S1680" s="200"/>
      <c r="T1680" s="201"/>
      <c r="U1680" s="58"/>
      <c r="V1680" s="46"/>
      <c r="W1680" s="46"/>
      <c r="X1680" s="62" t="s">
        <v>25</v>
      </c>
      <c r="Y1680" s="63" t="e">
        <f t="shared" si="309"/>
        <v>#DIV/0!</v>
      </c>
      <c r="Z1680" s="64">
        <f t="shared" si="310"/>
        <v>0</v>
      </c>
    </row>
    <row r="1681" spans="11:26" ht="15.75" customHeight="1">
      <c r="K1681" s="48">
        <f t="shared" si="311"/>
        <v>8</v>
      </c>
      <c r="L1681" s="48">
        <f t="shared" si="312"/>
        <v>68</v>
      </c>
      <c r="S1681" s="200"/>
      <c r="T1681" s="201"/>
      <c r="U1681" s="58"/>
      <c r="V1681" s="46"/>
      <c r="W1681" s="46"/>
      <c r="X1681" s="62" t="s">
        <v>25</v>
      </c>
      <c r="Y1681" s="63" t="e">
        <f t="shared" si="309"/>
        <v>#DIV/0!</v>
      </c>
      <c r="Z1681" s="64">
        <f t="shared" si="310"/>
        <v>0</v>
      </c>
    </row>
    <row r="1682" spans="11:26" ht="15.75" customHeight="1">
      <c r="K1682" s="48">
        <f t="shared" si="311"/>
        <v>8</v>
      </c>
      <c r="L1682" s="48">
        <f t="shared" si="312"/>
        <v>68</v>
      </c>
      <c r="S1682" s="200"/>
      <c r="T1682" s="201"/>
      <c r="U1682" s="58"/>
      <c r="V1682" s="46"/>
      <c r="W1682" s="46"/>
      <c r="X1682" s="62" t="s">
        <v>25</v>
      </c>
      <c r="Y1682" s="63" t="e">
        <f t="shared" si="309"/>
        <v>#DIV/0!</v>
      </c>
      <c r="Z1682" s="64">
        <f t="shared" si="310"/>
        <v>0</v>
      </c>
    </row>
    <row r="1683" spans="11:26" ht="15.75" customHeight="1">
      <c r="K1683" s="48">
        <f t="shared" si="311"/>
        <v>8</v>
      </c>
      <c r="L1683" s="48">
        <f t="shared" si="312"/>
        <v>68</v>
      </c>
      <c r="S1683" s="200"/>
      <c r="T1683" s="201"/>
      <c r="U1683" s="58"/>
      <c r="V1683" s="46"/>
      <c r="W1683" s="46"/>
      <c r="X1683" s="62" t="s">
        <v>25</v>
      </c>
      <c r="Y1683" s="63" t="e">
        <f t="shared" si="309"/>
        <v>#DIV/0!</v>
      </c>
      <c r="Z1683" s="64">
        <f t="shared" si="310"/>
        <v>0</v>
      </c>
    </row>
    <row r="1684" spans="11:26" ht="15.75" customHeight="1">
      <c r="K1684" s="48">
        <f t="shared" si="311"/>
        <v>8</v>
      </c>
      <c r="L1684" s="48">
        <f t="shared" si="312"/>
        <v>68</v>
      </c>
      <c r="S1684" s="200"/>
      <c r="T1684" s="201"/>
      <c r="U1684" s="58"/>
      <c r="V1684" s="46"/>
      <c r="W1684" s="46"/>
      <c r="X1684" s="62" t="s">
        <v>25</v>
      </c>
      <c r="Y1684" s="63" t="e">
        <f t="shared" si="309"/>
        <v>#DIV/0!</v>
      </c>
      <c r="Z1684" s="64">
        <f t="shared" si="310"/>
        <v>0</v>
      </c>
    </row>
    <row r="1685" spans="11:26" ht="15.75" customHeight="1">
      <c r="K1685" s="48">
        <f t="shared" si="311"/>
        <v>8</v>
      </c>
      <c r="L1685" s="48">
        <f t="shared" si="312"/>
        <v>68</v>
      </c>
      <c r="S1685" s="200"/>
      <c r="T1685" s="201"/>
      <c r="U1685" s="58"/>
      <c r="V1685" s="46"/>
      <c r="W1685" s="46"/>
      <c r="X1685" s="62" t="s">
        <v>25</v>
      </c>
      <c r="Y1685" s="63" t="e">
        <f t="shared" si="309"/>
        <v>#DIV/0!</v>
      </c>
      <c r="Z1685" s="64">
        <f t="shared" si="310"/>
        <v>0</v>
      </c>
    </row>
    <row r="1686" spans="11:26" ht="15.75" customHeight="1">
      <c r="K1686" s="48">
        <f t="shared" si="311"/>
        <v>8</v>
      </c>
      <c r="L1686" s="48">
        <f t="shared" si="312"/>
        <v>68</v>
      </c>
      <c r="S1686" s="200"/>
      <c r="T1686" s="201"/>
      <c r="U1686" s="58"/>
      <c r="V1686" s="46"/>
      <c r="W1686" s="46"/>
      <c r="X1686" s="62" t="s">
        <v>25</v>
      </c>
      <c r="Y1686" s="63" t="e">
        <f t="shared" si="309"/>
        <v>#DIV/0!</v>
      </c>
      <c r="Z1686" s="64">
        <f t="shared" si="310"/>
        <v>0</v>
      </c>
    </row>
    <row r="1687" spans="11:26" ht="15.75" customHeight="1">
      <c r="K1687" s="48">
        <f t="shared" si="311"/>
        <v>8</v>
      </c>
      <c r="L1687" s="48">
        <f t="shared" si="312"/>
        <v>68</v>
      </c>
      <c r="S1687" s="200"/>
      <c r="T1687" s="201"/>
      <c r="U1687" s="58"/>
      <c r="V1687" s="46"/>
      <c r="W1687" s="46"/>
      <c r="X1687" s="62" t="s">
        <v>25</v>
      </c>
      <c r="Y1687" s="63" t="e">
        <f t="shared" si="309"/>
        <v>#DIV/0!</v>
      </c>
      <c r="Z1687" s="64">
        <f t="shared" si="310"/>
        <v>0</v>
      </c>
    </row>
    <row r="1688" spans="11:26" ht="15.75" customHeight="1">
      <c r="K1688" s="48">
        <f t="shared" si="311"/>
        <v>8</v>
      </c>
      <c r="L1688" s="48">
        <f t="shared" si="312"/>
        <v>68</v>
      </c>
      <c r="S1688" s="200"/>
      <c r="T1688" s="201"/>
      <c r="U1688" s="58"/>
      <c r="V1688" s="46"/>
      <c r="W1688" s="46"/>
      <c r="X1688" s="62" t="s">
        <v>25</v>
      </c>
      <c r="Y1688" s="63" t="e">
        <f t="shared" si="309"/>
        <v>#DIV/0!</v>
      </c>
      <c r="Z1688" s="64">
        <f t="shared" si="310"/>
        <v>0</v>
      </c>
    </row>
    <row r="1689" spans="11:26" ht="15.75" customHeight="1">
      <c r="K1689" s="48">
        <f t="shared" si="311"/>
        <v>8</v>
      </c>
      <c r="L1689" s="48">
        <f t="shared" si="312"/>
        <v>68</v>
      </c>
      <c r="S1689" s="200"/>
      <c r="T1689" s="201"/>
      <c r="U1689" s="58"/>
      <c r="V1689" s="46"/>
      <c r="W1689" s="46"/>
      <c r="X1689" s="62" t="s">
        <v>25</v>
      </c>
      <c r="Y1689" s="63" t="e">
        <f t="shared" si="309"/>
        <v>#DIV/0!</v>
      </c>
      <c r="Z1689" s="64">
        <f t="shared" si="310"/>
        <v>0</v>
      </c>
    </row>
    <row r="1690" spans="11:26" ht="15.75" customHeight="1">
      <c r="K1690" s="48">
        <f t="shared" si="311"/>
        <v>8</v>
      </c>
      <c r="L1690" s="48">
        <f t="shared" si="312"/>
        <v>68</v>
      </c>
      <c r="S1690" s="200"/>
      <c r="T1690" s="201"/>
      <c r="U1690" s="58"/>
      <c r="V1690" s="46"/>
      <c r="W1690" s="46"/>
      <c r="X1690" s="62" t="s">
        <v>25</v>
      </c>
      <c r="Y1690" s="63" t="e">
        <f t="shared" si="309"/>
        <v>#DIV/0!</v>
      </c>
      <c r="Z1690" s="64">
        <f t="shared" si="310"/>
        <v>0</v>
      </c>
    </row>
    <row r="1691" spans="11:26" ht="15.75" customHeight="1">
      <c r="K1691" s="48">
        <f t="shared" si="311"/>
        <v>8</v>
      </c>
      <c r="L1691" s="48">
        <f t="shared" si="312"/>
        <v>68</v>
      </c>
      <c r="S1691" s="200"/>
      <c r="T1691" s="201"/>
      <c r="U1691" s="58"/>
      <c r="V1691" s="46"/>
      <c r="W1691" s="46"/>
      <c r="X1691" s="62" t="s">
        <v>25</v>
      </c>
      <c r="Y1691" s="63" t="e">
        <f t="shared" si="309"/>
        <v>#DIV/0!</v>
      </c>
      <c r="Z1691" s="64">
        <f t="shared" si="310"/>
        <v>0</v>
      </c>
    </row>
    <row r="1692" spans="11:26" ht="15.75" customHeight="1">
      <c r="K1692" s="48">
        <f t="shared" si="311"/>
        <v>8</v>
      </c>
      <c r="L1692" s="48">
        <f t="shared" si="312"/>
        <v>68</v>
      </c>
      <c r="S1692" s="200"/>
      <c r="T1692" s="201"/>
      <c r="U1692" s="58"/>
      <c r="V1692" s="46"/>
      <c r="W1692" s="46"/>
      <c r="X1692" s="62" t="s">
        <v>25</v>
      </c>
      <c r="Y1692" s="63" t="e">
        <f t="shared" si="309"/>
        <v>#DIV/0!</v>
      </c>
      <c r="Z1692" s="64">
        <f t="shared" si="310"/>
        <v>0</v>
      </c>
    </row>
    <row r="1693" spans="11:26" ht="15.75" customHeight="1">
      <c r="K1693" s="48">
        <f t="shared" si="311"/>
        <v>8</v>
      </c>
      <c r="L1693" s="48">
        <f t="shared" si="312"/>
        <v>68</v>
      </c>
      <c r="S1693" s="200"/>
      <c r="T1693" s="201"/>
      <c r="U1693" s="58"/>
      <c r="V1693" s="46"/>
      <c r="W1693" s="46"/>
      <c r="X1693" s="62" t="s">
        <v>25</v>
      </c>
      <c r="Y1693" s="63" t="e">
        <f t="shared" si="309"/>
        <v>#DIV/0!</v>
      </c>
      <c r="Z1693" s="64">
        <f t="shared" si="310"/>
        <v>0</v>
      </c>
    </row>
    <row r="1694" spans="11:26" ht="15.75" customHeight="1">
      <c r="K1694" s="48">
        <f t="shared" si="311"/>
        <v>8</v>
      </c>
      <c r="L1694" s="48">
        <f t="shared" si="312"/>
        <v>68</v>
      </c>
      <c r="S1694" s="200"/>
      <c r="T1694" s="201"/>
      <c r="U1694" s="58"/>
      <c r="V1694" s="46"/>
      <c r="W1694" s="46"/>
      <c r="X1694" s="62" t="s">
        <v>25</v>
      </c>
      <c r="Y1694" s="63" t="e">
        <f t="shared" si="309"/>
        <v>#DIV/0!</v>
      </c>
      <c r="Z1694" s="64">
        <f t="shared" si="310"/>
        <v>0</v>
      </c>
    </row>
    <row r="1695" spans="11:26" ht="15.75" customHeight="1">
      <c r="K1695" s="48">
        <f t="shared" si="311"/>
        <v>8</v>
      </c>
      <c r="L1695" s="48">
        <f t="shared" si="312"/>
        <v>68</v>
      </c>
      <c r="S1695" s="200"/>
      <c r="T1695" s="201"/>
      <c r="U1695" s="58"/>
      <c r="V1695" s="46"/>
      <c r="W1695" s="46"/>
      <c r="X1695" s="62" t="s">
        <v>25</v>
      </c>
      <c r="Y1695" s="63" t="e">
        <f t="shared" si="309"/>
        <v>#DIV/0!</v>
      </c>
      <c r="Z1695" s="64">
        <f t="shared" si="310"/>
        <v>0</v>
      </c>
    </row>
    <row r="1696" spans="11:26" ht="15.75" customHeight="1">
      <c r="K1696" s="48">
        <f t="shared" si="311"/>
        <v>8</v>
      </c>
      <c r="L1696" s="48">
        <f t="shared" si="312"/>
        <v>68</v>
      </c>
      <c r="S1696" s="200"/>
      <c r="T1696" s="201"/>
      <c r="U1696" s="58"/>
      <c r="V1696" s="46"/>
      <c r="W1696" s="46"/>
      <c r="X1696" s="62" t="s">
        <v>25</v>
      </c>
      <c r="Y1696" s="63" t="e">
        <f t="shared" si="309"/>
        <v>#DIV/0!</v>
      </c>
      <c r="Z1696" s="64">
        <f t="shared" si="310"/>
        <v>0</v>
      </c>
    </row>
    <row r="1697" spans="11:26" ht="15.75" customHeight="1">
      <c r="K1697" s="48">
        <f t="shared" si="311"/>
        <v>8</v>
      </c>
      <c r="L1697" s="48">
        <f t="shared" si="312"/>
        <v>68</v>
      </c>
      <c r="S1697" s="200"/>
      <c r="T1697" s="201"/>
      <c r="U1697" s="58"/>
      <c r="V1697" s="46"/>
      <c r="W1697" s="46"/>
      <c r="X1697" s="62" t="s">
        <v>25</v>
      </c>
      <c r="Y1697" s="63" t="e">
        <f t="shared" si="309"/>
        <v>#DIV/0!</v>
      </c>
      <c r="Z1697" s="64">
        <f t="shared" si="310"/>
        <v>0</v>
      </c>
    </row>
    <row r="1698" spans="11:26" ht="15.75" customHeight="1">
      <c r="K1698" s="48">
        <f t="shared" si="311"/>
        <v>8</v>
      </c>
      <c r="L1698" s="48">
        <f t="shared" si="312"/>
        <v>68</v>
      </c>
      <c r="S1698" s="200"/>
      <c r="T1698" s="201"/>
      <c r="U1698" s="58"/>
      <c r="V1698" s="46"/>
      <c r="W1698" s="46"/>
      <c r="X1698" s="62" t="s">
        <v>25</v>
      </c>
      <c r="Y1698" s="63" t="e">
        <f t="shared" si="309"/>
        <v>#DIV/0!</v>
      </c>
      <c r="Z1698" s="64">
        <f t="shared" si="310"/>
        <v>0</v>
      </c>
    </row>
    <row r="1699" spans="11:26" ht="15.75" customHeight="1">
      <c r="K1699" s="48">
        <f t="shared" si="311"/>
        <v>8</v>
      </c>
      <c r="L1699" s="48">
        <f t="shared" si="312"/>
        <v>68</v>
      </c>
      <c r="S1699" s="200"/>
      <c r="T1699" s="201"/>
      <c r="U1699" s="58"/>
      <c r="V1699" s="46"/>
      <c r="W1699" s="46"/>
      <c r="X1699" s="62" t="s">
        <v>25</v>
      </c>
      <c r="Y1699" s="63" t="e">
        <f t="shared" si="309"/>
        <v>#DIV/0!</v>
      </c>
      <c r="Z1699" s="64">
        <f t="shared" si="310"/>
        <v>0</v>
      </c>
    </row>
    <row r="1700" spans="11:26" ht="15.75" customHeight="1">
      <c r="K1700" s="48">
        <f t="shared" si="311"/>
        <v>8</v>
      </c>
      <c r="L1700" s="48">
        <f t="shared" si="312"/>
        <v>68</v>
      </c>
      <c r="S1700" s="200"/>
      <c r="T1700" s="201"/>
      <c r="U1700" s="58"/>
      <c r="V1700" s="46"/>
      <c r="W1700" s="46"/>
      <c r="X1700" s="62" t="s">
        <v>25</v>
      </c>
      <c r="Y1700" s="63" t="e">
        <f t="shared" si="309"/>
        <v>#DIV/0!</v>
      </c>
      <c r="Z1700" s="64">
        <f t="shared" si="310"/>
        <v>0</v>
      </c>
    </row>
    <row r="1701" spans="11:26" ht="15.75" customHeight="1">
      <c r="K1701" s="48">
        <f t="shared" si="311"/>
        <v>8</v>
      </c>
      <c r="L1701" s="48">
        <f t="shared" si="312"/>
        <v>68</v>
      </c>
      <c r="S1701" s="200"/>
      <c r="T1701" s="201"/>
      <c r="U1701" s="58"/>
      <c r="V1701" s="46"/>
      <c r="W1701" s="46"/>
      <c r="X1701" s="62" t="s">
        <v>25</v>
      </c>
      <c r="Y1701" s="63" t="e">
        <f t="shared" si="309"/>
        <v>#DIV/0!</v>
      </c>
      <c r="Z1701" s="64">
        <f t="shared" si="310"/>
        <v>0</v>
      </c>
    </row>
    <row r="1702" spans="11:26" ht="15.75" customHeight="1">
      <c r="K1702" s="48">
        <f t="shared" si="311"/>
        <v>8</v>
      </c>
      <c r="L1702" s="48">
        <f t="shared" si="312"/>
        <v>68</v>
      </c>
      <c r="S1702" s="200"/>
      <c r="T1702" s="201"/>
      <c r="U1702" s="58"/>
      <c r="V1702" s="46"/>
      <c r="W1702" s="46"/>
      <c r="X1702" s="62" t="s">
        <v>25</v>
      </c>
      <c r="Y1702" s="63" t="e">
        <f t="shared" si="309"/>
        <v>#DIV/0!</v>
      </c>
      <c r="Z1702" s="64">
        <f t="shared" si="310"/>
        <v>0</v>
      </c>
    </row>
    <row r="1703" spans="11:26" ht="15.75" customHeight="1">
      <c r="K1703" s="48">
        <f t="shared" si="311"/>
        <v>8</v>
      </c>
      <c r="L1703" s="48">
        <f t="shared" si="312"/>
        <v>68</v>
      </c>
      <c r="S1703" s="200"/>
      <c r="T1703" s="201"/>
      <c r="U1703" s="58"/>
      <c r="V1703" s="46"/>
      <c r="W1703" s="46"/>
      <c r="X1703" s="62" t="s">
        <v>25</v>
      </c>
      <c r="Y1703" s="63" t="e">
        <f t="shared" si="309"/>
        <v>#DIV/0!</v>
      </c>
      <c r="Z1703" s="64">
        <f t="shared" si="310"/>
        <v>0</v>
      </c>
    </row>
    <row r="1704" spans="11:26" ht="15.75" customHeight="1">
      <c r="K1704" s="48">
        <f t="shared" si="311"/>
        <v>8</v>
      </c>
      <c r="L1704" s="48">
        <f t="shared" si="312"/>
        <v>68</v>
      </c>
      <c r="S1704" s="200"/>
      <c r="T1704" s="201"/>
      <c r="U1704" s="58"/>
      <c r="V1704" s="46"/>
      <c r="W1704" s="46"/>
      <c r="X1704" s="62" t="s">
        <v>25</v>
      </c>
      <c r="Y1704" s="63" t="e">
        <f t="shared" si="309"/>
        <v>#DIV/0!</v>
      </c>
      <c r="Z1704" s="64">
        <f t="shared" si="310"/>
        <v>0</v>
      </c>
    </row>
    <row r="1705" spans="11:26" ht="15.75" customHeight="1">
      <c r="K1705" s="48">
        <f t="shared" si="311"/>
        <v>8</v>
      </c>
      <c r="L1705" s="48">
        <f t="shared" si="312"/>
        <v>68</v>
      </c>
      <c r="S1705" s="200"/>
      <c r="T1705" s="201"/>
      <c r="U1705" s="58"/>
      <c r="V1705" s="46"/>
      <c r="W1705" s="46"/>
      <c r="X1705" s="62" t="s">
        <v>25</v>
      </c>
      <c r="Y1705" s="63" t="e">
        <f t="shared" si="309"/>
        <v>#DIV/0!</v>
      </c>
      <c r="Z1705" s="64">
        <f t="shared" si="310"/>
        <v>0</v>
      </c>
    </row>
    <row r="1706" spans="11:26" ht="15.75" customHeight="1">
      <c r="K1706" s="48">
        <f t="shared" si="311"/>
        <v>8</v>
      </c>
      <c r="L1706" s="48">
        <f t="shared" si="312"/>
        <v>68</v>
      </c>
      <c r="S1706" s="200"/>
      <c r="T1706" s="201"/>
      <c r="U1706" s="58"/>
      <c r="V1706" s="46"/>
      <c r="W1706" s="46"/>
      <c r="X1706" s="62" t="s">
        <v>25</v>
      </c>
      <c r="Y1706" s="63" t="e">
        <f t="shared" si="309"/>
        <v>#DIV/0!</v>
      </c>
      <c r="Z1706" s="64">
        <f t="shared" si="310"/>
        <v>0</v>
      </c>
    </row>
    <row r="1707" spans="11:26" ht="15.75" customHeight="1">
      <c r="K1707" s="48">
        <f t="shared" si="311"/>
        <v>8</v>
      </c>
      <c r="L1707" s="48">
        <f t="shared" si="312"/>
        <v>68</v>
      </c>
      <c r="S1707" s="200"/>
      <c r="T1707" s="201"/>
      <c r="U1707" s="58"/>
      <c r="V1707" s="46"/>
      <c r="W1707" s="46"/>
      <c r="X1707" s="62" t="s">
        <v>25</v>
      </c>
      <c r="Y1707" s="63" t="e">
        <f t="shared" si="309"/>
        <v>#DIV/0!</v>
      </c>
      <c r="Z1707" s="64">
        <f t="shared" si="310"/>
        <v>0</v>
      </c>
    </row>
    <row r="1708" spans="11:26" ht="15.75" customHeight="1">
      <c r="K1708" s="48">
        <f t="shared" si="311"/>
        <v>8</v>
      </c>
      <c r="L1708" s="48">
        <f t="shared" si="312"/>
        <v>68</v>
      </c>
      <c r="S1708" s="200"/>
      <c r="T1708" s="201"/>
      <c r="U1708" s="58"/>
      <c r="V1708" s="46"/>
      <c r="W1708" s="46"/>
      <c r="X1708" s="62" t="s">
        <v>25</v>
      </c>
      <c r="Y1708" s="63" t="e">
        <f t="shared" si="309"/>
        <v>#DIV/0!</v>
      </c>
      <c r="Z1708" s="64">
        <f t="shared" si="310"/>
        <v>0</v>
      </c>
    </row>
    <row r="1709" spans="11:26" ht="15.75" customHeight="1">
      <c r="K1709" s="48">
        <f t="shared" si="311"/>
        <v>8</v>
      </c>
      <c r="L1709" s="48">
        <f t="shared" si="312"/>
        <v>68</v>
      </c>
      <c r="S1709" s="200"/>
      <c r="T1709" s="201"/>
      <c r="U1709" s="58"/>
      <c r="V1709" s="46"/>
      <c r="W1709" s="46"/>
      <c r="X1709" s="62" t="s">
        <v>25</v>
      </c>
      <c r="Y1709" s="63" t="e">
        <f t="shared" si="309"/>
        <v>#DIV/0!</v>
      </c>
      <c r="Z1709" s="64">
        <f t="shared" si="310"/>
        <v>0</v>
      </c>
    </row>
    <row r="1710" spans="11:26" ht="15.75" customHeight="1">
      <c r="K1710" s="48">
        <f t="shared" si="311"/>
        <v>8</v>
      </c>
      <c r="L1710" s="48">
        <f t="shared" si="312"/>
        <v>68</v>
      </c>
      <c r="S1710" s="200"/>
      <c r="T1710" s="201"/>
      <c r="U1710" s="58"/>
      <c r="V1710" s="46"/>
      <c r="W1710" s="46"/>
      <c r="X1710" s="62" t="s">
        <v>25</v>
      </c>
      <c r="Y1710" s="63" t="e">
        <f t="shared" si="309"/>
        <v>#DIV/0!</v>
      </c>
      <c r="Z1710" s="64">
        <f t="shared" si="310"/>
        <v>0</v>
      </c>
    </row>
    <row r="1711" spans="11:26" ht="15.75" customHeight="1">
      <c r="K1711" s="48">
        <f t="shared" si="311"/>
        <v>8</v>
      </c>
      <c r="L1711" s="48">
        <f t="shared" si="312"/>
        <v>68</v>
      </c>
      <c r="S1711" s="200"/>
      <c r="T1711" s="201"/>
      <c r="U1711" s="58"/>
      <c r="V1711" s="46"/>
      <c r="W1711" s="46"/>
      <c r="X1711" s="62" t="s">
        <v>25</v>
      </c>
      <c r="Y1711" s="63" t="e">
        <f t="shared" si="309"/>
        <v>#DIV/0!</v>
      </c>
      <c r="Z1711" s="64">
        <f t="shared" si="310"/>
        <v>0</v>
      </c>
    </row>
    <row r="1712" spans="11:26" ht="15.75" customHeight="1">
      <c r="K1712" s="48">
        <f t="shared" si="311"/>
        <v>8</v>
      </c>
      <c r="L1712" s="48">
        <f t="shared" si="312"/>
        <v>68</v>
      </c>
      <c r="S1712" s="200"/>
      <c r="T1712" s="201"/>
      <c r="U1712" s="58"/>
      <c r="V1712" s="46"/>
      <c r="W1712" s="46"/>
      <c r="X1712" s="62" t="s">
        <v>25</v>
      </c>
      <c r="Y1712" s="63" t="e">
        <f t="shared" si="309"/>
        <v>#DIV/0!</v>
      </c>
      <c r="Z1712" s="64">
        <f t="shared" si="310"/>
        <v>0</v>
      </c>
    </row>
    <row r="1713" spans="11:26" ht="15.75" customHeight="1">
      <c r="K1713" s="48">
        <f t="shared" si="311"/>
        <v>8</v>
      </c>
      <c r="L1713" s="48">
        <f t="shared" si="312"/>
        <v>68</v>
      </c>
      <c r="S1713" s="200"/>
      <c r="T1713" s="201"/>
      <c r="U1713" s="58"/>
      <c r="V1713" s="46"/>
      <c r="W1713" s="46"/>
      <c r="X1713" s="62" t="s">
        <v>25</v>
      </c>
      <c r="Y1713" s="63" t="e">
        <f t="shared" si="309"/>
        <v>#DIV/0!</v>
      </c>
      <c r="Z1713" s="64">
        <f t="shared" si="310"/>
        <v>0</v>
      </c>
    </row>
    <row r="1714" spans="11:26" ht="15.75" customHeight="1">
      <c r="K1714" s="48">
        <f t="shared" si="311"/>
        <v>8</v>
      </c>
      <c r="L1714" s="48">
        <f t="shared" si="312"/>
        <v>68</v>
      </c>
      <c r="S1714" s="200"/>
      <c r="T1714" s="201"/>
      <c r="U1714" s="58"/>
      <c r="V1714" s="46"/>
      <c r="W1714" s="46"/>
      <c r="X1714" s="62" t="s">
        <v>25</v>
      </c>
      <c r="Y1714" s="63" t="e">
        <f t="shared" si="309"/>
        <v>#DIV/0!</v>
      </c>
      <c r="Z1714" s="64">
        <f t="shared" si="310"/>
        <v>0</v>
      </c>
    </row>
    <row r="1715" spans="11:26" ht="15.75" customHeight="1">
      <c r="K1715" s="48">
        <f t="shared" si="311"/>
        <v>8</v>
      </c>
      <c r="L1715" s="48">
        <f t="shared" si="312"/>
        <v>68</v>
      </c>
      <c r="S1715" s="200"/>
      <c r="T1715" s="201"/>
      <c r="U1715" s="58"/>
      <c r="V1715" s="46"/>
      <c r="W1715" s="46"/>
      <c r="X1715" s="62" t="s">
        <v>25</v>
      </c>
      <c r="Y1715" s="63" t="e">
        <f t="shared" si="309"/>
        <v>#DIV/0!</v>
      </c>
      <c r="Z1715" s="64">
        <f t="shared" si="310"/>
        <v>0</v>
      </c>
    </row>
    <row r="1716" spans="11:26" ht="15.75" customHeight="1">
      <c r="K1716" s="48">
        <f t="shared" si="311"/>
        <v>8</v>
      </c>
      <c r="L1716" s="48">
        <f t="shared" si="312"/>
        <v>68</v>
      </c>
      <c r="S1716" s="200"/>
      <c r="T1716" s="201"/>
      <c r="U1716" s="58"/>
      <c r="V1716" s="46"/>
      <c r="W1716" s="46"/>
      <c r="X1716" s="62" t="s">
        <v>25</v>
      </c>
      <c r="Y1716" s="63" t="e">
        <f t="shared" ref="Y1716:Y1779" si="313">F1716/E1716</f>
        <v>#DIV/0!</v>
      </c>
      <c r="Z1716" s="64">
        <f t="shared" si="310"/>
        <v>0</v>
      </c>
    </row>
    <row r="1717" spans="11:26" ht="15.75" customHeight="1">
      <c r="K1717" s="48">
        <f t="shared" si="311"/>
        <v>8</v>
      </c>
      <c r="L1717" s="48">
        <f t="shared" si="312"/>
        <v>68</v>
      </c>
      <c r="S1717" s="200"/>
      <c r="T1717" s="201"/>
      <c r="U1717" s="58"/>
      <c r="V1717" s="46"/>
      <c r="W1717" s="46"/>
      <c r="X1717" s="62" t="s">
        <v>25</v>
      </c>
      <c r="Y1717" s="63" t="e">
        <f t="shared" si="313"/>
        <v>#DIV/0!</v>
      </c>
      <c r="Z1717" s="64">
        <f t="shared" si="310"/>
        <v>0</v>
      </c>
    </row>
    <row r="1718" spans="11:26" ht="15.75" customHeight="1">
      <c r="K1718" s="48">
        <f t="shared" si="311"/>
        <v>8</v>
      </c>
      <c r="L1718" s="48">
        <f t="shared" si="312"/>
        <v>68</v>
      </c>
      <c r="S1718" s="200"/>
      <c r="T1718" s="201"/>
      <c r="U1718" s="58"/>
      <c r="V1718" s="46"/>
      <c r="W1718" s="46"/>
      <c r="X1718" s="62" t="s">
        <v>25</v>
      </c>
      <c r="Y1718" s="63" t="e">
        <f t="shared" si="313"/>
        <v>#DIV/0!</v>
      </c>
      <c r="Z1718" s="64">
        <f t="shared" si="310"/>
        <v>0</v>
      </c>
    </row>
    <row r="1719" spans="11:26" ht="15.75" customHeight="1">
      <c r="K1719" s="48">
        <f t="shared" si="311"/>
        <v>8</v>
      </c>
      <c r="L1719" s="48">
        <f t="shared" si="312"/>
        <v>68</v>
      </c>
      <c r="S1719" s="200"/>
      <c r="T1719" s="201"/>
      <c r="U1719" s="58"/>
      <c r="V1719" s="46"/>
      <c r="W1719" s="46"/>
      <c r="X1719" s="62" t="s">
        <v>25</v>
      </c>
      <c r="Y1719" s="63" t="e">
        <f t="shared" si="313"/>
        <v>#DIV/0!</v>
      </c>
      <c r="Z1719" s="64">
        <f t="shared" si="310"/>
        <v>0</v>
      </c>
    </row>
    <row r="1720" spans="11:26" ht="15.75" customHeight="1">
      <c r="K1720" s="48">
        <f t="shared" si="311"/>
        <v>8</v>
      </c>
      <c r="L1720" s="48">
        <f t="shared" si="312"/>
        <v>68</v>
      </c>
      <c r="S1720" s="200"/>
      <c r="T1720" s="201"/>
      <c r="U1720" s="58"/>
      <c r="V1720" s="46"/>
      <c r="W1720" s="46"/>
      <c r="X1720" s="62" t="s">
        <v>25</v>
      </c>
      <c r="Y1720" s="63" t="e">
        <f t="shared" si="313"/>
        <v>#DIV/0!</v>
      </c>
      <c r="Z1720" s="64">
        <f t="shared" si="310"/>
        <v>0</v>
      </c>
    </row>
    <row r="1721" spans="11:26" ht="15.75" customHeight="1">
      <c r="K1721" s="48">
        <f t="shared" si="311"/>
        <v>8</v>
      </c>
      <c r="L1721" s="48">
        <f t="shared" si="312"/>
        <v>68</v>
      </c>
      <c r="S1721" s="200"/>
      <c r="T1721" s="201"/>
      <c r="U1721" s="58"/>
      <c r="V1721" s="46"/>
      <c r="W1721" s="46"/>
      <c r="X1721" s="62" t="s">
        <v>25</v>
      </c>
      <c r="Y1721" s="63" t="e">
        <f t="shared" si="313"/>
        <v>#DIV/0!</v>
      </c>
      <c r="Z1721" s="64">
        <f t="shared" si="310"/>
        <v>0</v>
      </c>
    </row>
    <row r="1722" spans="11:26" ht="15.75" customHeight="1">
      <c r="K1722" s="48">
        <f t="shared" si="311"/>
        <v>8</v>
      </c>
      <c r="L1722" s="48">
        <f t="shared" si="312"/>
        <v>68</v>
      </c>
      <c r="S1722" s="200"/>
      <c r="T1722" s="201"/>
      <c r="U1722" s="58"/>
      <c r="V1722" s="46"/>
      <c r="W1722" s="46"/>
      <c r="X1722" s="62" t="s">
        <v>25</v>
      </c>
      <c r="Y1722" s="63" t="e">
        <f t="shared" si="313"/>
        <v>#DIV/0!</v>
      </c>
      <c r="Z1722" s="64">
        <f t="shared" si="310"/>
        <v>0</v>
      </c>
    </row>
    <row r="1723" spans="11:26" ht="15.75" customHeight="1">
      <c r="K1723" s="48">
        <f t="shared" si="311"/>
        <v>8</v>
      </c>
      <c r="L1723" s="48">
        <f t="shared" si="312"/>
        <v>68</v>
      </c>
      <c r="S1723" s="200"/>
      <c r="T1723" s="201"/>
      <c r="U1723" s="58"/>
      <c r="V1723" s="46"/>
      <c r="W1723" s="46"/>
      <c r="X1723" s="62" t="s">
        <v>25</v>
      </c>
      <c r="Y1723" s="63" t="e">
        <f t="shared" si="313"/>
        <v>#DIV/0!</v>
      </c>
      <c r="Z1723" s="64">
        <f t="shared" si="310"/>
        <v>0</v>
      </c>
    </row>
    <row r="1724" spans="11:26" ht="15.75" customHeight="1">
      <c r="K1724" s="48">
        <f t="shared" si="311"/>
        <v>8</v>
      </c>
      <c r="L1724" s="48">
        <f t="shared" si="312"/>
        <v>68</v>
      </c>
      <c r="S1724" s="200"/>
      <c r="T1724" s="201"/>
      <c r="U1724" s="58"/>
      <c r="V1724" s="46"/>
      <c r="W1724" s="46"/>
      <c r="X1724" s="62" t="s">
        <v>25</v>
      </c>
      <c r="Y1724" s="63" t="e">
        <f t="shared" si="313"/>
        <v>#DIV/0!</v>
      </c>
      <c r="Z1724" s="64">
        <f t="shared" si="310"/>
        <v>0</v>
      </c>
    </row>
    <row r="1725" spans="11:26" ht="15.75" customHeight="1">
      <c r="K1725" s="48">
        <f t="shared" si="311"/>
        <v>8</v>
      </c>
      <c r="L1725" s="48">
        <f t="shared" si="312"/>
        <v>68</v>
      </c>
      <c r="S1725" s="200"/>
      <c r="T1725" s="201"/>
      <c r="U1725" s="58"/>
      <c r="V1725" s="46"/>
      <c r="W1725" s="46"/>
      <c r="X1725" s="62" t="s">
        <v>25</v>
      </c>
      <c r="Y1725" s="63" t="e">
        <f t="shared" si="313"/>
        <v>#DIV/0!</v>
      </c>
      <c r="Z1725" s="64">
        <f t="shared" si="310"/>
        <v>0</v>
      </c>
    </row>
    <row r="1726" spans="11:26" ht="15.75" customHeight="1">
      <c r="K1726" s="48">
        <f t="shared" si="311"/>
        <v>8</v>
      </c>
      <c r="L1726" s="48">
        <f t="shared" si="312"/>
        <v>68</v>
      </c>
      <c r="S1726" s="200"/>
      <c r="T1726" s="201"/>
      <c r="U1726" s="58"/>
      <c r="V1726" s="46"/>
      <c r="W1726" s="46"/>
      <c r="X1726" s="62" t="s">
        <v>25</v>
      </c>
      <c r="Y1726" s="63" t="e">
        <f t="shared" si="313"/>
        <v>#DIV/0!</v>
      </c>
      <c r="Z1726" s="64">
        <f t="shared" ref="Z1726:Z1789" si="314">E1726-N1726</f>
        <v>0</v>
      </c>
    </row>
    <row r="1727" spans="11:26" ht="15.75" customHeight="1">
      <c r="K1727" s="48">
        <f t="shared" si="311"/>
        <v>8</v>
      </c>
      <c r="L1727" s="48">
        <f t="shared" si="312"/>
        <v>68</v>
      </c>
      <c r="S1727" s="200"/>
      <c r="T1727" s="201"/>
      <c r="U1727" s="58"/>
      <c r="V1727" s="46"/>
      <c r="W1727" s="46"/>
      <c r="X1727" s="62" t="s">
        <v>25</v>
      </c>
      <c r="Y1727" s="63" t="e">
        <f t="shared" si="313"/>
        <v>#DIV/0!</v>
      </c>
      <c r="Z1727" s="64">
        <f t="shared" si="314"/>
        <v>0</v>
      </c>
    </row>
    <row r="1728" spans="11:26" ht="15.75" customHeight="1">
      <c r="K1728" s="48">
        <f t="shared" si="311"/>
        <v>8</v>
      </c>
      <c r="L1728" s="48">
        <f t="shared" si="312"/>
        <v>68</v>
      </c>
      <c r="S1728" s="200"/>
      <c r="T1728" s="201"/>
      <c r="U1728" s="58"/>
      <c r="V1728" s="46"/>
      <c r="W1728" s="46"/>
      <c r="X1728" s="62" t="s">
        <v>25</v>
      </c>
      <c r="Y1728" s="63" t="e">
        <f t="shared" si="313"/>
        <v>#DIV/0!</v>
      </c>
      <c r="Z1728" s="64">
        <f t="shared" si="314"/>
        <v>0</v>
      </c>
    </row>
    <row r="1729" spans="11:26" ht="15.75" customHeight="1">
      <c r="K1729" s="48">
        <f t="shared" si="311"/>
        <v>8</v>
      </c>
      <c r="L1729" s="48">
        <f t="shared" si="312"/>
        <v>68</v>
      </c>
      <c r="S1729" s="200"/>
      <c r="T1729" s="201"/>
      <c r="U1729" s="58"/>
      <c r="V1729" s="46"/>
      <c r="W1729" s="46"/>
      <c r="X1729" s="62" t="s">
        <v>25</v>
      </c>
      <c r="Y1729" s="63" t="e">
        <f t="shared" si="313"/>
        <v>#DIV/0!</v>
      </c>
      <c r="Z1729" s="64">
        <f t="shared" si="314"/>
        <v>0</v>
      </c>
    </row>
    <row r="1730" spans="11:26" ht="15.75" customHeight="1">
      <c r="K1730" s="48">
        <f t="shared" si="311"/>
        <v>8</v>
      </c>
      <c r="L1730" s="48">
        <f t="shared" si="312"/>
        <v>68</v>
      </c>
      <c r="S1730" s="200"/>
      <c r="T1730" s="201"/>
      <c r="U1730" s="58"/>
      <c r="V1730" s="46"/>
      <c r="W1730" s="46"/>
      <c r="X1730" s="62" t="s">
        <v>25</v>
      </c>
      <c r="Y1730" s="63" t="e">
        <f t="shared" si="313"/>
        <v>#DIV/0!</v>
      </c>
      <c r="Z1730" s="64">
        <f t="shared" si="314"/>
        <v>0</v>
      </c>
    </row>
    <row r="1731" spans="11:26" ht="15.75" customHeight="1">
      <c r="K1731" s="48">
        <f t="shared" si="311"/>
        <v>8</v>
      </c>
      <c r="L1731" s="48">
        <f t="shared" si="312"/>
        <v>68</v>
      </c>
      <c r="S1731" s="200"/>
      <c r="T1731" s="201"/>
      <c r="U1731" s="58"/>
      <c r="V1731" s="46"/>
      <c r="W1731" s="46"/>
      <c r="X1731" s="62" t="s">
        <v>25</v>
      </c>
      <c r="Y1731" s="63" t="e">
        <f t="shared" si="313"/>
        <v>#DIV/0!</v>
      </c>
      <c r="Z1731" s="64">
        <f t="shared" si="314"/>
        <v>0</v>
      </c>
    </row>
    <row r="1732" spans="11:26" ht="15.75" customHeight="1">
      <c r="K1732" s="48">
        <f t="shared" si="311"/>
        <v>8</v>
      </c>
      <c r="L1732" s="48">
        <f t="shared" si="312"/>
        <v>68</v>
      </c>
      <c r="S1732" s="200"/>
      <c r="T1732" s="201"/>
      <c r="U1732" s="58"/>
      <c r="V1732" s="46"/>
      <c r="W1732" s="46"/>
      <c r="X1732" s="62" t="s">
        <v>25</v>
      </c>
      <c r="Y1732" s="63" t="e">
        <f t="shared" si="313"/>
        <v>#DIV/0!</v>
      </c>
      <c r="Z1732" s="64">
        <f t="shared" si="314"/>
        <v>0</v>
      </c>
    </row>
    <row r="1733" spans="11:26" ht="15.75" customHeight="1">
      <c r="K1733" s="48">
        <f t="shared" si="311"/>
        <v>8</v>
      </c>
      <c r="L1733" s="48">
        <f t="shared" si="312"/>
        <v>68</v>
      </c>
      <c r="S1733" s="200"/>
      <c r="T1733" s="201"/>
      <c r="U1733" s="58"/>
      <c r="V1733" s="46"/>
      <c r="W1733" s="46"/>
      <c r="X1733" s="62" t="s">
        <v>25</v>
      </c>
      <c r="Y1733" s="63" t="e">
        <f t="shared" si="313"/>
        <v>#DIV/0!</v>
      </c>
      <c r="Z1733" s="64">
        <f t="shared" si="314"/>
        <v>0</v>
      </c>
    </row>
    <row r="1734" spans="11:26" ht="15.75" customHeight="1">
      <c r="K1734" s="48">
        <f t="shared" si="311"/>
        <v>8</v>
      </c>
      <c r="L1734" s="48">
        <f t="shared" si="312"/>
        <v>68</v>
      </c>
      <c r="S1734" s="200"/>
      <c r="T1734" s="201"/>
      <c r="U1734" s="58"/>
      <c r="V1734" s="46"/>
      <c r="W1734" s="46"/>
      <c r="X1734" s="62" t="s">
        <v>25</v>
      </c>
      <c r="Y1734" s="63" t="e">
        <f t="shared" si="313"/>
        <v>#DIV/0!</v>
      </c>
      <c r="Z1734" s="64">
        <f t="shared" si="314"/>
        <v>0</v>
      </c>
    </row>
    <row r="1735" spans="11:26" ht="15.75" customHeight="1">
      <c r="K1735" s="48">
        <f t="shared" si="311"/>
        <v>8</v>
      </c>
      <c r="L1735" s="48">
        <f t="shared" si="312"/>
        <v>68</v>
      </c>
      <c r="S1735" s="200"/>
      <c r="T1735" s="201"/>
      <c r="U1735" s="58"/>
      <c r="V1735" s="46"/>
      <c r="W1735" s="46"/>
      <c r="X1735" s="62" t="s">
        <v>25</v>
      </c>
      <c r="Y1735" s="63" t="e">
        <f t="shared" si="313"/>
        <v>#DIV/0!</v>
      </c>
      <c r="Z1735" s="64">
        <f t="shared" si="314"/>
        <v>0</v>
      </c>
    </row>
    <row r="1736" spans="11:26" ht="15.75" customHeight="1">
      <c r="K1736" s="48">
        <f t="shared" si="311"/>
        <v>8</v>
      </c>
      <c r="L1736" s="48">
        <f t="shared" si="312"/>
        <v>68</v>
      </c>
      <c r="S1736" s="200"/>
      <c r="T1736" s="201"/>
      <c r="U1736" s="58"/>
      <c r="V1736" s="46"/>
      <c r="W1736" s="46"/>
      <c r="X1736" s="62" t="s">
        <v>25</v>
      </c>
      <c r="Y1736" s="63" t="e">
        <f t="shared" si="313"/>
        <v>#DIV/0!</v>
      </c>
      <c r="Z1736" s="64">
        <f t="shared" si="314"/>
        <v>0</v>
      </c>
    </row>
    <row r="1737" spans="11:26" ht="15.75" customHeight="1">
      <c r="K1737" s="48">
        <f t="shared" si="311"/>
        <v>8</v>
      </c>
      <c r="L1737" s="48">
        <f t="shared" si="312"/>
        <v>68</v>
      </c>
      <c r="S1737" s="200"/>
      <c r="T1737" s="201"/>
      <c r="U1737" s="58"/>
      <c r="V1737" s="46"/>
      <c r="W1737" s="46"/>
      <c r="X1737" s="62" t="s">
        <v>25</v>
      </c>
      <c r="Y1737" s="63" t="e">
        <f t="shared" si="313"/>
        <v>#DIV/0!</v>
      </c>
      <c r="Z1737" s="64">
        <f t="shared" si="314"/>
        <v>0</v>
      </c>
    </row>
    <row r="1738" spans="11:26" ht="15.75" customHeight="1">
      <c r="K1738" s="48">
        <f t="shared" si="311"/>
        <v>8</v>
      </c>
      <c r="L1738" s="48">
        <f t="shared" si="312"/>
        <v>68</v>
      </c>
      <c r="S1738" s="200"/>
      <c r="T1738" s="201"/>
      <c r="U1738" s="58"/>
      <c r="V1738" s="46"/>
      <c r="W1738" s="46"/>
      <c r="X1738" s="62" t="s">
        <v>25</v>
      </c>
      <c r="Y1738" s="63" t="e">
        <f t="shared" si="313"/>
        <v>#DIV/0!</v>
      </c>
      <c r="Z1738" s="64">
        <f t="shared" si="314"/>
        <v>0</v>
      </c>
    </row>
    <row r="1739" spans="11:26" ht="15.75" customHeight="1">
      <c r="K1739" s="48">
        <f t="shared" ref="K1739:K1802" si="315">D1739+8</f>
        <v>8</v>
      </c>
      <c r="L1739" s="48">
        <f t="shared" ref="L1739:L1802" si="316">K1739+60</f>
        <v>68</v>
      </c>
      <c r="S1739" s="200"/>
      <c r="T1739" s="201"/>
      <c r="U1739" s="58"/>
      <c r="V1739" s="46"/>
      <c r="W1739" s="46"/>
      <c r="X1739" s="62" t="s">
        <v>25</v>
      </c>
      <c r="Y1739" s="63" t="e">
        <f t="shared" si="313"/>
        <v>#DIV/0!</v>
      </c>
      <c r="Z1739" s="64">
        <f t="shared" si="314"/>
        <v>0</v>
      </c>
    </row>
    <row r="1740" spans="11:26" ht="15.75" customHeight="1">
      <c r="K1740" s="48">
        <f t="shared" si="315"/>
        <v>8</v>
      </c>
      <c r="L1740" s="48">
        <f t="shared" si="316"/>
        <v>68</v>
      </c>
      <c r="S1740" s="200"/>
      <c r="T1740" s="201"/>
      <c r="U1740" s="58"/>
      <c r="V1740" s="46"/>
      <c r="W1740" s="46"/>
      <c r="X1740" s="62" t="s">
        <v>25</v>
      </c>
      <c r="Y1740" s="63" t="e">
        <f t="shared" si="313"/>
        <v>#DIV/0!</v>
      </c>
      <c r="Z1740" s="64">
        <f t="shared" si="314"/>
        <v>0</v>
      </c>
    </row>
    <row r="1741" spans="11:26" ht="15.75" customHeight="1">
      <c r="K1741" s="48">
        <f t="shared" si="315"/>
        <v>8</v>
      </c>
      <c r="L1741" s="48">
        <f t="shared" si="316"/>
        <v>68</v>
      </c>
      <c r="S1741" s="200"/>
      <c r="T1741" s="201"/>
      <c r="U1741" s="58"/>
      <c r="V1741" s="46"/>
      <c r="W1741" s="46"/>
      <c r="X1741" s="62" t="s">
        <v>25</v>
      </c>
      <c r="Y1741" s="63" t="e">
        <f t="shared" si="313"/>
        <v>#DIV/0!</v>
      </c>
      <c r="Z1741" s="64">
        <f t="shared" si="314"/>
        <v>0</v>
      </c>
    </row>
    <row r="1742" spans="11:26" ht="15.75" customHeight="1">
      <c r="K1742" s="48">
        <f t="shared" si="315"/>
        <v>8</v>
      </c>
      <c r="L1742" s="48">
        <f t="shared" si="316"/>
        <v>68</v>
      </c>
      <c r="S1742" s="200"/>
      <c r="T1742" s="201"/>
      <c r="U1742" s="58"/>
      <c r="V1742" s="46"/>
      <c r="W1742" s="46"/>
      <c r="X1742" s="62" t="s">
        <v>25</v>
      </c>
      <c r="Y1742" s="63" t="e">
        <f t="shared" si="313"/>
        <v>#DIV/0!</v>
      </c>
      <c r="Z1742" s="64">
        <f t="shared" si="314"/>
        <v>0</v>
      </c>
    </row>
    <row r="1743" spans="11:26" ht="15.75" customHeight="1">
      <c r="K1743" s="48">
        <f t="shared" si="315"/>
        <v>8</v>
      </c>
      <c r="L1743" s="48">
        <f t="shared" si="316"/>
        <v>68</v>
      </c>
      <c r="S1743" s="200"/>
      <c r="T1743" s="201"/>
      <c r="U1743" s="58"/>
      <c r="V1743" s="46"/>
      <c r="W1743" s="46"/>
      <c r="X1743" s="62" t="s">
        <v>25</v>
      </c>
      <c r="Y1743" s="63" t="e">
        <f t="shared" si="313"/>
        <v>#DIV/0!</v>
      </c>
      <c r="Z1743" s="64">
        <f t="shared" si="314"/>
        <v>0</v>
      </c>
    </row>
    <row r="1744" spans="11:26" ht="15.75" customHeight="1">
      <c r="K1744" s="48">
        <f t="shared" si="315"/>
        <v>8</v>
      </c>
      <c r="L1744" s="48">
        <f t="shared" si="316"/>
        <v>68</v>
      </c>
      <c r="S1744" s="200"/>
      <c r="T1744" s="201"/>
      <c r="U1744" s="58"/>
      <c r="V1744" s="46"/>
      <c r="W1744" s="46"/>
      <c r="X1744" s="62" t="s">
        <v>25</v>
      </c>
      <c r="Y1744" s="63" t="e">
        <f t="shared" si="313"/>
        <v>#DIV/0!</v>
      </c>
      <c r="Z1744" s="64">
        <f t="shared" si="314"/>
        <v>0</v>
      </c>
    </row>
    <row r="1745" spans="11:26" ht="15.75" customHeight="1">
      <c r="K1745" s="48">
        <f t="shared" si="315"/>
        <v>8</v>
      </c>
      <c r="L1745" s="48">
        <f t="shared" si="316"/>
        <v>68</v>
      </c>
      <c r="S1745" s="200"/>
      <c r="T1745" s="201"/>
      <c r="U1745" s="58"/>
      <c r="V1745" s="46"/>
      <c r="W1745" s="46"/>
      <c r="X1745" s="62" t="s">
        <v>25</v>
      </c>
      <c r="Y1745" s="63" t="e">
        <f t="shared" si="313"/>
        <v>#DIV/0!</v>
      </c>
      <c r="Z1745" s="64">
        <f t="shared" si="314"/>
        <v>0</v>
      </c>
    </row>
    <row r="1746" spans="11:26" ht="15.75" customHeight="1">
      <c r="K1746" s="48">
        <f t="shared" si="315"/>
        <v>8</v>
      </c>
      <c r="L1746" s="48">
        <f t="shared" si="316"/>
        <v>68</v>
      </c>
      <c r="S1746" s="200"/>
      <c r="T1746" s="201"/>
      <c r="U1746" s="58"/>
      <c r="V1746" s="46"/>
      <c r="W1746" s="46"/>
      <c r="X1746" s="62" t="s">
        <v>25</v>
      </c>
      <c r="Y1746" s="63" t="e">
        <f t="shared" si="313"/>
        <v>#DIV/0!</v>
      </c>
      <c r="Z1746" s="64">
        <f t="shared" si="314"/>
        <v>0</v>
      </c>
    </row>
    <row r="1747" spans="11:26" ht="15.75" customHeight="1">
      <c r="K1747" s="48">
        <f t="shared" si="315"/>
        <v>8</v>
      </c>
      <c r="L1747" s="48">
        <f t="shared" si="316"/>
        <v>68</v>
      </c>
      <c r="S1747" s="200"/>
      <c r="T1747" s="201"/>
      <c r="U1747" s="58"/>
      <c r="V1747" s="46"/>
      <c r="W1747" s="46"/>
      <c r="X1747" s="62" t="s">
        <v>25</v>
      </c>
      <c r="Y1747" s="63" t="e">
        <f t="shared" si="313"/>
        <v>#DIV/0!</v>
      </c>
      <c r="Z1747" s="64">
        <f t="shared" si="314"/>
        <v>0</v>
      </c>
    </row>
    <row r="1748" spans="11:26" ht="15.75" customHeight="1">
      <c r="K1748" s="48">
        <f t="shared" si="315"/>
        <v>8</v>
      </c>
      <c r="L1748" s="48">
        <f t="shared" si="316"/>
        <v>68</v>
      </c>
      <c r="S1748" s="200"/>
      <c r="T1748" s="201"/>
      <c r="U1748" s="58"/>
      <c r="V1748" s="46"/>
      <c r="W1748" s="46"/>
      <c r="X1748" s="62" t="s">
        <v>25</v>
      </c>
      <c r="Y1748" s="63" t="e">
        <f t="shared" si="313"/>
        <v>#DIV/0!</v>
      </c>
      <c r="Z1748" s="64">
        <f t="shared" si="314"/>
        <v>0</v>
      </c>
    </row>
    <row r="1749" spans="11:26" ht="15.75" customHeight="1">
      <c r="K1749" s="48">
        <f t="shared" si="315"/>
        <v>8</v>
      </c>
      <c r="L1749" s="48">
        <f t="shared" si="316"/>
        <v>68</v>
      </c>
      <c r="S1749" s="200"/>
      <c r="T1749" s="201"/>
      <c r="U1749" s="58"/>
      <c r="V1749" s="46"/>
      <c r="W1749" s="46"/>
      <c r="X1749" s="62" t="s">
        <v>25</v>
      </c>
      <c r="Y1749" s="63" t="e">
        <f t="shared" si="313"/>
        <v>#DIV/0!</v>
      </c>
      <c r="Z1749" s="64">
        <f t="shared" si="314"/>
        <v>0</v>
      </c>
    </row>
    <row r="1750" spans="11:26" ht="15.75" customHeight="1">
      <c r="K1750" s="48">
        <f t="shared" si="315"/>
        <v>8</v>
      </c>
      <c r="L1750" s="48">
        <f t="shared" si="316"/>
        <v>68</v>
      </c>
      <c r="S1750" s="200"/>
      <c r="T1750" s="201"/>
      <c r="U1750" s="58"/>
      <c r="V1750" s="46"/>
      <c r="W1750" s="46"/>
      <c r="X1750" s="62" t="s">
        <v>25</v>
      </c>
      <c r="Y1750" s="63" t="e">
        <f t="shared" si="313"/>
        <v>#DIV/0!</v>
      </c>
      <c r="Z1750" s="64">
        <f t="shared" si="314"/>
        <v>0</v>
      </c>
    </row>
    <row r="1751" spans="11:26" ht="15.75" customHeight="1">
      <c r="K1751" s="48">
        <f t="shared" si="315"/>
        <v>8</v>
      </c>
      <c r="L1751" s="48">
        <f t="shared" si="316"/>
        <v>68</v>
      </c>
      <c r="S1751" s="200"/>
      <c r="T1751" s="201"/>
      <c r="U1751" s="58"/>
      <c r="V1751" s="46"/>
      <c r="W1751" s="46"/>
      <c r="X1751" s="62" t="s">
        <v>25</v>
      </c>
      <c r="Y1751" s="63" t="e">
        <f t="shared" si="313"/>
        <v>#DIV/0!</v>
      </c>
      <c r="Z1751" s="64">
        <f t="shared" si="314"/>
        <v>0</v>
      </c>
    </row>
    <row r="1752" spans="11:26" ht="15.75" customHeight="1">
      <c r="K1752" s="48">
        <f t="shared" si="315"/>
        <v>8</v>
      </c>
      <c r="L1752" s="48">
        <f t="shared" si="316"/>
        <v>68</v>
      </c>
      <c r="S1752" s="200"/>
      <c r="T1752" s="201"/>
      <c r="U1752" s="58"/>
      <c r="V1752" s="46"/>
      <c r="W1752" s="46"/>
      <c r="X1752" s="62" t="s">
        <v>25</v>
      </c>
      <c r="Y1752" s="63" t="e">
        <f t="shared" si="313"/>
        <v>#DIV/0!</v>
      </c>
      <c r="Z1752" s="64">
        <f t="shared" si="314"/>
        <v>0</v>
      </c>
    </row>
    <row r="1753" spans="11:26" ht="15.75" customHeight="1">
      <c r="K1753" s="48">
        <f t="shared" si="315"/>
        <v>8</v>
      </c>
      <c r="L1753" s="48">
        <f t="shared" si="316"/>
        <v>68</v>
      </c>
      <c r="S1753" s="200"/>
      <c r="T1753" s="201"/>
      <c r="U1753" s="58"/>
      <c r="V1753" s="46"/>
      <c r="W1753" s="46"/>
      <c r="X1753" s="62" t="s">
        <v>25</v>
      </c>
      <c r="Y1753" s="63" t="e">
        <f t="shared" si="313"/>
        <v>#DIV/0!</v>
      </c>
      <c r="Z1753" s="64">
        <f t="shared" si="314"/>
        <v>0</v>
      </c>
    </row>
    <row r="1754" spans="11:26" ht="15.75" customHeight="1">
      <c r="K1754" s="48">
        <f t="shared" si="315"/>
        <v>8</v>
      </c>
      <c r="L1754" s="48">
        <f t="shared" si="316"/>
        <v>68</v>
      </c>
      <c r="S1754" s="200"/>
      <c r="T1754" s="201"/>
      <c r="U1754" s="58"/>
      <c r="V1754" s="46"/>
      <c r="W1754" s="46"/>
      <c r="X1754" s="62" t="s">
        <v>25</v>
      </c>
      <c r="Y1754" s="63" t="e">
        <f t="shared" si="313"/>
        <v>#DIV/0!</v>
      </c>
      <c r="Z1754" s="64">
        <f t="shared" si="314"/>
        <v>0</v>
      </c>
    </row>
    <row r="1755" spans="11:26" ht="15.75" customHeight="1">
      <c r="K1755" s="48">
        <f t="shared" si="315"/>
        <v>8</v>
      </c>
      <c r="L1755" s="48">
        <f t="shared" si="316"/>
        <v>68</v>
      </c>
      <c r="S1755" s="200"/>
      <c r="T1755" s="201"/>
      <c r="U1755" s="58"/>
      <c r="V1755" s="46"/>
      <c r="W1755" s="46"/>
      <c r="X1755" s="62" t="s">
        <v>25</v>
      </c>
      <c r="Y1755" s="63" t="e">
        <f t="shared" si="313"/>
        <v>#DIV/0!</v>
      </c>
      <c r="Z1755" s="64">
        <f t="shared" si="314"/>
        <v>0</v>
      </c>
    </row>
    <row r="1756" spans="11:26" ht="15.75" customHeight="1">
      <c r="K1756" s="48">
        <f t="shared" si="315"/>
        <v>8</v>
      </c>
      <c r="L1756" s="48">
        <f t="shared" si="316"/>
        <v>68</v>
      </c>
      <c r="S1756" s="200"/>
      <c r="T1756" s="201"/>
      <c r="U1756" s="58"/>
      <c r="V1756" s="46"/>
      <c r="W1756" s="46"/>
      <c r="X1756" s="62" t="s">
        <v>25</v>
      </c>
      <c r="Y1756" s="63" t="e">
        <f t="shared" si="313"/>
        <v>#DIV/0!</v>
      </c>
      <c r="Z1756" s="64">
        <f t="shared" si="314"/>
        <v>0</v>
      </c>
    </row>
    <row r="1757" spans="11:26" ht="15.75" customHeight="1">
      <c r="K1757" s="48">
        <f t="shared" si="315"/>
        <v>8</v>
      </c>
      <c r="L1757" s="48">
        <f t="shared" si="316"/>
        <v>68</v>
      </c>
      <c r="S1757" s="200"/>
      <c r="T1757" s="201"/>
      <c r="U1757" s="58"/>
      <c r="V1757" s="46"/>
      <c r="W1757" s="46"/>
      <c r="X1757" s="62" t="s">
        <v>25</v>
      </c>
      <c r="Y1757" s="63" t="e">
        <f t="shared" si="313"/>
        <v>#DIV/0!</v>
      </c>
      <c r="Z1757" s="64">
        <f t="shared" si="314"/>
        <v>0</v>
      </c>
    </row>
    <row r="1758" spans="11:26" ht="15.75" customHeight="1">
      <c r="K1758" s="48">
        <f t="shared" si="315"/>
        <v>8</v>
      </c>
      <c r="L1758" s="48">
        <f t="shared" si="316"/>
        <v>68</v>
      </c>
      <c r="S1758" s="200"/>
      <c r="T1758" s="201"/>
      <c r="U1758" s="58"/>
      <c r="V1758" s="46"/>
      <c r="W1758" s="46"/>
      <c r="X1758" s="62" t="s">
        <v>25</v>
      </c>
      <c r="Y1758" s="63" t="e">
        <f t="shared" si="313"/>
        <v>#DIV/0!</v>
      </c>
      <c r="Z1758" s="64">
        <f t="shared" si="314"/>
        <v>0</v>
      </c>
    </row>
    <row r="1759" spans="11:26" ht="15.75" customHeight="1">
      <c r="K1759" s="48">
        <f t="shared" si="315"/>
        <v>8</v>
      </c>
      <c r="L1759" s="48">
        <f t="shared" si="316"/>
        <v>68</v>
      </c>
      <c r="S1759" s="200"/>
      <c r="T1759" s="201"/>
      <c r="U1759" s="58"/>
      <c r="V1759" s="46"/>
      <c r="W1759" s="46"/>
      <c r="X1759" s="62" t="s">
        <v>25</v>
      </c>
      <c r="Y1759" s="63" t="e">
        <f t="shared" si="313"/>
        <v>#DIV/0!</v>
      </c>
      <c r="Z1759" s="64">
        <f t="shared" si="314"/>
        <v>0</v>
      </c>
    </row>
    <row r="1760" spans="11:26" ht="15.75" customHeight="1">
      <c r="K1760" s="48">
        <f t="shared" si="315"/>
        <v>8</v>
      </c>
      <c r="L1760" s="48">
        <f t="shared" si="316"/>
        <v>68</v>
      </c>
      <c r="S1760" s="200"/>
      <c r="T1760" s="201"/>
      <c r="U1760" s="58"/>
      <c r="V1760" s="46"/>
      <c r="W1760" s="46"/>
      <c r="X1760" s="62" t="s">
        <v>25</v>
      </c>
      <c r="Y1760" s="63" t="e">
        <f t="shared" si="313"/>
        <v>#DIV/0!</v>
      </c>
      <c r="Z1760" s="64">
        <f t="shared" si="314"/>
        <v>0</v>
      </c>
    </row>
    <row r="1761" spans="11:26" ht="15.75" customHeight="1">
      <c r="K1761" s="48">
        <f t="shared" si="315"/>
        <v>8</v>
      </c>
      <c r="L1761" s="48">
        <f t="shared" si="316"/>
        <v>68</v>
      </c>
      <c r="S1761" s="200"/>
      <c r="T1761" s="201"/>
      <c r="U1761" s="58"/>
      <c r="V1761" s="46"/>
      <c r="W1761" s="46"/>
      <c r="X1761" s="62" t="s">
        <v>25</v>
      </c>
      <c r="Y1761" s="63" t="e">
        <f t="shared" si="313"/>
        <v>#DIV/0!</v>
      </c>
      <c r="Z1761" s="64">
        <f t="shared" si="314"/>
        <v>0</v>
      </c>
    </row>
    <row r="1762" spans="11:26" ht="15.75" customHeight="1">
      <c r="K1762" s="48">
        <f t="shared" si="315"/>
        <v>8</v>
      </c>
      <c r="L1762" s="48">
        <f t="shared" si="316"/>
        <v>68</v>
      </c>
      <c r="S1762" s="200"/>
      <c r="T1762" s="201"/>
      <c r="U1762" s="58"/>
      <c r="V1762" s="46"/>
      <c r="W1762" s="46"/>
      <c r="X1762" s="62" t="s">
        <v>25</v>
      </c>
      <c r="Y1762" s="63" t="e">
        <f t="shared" si="313"/>
        <v>#DIV/0!</v>
      </c>
      <c r="Z1762" s="64">
        <f t="shared" si="314"/>
        <v>0</v>
      </c>
    </row>
    <row r="1763" spans="11:26" ht="15.75" customHeight="1">
      <c r="K1763" s="48">
        <f t="shared" si="315"/>
        <v>8</v>
      </c>
      <c r="L1763" s="48">
        <f t="shared" si="316"/>
        <v>68</v>
      </c>
      <c r="S1763" s="200"/>
      <c r="T1763" s="201"/>
      <c r="U1763" s="58"/>
      <c r="V1763" s="46"/>
      <c r="W1763" s="46"/>
      <c r="X1763" s="62" t="s">
        <v>25</v>
      </c>
      <c r="Y1763" s="63" t="e">
        <f t="shared" si="313"/>
        <v>#DIV/0!</v>
      </c>
      <c r="Z1763" s="64">
        <f t="shared" si="314"/>
        <v>0</v>
      </c>
    </row>
    <row r="1764" spans="11:26" ht="15.75" customHeight="1">
      <c r="K1764" s="48">
        <f t="shared" si="315"/>
        <v>8</v>
      </c>
      <c r="L1764" s="48">
        <f t="shared" si="316"/>
        <v>68</v>
      </c>
      <c r="S1764" s="200"/>
      <c r="T1764" s="201"/>
      <c r="U1764" s="58"/>
      <c r="V1764" s="46"/>
      <c r="W1764" s="46"/>
      <c r="X1764" s="62" t="s">
        <v>25</v>
      </c>
      <c r="Y1764" s="63" t="e">
        <f t="shared" si="313"/>
        <v>#DIV/0!</v>
      </c>
      <c r="Z1764" s="64">
        <f t="shared" si="314"/>
        <v>0</v>
      </c>
    </row>
    <row r="1765" spans="11:26" ht="15.75" customHeight="1">
      <c r="K1765" s="48">
        <f t="shared" si="315"/>
        <v>8</v>
      </c>
      <c r="L1765" s="48">
        <f t="shared" si="316"/>
        <v>68</v>
      </c>
      <c r="S1765" s="200"/>
      <c r="T1765" s="201"/>
      <c r="U1765" s="58"/>
      <c r="V1765" s="46"/>
      <c r="W1765" s="46"/>
      <c r="X1765" s="62" t="s">
        <v>25</v>
      </c>
      <c r="Y1765" s="63" t="e">
        <f t="shared" si="313"/>
        <v>#DIV/0!</v>
      </c>
      <c r="Z1765" s="64">
        <f t="shared" si="314"/>
        <v>0</v>
      </c>
    </row>
    <row r="1766" spans="11:26" ht="15.75" customHeight="1">
      <c r="K1766" s="48">
        <f t="shared" si="315"/>
        <v>8</v>
      </c>
      <c r="L1766" s="48">
        <f t="shared" si="316"/>
        <v>68</v>
      </c>
      <c r="S1766" s="200"/>
      <c r="T1766" s="201"/>
      <c r="U1766" s="58"/>
      <c r="V1766" s="46"/>
      <c r="W1766" s="46"/>
      <c r="X1766" s="62" t="s">
        <v>25</v>
      </c>
      <c r="Y1766" s="63" t="e">
        <f t="shared" si="313"/>
        <v>#DIV/0!</v>
      </c>
      <c r="Z1766" s="64">
        <f t="shared" si="314"/>
        <v>0</v>
      </c>
    </row>
    <row r="1767" spans="11:26" ht="15.75" customHeight="1">
      <c r="K1767" s="48">
        <f t="shared" si="315"/>
        <v>8</v>
      </c>
      <c r="L1767" s="48">
        <f t="shared" si="316"/>
        <v>68</v>
      </c>
      <c r="S1767" s="200"/>
      <c r="T1767" s="201"/>
      <c r="U1767" s="58"/>
      <c r="V1767" s="46"/>
      <c r="W1767" s="46"/>
      <c r="X1767" s="62" t="s">
        <v>25</v>
      </c>
      <c r="Y1767" s="63" t="e">
        <f t="shared" si="313"/>
        <v>#DIV/0!</v>
      </c>
      <c r="Z1767" s="64">
        <f t="shared" si="314"/>
        <v>0</v>
      </c>
    </row>
    <row r="1768" spans="11:26" ht="15.75" customHeight="1">
      <c r="K1768" s="48">
        <f t="shared" si="315"/>
        <v>8</v>
      </c>
      <c r="L1768" s="48">
        <f t="shared" si="316"/>
        <v>68</v>
      </c>
      <c r="S1768" s="200"/>
      <c r="T1768" s="201"/>
      <c r="U1768" s="58"/>
      <c r="V1768" s="46"/>
      <c r="W1768" s="46"/>
      <c r="X1768" s="62" t="s">
        <v>25</v>
      </c>
      <c r="Y1768" s="63" t="e">
        <f t="shared" si="313"/>
        <v>#DIV/0!</v>
      </c>
      <c r="Z1768" s="64">
        <f t="shared" si="314"/>
        <v>0</v>
      </c>
    </row>
    <row r="1769" spans="11:26" ht="15.75" customHeight="1">
      <c r="K1769" s="48">
        <f t="shared" si="315"/>
        <v>8</v>
      </c>
      <c r="L1769" s="48">
        <f t="shared" si="316"/>
        <v>68</v>
      </c>
      <c r="S1769" s="200"/>
      <c r="T1769" s="201"/>
      <c r="U1769" s="58"/>
      <c r="V1769" s="46"/>
      <c r="W1769" s="46"/>
      <c r="X1769" s="62" t="s">
        <v>25</v>
      </c>
      <c r="Y1769" s="63" t="e">
        <f t="shared" si="313"/>
        <v>#DIV/0!</v>
      </c>
      <c r="Z1769" s="64">
        <f t="shared" si="314"/>
        <v>0</v>
      </c>
    </row>
    <row r="1770" spans="11:26" ht="15.75" customHeight="1">
      <c r="K1770" s="48">
        <f t="shared" si="315"/>
        <v>8</v>
      </c>
      <c r="L1770" s="48">
        <f t="shared" si="316"/>
        <v>68</v>
      </c>
      <c r="S1770" s="200"/>
      <c r="T1770" s="201"/>
      <c r="U1770" s="58"/>
      <c r="V1770" s="46"/>
      <c r="W1770" s="46"/>
      <c r="X1770" s="62" t="s">
        <v>25</v>
      </c>
      <c r="Y1770" s="63" t="e">
        <f t="shared" si="313"/>
        <v>#DIV/0!</v>
      </c>
      <c r="Z1770" s="64">
        <f t="shared" si="314"/>
        <v>0</v>
      </c>
    </row>
    <row r="1771" spans="11:26" ht="15.75" customHeight="1">
      <c r="K1771" s="48">
        <f t="shared" si="315"/>
        <v>8</v>
      </c>
      <c r="L1771" s="48">
        <f t="shared" si="316"/>
        <v>68</v>
      </c>
      <c r="S1771" s="200"/>
      <c r="T1771" s="201"/>
      <c r="U1771" s="58"/>
      <c r="V1771" s="46"/>
      <c r="W1771" s="46"/>
      <c r="X1771" s="62" t="s">
        <v>25</v>
      </c>
      <c r="Y1771" s="63" t="e">
        <f t="shared" si="313"/>
        <v>#DIV/0!</v>
      </c>
      <c r="Z1771" s="64">
        <f t="shared" si="314"/>
        <v>0</v>
      </c>
    </row>
    <row r="1772" spans="11:26" ht="15.75" customHeight="1">
      <c r="K1772" s="48">
        <f t="shared" si="315"/>
        <v>8</v>
      </c>
      <c r="L1772" s="48">
        <f t="shared" si="316"/>
        <v>68</v>
      </c>
      <c r="S1772" s="200"/>
      <c r="T1772" s="201"/>
      <c r="U1772" s="58"/>
      <c r="V1772" s="46"/>
      <c r="W1772" s="46"/>
      <c r="X1772" s="62" t="s">
        <v>25</v>
      </c>
      <c r="Y1772" s="63" t="e">
        <f t="shared" si="313"/>
        <v>#DIV/0!</v>
      </c>
      <c r="Z1772" s="64">
        <f t="shared" si="314"/>
        <v>0</v>
      </c>
    </row>
    <row r="1773" spans="11:26" ht="15.75" customHeight="1">
      <c r="K1773" s="48">
        <f t="shared" si="315"/>
        <v>8</v>
      </c>
      <c r="L1773" s="48">
        <f t="shared" si="316"/>
        <v>68</v>
      </c>
      <c r="S1773" s="200"/>
      <c r="T1773" s="201"/>
      <c r="U1773" s="58"/>
      <c r="V1773" s="46"/>
      <c r="W1773" s="46"/>
      <c r="X1773" s="62" t="s">
        <v>25</v>
      </c>
      <c r="Y1773" s="63" t="e">
        <f t="shared" si="313"/>
        <v>#DIV/0!</v>
      </c>
      <c r="Z1773" s="64">
        <f t="shared" si="314"/>
        <v>0</v>
      </c>
    </row>
    <row r="1774" spans="11:26" ht="15.75" customHeight="1">
      <c r="K1774" s="48">
        <f t="shared" si="315"/>
        <v>8</v>
      </c>
      <c r="L1774" s="48">
        <f t="shared" si="316"/>
        <v>68</v>
      </c>
      <c r="S1774" s="200"/>
      <c r="T1774" s="201"/>
      <c r="U1774" s="58"/>
      <c r="V1774" s="46"/>
      <c r="W1774" s="46"/>
      <c r="X1774" s="62" t="s">
        <v>25</v>
      </c>
      <c r="Y1774" s="63" t="e">
        <f t="shared" si="313"/>
        <v>#DIV/0!</v>
      </c>
      <c r="Z1774" s="64">
        <f t="shared" si="314"/>
        <v>0</v>
      </c>
    </row>
    <row r="1775" spans="11:26" ht="15.75" customHeight="1">
      <c r="K1775" s="48">
        <f t="shared" si="315"/>
        <v>8</v>
      </c>
      <c r="L1775" s="48">
        <f t="shared" si="316"/>
        <v>68</v>
      </c>
      <c r="S1775" s="200"/>
      <c r="T1775" s="201"/>
      <c r="U1775" s="58"/>
      <c r="V1775" s="46"/>
      <c r="W1775" s="46"/>
      <c r="X1775" s="62" t="s">
        <v>25</v>
      </c>
      <c r="Y1775" s="63" t="e">
        <f t="shared" si="313"/>
        <v>#DIV/0!</v>
      </c>
      <c r="Z1775" s="64">
        <f t="shared" si="314"/>
        <v>0</v>
      </c>
    </row>
    <row r="1776" spans="11:26" ht="15.75" customHeight="1">
      <c r="K1776" s="48">
        <f t="shared" si="315"/>
        <v>8</v>
      </c>
      <c r="L1776" s="48">
        <f t="shared" si="316"/>
        <v>68</v>
      </c>
      <c r="S1776" s="200"/>
      <c r="T1776" s="201"/>
      <c r="U1776" s="58"/>
      <c r="V1776" s="46"/>
      <c r="W1776" s="46"/>
      <c r="X1776" s="62" t="s">
        <v>25</v>
      </c>
      <c r="Y1776" s="63" t="e">
        <f t="shared" si="313"/>
        <v>#DIV/0!</v>
      </c>
      <c r="Z1776" s="64">
        <f t="shared" si="314"/>
        <v>0</v>
      </c>
    </row>
    <row r="1777" spans="11:26" ht="15.75" customHeight="1">
      <c r="K1777" s="48">
        <f t="shared" si="315"/>
        <v>8</v>
      </c>
      <c r="L1777" s="48">
        <f t="shared" si="316"/>
        <v>68</v>
      </c>
      <c r="S1777" s="200"/>
      <c r="T1777" s="201"/>
      <c r="U1777" s="58"/>
      <c r="V1777" s="46"/>
      <c r="W1777" s="46"/>
      <c r="X1777" s="62" t="s">
        <v>25</v>
      </c>
      <c r="Y1777" s="63" t="e">
        <f t="shared" si="313"/>
        <v>#DIV/0!</v>
      </c>
      <c r="Z1777" s="64">
        <f t="shared" si="314"/>
        <v>0</v>
      </c>
    </row>
    <row r="1778" spans="11:26" ht="15.75" customHeight="1">
      <c r="K1778" s="48">
        <f t="shared" si="315"/>
        <v>8</v>
      </c>
      <c r="L1778" s="48">
        <f t="shared" si="316"/>
        <v>68</v>
      </c>
      <c r="S1778" s="200"/>
      <c r="T1778" s="201"/>
      <c r="U1778" s="58"/>
      <c r="V1778" s="46"/>
      <c r="W1778" s="46"/>
      <c r="X1778" s="62" t="s">
        <v>25</v>
      </c>
      <c r="Y1778" s="63" t="e">
        <f t="shared" si="313"/>
        <v>#DIV/0!</v>
      </c>
      <c r="Z1778" s="64">
        <f t="shared" si="314"/>
        <v>0</v>
      </c>
    </row>
    <row r="1779" spans="11:26" ht="15.75" customHeight="1">
      <c r="K1779" s="48">
        <f t="shared" si="315"/>
        <v>8</v>
      </c>
      <c r="L1779" s="48">
        <f t="shared" si="316"/>
        <v>68</v>
      </c>
      <c r="S1779" s="200"/>
      <c r="T1779" s="201"/>
      <c r="U1779" s="58"/>
      <c r="V1779" s="46"/>
      <c r="W1779" s="46"/>
      <c r="X1779" s="62" t="s">
        <v>25</v>
      </c>
      <c r="Y1779" s="63" t="e">
        <f t="shared" si="313"/>
        <v>#DIV/0!</v>
      </c>
      <c r="Z1779" s="64">
        <f t="shared" si="314"/>
        <v>0</v>
      </c>
    </row>
    <row r="1780" spans="11:26" ht="15.75" customHeight="1">
      <c r="K1780" s="48">
        <f t="shared" si="315"/>
        <v>8</v>
      </c>
      <c r="L1780" s="48">
        <f t="shared" si="316"/>
        <v>68</v>
      </c>
      <c r="S1780" s="200"/>
      <c r="T1780" s="201"/>
      <c r="U1780" s="58"/>
      <c r="V1780" s="46"/>
      <c r="W1780" s="46"/>
      <c r="X1780" s="62" t="s">
        <v>25</v>
      </c>
      <c r="Y1780" s="63" t="e">
        <f t="shared" ref="Y1780:Y1843" si="317">F1780/E1780</f>
        <v>#DIV/0!</v>
      </c>
      <c r="Z1780" s="64">
        <f t="shared" si="314"/>
        <v>0</v>
      </c>
    </row>
    <row r="1781" spans="11:26" ht="15.75" customHeight="1">
      <c r="K1781" s="48">
        <f t="shared" si="315"/>
        <v>8</v>
      </c>
      <c r="L1781" s="48">
        <f t="shared" si="316"/>
        <v>68</v>
      </c>
      <c r="S1781" s="200"/>
      <c r="T1781" s="201"/>
      <c r="U1781" s="58"/>
      <c r="V1781" s="46"/>
      <c r="W1781" s="46"/>
      <c r="X1781" s="62" t="s">
        <v>25</v>
      </c>
      <c r="Y1781" s="63" t="e">
        <f t="shared" si="317"/>
        <v>#DIV/0!</v>
      </c>
      <c r="Z1781" s="64">
        <f t="shared" si="314"/>
        <v>0</v>
      </c>
    </row>
    <row r="1782" spans="11:26" ht="15.75" customHeight="1">
      <c r="K1782" s="48">
        <f t="shared" si="315"/>
        <v>8</v>
      </c>
      <c r="L1782" s="48">
        <f t="shared" si="316"/>
        <v>68</v>
      </c>
      <c r="S1782" s="200"/>
      <c r="T1782" s="201"/>
      <c r="U1782" s="58"/>
      <c r="V1782" s="46"/>
      <c r="W1782" s="46"/>
      <c r="X1782" s="62" t="s">
        <v>25</v>
      </c>
      <c r="Y1782" s="63" t="e">
        <f t="shared" si="317"/>
        <v>#DIV/0!</v>
      </c>
      <c r="Z1782" s="64">
        <f t="shared" si="314"/>
        <v>0</v>
      </c>
    </row>
    <row r="1783" spans="11:26" ht="15.75" customHeight="1">
      <c r="K1783" s="48">
        <f t="shared" si="315"/>
        <v>8</v>
      </c>
      <c r="L1783" s="48">
        <f t="shared" si="316"/>
        <v>68</v>
      </c>
      <c r="S1783" s="200"/>
      <c r="T1783" s="201"/>
      <c r="U1783" s="58"/>
      <c r="V1783" s="46"/>
      <c r="W1783" s="46"/>
      <c r="X1783" s="62" t="s">
        <v>25</v>
      </c>
      <c r="Y1783" s="63" t="e">
        <f t="shared" si="317"/>
        <v>#DIV/0!</v>
      </c>
      <c r="Z1783" s="64">
        <f t="shared" si="314"/>
        <v>0</v>
      </c>
    </row>
    <row r="1784" spans="11:26" ht="15.75" customHeight="1">
      <c r="K1784" s="48">
        <f t="shared" si="315"/>
        <v>8</v>
      </c>
      <c r="L1784" s="48">
        <f t="shared" si="316"/>
        <v>68</v>
      </c>
      <c r="S1784" s="200"/>
      <c r="T1784" s="201"/>
      <c r="U1784" s="58"/>
      <c r="V1784" s="46"/>
      <c r="W1784" s="46"/>
      <c r="X1784" s="62" t="s">
        <v>25</v>
      </c>
      <c r="Y1784" s="63" t="e">
        <f t="shared" si="317"/>
        <v>#DIV/0!</v>
      </c>
      <c r="Z1784" s="64">
        <f t="shared" si="314"/>
        <v>0</v>
      </c>
    </row>
    <row r="1785" spans="11:26" ht="15.75" customHeight="1">
      <c r="K1785" s="48">
        <f t="shared" si="315"/>
        <v>8</v>
      </c>
      <c r="L1785" s="48">
        <f t="shared" si="316"/>
        <v>68</v>
      </c>
      <c r="S1785" s="200"/>
      <c r="T1785" s="201"/>
      <c r="U1785" s="58"/>
      <c r="V1785" s="46"/>
      <c r="W1785" s="46"/>
      <c r="X1785" s="62" t="s">
        <v>25</v>
      </c>
      <c r="Y1785" s="63" t="e">
        <f t="shared" si="317"/>
        <v>#DIV/0!</v>
      </c>
      <c r="Z1785" s="64">
        <f t="shared" si="314"/>
        <v>0</v>
      </c>
    </row>
    <row r="1786" spans="11:26" ht="15.75" customHeight="1">
      <c r="K1786" s="48">
        <f t="shared" si="315"/>
        <v>8</v>
      </c>
      <c r="L1786" s="48">
        <f t="shared" si="316"/>
        <v>68</v>
      </c>
      <c r="S1786" s="200"/>
      <c r="T1786" s="201"/>
      <c r="U1786" s="58"/>
      <c r="V1786" s="46"/>
      <c r="W1786" s="46"/>
      <c r="X1786" s="62" t="s">
        <v>25</v>
      </c>
      <c r="Y1786" s="63" t="e">
        <f t="shared" si="317"/>
        <v>#DIV/0!</v>
      </c>
      <c r="Z1786" s="64">
        <f t="shared" si="314"/>
        <v>0</v>
      </c>
    </row>
    <row r="1787" spans="11:26" ht="15.75" customHeight="1">
      <c r="K1787" s="48">
        <f t="shared" si="315"/>
        <v>8</v>
      </c>
      <c r="L1787" s="48">
        <f t="shared" si="316"/>
        <v>68</v>
      </c>
      <c r="S1787" s="200"/>
      <c r="T1787" s="201"/>
      <c r="U1787" s="58"/>
      <c r="V1787" s="46"/>
      <c r="W1787" s="46"/>
      <c r="X1787" s="62" t="s">
        <v>25</v>
      </c>
      <c r="Y1787" s="63" t="e">
        <f t="shared" si="317"/>
        <v>#DIV/0!</v>
      </c>
      <c r="Z1787" s="64">
        <f t="shared" si="314"/>
        <v>0</v>
      </c>
    </row>
    <row r="1788" spans="11:26" ht="15.75" customHeight="1">
      <c r="K1788" s="48">
        <f t="shared" si="315"/>
        <v>8</v>
      </c>
      <c r="L1788" s="48">
        <f t="shared" si="316"/>
        <v>68</v>
      </c>
      <c r="S1788" s="200"/>
      <c r="T1788" s="201"/>
      <c r="U1788" s="58"/>
      <c r="V1788" s="46"/>
      <c r="W1788" s="46"/>
      <c r="X1788" s="62" t="s">
        <v>25</v>
      </c>
      <c r="Y1788" s="63" t="e">
        <f t="shared" si="317"/>
        <v>#DIV/0!</v>
      </c>
      <c r="Z1788" s="64">
        <f t="shared" si="314"/>
        <v>0</v>
      </c>
    </row>
    <row r="1789" spans="11:26" ht="15.75" customHeight="1">
      <c r="K1789" s="48">
        <f t="shared" si="315"/>
        <v>8</v>
      </c>
      <c r="L1789" s="48">
        <f t="shared" si="316"/>
        <v>68</v>
      </c>
      <c r="S1789" s="200"/>
      <c r="T1789" s="201"/>
      <c r="U1789" s="58"/>
      <c r="V1789" s="46"/>
      <c r="W1789" s="46"/>
      <c r="X1789" s="62" t="s">
        <v>25</v>
      </c>
      <c r="Y1789" s="63" t="e">
        <f t="shared" si="317"/>
        <v>#DIV/0!</v>
      </c>
      <c r="Z1789" s="64">
        <f t="shared" si="314"/>
        <v>0</v>
      </c>
    </row>
    <row r="1790" spans="11:26" ht="15.75" customHeight="1">
      <c r="K1790" s="48">
        <f t="shared" si="315"/>
        <v>8</v>
      </c>
      <c r="L1790" s="48">
        <f t="shared" si="316"/>
        <v>68</v>
      </c>
      <c r="S1790" s="200"/>
      <c r="T1790" s="201"/>
      <c r="U1790" s="58"/>
      <c r="V1790" s="46"/>
      <c r="W1790" s="46"/>
      <c r="X1790" s="62" t="s">
        <v>25</v>
      </c>
      <c r="Y1790" s="63" t="e">
        <f t="shared" si="317"/>
        <v>#DIV/0!</v>
      </c>
      <c r="Z1790" s="64">
        <f t="shared" ref="Z1790:Z1853" si="318">E1790-N1790</f>
        <v>0</v>
      </c>
    </row>
    <row r="1791" spans="11:26" ht="15.75" customHeight="1">
      <c r="K1791" s="48">
        <f t="shared" si="315"/>
        <v>8</v>
      </c>
      <c r="L1791" s="48">
        <f t="shared" si="316"/>
        <v>68</v>
      </c>
      <c r="S1791" s="200"/>
      <c r="T1791" s="201"/>
      <c r="U1791" s="58"/>
      <c r="V1791" s="46"/>
      <c r="W1791" s="46"/>
      <c r="X1791" s="62" t="s">
        <v>25</v>
      </c>
      <c r="Y1791" s="63" t="e">
        <f t="shared" si="317"/>
        <v>#DIV/0!</v>
      </c>
      <c r="Z1791" s="64">
        <f t="shared" si="318"/>
        <v>0</v>
      </c>
    </row>
    <row r="1792" spans="11:26" ht="15.75" customHeight="1">
      <c r="K1792" s="48">
        <f t="shared" si="315"/>
        <v>8</v>
      </c>
      <c r="L1792" s="48">
        <f t="shared" si="316"/>
        <v>68</v>
      </c>
      <c r="S1792" s="200"/>
      <c r="T1792" s="201"/>
      <c r="U1792" s="58"/>
      <c r="V1792" s="46"/>
      <c r="W1792" s="46"/>
      <c r="X1792" s="62" t="s">
        <v>25</v>
      </c>
      <c r="Y1792" s="63" t="e">
        <f t="shared" si="317"/>
        <v>#DIV/0!</v>
      </c>
      <c r="Z1792" s="64">
        <f t="shared" si="318"/>
        <v>0</v>
      </c>
    </row>
    <row r="1793" spans="11:26" ht="15.75" customHeight="1">
      <c r="K1793" s="48">
        <f t="shared" si="315"/>
        <v>8</v>
      </c>
      <c r="L1793" s="48">
        <f t="shared" si="316"/>
        <v>68</v>
      </c>
      <c r="S1793" s="200"/>
      <c r="T1793" s="201"/>
      <c r="U1793" s="58"/>
      <c r="V1793" s="46"/>
      <c r="W1793" s="46"/>
      <c r="X1793" s="62" t="s">
        <v>25</v>
      </c>
      <c r="Y1793" s="63" t="e">
        <f t="shared" si="317"/>
        <v>#DIV/0!</v>
      </c>
      <c r="Z1793" s="64">
        <f t="shared" si="318"/>
        <v>0</v>
      </c>
    </row>
    <row r="1794" spans="11:26" ht="15.75" customHeight="1">
      <c r="K1794" s="48">
        <f t="shared" si="315"/>
        <v>8</v>
      </c>
      <c r="L1794" s="48">
        <f t="shared" si="316"/>
        <v>68</v>
      </c>
      <c r="S1794" s="200"/>
      <c r="T1794" s="201"/>
      <c r="U1794" s="58"/>
      <c r="V1794" s="46"/>
      <c r="W1794" s="46"/>
      <c r="X1794" s="62" t="s">
        <v>25</v>
      </c>
      <c r="Y1794" s="63" t="e">
        <f t="shared" si="317"/>
        <v>#DIV/0!</v>
      </c>
      <c r="Z1794" s="64">
        <f t="shared" si="318"/>
        <v>0</v>
      </c>
    </row>
    <row r="1795" spans="11:26" ht="15.75" customHeight="1">
      <c r="K1795" s="48">
        <f t="shared" si="315"/>
        <v>8</v>
      </c>
      <c r="L1795" s="48">
        <f t="shared" si="316"/>
        <v>68</v>
      </c>
      <c r="S1795" s="200"/>
      <c r="T1795" s="201"/>
      <c r="U1795" s="58"/>
      <c r="V1795" s="46"/>
      <c r="W1795" s="46"/>
      <c r="X1795" s="62" t="s">
        <v>25</v>
      </c>
      <c r="Y1795" s="63" t="e">
        <f t="shared" si="317"/>
        <v>#DIV/0!</v>
      </c>
      <c r="Z1795" s="64">
        <f t="shared" si="318"/>
        <v>0</v>
      </c>
    </row>
    <row r="1796" spans="11:26" ht="15.75" customHeight="1">
      <c r="K1796" s="48">
        <f t="shared" si="315"/>
        <v>8</v>
      </c>
      <c r="L1796" s="48">
        <f t="shared" si="316"/>
        <v>68</v>
      </c>
      <c r="S1796" s="200"/>
      <c r="T1796" s="201"/>
      <c r="U1796" s="58"/>
      <c r="V1796" s="46"/>
      <c r="W1796" s="46"/>
      <c r="X1796" s="62" t="s">
        <v>25</v>
      </c>
      <c r="Y1796" s="63" t="e">
        <f t="shared" si="317"/>
        <v>#DIV/0!</v>
      </c>
      <c r="Z1796" s="64">
        <f t="shared" si="318"/>
        <v>0</v>
      </c>
    </row>
    <row r="1797" spans="11:26" ht="15.75" customHeight="1">
      <c r="K1797" s="48">
        <f t="shared" si="315"/>
        <v>8</v>
      </c>
      <c r="L1797" s="48">
        <f t="shared" si="316"/>
        <v>68</v>
      </c>
      <c r="S1797" s="200"/>
      <c r="T1797" s="201"/>
      <c r="U1797" s="58"/>
      <c r="V1797" s="46"/>
      <c r="W1797" s="46"/>
      <c r="X1797" s="62" t="s">
        <v>25</v>
      </c>
      <c r="Y1797" s="63" t="e">
        <f t="shared" si="317"/>
        <v>#DIV/0!</v>
      </c>
      <c r="Z1797" s="64">
        <f t="shared" si="318"/>
        <v>0</v>
      </c>
    </row>
    <row r="1798" spans="11:26" ht="15.75" customHeight="1">
      <c r="K1798" s="48">
        <f t="shared" si="315"/>
        <v>8</v>
      </c>
      <c r="L1798" s="48">
        <f t="shared" si="316"/>
        <v>68</v>
      </c>
      <c r="S1798" s="200"/>
      <c r="T1798" s="201"/>
      <c r="U1798" s="58"/>
      <c r="V1798" s="46"/>
      <c r="W1798" s="46"/>
      <c r="X1798" s="62" t="s">
        <v>25</v>
      </c>
      <c r="Y1798" s="63" t="e">
        <f t="shared" si="317"/>
        <v>#DIV/0!</v>
      </c>
      <c r="Z1798" s="64">
        <f t="shared" si="318"/>
        <v>0</v>
      </c>
    </row>
    <row r="1799" spans="11:26" ht="15.75" customHeight="1">
      <c r="K1799" s="48">
        <f t="shared" si="315"/>
        <v>8</v>
      </c>
      <c r="L1799" s="48">
        <f t="shared" si="316"/>
        <v>68</v>
      </c>
      <c r="S1799" s="200"/>
      <c r="T1799" s="201"/>
      <c r="U1799" s="58"/>
      <c r="V1799" s="46"/>
      <c r="W1799" s="46"/>
      <c r="X1799" s="62" t="s">
        <v>25</v>
      </c>
      <c r="Y1799" s="63" t="e">
        <f t="shared" si="317"/>
        <v>#DIV/0!</v>
      </c>
      <c r="Z1799" s="64">
        <f t="shared" si="318"/>
        <v>0</v>
      </c>
    </row>
    <row r="1800" spans="11:26" ht="15.75" customHeight="1">
      <c r="K1800" s="48">
        <f t="shared" si="315"/>
        <v>8</v>
      </c>
      <c r="L1800" s="48">
        <f t="shared" si="316"/>
        <v>68</v>
      </c>
      <c r="S1800" s="200"/>
      <c r="T1800" s="201"/>
      <c r="U1800" s="58"/>
      <c r="V1800" s="46"/>
      <c r="W1800" s="46"/>
      <c r="X1800" s="62" t="s">
        <v>25</v>
      </c>
      <c r="Y1800" s="63" t="e">
        <f t="shared" si="317"/>
        <v>#DIV/0!</v>
      </c>
      <c r="Z1800" s="64">
        <f t="shared" si="318"/>
        <v>0</v>
      </c>
    </row>
    <row r="1801" spans="11:26" ht="15.75" customHeight="1">
      <c r="K1801" s="48">
        <f t="shared" si="315"/>
        <v>8</v>
      </c>
      <c r="L1801" s="48">
        <f t="shared" si="316"/>
        <v>68</v>
      </c>
      <c r="S1801" s="200"/>
      <c r="T1801" s="201"/>
      <c r="U1801" s="58"/>
      <c r="V1801" s="46"/>
      <c r="W1801" s="46"/>
      <c r="X1801" s="62" t="s">
        <v>25</v>
      </c>
      <c r="Y1801" s="63" t="e">
        <f t="shared" si="317"/>
        <v>#DIV/0!</v>
      </c>
      <c r="Z1801" s="64">
        <f t="shared" si="318"/>
        <v>0</v>
      </c>
    </row>
    <row r="1802" spans="11:26" ht="15.75" customHeight="1">
      <c r="K1802" s="48">
        <f t="shared" si="315"/>
        <v>8</v>
      </c>
      <c r="L1802" s="48">
        <f t="shared" si="316"/>
        <v>68</v>
      </c>
      <c r="S1802" s="200"/>
      <c r="T1802" s="201"/>
      <c r="U1802" s="58"/>
      <c r="V1802" s="46"/>
      <c r="W1802" s="46"/>
      <c r="X1802" s="62" t="s">
        <v>25</v>
      </c>
      <c r="Y1802" s="63" t="e">
        <f t="shared" si="317"/>
        <v>#DIV/0!</v>
      </c>
      <c r="Z1802" s="64">
        <f t="shared" si="318"/>
        <v>0</v>
      </c>
    </row>
    <row r="1803" spans="11:26" ht="15.75" customHeight="1">
      <c r="K1803" s="48">
        <f t="shared" ref="K1803:K1866" si="319">D1803+8</f>
        <v>8</v>
      </c>
      <c r="L1803" s="48">
        <f t="shared" ref="L1803:L1866" si="320">K1803+60</f>
        <v>68</v>
      </c>
      <c r="S1803" s="200"/>
      <c r="T1803" s="201"/>
      <c r="U1803" s="58"/>
      <c r="V1803" s="46"/>
      <c r="W1803" s="46"/>
      <c r="X1803" s="62" t="s">
        <v>25</v>
      </c>
      <c r="Y1803" s="63" t="e">
        <f t="shared" si="317"/>
        <v>#DIV/0!</v>
      </c>
      <c r="Z1803" s="64">
        <f t="shared" si="318"/>
        <v>0</v>
      </c>
    </row>
    <row r="1804" spans="11:26" ht="15.75" customHeight="1">
      <c r="K1804" s="48">
        <f t="shared" si="319"/>
        <v>8</v>
      </c>
      <c r="L1804" s="48">
        <f t="shared" si="320"/>
        <v>68</v>
      </c>
      <c r="S1804" s="200"/>
      <c r="T1804" s="201"/>
      <c r="U1804" s="58"/>
      <c r="V1804" s="46"/>
      <c r="W1804" s="46"/>
      <c r="X1804" s="62" t="s">
        <v>25</v>
      </c>
      <c r="Y1804" s="63" t="e">
        <f t="shared" si="317"/>
        <v>#DIV/0!</v>
      </c>
      <c r="Z1804" s="64">
        <f t="shared" si="318"/>
        <v>0</v>
      </c>
    </row>
    <row r="1805" spans="11:26" ht="15.75" customHeight="1">
      <c r="K1805" s="48">
        <f t="shared" si="319"/>
        <v>8</v>
      </c>
      <c r="L1805" s="48">
        <f t="shared" si="320"/>
        <v>68</v>
      </c>
      <c r="S1805" s="200"/>
      <c r="T1805" s="201"/>
      <c r="U1805" s="58"/>
      <c r="V1805" s="46"/>
      <c r="W1805" s="46"/>
      <c r="X1805" s="62" t="s">
        <v>25</v>
      </c>
      <c r="Y1805" s="63" t="e">
        <f t="shared" si="317"/>
        <v>#DIV/0!</v>
      </c>
      <c r="Z1805" s="64">
        <f t="shared" si="318"/>
        <v>0</v>
      </c>
    </row>
    <row r="1806" spans="11:26" ht="15.75" customHeight="1">
      <c r="K1806" s="48">
        <f t="shared" si="319"/>
        <v>8</v>
      </c>
      <c r="L1806" s="48">
        <f t="shared" si="320"/>
        <v>68</v>
      </c>
      <c r="S1806" s="200"/>
      <c r="T1806" s="201"/>
      <c r="U1806" s="58"/>
      <c r="V1806" s="46"/>
      <c r="W1806" s="46"/>
      <c r="X1806" s="62" t="s">
        <v>25</v>
      </c>
      <c r="Y1806" s="63" t="e">
        <f t="shared" si="317"/>
        <v>#DIV/0!</v>
      </c>
      <c r="Z1806" s="64">
        <f t="shared" si="318"/>
        <v>0</v>
      </c>
    </row>
    <row r="1807" spans="11:26" ht="15.75" customHeight="1">
      <c r="K1807" s="48">
        <f t="shared" si="319"/>
        <v>8</v>
      </c>
      <c r="L1807" s="48">
        <f t="shared" si="320"/>
        <v>68</v>
      </c>
      <c r="S1807" s="200"/>
      <c r="T1807" s="201"/>
      <c r="U1807" s="58"/>
      <c r="V1807" s="46"/>
      <c r="W1807" s="46"/>
      <c r="X1807" s="62" t="s">
        <v>25</v>
      </c>
      <c r="Y1807" s="63" t="e">
        <f t="shared" si="317"/>
        <v>#DIV/0!</v>
      </c>
      <c r="Z1807" s="64">
        <f t="shared" si="318"/>
        <v>0</v>
      </c>
    </row>
    <row r="1808" spans="11:26" ht="15.75" customHeight="1">
      <c r="K1808" s="48">
        <f t="shared" si="319"/>
        <v>8</v>
      </c>
      <c r="L1808" s="48">
        <f t="shared" si="320"/>
        <v>68</v>
      </c>
      <c r="S1808" s="200"/>
      <c r="T1808" s="201"/>
      <c r="U1808" s="58"/>
      <c r="V1808" s="46"/>
      <c r="W1808" s="46"/>
      <c r="X1808" s="62" t="s">
        <v>25</v>
      </c>
      <c r="Y1808" s="63" t="e">
        <f t="shared" si="317"/>
        <v>#DIV/0!</v>
      </c>
      <c r="Z1808" s="64">
        <f t="shared" si="318"/>
        <v>0</v>
      </c>
    </row>
    <row r="1809" spans="11:26" ht="15.75" customHeight="1">
      <c r="K1809" s="48">
        <f t="shared" si="319"/>
        <v>8</v>
      </c>
      <c r="L1809" s="48">
        <f t="shared" si="320"/>
        <v>68</v>
      </c>
      <c r="S1809" s="200"/>
      <c r="T1809" s="201"/>
      <c r="U1809" s="58"/>
      <c r="V1809" s="46"/>
      <c r="W1809" s="46"/>
      <c r="X1809" s="62" t="s">
        <v>25</v>
      </c>
      <c r="Y1809" s="63" t="e">
        <f t="shared" si="317"/>
        <v>#DIV/0!</v>
      </c>
      <c r="Z1809" s="64">
        <f t="shared" si="318"/>
        <v>0</v>
      </c>
    </row>
    <row r="1810" spans="11:26" ht="15.75" customHeight="1">
      <c r="K1810" s="48">
        <f t="shared" si="319"/>
        <v>8</v>
      </c>
      <c r="L1810" s="48">
        <f t="shared" si="320"/>
        <v>68</v>
      </c>
      <c r="S1810" s="200"/>
      <c r="T1810" s="201"/>
      <c r="U1810" s="58"/>
      <c r="V1810" s="46"/>
      <c r="W1810" s="46"/>
      <c r="X1810" s="62" t="s">
        <v>25</v>
      </c>
      <c r="Y1810" s="63" t="e">
        <f t="shared" si="317"/>
        <v>#DIV/0!</v>
      </c>
      <c r="Z1810" s="64">
        <f t="shared" si="318"/>
        <v>0</v>
      </c>
    </row>
    <row r="1811" spans="11:26" ht="15.75" customHeight="1">
      <c r="K1811" s="48">
        <f t="shared" si="319"/>
        <v>8</v>
      </c>
      <c r="L1811" s="48">
        <f t="shared" si="320"/>
        <v>68</v>
      </c>
      <c r="S1811" s="200"/>
      <c r="T1811" s="201"/>
      <c r="U1811" s="58"/>
      <c r="V1811" s="46"/>
      <c r="W1811" s="46"/>
      <c r="X1811" s="62" t="s">
        <v>25</v>
      </c>
      <c r="Y1811" s="63" t="e">
        <f t="shared" si="317"/>
        <v>#DIV/0!</v>
      </c>
      <c r="Z1811" s="64">
        <f t="shared" si="318"/>
        <v>0</v>
      </c>
    </row>
    <row r="1812" spans="11:26" ht="15.75" customHeight="1">
      <c r="K1812" s="48">
        <f t="shared" si="319"/>
        <v>8</v>
      </c>
      <c r="L1812" s="48">
        <f t="shared" si="320"/>
        <v>68</v>
      </c>
      <c r="S1812" s="200"/>
      <c r="T1812" s="201"/>
      <c r="U1812" s="58"/>
      <c r="V1812" s="46"/>
      <c r="W1812" s="46"/>
      <c r="X1812" s="62" t="s">
        <v>25</v>
      </c>
      <c r="Y1812" s="63" t="e">
        <f t="shared" si="317"/>
        <v>#DIV/0!</v>
      </c>
      <c r="Z1812" s="64">
        <f t="shared" si="318"/>
        <v>0</v>
      </c>
    </row>
    <row r="1813" spans="11:26" ht="15.75" customHeight="1">
      <c r="K1813" s="48">
        <f t="shared" si="319"/>
        <v>8</v>
      </c>
      <c r="L1813" s="48">
        <f t="shared" si="320"/>
        <v>68</v>
      </c>
      <c r="S1813" s="200"/>
      <c r="T1813" s="201"/>
      <c r="U1813" s="58"/>
      <c r="V1813" s="46"/>
      <c r="W1813" s="46"/>
      <c r="X1813" s="62" t="s">
        <v>25</v>
      </c>
      <c r="Y1813" s="63" t="e">
        <f t="shared" si="317"/>
        <v>#DIV/0!</v>
      </c>
      <c r="Z1813" s="64">
        <f t="shared" si="318"/>
        <v>0</v>
      </c>
    </row>
    <row r="1814" spans="11:26" ht="15.75" customHeight="1">
      <c r="K1814" s="48">
        <f t="shared" si="319"/>
        <v>8</v>
      </c>
      <c r="L1814" s="48">
        <f t="shared" si="320"/>
        <v>68</v>
      </c>
      <c r="S1814" s="200"/>
      <c r="T1814" s="201"/>
      <c r="U1814" s="58"/>
      <c r="V1814" s="46"/>
      <c r="W1814" s="46"/>
      <c r="X1814" s="62" t="s">
        <v>25</v>
      </c>
      <c r="Y1814" s="63" t="e">
        <f t="shared" si="317"/>
        <v>#DIV/0!</v>
      </c>
      <c r="Z1814" s="64">
        <f t="shared" si="318"/>
        <v>0</v>
      </c>
    </row>
    <row r="1815" spans="11:26" ht="15.75" customHeight="1">
      <c r="K1815" s="48">
        <f t="shared" si="319"/>
        <v>8</v>
      </c>
      <c r="L1815" s="48">
        <f t="shared" si="320"/>
        <v>68</v>
      </c>
      <c r="S1815" s="200"/>
      <c r="T1815" s="201"/>
      <c r="U1815" s="58"/>
      <c r="V1815" s="46"/>
      <c r="W1815" s="46"/>
      <c r="X1815" s="62" t="s">
        <v>25</v>
      </c>
      <c r="Y1815" s="63" t="e">
        <f t="shared" si="317"/>
        <v>#DIV/0!</v>
      </c>
      <c r="Z1815" s="64">
        <f t="shared" si="318"/>
        <v>0</v>
      </c>
    </row>
    <row r="1816" spans="11:26" ht="15.75" customHeight="1">
      <c r="K1816" s="48">
        <f t="shared" si="319"/>
        <v>8</v>
      </c>
      <c r="L1816" s="48">
        <f t="shared" si="320"/>
        <v>68</v>
      </c>
      <c r="S1816" s="200"/>
      <c r="T1816" s="201"/>
      <c r="U1816" s="58"/>
      <c r="V1816" s="46"/>
      <c r="W1816" s="46"/>
      <c r="X1816" s="62" t="s">
        <v>25</v>
      </c>
      <c r="Y1816" s="63" t="e">
        <f t="shared" si="317"/>
        <v>#DIV/0!</v>
      </c>
      <c r="Z1816" s="64">
        <f t="shared" si="318"/>
        <v>0</v>
      </c>
    </row>
    <row r="1817" spans="11:26" ht="15.75" customHeight="1">
      <c r="K1817" s="48">
        <f t="shared" si="319"/>
        <v>8</v>
      </c>
      <c r="L1817" s="48">
        <f t="shared" si="320"/>
        <v>68</v>
      </c>
      <c r="S1817" s="200"/>
      <c r="T1817" s="201"/>
      <c r="U1817" s="58"/>
      <c r="V1817" s="46"/>
      <c r="W1817" s="46"/>
      <c r="X1817" s="62" t="s">
        <v>25</v>
      </c>
      <c r="Y1817" s="63" t="e">
        <f t="shared" si="317"/>
        <v>#DIV/0!</v>
      </c>
      <c r="Z1817" s="64">
        <f t="shared" si="318"/>
        <v>0</v>
      </c>
    </row>
    <row r="1818" spans="11:26" ht="15.75" customHeight="1">
      <c r="K1818" s="48">
        <f t="shared" si="319"/>
        <v>8</v>
      </c>
      <c r="L1818" s="48">
        <f t="shared" si="320"/>
        <v>68</v>
      </c>
      <c r="S1818" s="200"/>
      <c r="T1818" s="201"/>
      <c r="U1818" s="58"/>
      <c r="V1818" s="46"/>
      <c r="W1818" s="46"/>
      <c r="X1818" s="62" t="s">
        <v>25</v>
      </c>
      <c r="Y1818" s="63" t="e">
        <f t="shared" si="317"/>
        <v>#DIV/0!</v>
      </c>
      <c r="Z1818" s="64">
        <f t="shared" si="318"/>
        <v>0</v>
      </c>
    </row>
    <row r="1819" spans="11:26" ht="15.75" customHeight="1">
      <c r="K1819" s="48">
        <f t="shared" si="319"/>
        <v>8</v>
      </c>
      <c r="L1819" s="48">
        <f t="shared" si="320"/>
        <v>68</v>
      </c>
      <c r="S1819" s="200"/>
      <c r="T1819" s="201"/>
      <c r="U1819" s="58"/>
      <c r="V1819" s="46"/>
      <c r="W1819" s="46"/>
      <c r="X1819" s="62" t="s">
        <v>25</v>
      </c>
      <c r="Y1819" s="63" t="e">
        <f t="shared" si="317"/>
        <v>#DIV/0!</v>
      </c>
      <c r="Z1819" s="64">
        <f t="shared" si="318"/>
        <v>0</v>
      </c>
    </row>
    <row r="1820" spans="11:26" ht="15.75" customHeight="1">
      <c r="K1820" s="48">
        <f t="shared" si="319"/>
        <v>8</v>
      </c>
      <c r="L1820" s="48">
        <f t="shared" si="320"/>
        <v>68</v>
      </c>
      <c r="S1820" s="200"/>
      <c r="T1820" s="201"/>
      <c r="U1820" s="58"/>
      <c r="V1820" s="46"/>
      <c r="W1820" s="46"/>
      <c r="X1820" s="62" t="s">
        <v>25</v>
      </c>
      <c r="Y1820" s="63" t="e">
        <f t="shared" si="317"/>
        <v>#DIV/0!</v>
      </c>
      <c r="Z1820" s="64">
        <f t="shared" si="318"/>
        <v>0</v>
      </c>
    </row>
    <row r="1821" spans="11:26" ht="15.75" customHeight="1">
      <c r="K1821" s="48">
        <f t="shared" si="319"/>
        <v>8</v>
      </c>
      <c r="L1821" s="48">
        <f t="shared" si="320"/>
        <v>68</v>
      </c>
      <c r="S1821" s="200"/>
      <c r="T1821" s="201"/>
      <c r="U1821" s="58"/>
      <c r="V1821" s="46"/>
      <c r="W1821" s="46"/>
      <c r="X1821" s="62" t="s">
        <v>25</v>
      </c>
      <c r="Y1821" s="63" t="e">
        <f t="shared" si="317"/>
        <v>#DIV/0!</v>
      </c>
      <c r="Z1821" s="64">
        <f t="shared" si="318"/>
        <v>0</v>
      </c>
    </row>
    <row r="1822" spans="11:26" ht="15.75" customHeight="1">
      <c r="K1822" s="48">
        <f t="shared" si="319"/>
        <v>8</v>
      </c>
      <c r="L1822" s="48">
        <f t="shared" si="320"/>
        <v>68</v>
      </c>
      <c r="S1822" s="200"/>
      <c r="T1822" s="201"/>
      <c r="U1822" s="58"/>
      <c r="V1822" s="46"/>
      <c r="W1822" s="46"/>
      <c r="X1822" s="62" t="s">
        <v>25</v>
      </c>
      <c r="Y1822" s="63" t="e">
        <f t="shared" si="317"/>
        <v>#DIV/0!</v>
      </c>
      <c r="Z1822" s="64">
        <f t="shared" si="318"/>
        <v>0</v>
      </c>
    </row>
    <row r="1823" spans="11:26" ht="15.75" customHeight="1">
      <c r="K1823" s="48">
        <f t="shared" si="319"/>
        <v>8</v>
      </c>
      <c r="L1823" s="48">
        <f t="shared" si="320"/>
        <v>68</v>
      </c>
      <c r="S1823" s="200"/>
      <c r="T1823" s="201"/>
      <c r="U1823" s="58"/>
      <c r="V1823" s="46"/>
      <c r="W1823" s="46"/>
      <c r="X1823" s="62" t="s">
        <v>25</v>
      </c>
      <c r="Y1823" s="63" t="e">
        <f t="shared" si="317"/>
        <v>#DIV/0!</v>
      </c>
      <c r="Z1823" s="64">
        <f t="shared" si="318"/>
        <v>0</v>
      </c>
    </row>
    <row r="1824" spans="11:26" ht="15.75" customHeight="1">
      <c r="K1824" s="48">
        <f t="shared" si="319"/>
        <v>8</v>
      </c>
      <c r="L1824" s="48">
        <f t="shared" si="320"/>
        <v>68</v>
      </c>
      <c r="S1824" s="200"/>
      <c r="T1824" s="201"/>
      <c r="U1824" s="58"/>
      <c r="V1824" s="46"/>
      <c r="W1824" s="46"/>
      <c r="X1824" s="62" t="s">
        <v>25</v>
      </c>
      <c r="Y1824" s="63" t="e">
        <f t="shared" si="317"/>
        <v>#DIV/0!</v>
      </c>
      <c r="Z1824" s="64">
        <f t="shared" si="318"/>
        <v>0</v>
      </c>
    </row>
    <row r="1825" spans="11:26" ht="15.75" customHeight="1">
      <c r="K1825" s="48">
        <f t="shared" si="319"/>
        <v>8</v>
      </c>
      <c r="L1825" s="48">
        <f t="shared" si="320"/>
        <v>68</v>
      </c>
      <c r="S1825" s="200"/>
      <c r="T1825" s="201"/>
      <c r="U1825" s="58"/>
      <c r="V1825" s="46"/>
      <c r="W1825" s="46"/>
      <c r="X1825" s="62" t="s">
        <v>25</v>
      </c>
      <c r="Y1825" s="63" t="e">
        <f t="shared" si="317"/>
        <v>#DIV/0!</v>
      </c>
      <c r="Z1825" s="64">
        <f t="shared" si="318"/>
        <v>0</v>
      </c>
    </row>
    <row r="1826" spans="11:26" ht="15.75" customHeight="1">
      <c r="K1826" s="48">
        <f t="shared" si="319"/>
        <v>8</v>
      </c>
      <c r="L1826" s="48">
        <f t="shared" si="320"/>
        <v>68</v>
      </c>
      <c r="S1826" s="200"/>
      <c r="T1826" s="201"/>
      <c r="U1826" s="58"/>
      <c r="V1826" s="46"/>
      <c r="W1826" s="46"/>
      <c r="X1826" s="62" t="s">
        <v>25</v>
      </c>
      <c r="Y1826" s="63" t="e">
        <f t="shared" si="317"/>
        <v>#DIV/0!</v>
      </c>
      <c r="Z1826" s="64">
        <f t="shared" si="318"/>
        <v>0</v>
      </c>
    </row>
    <row r="1827" spans="11:26" ht="15.75" customHeight="1">
      <c r="K1827" s="48">
        <f t="shared" si="319"/>
        <v>8</v>
      </c>
      <c r="L1827" s="48">
        <f t="shared" si="320"/>
        <v>68</v>
      </c>
      <c r="S1827" s="200"/>
      <c r="T1827" s="201"/>
      <c r="U1827" s="58"/>
      <c r="V1827" s="46"/>
      <c r="W1827" s="46"/>
      <c r="X1827" s="62" t="s">
        <v>25</v>
      </c>
      <c r="Y1827" s="63" t="e">
        <f t="shared" si="317"/>
        <v>#DIV/0!</v>
      </c>
      <c r="Z1827" s="64">
        <f t="shared" si="318"/>
        <v>0</v>
      </c>
    </row>
    <row r="1828" spans="11:26" ht="15.75" customHeight="1">
      <c r="K1828" s="48">
        <f t="shared" si="319"/>
        <v>8</v>
      </c>
      <c r="L1828" s="48">
        <f t="shared" si="320"/>
        <v>68</v>
      </c>
      <c r="S1828" s="200"/>
      <c r="T1828" s="201"/>
      <c r="U1828" s="58"/>
      <c r="V1828" s="46"/>
      <c r="W1828" s="46"/>
      <c r="X1828" s="62" t="s">
        <v>25</v>
      </c>
      <c r="Y1828" s="63" t="e">
        <f t="shared" si="317"/>
        <v>#DIV/0!</v>
      </c>
      <c r="Z1828" s="64">
        <f t="shared" si="318"/>
        <v>0</v>
      </c>
    </row>
    <row r="1829" spans="11:26" ht="15.75" customHeight="1">
      <c r="K1829" s="48">
        <f t="shared" si="319"/>
        <v>8</v>
      </c>
      <c r="L1829" s="48">
        <f t="shared" si="320"/>
        <v>68</v>
      </c>
      <c r="S1829" s="200"/>
      <c r="T1829" s="201"/>
      <c r="U1829" s="58"/>
      <c r="V1829" s="46"/>
      <c r="W1829" s="46"/>
      <c r="X1829" s="62" t="s">
        <v>25</v>
      </c>
      <c r="Y1829" s="63" t="e">
        <f t="shared" si="317"/>
        <v>#DIV/0!</v>
      </c>
      <c r="Z1829" s="64">
        <f t="shared" si="318"/>
        <v>0</v>
      </c>
    </row>
    <row r="1830" spans="11:26" ht="15.75" customHeight="1">
      <c r="K1830" s="48">
        <f t="shared" si="319"/>
        <v>8</v>
      </c>
      <c r="L1830" s="48">
        <f t="shared" si="320"/>
        <v>68</v>
      </c>
      <c r="S1830" s="200"/>
      <c r="T1830" s="201"/>
      <c r="U1830" s="58"/>
      <c r="V1830" s="46"/>
      <c r="W1830" s="46"/>
      <c r="X1830" s="62" t="s">
        <v>25</v>
      </c>
      <c r="Y1830" s="63" t="e">
        <f t="shared" si="317"/>
        <v>#DIV/0!</v>
      </c>
      <c r="Z1830" s="64">
        <f t="shared" si="318"/>
        <v>0</v>
      </c>
    </row>
    <row r="1831" spans="11:26" ht="15.75" customHeight="1">
      <c r="K1831" s="48">
        <f t="shared" si="319"/>
        <v>8</v>
      </c>
      <c r="L1831" s="48">
        <f t="shared" si="320"/>
        <v>68</v>
      </c>
      <c r="S1831" s="200"/>
      <c r="T1831" s="201"/>
      <c r="U1831" s="58"/>
      <c r="V1831" s="46"/>
      <c r="W1831" s="46"/>
      <c r="X1831" s="62" t="s">
        <v>25</v>
      </c>
      <c r="Y1831" s="63" t="e">
        <f t="shared" si="317"/>
        <v>#DIV/0!</v>
      </c>
      <c r="Z1831" s="64">
        <f t="shared" si="318"/>
        <v>0</v>
      </c>
    </row>
    <row r="1832" spans="11:26" ht="15.75" customHeight="1">
      <c r="K1832" s="48">
        <f t="shared" si="319"/>
        <v>8</v>
      </c>
      <c r="L1832" s="48">
        <f t="shared" si="320"/>
        <v>68</v>
      </c>
      <c r="S1832" s="200"/>
      <c r="T1832" s="201"/>
      <c r="U1832" s="58"/>
      <c r="V1832" s="46"/>
      <c r="W1832" s="46"/>
      <c r="X1832" s="62" t="s">
        <v>25</v>
      </c>
      <c r="Y1832" s="63" t="e">
        <f t="shared" si="317"/>
        <v>#DIV/0!</v>
      </c>
      <c r="Z1832" s="64">
        <f t="shared" si="318"/>
        <v>0</v>
      </c>
    </row>
    <row r="1833" spans="11:26" ht="15.75" customHeight="1">
      <c r="K1833" s="48">
        <f t="shared" si="319"/>
        <v>8</v>
      </c>
      <c r="L1833" s="48">
        <f t="shared" si="320"/>
        <v>68</v>
      </c>
      <c r="S1833" s="200"/>
      <c r="T1833" s="201"/>
      <c r="U1833" s="58"/>
      <c r="V1833" s="46"/>
      <c r="W1833" s="46"/>
      <c r="X1833" s="62" t="s">
        <v>25</v>
      </c>
      <c r="Y1833" s="63" t="e">
        <f t="shared" si="317"/>
        <v>#DIV/0!</v>
      </c>
      <c r="Z1833" s="64">
        <f t="shared" si="318"/>
        <v>0</v>
      </c>
    </row>
    <row r="1834" spans="11:26" ht="15.75" customHeight="1">
      <c r="K1834" s="48">
        <f t="shared" si="319"/>
        <v>8</v>
      </c>
      <c r="L1834" s="48">
        <f t="shared" si="320"/>
        <v>68</v>
      </c>
      <c r="S1834" s="200"/>
      <c r="T1834" s="201"/>
      <c r="U1834" s="58"/>
      <c r="V1834" s="46"/>
      <c r="W1834" s="46"/>
      <c r="X1834" s="62" t="s">
        <v>25</v>
      </c>
      <c r="Y1834" s="63" t="e">
        <f t="shared" si="317"/>
        <v>#DIV/0!</v>
      </c>
      <c r="Z1834" s="64">
        <f t="shared" si="318"/>
        <v>0</v>
      </c>
    </row>
    <row r="1835" spans="11:26" ht="15.75" customHeight="1">
      <c r="K1835" s="48">
        <f t="shared" si="319"/>
        <v>8</v>
      </c>
      <c r="L1835" s="48">
        <f t="shared" si="320"/>
        <v>68</v>
      </c>
      <c r="S1835" s="200"/>
      <c r="T1835" s="201"/>
      <c r="U1835" s="58"/>
      <c r="V1835" s="46"/>
      <c r="W1835" s="46"/>
      <c r="X1835" s="62" t="s">
        <v>25</v>
      </c>
      <c r="Y1835" s="63" t="e">
        <f t="shared" si="317"/>
        <v>#DIV/0!</v>
      </c>
      <c r="Z1835" s="64">
        <f t="shared" si="318"/>
        <v>0</v>
      </c>
    </row>
    <row r="1836" spans="11:26" ht="15.75" customHeight="1">
      <c r="K1836" s="48">
        <f t="shared" si="319"/>
        <v>8</v>
      </c>
      <c r="L1836" s="48">
        <f t="shared" si="320"/>
        <v>68</v>
      </c>
      <c r="S1836" s="200"/>
      <c r="T1836" s="201"/>
      <c r="U1836" s="58"/>
      <c r="V1836" s="46"/>
      <c r="W1836" s="46"/>
      <c r="X1836" s="62" t="s">
        <v>25</v>
      </c>
      <c r="Y1836" s="63" t="e">
        <f t="shared" si="317"/>
        <v>#DIV/0!</v>
      </c>
      <c r="Z1836" s="64">
        <f t="shared" si="318"/>
        <v>0</v>
      </c>
    </row>
    <row r="1837" spans="11:26" ht="15.75" customHeight="1">
      <c r="K1837" s="48">
        <f t="shared" si="319"/>
        <v>8</v>
      </c>
      <c r="L1837" s="48">
        <f t="shared" si="320"/>
        <v>68</v>
      </c>
      <c r="S1837" s="200"/>
      <c r="T1837" s="201"/>
      <c r="U1837" s="58"/>
      <c r="V1837" s="46"/>
      <c r="W1837" s="46"/>
      <c r="X1837" s="62" t="s">
        <v>25</v>
      </c>
      <c r="Y1837" s="63" t="e">
        <f t="shared" si="317"/>
        <v>#DIV/0!</v>
      </c>
      <c r="Z1837" s="64">
        <f t="shared" si="318"/>
        <v>0</v>
      </c>
    </row>
    <row r="1838" spans="11:26" ht="15.75" customHeight="1">
      <c r="K1838" s="48">
        <f t="shared" si="319"/>
        <v>8</v>
      </c>
      <c r="L1838" s="48">
        <f t="shared" si="320"/>
        <v>68</v>
      </c>
      <c r="S1838" s="200"/>
      <c r="T1838" s="201"/>
      <c r="U1838" s="58"/>
      <c r="V1838" s="46"/>
      <c r="W1838" s="46"/>
      <c r="X1838" s="62" t="s">
        <v>25</v>
      </c>
      <c r="Y1838" s="63" t="e">
        <f t="shared" si="317"/>
        <v>#DIV/0!</v>
      </c>
      <c r="Z1838" s="64">
        <f t="shared" si="318"/>
        <v>0</v>
      </c>
    </row>
    <row r="1839" spans="11:26" ht="15.75" customHeight="1">
      <c r="K1839" s="48">
        <f t="shared" si="319"/>
        <v>8</v>
      </c>
      <c r="L1839" s="48">
        <f t="shared" si="320"/>
        <v>68</v>
      </c>
      <c r="S1839" s="200"/>
      <c r="T1839" s="201"/>
      <c r="U1839" s="58"/>
      <c r="V1839" s="46"/>
      <c r="W1839" s="46"/>
      <c r="X1839" s="62" t="s">
        <v>25</v>
      </c>
      <c r="Y1839" s="63" t="e">
        <f t="shared" si="317"/>
        <v>#DIV/0!</v>
      </c>
      <c r="Z1839" s="64">
        <f t="shared" si="318"/>
        <v>0</v>
      </c>
    </row>
    <row r="1840" spans="11:26" ht="15.75" customHeight="1">
      <c r="K1840" s="48">
        <f t="shared" si="319"/>
        <v>8</v>
      </c>
      <c r="L1840" s="48">
        <f t="shared" si="320"/>
        <v>68</v>
      </c>
      <c r="S1840" s="200"/>
      <c r="T1840" s="201"/>
      <c r="U1840" s="58"/>
      <c r="V1840" s="46"/>
      <c r="W1840" s="46"/>
      <c r="X1840" s="62" t="s">
        <v>25</v>
      </c>
      <c r="Y1840" s="63" t="e">
        <f t="shared" si="317"/>
        <v>#DIV/0!</v>
      </c>
      <c r="Z1840" s="64">
        <f t="shared" si="318"/>
        <v>0</v>
      </c>
    </row>
    <row r="1841" spans="11:26" ht="15.75" customHeight="1">
      <c r="K1841" s="48">
        <f t="shared" si="319"/>
        <v>8</v>
      </c>
      <c r="L1841" s="48">
        <f t="shared" si="320"/>
        <v>68</v>
      </c>
      <c r="S1841" s="200"/>
      <c r="T1841" s="201"/>
      <c r="U1841" s="58"/>
      <c r="V1841" s="46"/>
      <c r="W1841" s="46"/>
      <c r="X1841" s="62" t="s">
        <v>25</v>
      </c>
      <c r="Y1841" s="63" t="e">
        <f t="shared" si="317"/>
        <v>#DIV/0!</v>
      </c>
      <c r="Z1841" s="64">
        <f t="shared" si="318"/>
        <v>0</v>
      </c>
    </row>
    <row r="1842" spans="11:26" ht="15.75" customHeight="1">
      <c r="K1842" s="48">
        <f t="shared" si="319"/>
        <v>8</v>
      </c>
      <c r="L1842" s="48">
        <f t="shared" si="320"/>
        <v>68</v>
      </c>
      <c r="S1842" s="200"/>
      <c r="T1842" s="201"/>
      <c r="U1842" s="58"/>
      <c r="V1842" s="46"/>
      <c r="W1842" s="46"/>
      <c r="X1842" s="62" t="s">
        <v>25</v>
      </c>
      <c r="Y1842" s="63" t="e">
        <f t="shared" si="317"/>
        <v>#DIV/0!</v>
      </c>
      <c r="Z1842" s="64">
        <f t="shared" si="318"/>
        <v>0</v>
      </c>
    </row>
    <row r="1843" spans="11:26" ht="15.75" customHeight="1">
      <c r="K1843" s="48">
        <f t="shared" si="319"/>
        <v>8</v>
      </c>
      <c r="L1843" s="48">
        <f t="shared" si="320"/>
        <v>68</v>
      </c>
      <c r="S1843" s="200"/>
      <c r="T1843" s="201"/>
      <c r="U1843" s="58"/>
      <c r="V1843" s="46"/>
      <c r="W1843" s="46"/>
      <c r="X1843" s="62" t="s">
        <v>25</v>
      </c>
      <c r="Y1843" s="63" t="e">
        <f t="shared" si="317"/>
        <v>#DIV/0!</v>
      </c>
      <c r="Z1843" s="64">
        <f t="shared" si="318"/>
        <v>0</v>
      </c>
    </row>
    <row r="1844" spans="11:26" ht="15.75" customHeight="1">
      <c r="K1844" s="48">
        <f t="shared" si="319"/>
        <v>8</v>
      </c>
      <c r="L1844" s="48">
        <f t="shared" si="320"/>
        <v>68</v>
      </c>
      <c r="S1844" s="200"/>
      <c r="T1844" s="201"/>
      <c r="U1844" s="58"/>
      <c r="V1844" s="46"/>
      <c r="W1844" s="46"/>
      <c r="X1844" s="62" t="s">
        <v>25</v>
      </c>
      <c r="Y1844" s="63" t="e">
        <f t="shared" ref="Y1844:Y1907" si="321">F1844/E1844</f>
        <v>#DIV/0!</v>
      </c>
      <c r="Z1844" s="64">
        <f t="shared" si="318"/>
        <v>0</v>
      </c>
    </row>
    <row r="1845" spans="11:26" ht="15.75" customHeight="1">
      <c r="K1845" s="48">
        <f t="shared" si="319"/>
        <v>8</v>
      </c>
      <c r="L1845" s="48">
        <f t="shared" si="320"/>
        <v>68</v>
      </c>
      <c r="S1845" s="200"/>
      <c r="T1845" s="201"/>
      <c r="U1845" s="58"/>
      <c r="V1845" s="46"/>
      <c r="W1845" s="46"/>
      <c r="X1845" s="62" t="s">
        <v>25</v>
      </c>
      <c r="Y1845" s="63" t="e">
        <f t="shared" si="321"/>
        <v>#DIV/0!</v>
      </c>
      <c r="Z1845" s="64">
        <f t="shared" si="318"/>
        <v>0</v>
      </c>
    </row>
    <row r="1846" spans="11:26" ht="15.75" customHeight="1">
      <c r="K1846" s="48">
        <f t="shared" si="319"/>
        <v>8</v>
      </c>
      <c r="L1846" s="48">
        <f t="shared" si="320"/>
        <v>68</v>
      </c>
      <c r="S1846" s="200"/>
      <c r="T1846" s="201"/>
      <c r="U1846" s="58"/>
      <c r="V1846" s="46"/>
      <c r="W1846" s="46"/>
      <c r="X1846" s="62" t="s">
        <v>25</v>
      </c>
      <c r="Y1846" s="63" t="e">
        <f t="shared" si="321"/>
        <v>#DIV/0!</v>
      </c>
      <c r="Z1846" s="64">
        <f t="shared" si="318"/>
        <v>0</v>
      </c>
    </row>
    <row r="1847" spans="11:26" ht="15.75" customHeight="1">
      <c r="K1847" s="48">
        <f t="shared" si="319"/>
        <v>8</v>
      </c>
      <c r="L1847" s="48">
        <f t="shared" si="320"/>
        <v>68</v>
      </c>
      <c r="S1847" s="200"/>
      <c r="T1847" s="201"/>
      <c r="U1847" s="58"/>
      <c r="V1847" s="46"/>
      <c r="W1847" s="46"/>
      <c r="X1847" s="62" t="s">
        <v>25</v>
      </c>
      <c r="Y1847" s="63" t="e">
        <f t="shared" si="321"/>
        <v>#DIV/0!</v>
      </c>
      <c r="Z1847" s="64">
        <f t="shared" si="318"/>
        <v>0</v>
      </c>
    </row>
    <row r="1848" spans="11:26" ht="15.75" customHeight="1">
      <c r="K1848" s="48">
        <f t="shared" si="319"/>
        <v>8</v>
      </c>
      <c r="L1848" s="48">
        <f t="shared" si="320"/>
        <v>68</v>
      </c>
      <c r="S1848" s="200"/>
      <c r="T1848" s="201"/>
      <c r="U1848" s="58"/>
      <c r="V1848" s="46"/>
      <c r="W1848" s="46"/>
      <c r="X1848" s="62" t="s">
        <v>25</v>
      </c>
      <c r="Y1848" s="63" t="e">
        <f t="shared" si="321"/>
        <v>#DIV/0!</v>
      </c>
      <c r="Z1848" s="64">
        <f t="shared" si="318"/>
        <v>0</v>
      </c>
    </row>
    <row r="1849" spans="11:26" ht="15.75" customHeight="1">
      <c r="K1849" s="48">
        <f t="shared" si="319"/>
        <v>8</v>
      </c>
      <c r="L1849" s="48">
        <f t="shared" si="320"/>
        <v>68</v>
      </c>
      <c r="S1849" s="200"/>
      <c r="T1849" s="201"/>
      <c r="U1849" s="58"/>
      <c r="V1849" s="46"/>
      <c r="W1849" s="46"/>
      <c r="X1849" s="62" t="s">
        <v>25</v>
      </c>
      <c r="Y1849" s="63" t="e">
        <f t="shared" si="321"/>
        <v>#DIV/0!</v>
      </c>
      <c r="Z1849" s="64">
        <f t="shared" si="318"/>
        <v>0</v>
      </c>
    </row>
    <row r="1850" spans="11:26" ht="15.75" customHeight="1">
      <c r="K1850" s="48">
        <f t="shared" si="319"/>
        <v>8</v>
      </c>
      <c r="L1850" s="48">
        <f t="shared" si="320"/>
        <v>68</v>
      </c>
      <c r="S1850" s="200"/>
      <c r="T1850" s="201"/>
      <c r="U1850" s="58"/>
      <c r="V1850" s="46"/>
      <c r="W1850" s="46"/>
      <c r="X1850" s="62" t="s">
        <v>25</v>
      </c>
      <c r="Y1850" s="63" t="e">
        <f t="shared" si="321"/>
        <v>#DIV/0!</v>
      </c>
      <c r="Z1850" s="64">
        <f t="shared" si="318"/>
        <v>0</v>
      </c>
    </row>
    <row r="1851" spans="11:26" ht="15.75" customHeight="1">
      <c r="K1851" s="48">
        <f t="shared" si="319"/>
        <v>8</v>
      </c>
      <c r="L1851" s="48">
        <f t="shared" si="320"/>
        <v>68</v>
      </c>
      <c r="S1851" s="200"/>
      <c r="T1851" s="201"/>
      <c r="U1851" s="58"/>
      <c r="V1851" s="46"/>
      <c r="W1851" s="46"/>
      <c r="X1851" s="62" t="s">
        <v>25</v>
      </c>
      <c r="Y1851" s="63" t="e">
        <f t="shared" si="321"/>
        <v>#DIV/0!</v>
      </c>
      <c r="Z1851" s="64">
        <f t="shared" si="318"/>
        <v>0</v>
      </c>
    </row>
    <row r="1852" spans="11:26" ht="15.75" customHeight="1">
      <c r="K1852" s="48">
        <f t="shared" si="319"/>
        <v>8</v>
      </c>
      <c r="L1852" s="48">
        <f t="shared" si="320"/>
        <v>68</v>
      </c>
      <c r="S1852" s="200"/>
      <c r="T1852" s="201"/>
      <c r="U1852" s="58"/>
      <c r="V1852" s="46"/>
      <c r="W1852" s="46"/>
      <c r="X1852" s="62" t="s">
        <v>25</v>
      </c>
      <c r="Y1852" s="63" t="e">
        <f t="shared" si="321"/>
        <v>#DIV/0!</v>
      </c>
      <c r="Z1852" s="64">
        <f t="shared" si="318"/>
        <v>0</v>
      </c>
    </row>
    <row r="1853" spans="11:26" ht="15.75" customHeight="1">
      <c r="K1853" s="48">
        <f t="shared" si="319"/>
        <v>8</v>
      </c>
      <c r="L1853" s="48">
        <f t="shared" si="320"/>
        <v>68</v>
      </c>
      <c r="S1853" s="200"/>
      <c r="T1853" s="201"/>
      <c r="U1853" s="58"/>
      <c r="V1853" s="46"/>
      <c r="W1853" s="46"/>
      <c r="X1853" s="62" t="s">
        <v>25</v>
      </c>
      <c r="Y1853" s="63" t="e">
        <f t="shared" si="321"/>
        <v>#DIV/0!</v>
      </c>
      <c r="Z1853" s="64">
        <f t="shared" si="318"/>
        <v>0</v>
      </c>
    </row>
    <row r="1854" spans="11:26" ht="15.75" customHeight="1">
      <c r="K1854" s="48">
        <f t="shared" si="319"/>
        <v>8</v>
      </c>
      <c r="L1854" s="48">
        <f t="shared" si="320"/>
        <v>68</v>
      </c>
      <c r="S1854" s="200"/>
      <c r="T1854" s="201"/>
      <c r="U1854" s="58"/>
      <c r="V1854" s="46"/>
      <c r="W1854" s="46"/>
      <c r="X1854" s="62" t="s">
        <v>25</v>
      </c>
      <c r="Y1854" s="63" t="e">
        <f t="shared" si="321"/>
        <v>#DIV/0!</v>
      </c>
      <c r="Z1854" s="64">
        <f t="shared" ref="Z1854:Z1917" si="322">E1854-N1854</f>
        <v>0</v>
      </c>
    </row>
    <row r="1855" spans="11:26" ht="15.75" customHeight="1">
      <c r="K1855" s="48">
        <f t="shared" si="319"/>
        <v>8</v>
      </c>
      <c r="L1855" s="48">
        <f t="shared" si="320"/>
        <v>68</v>
      </c>
      <c r="S1855" s="200"/>
      <c r="T1855" s="201"/>
      <c r="U1855" s="58"/>
      <c r="V1855" s="46"/>
      <c r="W1855" s="46"/>
      <c r="X1855" s="62" t="s">
        <v>25</v>
      </c>
      <c r="Y1855" s="63" t="e">
        <f t="shared" si="321"/>
        <v>#DIV/0!</v>
      </c>
      <c r="Z1855" s="64">
        <f t="shared" si="322"/>
        <v>0</v>
      </c>
    </row>
    <row r="1856" spans="11:26" ht="15.75" customHeight="1">
      <c r="K1856" s="48">
        <f t="shared" si="319"/>
        <v>8</v>
      </c>
      <c r="L1856" s="48">
        <f t="shared" si="320"/>
        <v>68</v>
      </c>
      <c r="S1856" s="200"/>
      <c r="T1856" s="201"/>
      <c r="U1856" s="58"/>
      <c r="V1856" s="46"/>
      <c r="W1856" s="46"/>
      <c r="X1856" s="62" t="s">
        <v>25</v>
      </c>
      <c r="Y1856" s="63" t="e">
        <f t="shared" si="321"/>
        <v>#DIV/0!</v>
      </c>
      <c r="Z1856" s="64">
        <f t="shared" si="322"/>
        <v>0</v>
      </c>
    </row>
    <row r="1857" spans="11:26" ht="15.75" customHeight="1">
      <c r="K1857" s="48">
        <f t="shared" si="319"/>
        <v>8</v>
      </c>
      <c r="L1857" s="48">
        <f t="shared" si="320"/>
        <v>68</v>
      </c>
      <c r="S1857" s="200"/>
      <c r="T1857" s="201"/>
      <c r="U1857" s="58"/>
      <c r="V1857" s="46"/>
      <c r="W1857" s="46"/>
      <c r="X1857" s="62" t="s">
        <v>25</v>
      </c>
      <c r="Y1857" s="63" t="e">
        <f t="shared" si="321"/>
        <v>#DIV/0!</v>
      </c>
      <c r="Z1857" s="64">
        <f t="shared" si="322"/>
        <v>0</v>
      </c>
    </row>
    <row r="1858" spans="11:26" ht="15.75" customHeight="1">
      <c r="K1858" s="48">
        <f t="shared" si="319"/>
        <v>8</v>
      </c>
      <c r="L1858" s="48">
        <f t="shared" si="320"/>
        <v>68</v>
      </c>
      <c r="S1858" s="200"/>
      <c r="T1858" s="201"/>
      <c r="U1858" s="58"/>
      <c r="V1858" s="46"/>
      <c r="W1858" s="46"/>
      <c r="X1858" s="62" t="s">
        <v>25</v>
      </c>
      <c r="Y1858" s="63" t="e">
        <f t="shared" si="321"/>
        <v>#DIV/0!</v>
      </c>
      <c r="Z1858" s="64">
        <f t="shared" si="322"/>
        <v>0</v>
      </c>
    </row>
    <row r="1859" spans="11:26" ht="15.75" customHeight="1">
      <c r="K1859" s="48">
        <f t="shared" si="319"/>
        <v>8</v>
      </c>
      <c r="L1859" s="48">
        <f t="shared" si="320"/>
        <v>68</v>
      </c>
      <c r="S1859" s="200"/>
      <c r="T1859" s="201"/>
      <c r="U1859" s="58"/>
      <c r="V1859" s="46"/>
      <c r="W1859" s="46"/>
      <c r="X1859" s="62" t="s">
        <v>25</v>
      </c>
      <c r="Y1859" s="63" t="e">
        <f t="shared" si="321"/>
        <v>#DIV/0!</v>
      </c>
      <c r="Z1859" s="64">
        <f t="shared" si="322"/>
        <v>0</v>
      </c>
    </row>
    <row r="1860" spans="11:26" ht="15.75" customHeight="1">
      <c r="K1860" s="48">
        <f t="shared" si="319"/>
        <v>8</v>
      </c>
      <c r="L1860" s="48">
        <f t="shared" si="320"/>
        <v>68</v>
      </c>
      <c r="S1860" s="200"/>
      <c r="T1860" s="201"/>
      <c r="U1860" s="58"/>
      <c r="V1860" s="46"/>
      <c r="W1860" s="46"/>
      <c r="X1860" s="62" t="s">
        <v>25</v>
      </c>
      <c r="Y1860" s="63" t="e">
        <f t="shared" si="321"/>
        <v>#DIV/0!</v>
      </c>
      <c r="Z1860" s="64">
        <f t="shared" si="322"/>
        <v>0</v>
      </c>
    </row>
    <row r="1861" spans="11:26" ht="15.75" customHeight="1">
      <c r="K1861" s="48">
        <f t="shared" si="319"/>
        <v>8</v>
      </c>
      <c r="L1861" s="48">
        <f t="shared" si="320"/>
        <v>68</v>
      </c>
      <c r="S1861" s="200"/>
      <c r="T1861" s="201"/>
      <c r="U1861" s="58"/>
      <c r="V1861" s="46"/>
      <c r="W1861" s="46"/>
      <c r="X1861" s="62" t="s">
        <v>25</v>
      </c>
      <c r="Y1861" s="63" t="e">
        <f t="shared" si="321"/>
        <v>#DIV/0!</v>
      </c>
      <c r="Z1861" s="64">
        <f t="shared" si="322"/>
        <v>0</v>
      </c>
    </row>
    <row r="1862" spans="11:26" ht="15.75" customHeight="1">
      <c r="K1862" s="48">
        <f t="shared" si="319"/>
        <v>8</v>
      </c>
      <c r="L1862" s="48">
        <f t="shared" si="320"/>
        <v>68</v>
      </c>
      <c r="S1862" s="200"/>
      <c r="T1862" s="201"/>
      <c r="U1862" s="58"/>
      <c r="V1862" s="46"/>
      <c r="W1862" s="46"/>
      <c r="X1862" s="62" t="s">
        <v>25</v>
      </c>
      <c r="Y1862" s="63" t="e">
        <f t="shared" si="321"/>
        <v>#DIV/0!</v>
      </c>
      <c r="Z1862" s="64">
        <f t="shared" si="322"/>
        <v>0</v>
      </c>
    </row>
    <row r="1863" spans="11:26" ht="15.75" customHeight="1">
      <c r="K1863" s="48">
        <f t="shared" si="319"/>
        <v>8</v>
      </c>
      <c r="L1863" s="48">
        <f t="shared" si="320"/>
        <v>68</v>
      </c>
      <c r="S1863" s="200"/>
      <c r="T1863" s="201"/>
      <c r="U1863" s="58"/>
      <c r="V1863" s="46"/>
      <c r="W1863" s="46"/>
      <c r="X1863" s="62" t="s">
        <v>25</v>
      </c>
      <c r="Y1863" s="63" t="e">
        <f t="shared" si="321"/>
        <v>#DIV/0!</v>
      </c>
      <c r="Z1863" s="64">
        <f t="shared" si="322"/>
        <v>0</v>
      </c>
    </row>
    <row r="1864" spans="11:26" ht="15.75" customHeight="1">
      <c r="K1864" s="48">
        <f t="shared" si="319"/>
        <v>8</v>
      </c>
      <c r="L1864" s="48">
        <f t="shared" si="320"/>
        <v>68</v>
      </c>
      <c r="S1864" s="200"/>
      <c r="T1864" s="201"/>
      <c r="U1864" s="58"/>
      <c r="V1864" s="46"/>
      <c r="W1864" s="46"/>
      <c r="X1864" s="62" t="s">
        <v>25</v>
      </c>
      <c r="Y1864" s="63" t="e">
        <f t="shared" si="321"/>
        <v>#DIV/0!</v>
      </c>
      <c r="Z1864" s="64">
        <f t="shared" si="322"/>
        <v>0</v>
      </c>
    </row>
    <row r="1865" spans="11:26" ht="15.75" customHeight="1">
      <c r="K1865" s="48">
        <f t="shared" si="319"/>
        <v>8</v>
      </c>
      <c r="L1865" s="48">
        <f t="shared" si="320"/>
        <v>68</v>
      </c>
      <c r="S1865" s="200"/>
      <c r="T1865" s="201"/>
      <c r="U1865" s="58"/>
      <c r="V1865" s="46"/>
      <c r="W1865" s="46"/>
      <c r="X1865" s="62" t="s">
        <v>25</v>
      </c>
      <c r="Y1865" s="63" t="e">
        <f t="shared" si="321"/>
        <v>#DIV/0!</v>
      </c>
      <c r="Z1865" s="64">
        <f t="shared" si="322"/>
        <v>0</v>
      </c>
    </row>
    <row r="1866" spans="11:26" ht="15.75" customHeight="1">
      <c r="K1866" s="48">
        <f t="shared" si="319"/>
        <v>8</v>
      </c>
      <c r="L1866" s="48">
        <f t="shared" si="320"/>
        <v>68</v>
      </c>
      <c r="S1866" s="200"/>
      <c r="T1866" s="201"/>
      <c r="U1866" s="58"/>
      <c r="V1866" s="46"/>
      <c r="W1866" s="46"/>
      <c r="X1866" s="62" t="s">
        <v>25</v>
      </c>
      <c r="Y1866" s="63" t="e">
        <f t="shared" si="321"/>
        <v>#DIV/0!</v>
      </c>
      <c r="Z1866" s="64">
        <f t="shared" si="322"/>
        <v>0</v>
      </c>
    </row>
    <row r="1867" spans="11:26" ht="15.75" customHeight="1">
      <c r="K1867" s="48">
        <f t="shared" ref="K1867:K1930" si="323">D1867+8</f>
        <v>8</v>
      </c>
      <c r="L1867" s="48">
        <f t="shared" ref="L1867:L1930" si="324">K1867+60</f>
        <v>68</v>
      </c>
      <c r="S1867" s="200"/>
      <c r="T1867" s="201"/>
      <c r="U1867" s="58"/>
      <c r="V1867" s="46"/>
      <c r="W1867" s="46"/>
      <c r="X1867" s="62" t="s">
        <v>25</v>
      </c>
      <c r="Y1867" s="63" t="e">
        <f t="shared" si="321"/>
        <v>#DIV/0!</v>
      </c>
      <c r="Z1867" s="64">
        <f t="shared" si="322"/>
        <v>0</v>
      </c>
    </row>
    <row r="1868" spans="11:26" ht="15.75" customHeight="1">
      <c r="K1868" s="48">
        <f t="shared" si="323"/>
        <v>8</v>
      </c>
      <c r="L1868" s="48">
        <f t="shared" si="324"/>
        <v>68</v>
      </c>
      <c r="S1868" s="200"/>
      <c r="T1868" s="201"/>
      <c r="U1868" s="58"/>
      <c r="V1868" s="46"/>
      <c r="W1868" s="46"/>
      <c r="X1868" s="62" t="s">
        <v>25</v>
      </c>
      <c r="Y1868" s="63" t="e">
        <f t="shared" si="321"/>
        <v>#DIV/0!</v>
      </c>
      <c r="Z1868" s="64">
        <f t="shared" si="322"/>
        <v>0</v>
      </c>
    </row>
    <row r="1869" spans="11:26" ht="15.75" customHeight="1">
      <c r="K1869" s="48">
        <f t="shared" si="323"/>
        <v>8</v>
      </c>
      <c r="L1869" s="48">
        <f t="shared" si="324"/>
        <v>68</v>
      </c>
      <c r="S1869" s="200"/>
      <c r="T1869" s="201"/>
      <c r="U1869" s="58"/>
      <c r="V1869" s="46"/>
      <c r="W1869" s="46"/>
      <c r="X1869" s="62" t="s">
        <v>25</v>
      </c>
      <c r="Y1869" s="63" t="e">
        <f t="shared" si="321"/>
        <v>#DIV/0!</v>
      </c>
      <c r="Z1869" s="64">
        <f t="shared" si="322"/>
        <v>0</v>
      </c>
    </row>
    <row r="1870" spans="11:26" ht="15.75" customHeight="1">
      <c r="K1870" s="48">
        <f t="shared" si="323"/>
        <v>8</v>
      </c>
      <c r="L1870" s="48">
        <f t="shared" si="324"/>
        <v>68</v>
      </c>
      <c r="S1870" s="200"/>
      <c r="T1870" s="201"/>
      <c r="U1870" s="58"/>
      <c r="V1870" s="46"/>
      <c r="W1870" s="46"/>
      <c r="X1870" s="62" t="s">
        <v>25</v>
      </c>
      <c r="Y1870" s="63" t="e">
        <f t="shared" si="321"/>
        <v>#DIV/0!</v>
      </c>
      <c r="Z1870" s="64">
        <f t="shared" si="322"/>
        <v>0</v>
      </c>
    </row>
    <row r="1871" spans="11:26" ht="15.75" customHeight="1">
      <c r="K1871" s="48">
        <f t="shared" si="323"/>
        <v>8</v>
      </c>
      <c r="L1871" s="48">
        <f t="shared" si="324"/>
        <v>68</v>
      </c>
      <c r="S1871" s="200"/>
      <c r="T1871" s="201"/>
      <c r="U1871" s="58"/>
      <c r="V1871" s="46"/>
      <c r="W1871" s="46"/>
      <c r="X1871" s="62" t="s">
        <v>25</v>
      </c>
      <c r="Y1871" s="63" t="e">
        <f t="shared" si="321"/>
        <v>#DIV/0!</v>
      </c>
      <c r="Z1871" s="64">
        <f t="shared" si="322"/>
        <v>0</v>
      </c>
    </row>
    <row r="1872" spans="11:26" ht="15.75" customHeight="1">
      <c r="K1872" s="48">
        <f t="shared" si="323"/>
        <v>8</v>
      </c>
      <c r="L1872" s="48">
        <f t="shared" si="324"/>
        <v>68</v>
      </c>
      <c r="S1872" s="200"/>
      <c r="T1872" s="201"/>
      <c r="U1872" s="58"/>
      <c r="V1872" s="46"/>
      <c r="W1872" s="46"/>
      <c r="X1872" s="62" t="s">
        <v>25</v>
      </c>
      <c r="Y1872" s="63" t="e">
        <f t="shared" si="321"/>
        <v>#DIV/0!</v>
      </c>
      <c r="Z1872" s="64">
        <f t="shared" si="322"/>
        <v>0</v>
      </c>
    </row>
    <row r="1873" spans="11:26" ht="15.75" customHeight="1">
      <c r="K1873" s="48">
        <f t="shared" si="323"/>
        <v>8</v>
      </c>
      <c r="L1873" s="48">
        <f t="shared" si="324"/>
        <v>68</v>
      </c>
      <c r="S1873" s="200"/>
      <c r="T1873" s="201"/>
      <c r="U1873" s="58"/>
      <c r="V1873" s="46"/>
      <c r="W1873" s="46"/>
      <c r="X1873" s="62" t="s">
        <v>25</v>
      </c>
      <c r="Y1873" s="63" t="e">
        <f t="shared" si="321"/>
        <v>#DIV/0!</v>
      </c>
      <c r="Z1873" s="64">
        <f t="shared" si="322"/>
        <v>0</v>
      </c>
    </row>
    <row r="1874" spans="11:26" ht="15.75" customHeight="1">
      <c r="K1874" s="48">
        <f t="shared" si="323"/>
        <v>8</v>
      </c>
      <c r="L1874" s="48">
        <f t="shared" si="324"/>
        <v>68</v>
      </c>
      <c r="S1874" s="200"/>
      <c r="T1874" s="201"/>
      <c r="U1874" s="58"/>
      <c r="V1874" s="46"/>
      <c r="W1874" s="46"/>
      <c r="X1874" s="62" t="s">
        <v>25</v>
      </c>
      <c r="Y1874" s="63" t="e">
        <f t="shared" si="321"/>
        <v>#DIV/0!</v>
      </c>
      <c r="Z1874" s="64">
        <f t="shared" si="322"/>
        <v>0</v>
      </c>
    </row>
    <row r="1875" spans="11:26" ht="15.75" customHeight="1">
      <c r="K1875" s="48">
        <f t="shared" si="323"/>
        <v>8</v>
      </c>
      <c r="L1875" s="48">
        <f t="shared" si="324"/>
        <v>68</v>
      </c>
      <c r="S1875" s="200"/>
      <c r="T1875" s="201"/>
      <c r="U1875" s="58"/>
      <c r="V1875" s="46"/>
      <c r="W1875" s="46"/>
      <c r="X1875" s="62" t="s">
        <v>25</v>
      </c>
      <c r="Y1875" s="63" t="e">
        <f t="shared" si="321"/>
        <v>#DIV/0!</v>
      </c>
      <c r="Z1875" s="64">
        <f t="shared" si="322"/>
        <v>0</v>
      </c>
    </row>
    <row r="1876" spans="11:26" ht="15.75" customHeight="1">
      <c r="K1876" s="48">
        <f t="shared" si="323"/>
        <v>8</v>
      </c>
      <c r="L1876" s="48">
        <f t="shared" si="324"/>
        <v>68</v>
      </c>
      <c r="S1876" s="200"/>
      <c r="T1876" s="201"/>
      <c r="U1876" s="58"/>
      <c r="V1876" s="46"/>
      <c r="W1876" s="46"/>
      <c r="X1876" s="62" t="s">
        <v>25</v>
      </c>
      <c r="Y1876" s="63" t="e">
        <f t="shared" si="321"/>
        <v>#DIV/0!</v>
      </c>
      <c r="Z1876" s="64">
        <f t="shared" si="322"/>
        <v>0</v>
      </c>
    </row>
    <row r="1877" spans="11:26" ht="15.75" customHeight="1">
      <c r="K1877" s="48">
        <f t="shared" si="323"/>
        <v>8</v>
      </c>
      <c r="L1877" s="48">
        <f t="shared" si="324"/>
        <v>68</v>
      </c>
      <c r="S1877" s="200"/>
      <c r="T1877" s="201"/>
      <c r="U1877" s="58"/>
      <c r="V1877" s="46"/>
      <c r="W1877" s="46"/>
      <c r="X1877" s="62" t="s">
        <v>25</v>
      </c>
      <c r="Y1877" s="63" t="e">
        <f t="shared" si="321"/>
        <v>#DIV/0!</v>
      </c>
      <c r="Z1877" s="64">
        <f t="shared" si="322"/>
        <v>0</v>
      </c>
    </row>
    <row r="1878" spans="11:26" ht="15.75" customHeight="1">
      <c r="K1878" s="48">
        <f t="shared" si="323"/>
        <v>8</v>
      </c>
      <c r="L1878" s="48">
        <f t="shared" si="324"/>
        <v>68</v>
      </c>
      <c r="S1878" s="200"/>
      <c r="T1878" s="201"/>
      <c r="U1878" s="58"/>
      <c r="V1878" s="46"/>
      <c r="W1878" s="46"/>
      <c r="X1878" s="62" t="s">
        <v>25</v>
      </c>
      <c r="Y1878" s="63" t="e">
        <f t="shared" si="321"/>
        <v>#DIV/0!</v>
      </c>
      <c r="Z1878" s="64">
        <f t="shared" si="322"/>
        <v>0</v>
      </c>
    </row>
    <row r="1879" spans="11:26" ht="15.75" customHeight="1">
      <c r="K1879" s="48">
        <f t="shared" si="323"/>
        <v>8</v>
      </c>
      <c r="L1879" s="48">
        <f t="shared" si="324"/>
        <v>68</v>
      </c>
      <c r="S1879" s="200"/>
      <c r="T1879" s="201"/>
      <c r="U1879" s="58"/>
      <c r="V1879" s="46"/>
      <c r="W1879" s="46"/>
      <c r="X1879" s="62" t="s">
        <v>25</v>
      </c>
      <c r="Y1879" s="63" t="e">
        <f t="shared" si="321"/>
        <v>#DIV/0!</v>
      </c>
      <c r="Z1879" s="64">
        <f t="shared" si="322"/>
        <v>0</v>
      </c>
    </row>
    <row r="1880" spans="11:26" ht="15.75" customHeight="1">
      <c r="K1880" s="48">
        <f t="shared" si="323"/>
        <v>8</v>
      </c>
      <c r="L1880" s="48">
        <f t="shared" si="324"/>
        <v>68</v>
      </c>
      <c r="S1880" s="200"/>
      <c r="T1880" s="201"/>
      <c r="U1880" s="58"/>
      <c r="V1880" s="46"/>
      <c r="W1880" s="46"/>
      <c r="X1880" s="62" t="s">
        <v>25</v>
      </c>
      <c r="Y1880" s="63" t="e">
        <f t="shared" si="321"/>
        <v>#DIV/0!</v>
      </c>
      <c r="Z1880" s="64">
        <f t="shared" si="322"/>
        <v>0</v>
      </c>
    </row>
    <row r="1881" spans="11:26" ht="15.75" customHeight="1">
      <c r="K1881" s="48">
        <f t="shared" si="323"/>
        <v>8</v>
      </c>
      <c r="L1881" s="48">
        <f t="shared" si="324"/>
        <v>68</v>
      </c>
      <c r="S1881" s="200"/>
      <c r="T1881" s="201"/>
      <c r="U1881" s="58"/>
      <c r="V1881" s="46"/>
      <c r="W1881" s="46"/>
      <c r="X1881" s="62" t="s">
        <v>25</v>
      </c>
      <c r="Y1881" s="63" t="e">
        <f t="shared" si="321"/>
        <v>#DIV/0!</v>
      </c>
      <c r="Z1881" s="64">
        <f t="shared" si="322"/>
        <v>0</v>
      </c>
    </row>
    <row r="1882" spans="11:26" ht="15.75" customHeight="1">
      <c r="K1882" s="48">
        <f t="shared" si="323"/>
        <v>8</v>
      </c>
      <c r="L1882" s="48">
        <f t="shared" si="324"/>
        <v>68</v>
      </c>
      <c r="S1882" s="200"/>
      <c r="T1882" s="201"/>
      <c r="U1882" s="58"/>
      <c r="V1882" s="46"/>
      <c r="W1882" s="46"/>
      <c r="X1882" s="62" t="s">
        <v>25</v>
      </c>
      <c r="Y1882" s="63" t="e">
        <f t="shared" si="321"/>
        <v>#DIV/0!</v>
      </c>
      <c r="Z1882" s="64">
        <f t="shared" si="322"/>
        <v>0</v>
      </c>
    </row>
    <row r="1883" spans="11:26" ht="15.75" customHeight="1">
      <c r="K1883" s="48">
        <f t="shared" si="323"/>
        <v>8</v>
      </c>
      <c r="L1883" s="48">
        <f t="shared" si="324"/>
        <v>68</v>
      </c>
      <c r="S1883" s="200"/>
      <c r="T1883" s="201"/>
      <c r="U1883" s="58"/>
      <c r="V1883" s="46"/>
      <c r="W1883" s="46"/>
      <c r="X1883" s="62" t="s">
        <v>25</v>
      </c>
      <c r="Y1883" s="63" t="e">
        <f t="shared" si="321"/>
        <v>#DIV/0!</v>
      </c>
      <c r="Z1883" s="64">
        <f t="shared" si="322"/>
        <v>0</v>
      </c>
    </row>
    <row r="1884" spans="11:26" ht="15.75" customHeight="1">
      <c r="K1884" s="48">
        <f t="shared" si="323"/>
        <v>8</v>
      </c>
      <c r="L1884" s="48">
        <f t="shared" si="324"/>
        <v>68</v>
      </c>
      <c r="S1884" s="200"/>
      <c r="T1884" s="201"/>
      <c r="U1884" s="58"/>
      <c r="V1884" s="46"/>
      <c r="W1884" s="46"/>
      <c r="X1884" s="62" t="s">
        <v>25</v>
      </c>
      <c r="Y1884" s="63" t="e">
        <f t="shared" si="321"/>
        <v>#DIV/0!</v>
      </c>
      <c r="Z1884" s="64">
        <f t="shared" si="322"/>
        <v>0</v>
      </c>
    </row>
    <row r="1885" spans="11:26" ht="15.75" customHeight="1">
      <c r="K1885" s="48">
        <f t="shared" si="323"/>
        <v>8</v>
      </c>
      <c r="L1885" s="48">
        <f t="shared" si="324"/>
        <v>68</v>
      </c>
      <c r="S1885" s="200"/>
      <c r="T1885" s="201"/>
      <c r="U1885" s="58"/>
      <c r="V1885" s="46"/>
      <c r="W1885" s="46"/>
      <c r="X1885" s="62" t="s">
        <v>25</v>
      </c>
      <c r="Y1885" s="63" t="e">
        <f t="shared" si="321"/>
        <v>#DIV/0!</v>
      </c>
      <c r="Z1885" s="64">
        <f t="shared" si="322"/>
        <v>0</v>
      </c>
    </row>
    <row r="1886" spans="11:26" ht="15.75" customHeight="1">
      <c r="K1886" s="48">
        <f t="shared" si="323"/>
        <v>8</v>
      </c>
      <c r="L1886" s="48">
        <f t="shared" si="324"/>
        <v>68</v>
      </c>
      <c r="S1886" s="200"/>
      <c r="T1886" s="201"/>
      <c r="U1886" s="58"/>
      <c r="V1886" s="46"/>
      <c r="W1886" s="46"/>
      <c r="X1886" s="62" t="s">
        <v>25</v>
      </c>
      <c r="Y1886" s="63" t="e">
        <f t="shared" si="321"/>
        <v>#DIV/0!</v>
      </c>
      <c r="Z1886" s="64">
        <f t="shared" si="322"/>
        <v>0</v>
      </c>
    </row>
    <row r="1887" spans="11:26" ht="15.75" customHeight="1">
      <c r="K1887" s="48">
        <f t="shared" si="323"/>
        <v>8</v>
      </c>
      <c r="L1887" s="48">
        <f t="shared" si="324"/>
        <v>68</v>
      </c>
      <c r="S1887" s="200"/>
      <c r="T1887" s="201"/>
      <c r="U1887" s="58"/>
      <c r="V1887" s="46"/>
      <c r="W1887" s="46"/>
      <c r="X1887" s="62" t="s">
        <v>25</v>
      </c>
      <c r="Y1887" s="63" t="e">
        <f t="shared" si="321"/>
        <v>#DIV/0!</v>
      </c>
      <c r="Z1887" s="64">
        <f t="shared" si="322"/>
        <v>0</v>
      </c>
    </row>
    <row r="1888" spans="11:26" ht="15.75" customHeight="1">
      <c r="K1888" s="48">
        <f t="shared" si="323"/>
        <v>8</v>
      </c>
      <c r="L1888" s="48">
        <f t="shared" si="324"/>
        <v>68</v>
      </c>
      <c r="S1888" s="200"/>
      <c r="T1888" s="201"/>
      <c r="U1888" s="58"/>
      <c r="V1888" s="46"/>
      <c r="W1888" s="46"/>
      <c r="X1888" s="62" t="s">
        <v>25</v>
      </c>
      <c r="Y1888" s="63" t="e">
        <f t="shared" si="321"/>
        <v>#DIV/0!</v>
      </c>
      <c r="Z1888" s="64">
        <f t="shared" si="322"/>
        <v>0</v>
      </c>
    </row>
    <row r="1889" spans="11:26" ht="15.75" customHeight="1">
      <c r="K1889" s="48">
        <f t="shared" si="323"/>
        <v>8</v>
      </c>
      <c r="L1889" s="48">
        <f t="shared" si="324"/>
        <v>68</v>
      </c>
      <c r="S1889" s="200"/>
      <c r="T1889" s="201"/>
      <c r="U1889" s="58"/>
      <c r="V1889" s="46"/>
      <c r="W1889" s="46"/>
      <c r="X1889" s="62" t="s">
        <v>25</v>
      </c>
      <c r="Y1889" s="63" t="e">
        <f t="shared" si="321"/>
        <v>#DIV/0!</v>
      </c>
      <c r="Z1889" s="64">
        <f t="shared" si="322"/>
        <v>0</v>
      </c>
    </row>
    <row r="1890" spans="11:26" ht="15.75" customHeight="1">
      <c r="K1890" s="48">
        <f t="shared" si="323"/>
        <v>8</v>
      </c>
      <c r="L1890" s="48">
        <f t="shared" si="324"/>
        <v>68</v>
      </c>
      <c r="S1890" s="200"/>
      <c r="T1890" s="201"/>
      <c r="U1890" s="58"/>
      <c r="V1890" s="46"/>
      <c r="W1890" s="46"/>
      <c r="X1890" s="62" t="s">
        <v>25</v>
      </c>
      <c r="Y1890" s="63" t="e">
        <f t="shared" si="321"/>
        <v>#DIV/0!</v>
      </c>
      <c r="Z1890" s="64">
        <f t="shared" si="322"/>
        <v>0</v>
      </c>
    </row>
    <row r="1891" spans="11:26" ht="15.75" customHeight="1">
      <c r="K1891" s="48">
        <f t="shared" si="323"/>
        <v>8</v>
      </c>
      <c r="L1891" s="48">
        <f t="shared" si="324"/>
        <v>68</v>
      </c>
      <c r="S1891" s="200"/>
      <c r="T1891" s="201"/>
      <c r="U1891" s="58"/>
      <c r="V1891" s="46"/>
      <c r="W1891" s="46"/>
      <c r="X1891" s="62" t="s">
        <v>25</v>
      </c>
      <c r="Y1891" s="63" t="e">
        <f t="shared" si="321"/>
        <v>#DIV/0!</v>
      </c>
      <c r="Z1891" s="64">
        <f t="shared" si="322"/>
        <v>0</v>
      </c>
    </row>
    <row r="1892" spans="11:26" ht="15.75" customHeight="1">
      <c r="K1892" s="48">
        <f t="shared" si="323"/>
        <v>8</v>
      </c>
      <c r="L1892" s="48">
        <f t="shared" si="324"/>
        <v>68</v>
      </c>
      <c r="S1892" s="200"/>
      <c r="T1892" s="201"/>
      <c r="U1892" s="58"/>
      <c r="V1892" s="46"/>
      <c r="W1892" s="46"/>
      <c r="X1892" s="62" t="s">
        <v>25</v>
      </c>
      <c r="Y1892" s="63" t="e">
        <f t="shared" si="321"/>
        <v>#DIV/0!</v>
      </c>
      <c r="Z1892" s="64">
        <f t="shared" si="322"/>
        <v>0</v>
      </c>
    </row>
    <row r="1893" spans="11:26" ht="15.75" customHeight="1">
      <c r="K1893" s="48">
        <f t="shared" si="323"/>
        <v>8</v>
      </c>
      <c r="L1893" s="48">
        <f t="shared" si="324"/>
        <v>68</v>
      </c>
      <c r="S1893" s="200"/>
      <c r="T1893" s="201"/>
      <c r="U1893" s="58"/>
      <c r="V1893" s="46"/>
      <c r="W1893" s="46"/>
      <c r="X1893" s="62" t="s">
        <v>25</v>
      </c>
      <c r="Y1893" s="63" t="e">
        <f t="shared" si="321"/>
        <v>#DIV/0!</v>
      </c>
      <c r="Z1893" s="64">
        <f t="shared" si="322"/>
        <v>0</v>
      </c>
    </row>
    <row r="1894" spans="11:26" ht="15.75" customHeight="1">
      <c r="K1894" s="48">
        <f t="shared" si="323"/>
        <v>8</v>
      </c>
      <c r="L1894" s="48">
        <f t="shared" si="324"/>
        <v>68</v>
      </c>
      <c r="S1894" s="200"/>
      <c r="T1894" s="201"/>
      <c r="U1894" s="58"/>
      <c r="V1894" s="46"/>
      <c r="W1894" s="46"/>
      <c r="X1894" s="62" t="s">
        <v>25</v>
      </c>
      <c r="Y1894" s="63" t="e">
        <f t="shared" si="321"/>
        <v>#DIV/0!</v>
      </c>
      <c r="Z1894" s="64">
        <f t="shared" si="322"/>
        <v>0</v>
      </c>
    </row>
    <row r="1895" spans="11:26" ht="15.75" customHeight="1">
      <c r="K1895" s="48">
        <f t="shared" si="323"/>
        <v>8</v>
      </c>
      <c r="L1895" s="48">
        <f t="shared" si="324"/>
        <v>68</v>
      </c>
      <c r="S1895" s="200"/>
      <c r="T1895" s="201"/>
      <c r="U1895" s="58"/>
      <c r="V1895" s="46"/>
      <c r="W1895" s="46"/>
      <c r="X1895" s="62" t="s">
        <v>25</v>
      </c>
      <c r="Y1895" s="63" t="e">
        <f t="shared" si="321"/>
        <v>#DIV/0!</v>
      </c>
      <c r="Z1895" s="64">
        <f t="shared" si="322"/>
        <v>0</v>
      </c>
    </row>
    <row r="1896" spans="11:26" ht="15.75" customHeight="1">
      <c r="K1896" s="48">
        <f t="shared" si="323"/>
        <v>8</v>
      </c>
      <c r="L1896" s="48">
        <f t="shared" si="324"/>
        <v>68</v>
      </c>
      <c r="S1896" s="200"/>
      <c r="T1896" s="201"/>
      <c r="U1896" s="58"/>
      <c r="V1896" s="46"/>
      <c r="W1896" s="46"/>
      <c r="X1896" s="62" t="s">
        <v>25</v>
      </c>
      <c r="Y1896" s="63" t="e">
        <f t="shared" si="321"/>
        <v>#DIV/0!</v>
      </c>
      <c r="Z1896" s="64">
        <f t="shared" si="322"/>
        <v>0</v>
      </c>
    </row>
    <row r="1897" spans="11:26" ht="15.75" customHeight="1">
      <c r="K1897" s="48">
        <f t="shared" si="323"/>
        <v>8</v>
      </c>
      <c r="L1897" s="48">
        <f t="shared" si="324"/>
        <v>68</v>
      </c>
      <c r="S1897" s="200"/>
      <c r="T1897" s="201"/>
      <c r="U1897" s="58"/>
      <c r="V1897" s="46"/>
      <c r="W1897" s="46"/>
      <c r="X1897" s="62" t="s">
        <v>25</v>
      </c>
      <c r="Y1897" s="63" t="e">
        <f t="shared" si="321"/>
        <v>#DIV/0!</v>
      </c>
      <c r="Z1897" s="64">
        <f t="shared" si="322"/>
        <v>0</v>
      </c>
    </row>
    <row r="1898" spans="11:26" ht="15.75" customHeight="1">
      <c r="K1898" s="48">
        <f t="shared" si="323"/>
        <v>8</v>
      </c>
      <c r="L1898" s="48">
        <f t="shared" si="324"/>
        <v>68</v>
      </c>
      <c r="S1898" s="200"/>
      <c r="T1898" s="201"/>
      <c r="U1898" s="58"/>
      <c r="V1898" s="46"/>
      <c r="W1898" s="46"/>
      <c r="X1898" s="62" t="s">
        <v>25</v>
      </c>
      <c r="Y1898" s="63" t="e">
        <f t="shared" si="321"/>
        <v>#DIV/0!</v>
      </c>
      <c r="Z1898" s="64">
        <f t="shared" si="322"/>
        <v>0</v>
      </c>
    </row>
    <row r="1899" spans="11:26" ht="15.75" customHeight="1">
      <c r="K1899" s="48">
        <f t="shared" si="323"/>
        <v>8</v>
      </c>
      <c r="L1899" s="48">
        <f t="shared" si="324"/>
        <v>68</v>
      </c>
      <c r="S1899" s="200"/>
      <c r="T1899" s="201"/>
      <c r="U1899" s="58"/>
      <c r="V1899" s="46"/>
      <c r="W1899" s="46"/>
      <c r="X1899" s="62" t="s">
        <v>25</v>
      </c>
      <c r="Y1899" s="63" t="e">
        <f t="shared" si="321"/>
        <v>#DIV/0!</v>
      </c>
      <c r="Z1899" s="64">
        <f t="shared" si="322"/>
        <v>0</v>
      </c>
    </row>
    <row r="1900" spans="11:26" ht="15.75" customHeight="1">
      <c r="K1900" s="48">
        <f t="shared" si="323"/>
        <v>8</v>
      </c>
      <c r="L1900" s="48">
        <f t="shared" si="324"/>
        <v>68</v>
      </c>
      <c r="S1900" s="200"/>
      <c r="T1900" s="201"/>
      <c r="U1900" s="58"/>
      <c r="V1900" s="46"/>
      <c r="W1900" s="46"/>
      <c r="X1900" s="62" t="s">
        <v>25</v>
      </c>
      <c r="Y1900" s="63" t="e">
        <f t="shared" si="321"/>
        <v>#DIV/0!</v>
      </c>
      <c r="Z1900" s="64">
        <f t="shared" si="322"/>
        <v>0</v>
      </c>
    </row>
    <row r="1901" spans="11:26" ht="15.75" customHeight="1">
      <c r="K1901" s="48">
        <f t="shared" si="323"/>
        <v>8</v>
      </c>
      <c r="L1901" s="48">
        <f t="shared" si="324"/>
        <v>68</v>
      </c>
      <c r="S1901" s="200"/>
      <c r="T1901" s="201"/>
      <c r="U1901" s="58"/>
      <c r="V1901" s="46"/>
      <c r="W1901" s="46"/>
      <c r="X1901" s="62" t="s">
        <v>25</v>
      </c>
      <c r="Y1901" s="63" t="e">
        <f t="shared" si="321"/>
        <v>#DIV/0!</v>
      </c>
      <c r="Z1901" s="64">
        <f t="shared" si="322"/>
        <v>0</v>
      </c>
    </row>
    <row r="1902" spans="11:26" ht="15.75" customHeight="1">
      <c r="K1902" s="48">
        <f t="shared" si="323"/>
        <v>8</v>
      </c>
      <c r="L1902" s="48">
        <f t="shared" si="324"/>
        <v>68</v>
      </c>
      <c r="S1902" s="200"/>
      <c r="T1902" s="201"/>
      <c r="U1902" s="58"/>
      <c r="V1902" s="46"/>
      <c r="W1902" s="46"/>
      <c r="X1902" s="62" t="s">
        <v>25</v>
      </c>
      <c r="Y1902" s="63" t="e">
        <f t="shared" si="321"/>
        <v>#DIV/0!</v>
      </c>
      <c r="Z1902" s="64">
        <f t="shared" si="322"/>
        <v>0</v>
      </c>
    </row>
    <row r="1903" spans="11:26" ht="15.75" customHeight="1">
      <c r="K1903" s="48">
        <f t="shared" si="323"/>
        <v>8</v>
      </c>
      <c r="L1903" s="48">
        <f t="shared" si="324"/>
        <v>68</v>
      </c>
      <c r="S1903" s="200"/>
      <c r="T1903" s="201"/>
      <c r="U1903" s="58"/>
      <c r="V1903" s="46"/>
      <c r="W1903" s="46"/>
      <c r="X1903" s="62" t="s">
        <v>25</v>
      </c>
      <c r="Y1903" s="63" t="e">
        <f t="shared" si="321"/>
        <v>#DIV/0!</v>
      </c>
      <c r="Z1903" s="64">
        <f t="shared" si="322"/>
        <v>0</v>
      </c>
    </row>
    <row r="1904" spans="11:26" ht="15.75" customHeight="1">
      <c r="K1904" s="48">
        <f t="shared" si="323"/>
        <v>8</v>
      </c>
      <c r="L1904" s="48">
        <f t="shared" si="324"/>
        <v>68</v>
      </c>
      <c r="S1904" s="200"/>
      <c r="T1904" s="201"/>
      <c r="U1904" s="58"/>
      <c r="V1904" s="46"/>
      <c r="W1904" s="46"/>
      <c r="X1904" s="62" t="s">
        <v>25</v>
      </c>
      <c r="Y1904" s="63" t="e">
        <f t="shared" si="321"/>
        <v>#DIV/0!</v>
      </c>
      <c r="Z1904" s="64">
        <f t="shared" si="322"/>
        <v>0</v>
      </c>
    </row>
    <row r="1905" spans="11:26" ht="15.75" customHeight="1">
      <c r="K1905" s="48">
        <f t="shared" si="323"/>
        <v>8</v>
      </c>
      <c r="L1905" s="48">
        <f t="shared" si="324"/>
        <v>68</v>
      </c>
      <c r="S1905" s="200"/>
      <c r="T1905" s="201"/>
      <c r="U1905" s="58"/>
      <c r="V1905" s="46"/>
      <c r="W1905" s="46"/>
      <c r="X1905" s="62" t="s">
        <v>25</v>
      </c>
      <c r="Y1905" s="63" t="e">
        <f t="shared" si="321"/>
        <v>#DIV/0!</v>
      </c>
      <c r="Z1905" s="64">
        <f t="shared" si="322"/>
        <v>0</v>
      </c>
    </row>
    <row r="1906" spans="11:26" ht="15.75" customHeight="1">
      <c r="K1906" s="48">
        <f t="shared" si="323"/>
        <v>8</v>
      </c>
      <c r="L1906" s="48">
        <f t="shared" si="324"/>
        <v>68</v>
      </c>
      <c r="S1906" s="200"/>
      <c r="T1906" s="201"/>
      <c r="U1906" s="58"/>
      <c r="V1906" s="46"/>
      <c r="W1906" s="46"/>
      <c r="X1906" s="62" t="s">
        <v>25</v>
      </c>
      <c r="Y1906" s="63" t="e">
        <f t="shared" si="321"/>
        <v>#DIV/0!</v>
      </c>
      <c r="Z1906" s="64">
        <f t="shared" si="322"/>
        <v>0</v>
      </c>
    </row>
    <row r="1907" spans="11:26" ht="15.75" customHeight="1">
      <c r="K1907" s="48">
        <f t="shared" si="323"/>
        <v>8</v>
      </c>
      <c r="L1907" s="48">
        <f t="shared" si="324"/>
        <v>68</v>
      </c>
      <c r="S1907" s="200"/>
      <c r="T1907" s="201"/>
      <c r="U1907" s="58"/>
      <c r="V1907" s="46"/>
      <c r="W1907" s="46"/>
      <c r="X1907" s="62" t="s">
        <v>25</v>
      </c>
      <c r="Y1907" s="63" t="e">
        <f t="shared" si="321"/>
        <v>#DIV/0!</v>
      </c>
      <c r="Z1907" s="64">
        <f t="shared" si="322"/>
        <v>0</v>
      </c>
    </row>
    <row r="1908" spans="11:26" ht="15.75" customHeight="1">
      <c r="K1908" s="48">
        <f t="shared" si="323"/>
        <v>8</v>
      </c>
      <c r="L1908" s="48">
        <f t="shared" si="324"/>
        <v>68</v>
      </c>
      <c r="S1908" s="200"/>
      <c r="T1908" s="201"/>
      <c r="U1908" s="58"/>
      <c r="V1908" s="46"/>
      <c r="W1908" s="46"/>
      <c r="X1908" s="62" t="s">
        <v>25</v>
      </c>
      <c r="Y1908" s="63" t="e">
        <f t="shared" ref="Y1908:Y1971" si="325">F1908/E1908</f>
        <v>#DIV/0!</v>
      </c>
      <c r="Z1908" s="64">
        <f t="shared" si="322"/>
        <v>0</v>
      </c>
    </row>
    <row r="1909" spans="11:26" ht="15.75" customHeight="1">
      <c r="K1909" s="48">
        <f t="shared" si="323"/>
        <v>8</v>
      </c>
      <c r="L1909" s="48">
        <f t="shared" si="324"/>
        <v>68</v>
      </c>
      <c r="S1909" s="200"/>
      <c r="T1909" s="201"/>
      <c r="U1909" s="58"/>
      <c r="V1909" s="46"/>
      <c r="W1909" s="46"/>
      <c r="X1909" s="62" t="s">
        <v>25</v>
      </c>
      <c r="Y1909" s="63" t="e">
        <f t="shared" si="325"/>
        <v>#DIV/0!</v>
      </c>
      <c r="Z1909" s="64">
        <f t="shared" si="322"/>
        <v>0</v>
      </c>
    </row>
    <row r="1910" spans="11:26" ht="15.75" customHeight="1">
      <c r="K1910" s="48">
        <f t="shared" si="323"/>
        <v>8</v>
      </c>
      <c r="L1910" s="48">
        <f t="shared" si="324"/>
        <v>68</v>
      </c>
      <c r="S1910" s="200"/>
      <c r="T1910" s="201"/>
      <c r="U1910" s="58"/>
      <c r="V1910" s="46"/>
      <c r="W1910" s="46"/>
      <c r="X1910" s="62" t="s">
        <v>25</v>
      </c>
      <c r="Y1910" s="63" t="e">
        <f t="shared" si="325"/>
        <v>#DIV/0!</v>
      </c>
      <c r="Z1910" s="64">
        <f t="shared" si="322"/>
        <v>0</v>
      </c>
    </row>
    <row r="1911" spans="11:26" ht="15.75" customHeight="1">
      <c r="K1911" s="48">
        <f t="shared" si="323"/>
        <v>8</v>
      </c>
      <c r="L1911" s="48">
        <f t="shared" si="324"/>
        <v>68</v>
      </c>
      <c r="S1911" s="200"/>
      <c r="T1911" s="201"/>
      <c r="U1911" s="58"/>
      <c r="V1911" s="46"/>
      <c r="W1911" s="46"/>
      <c r="X1911" s="62" t="s">
        <v>25</v>
      </c>
      <c r="Y1911" s="63" t="e">
        <f t="shared" si="325"/>
        <v>#DIV/0!</v>
      </c>
      <c r="Z1911" s="64">
        <f t="shared" si="322"/>
        <v>0</v>
      </c>
    </row>
    <row r="1912" spans="11:26" ht="15.75" customHeight="1">
      <c r="K1912" s="48">
        <f t="shared" si="323"/>
        <v>8</v>
      </c>
      <c r="L1912" s="48">
        <f t="shared" si="324"/>
        <v>68</v>
      </c>
      <c r="S1912" s="200"/>
      <c r="T1912" s="201"/>
      <c r="U1912" s="58"/>
      <c r="V1912" s="46"/>
      <c r="W1912" s="46"/>
      <c r="X1912" s="62" t="s">
        <v>25</v>
      </c>
      <c r="Y1912" s="63" t="e">
        <f t="shared" si="325"/>
        <v>#DIV/0!</v>
      </c>
      <c r="Z1912" s="64">
        <f t="shared" si="322"/>
        <v>0</v>
      </c>
    </row>
    <row r="1913" spans="11:26" ht="15.75" customHeight="1">
      <c r="K1913" s="48">
        <f t="shared" si="323"/>
        <v>8</v>
      </c>
      <c r="L1913" s="48">
        <f t="shared" si="324"/>
        <v>68</v>
      </c>
      <c r="S1913" s="200"/>
      <c r="T1913" s="201"/>
      <c r="U1913" s="58"/>
      <c r="V1913" s="46"/>
      <c r="W1913" s="46"/>
      <c r="X1913" s="62" t="s">
        <v>25</v>
      </c>
      <c r="Y1913" s="63" t="e">
        <f t="shared" si="325"/>
        <v>#DIV/0!</v>
      </c>
      <c r="Z1913" s="64">
        <f t="shared" si="322"/>
        <v>0</v>
      </c>
    </row>
    <row r="1914" spans="11:26" ht="15.75" customHeight="1">
      <c r="K1914" s="48">
        <f t="shared" si="323"/>
        <v>8</v>
      </c>
      <c r="L1914" s="48">
        <f t="shared" si="324"/>
        <v>68</v>
      </c>
      <c r="S1914" s="200"/>
      <c r="T1914" s="201"/>
      <c r="U1914" s="58"/>
      <c r="V1914" s="46"/>
      <c r="W1914" s="46"/>
      <c r="X1914" s="62" t="s">
        <v>25</v>
      </c>
      <c r="Y1914" s="63" t="e">
        <f t="shared" si="325"/>
        <v>#DIV/0!</v>
      </c>
      <c r="Z1914" s="64">
        <f t="shared" si="322"/>
        <v>0</v>
      </c>
    </row>
    <row r="1915" spans="11:26" ht="15.75" customHeight="1">
      <c r="K1915" s="48">
        <f t="shared" si="323"/>
        <v>8</v>
      </c>
      <c r="L1915" s="48">
        <f t="shared" si="324"/>
        <v>68</v>
      </c>
      <c r="S1915" s="200"/>
      <c r="T1915" s="201"/>
      <c r="U1915" s="58"/>
      <c r="V1915" s="46"/>
      <c r="W1915" s="46"/>
      <c r="X1915" s="62" t="s">
        <v>25</v>
      </c>
      <c r="Y1915" s="63" t="e">
        <f t="shared" si="325"/>
        <v>#DIV/0!</v>
      </c>
      <c r="Z1915" s="64">
        <f t="shared" si="322"/>
        <v>0</v>
      </c>
    </row>
    <row r="1916" spans="11:26" ht="15.75" customHeight="1">
      <c r="K1916" s="48">
        <f t="shared" si="323"/>
        <v>8</v>
      </c>
      <c r="L1916" s="48">
        <f t="shared" si="324"/>
        <v>68</v>
      </c>
      <c r="S1916" s="200"/>
      <c r="T1916" s="201"/>
      <c r="U1916" s="58"/>
      <c r="V1916" s="46"/>
      <c r="W1916" s="46"/>
      <c r="X1916" s="62" t="s">
        <v>25</v>
      </c>
      <c r="Y1916" s="63" t="e">
        <f t="shared" si="325"/>
        <v>#DIV/0!</v>
      </c>
      <c r="Z1916" s="64">
        <f t="shared" si="322"/>
        <v>0</v>
      </c>
    </row>
    <row r="1917" spans="11:26" ht="15.75" customHeight="1">
      <c r="K1917" s="48">
        <f t="shared" si="323"/>
        <v>8</v>
      </c>
      <c r="L1917" s="48">
        <f t="shared" si="324"/>
        <v>68</v>
      </c>
      <c r="S1917" s="200"/>
      <c r="T1917" s="201"/>
      <c r="U1917" s="58"/>
      <c r="V1917" s="46"/>
      <c r="W1917" s="46"/>
      <c r="X1917" s="62" t="s">
        <v>25</v>
      </c>
      <c r="Y1917" s="63" t="e">
        <f t="shared" si="325"/>
        <v>#DIV/0!</v>
      </c>
      <c r="Z1917" s="64">
        <f t="shared" si="322"/>
        <v>0</v>
      </c>
    </row>
    <row r="1918" spans="11:26" ht="15.75" customHeight="1">
      <c r="K1918" s="48">
        <f t="shared" si="323"/>
        <v>8</v>
      </c>
      <c r="L1918" s="48">
        <f t="shared" si="324"/>
        <v>68</v>
      </c>
      <c r="S1918" s="200"/>
      <c r="T1918" s="201"/>
      <c r="U1918" s="58"/>
      <c r="V1918" s="46"/>
      <c r="W1918" s="46"/>
      <c r="X1918" s="62" t="s">
        <v>25</v>
      </c>
      <c r="Y1918" s="63" t="e">
        <f t="shared" si="325"/>
        <v>#DIV/0!</v>
      </c>
      <c r="Z1918" s="64">
        <f t="shared" ref="Z1918:Z1981" si="326">E1918-N1918</f>
        <v>0</v>
      </c>
    </row>
    <row r="1919" spans="11:26" ht="15.75" customHeight="1">
      <c r="K1919" s="48">
        <f t="shared" si="323"/>
        <v>8</v>
      </c>
      <c r="L1919" s="48">
        <f t="shared" si="324"/>
        <v>68</v>
      </c>
      <c r="S1919" s="200"/>
      <c r="T1919" s="201"/>
      <c r="U1919" s="58"/>
      <c r="V1919" s="46"/>
      <c r="W1919" s="46"/>
      <c r="X1919" s="62" t="s">
        <v>25</v>
      </c>
      <c r="Y1919" s="63" t="e">
        <f t="shared" si="325"/>
        <v>#DIV/0!</v>
      </c>
      <c r="Z1919" s="64">
        <f t="shared" si="326"/>
        <v>0</v>
      </c>
    </row>
    <row r="1920" spans="11:26" ht="15.75" customHeight="1">
      <c r="K1920" s="48">
        <f t="shared" si="323"/>
        <v>8</v>
      </c>
      <c r="L1920" s="48">
        <f t="shared" si="324"/>
        <v>68</v>
      </c>
      <c r="S1920" s="200"/>
      <c r="T1920" s="201"/>
      <c r="U1920" s="58"/>
      <c r="V1920" s="46"/>
      <c r="W1920" s="46"/>
      <c r="X1920" s="62" t="s">
        <v>25</v>
      </c>
      <c r="Y1920" s="63" t="e">
        <f t="shared" si="325"/>
        <v>#DIV/0!</v>
      </c>
      <c r="Z1920" s="64">
        <f t="shared" si="326"/>
        <v>0</v>
      </c>
    </row>
    <row r="1921" spans="11:26" ht="15.75" customHeight="1">
      <c r="K1921" s="48">
        <f t="shared" si="323"/>
        <v>8</v>
      </c>
      <c r="L1921" s="48">
        <f t="shared" si="324"/>
        <v>68</v>
      </c>
      <c r="S1921" s="200"/>
      <c r="T1921" s="201"/>
      <c r="U1921" s="58"/>
      <c r="V1921" s="46"/>
      <c r="W1921" s="46"/>
      <c r="X1921" s="62" t="s">
        <v>25</v>
      </c>
      <c r="Y1921" s="63" t="e">
        <f t="shared" si="325"/>
        <v>#DIV/0!</v>
      </c>
      <c r="Z1921" s="64">
        <f t="shared" si="326"/>
        <v>0</v>
      </c>
    </row>
    <row r="1922" spans="11:26" ht="15.75" customHeight="1">
      <c r="K1922" s="48">
        <f t="shared" si="323"/>
        <v>8</v>
      </c>
      <c r="L1922" s="48">
        <f t="shared" si="324"/>
        <v>68</v>
      </c>
      <c r="S1922" s="200"/>
      <c r="T1922" s="201"/>
      <c r="U1922" s="58"/>
      <c r="V1922" s="46"/>
      <c r="W1922" s="46"/>
      <c r="X1922" s="62" t="s">
        <v>25</v>
      </c>
      <c r="Y1922" s="63" t="e">
        <f t="shared" si="325"/>
        <v>#DIV/0!</v>
      </c>
      <c r="Z1922" s="64">
        <f t="shared" si="326"/>
        <v>0</v>
      </c>
    </row>
    <row r="1923" spans="11:26" ht="15.75" customHeight="1">
      <c r="K1923" s="48">
        <f t="shared" si="323"/>
        <v>8</v>
      </c>
      <c r="L1923" s="48">
        <f t="shared" si="324"/>
        <v>68</v>
      </c>
      <c r="S1923" s="200"/>
      <c r="T1923" s="201"/>
      <c r="U1923" s="58"/>
      <c r="V1923" s="46"/>
      <c r="W1923" s="46"/>
      <c r="X1923" s="62" t="s">
        <v>25</v>
      </c>
      <c r="Y1923" s="63" t="e">
        <f t="shared" si="325"/>
        <v>#DIV/0!</v>
      </c>
      <c r="Z1923" s="64">
        <f t="shared" si="326"/>
        <v>0</v>
      </c>
    </row>
    <row r="1924" spans="11:26" ht="15.75" customHeight="1">
      <c r="K1924" s="48">
        <f t="shared" si="323"/>
        <v>8</v>
      </c>
      <c r="L1924" s="48">
        <f t="shared" si="324"/>
        <v>68</v>
      </c>
      <c r="S1924" s="200"/>
      <c r="T1924" s="201"/>
      <c r="U1924" s="58"/>
      <c r="V1924" s="46"/>
      <c r="W1924" s="46"/>
      <c r="X1924" s="62" t="s">
        <v>25</v>
      </c>
      <c r="Y1924" s="63" t="e">
        <f t="shared" si="325"/>
        <v>#DIV/0!</v>
      </c>
      <c r="Z1924" s="64">
        <f t="shared" si="326"/>
        <v>0</v>
      </c>
    </row>
    <row r="1925" spans="11:26" ht="15.75" customHeight="1">
      <c r="K1925" s="48">
        <f t="shared" si="323"/>
        <v>8</v>
      </c>
      <c r="L1925" s="48">
        <f t="shared" si="324"/>
        <v>68</v>
      </c>
      <c r="S1925" s="200"/>
      <c r="T1925" s="201"/>
      <c r="U1925" s="58"/>
      <c r="V1925" s="46"/>
      <c r="W1925" s="46"/>
      <c r="X1925" s="62" t="s">
        <v>25</v>
      </c>
      <c r="Y1925" s="63" t="e">
        <f t="shared" si="325"/>
        <v>#DIV/0!</v>
      </c>
      <c r="Z1925" s="64">
        <f t="shared" si="326"/>
        <v>0</v>
      </c>
    </row>
    <row r="1926" spans="11:26" ht="15.75" customHeight="1">
      <c r="K1926" s="48">
        <f t="shared" si="323"/>
        <v>8</v>
      </c>
      <c r="L1926" s="48">
        <f t="shared" si="324"/>
        <v>68</v>
      </c>
      <c r="S1926" s="200"/>
      <c r="T1926" s="201"/>
      <c r="U1926" s="58"/>
      <c r="V1926" s="46"/>
      <c r="W1926" s="46"/>
      <c r="X1926" s="62" t="s">
        <v>25</v>
      </c>
      <c r="Y1926" s="63" t="e">
        <f t="shared" si="325"/>
        <v>#DIV/0!</v>
      </c>
      <c r="Z1926" s="64">
        <f t="shared" si="326"/>
        <v>0</v>
      </c>
    </row>
    <row r="1927" spans="11:26" ht="15.75" customHeight="1">
      <c r="K1927" s="48">
        <f t="shared" si="323"/>
        <v>8</v>
      </c>
      <c r="L1927" s="48">
        <f t="shared" si="324"/>
        <v>68</v>
      </c>
      <c r="S1927" s="200"/>
      <c r="T1927" s="201"/>
      <c r="U1927" s="58"/>
      <c r="V1927" s="46"/>
      <c r="W1927" s="46"/>
      <c r="X1927" s="62" t="s">
        <v>25</v>
      </c>
      <c r="Y1927" s="63" t="e">
        <f t="shared" si="325"/>
        <v>#DIV/0!</v>
      </c>
      <c r="Z1927" s="64">
        <f t="shared" si="326"/>
        <v>0</v>
      </c>
    </row>
    <row r="1928" spans="11:26" ht="15.75" customHeight="1">
      <c r="K1928" s="48">
        <f t="shared" si="323"/>
        <v>8</v>
      </c>
      <c r="L1928" s="48">
        <f t="shared" si="324"/>
        <v>68</v>
      </c>
      <c r="S1928" s="200"/>
      <c r="T1928" s="201"/>
      <c r="U1928" s="58"/>
      <c r="V1928" s="46"/>
      <c r="W1928" s="46"/>
      <c r="X1928" s="62" t="s">
        <v>25</v>
      </c>
      <c r="Y1928" s="63" t="e">
        <f t="shared" si="325"/>
        <v>#DIV/0!</v>
      </c>
      <c r="Z1928" s="64">
        <f t="shared" si="326"/>
        <v>0</v>
      </c>
    </row>
    <row r="1929" spans="11:26" ht="15.75" customHeight="1">
      <c r="K1929" s="48">
        <f t="shared" si="323"/>
        <v>8</v>
      </c>
      <c r="L1929" s="48">
        <f t="shared" si="324"/>
        <v>68</v>
      </c>
      <c r="S1929" s="200"/>
      <c r="T1929" s="201"/>
      <c r="U1929" s="58"/>
      <c r="V1929" s="46"/>
      <c r="W1929" s="46"/>
      <c r="X1929" s="62" t="s">
        <v>25</v>
      </c>
      <c r="Y1929" s="63" t="e">
        <f t="shared" si="325"/>
        <v>#DIV/0!</v>
      </c>
      <c r="Z1929" s="64">
        <f t="shared" si="326"/>
        <v>0</v>
      </c>
    </row>
    <row r="1930" spans="11:26" ht="15.75" customHeight="1">
      <c r="K1930" s="48">
        <f t="shared" si="323"/>
        <v>8</v>
      </c>
      <c r="L1930" s="48">
        <f t="shared" si="324"/>
        <v>68</v>
      </c>
      <c r="S1930" s="200"/>
      <c r="T1930" s="201"/>
      <c r="U1930" s="58"/>
      <c r="V1930" s="46"/>
      <c r="W1930" s="46"/>
      <c r="X1930" s="62" t="s">
        <v>25</v>
      </c>
      <c r="Y1930" s="63" t="e">
        <f t="shared" si="325"/>
        <v>#DIV/0!</v>
      </c>
      <c r="Z1930" s="64">
        <f t="shared" si="326"/>
        <v>0</v>
      </c>
    </row>
    <row r="1931" spans="11:26" ht="15.75" customHeight="1">
      <c r="K1931" s="48">
        <f t="shared" ref="K1931:K1994" si="327">D1931+8</f>
        <v>8</v>
      </c>
      <c r="L1931" s="48">
        <f t="shared" ref="L1931:L1994" si="328">K1931+60</f>
        <v>68</v>
      </c>
      <c r="S1931" s="200"/>
      <c r="T1931" s="201"/>
      <c r="U1931" s="58"/>
      <c r="V1931" s="46"/>
      <c r="W1931" s="46"/>
      <c r="X1931" s="62" t="s">
        <v>25</v>
      </c>
      <c r="Y1931" s="63" t="e">
        <f t="shared" si="325"/>
        <v>#DIV/0!</v>
      </c>
      <c r="Z1931" s="64">
        <f t="shared" si="326"/>
        <v>0</v>
      </c>
    </row>
    <row r="1932" spans="11:26" ht="15.75" customHeight="1">
      <c r="K1932" s="48">
        <f t="shared" si="327"/>
        <v>8</v>
      </c>
      <c r="L1932" s="48">
        <f t="shared" si="328"/>
        <v>68</v>
      </c>
      <c r="S1932" s="200"/>
      <c r="T1932" s="201"/>
      <c r="U1932" s="58"/>
      <c r="V1932" s="46"/>
      <c r="W1932" s="46"/>
      <c r="X1932" s="62" t="s">
        <v>25</v>
      </c>
      <c r="Y1932" s="63" t="e">
        <f t="shared" si="325"/>
        <v>#DIV/0!</v>
      </c>
      <c r="Z1932" s="64">
        <f t="shared" si="326"/>
        <v>0</v>
      </c>
    </row>
    <row r="1933" spans="11:26" ht="15.75" customHeight="1">
      <c r="K1933" s="48">
        <f t="shared" si="327"/>
        <v>8</v>
      </c>
      <c r="L1933" s="48">
        <f t="shared" si="328"/>
        <v>68</v>
      </c>
      <c r="S1933" s="200"/>
      <c r="T1933" s="201"/>
      <c r="U1933" s="58"/>
      <c r="V1933" s="46"/>
      <c r="W1933" s="46"/>
      <c r="X1933" s="62" t="s">
        <v>25</v>
      </c>
      <c r="Y1933" s="63" t="e">
        <f t="shared" si="325"/>
        <v>#DIV/0!</v>
      </c>
      <c r="Z1933" s="64">
        <f t="shared" si="326"/>
        <v>0</v>
      </c>
    </row>
    <row r="1934" spans="11:26" ht="15.75" customHeight="1">
      <c r="K1934" s="48">
        <f t="shared" si="327"/>
        <v>8</v>
      </c>
      <c r="L1934" s="48">
        <f t="shared" si="328"/>
        <v>68</v>
      </c>
      <c r="S1934" s="200"/>
      <c r="T1934" s="201"/>
      <c r="U1934" s="58"/>
      <c r="V1934" s="46"/>
      <c r="W1934" s="46"/>
      <c r="X1934" s="62" t="s">
        <v>25</v>
      </c>
      <c r="Y1934" s="63" t="e">
        <f t="shared" si="325"/>
        <v>#DIV/0!</v>
      </c>
      <c r="Z1934" s="64">
        <f t="shared" si="326"/>
        <v>0</v>
      </c>
    </row>
    <row r="1935" spans="11:26" ht="15.75" customHeight="1">
      <c r="K1935" s="48">
        <f t="shared" si="327"/>
        <v>8</v>
      </c>
      <c r="L1935" s="48">
        <f t="shared" si="328"/>
        <v>68</v>
      </c>
      <c r="S1935" s="200"/>
      <c r="T1935" s="201"/>
      <c r="U1935" s="58"/>
      <c r="V1935" s="46"/>
      <c r="W1935" s="46"/>
      <c r="X1935" s="62" t="s">
        <v>25</v>
      </c>
      <c r="Y1935" s="63" t="e">
        <f t="shared" si="325"/>
        <v>#DIV/0!</v>
      </c>
      <c r="Z1935" s="64">
        <f t="shared" si="326"/>
        <v>0</v>
      </c>
    </row>
    <row r="1936" spans="11:26" ht="15.75" customHeight="1">
      <c r="K1936" s="48">
        <f t="shared" si="327"/>
        <v>8</v>
      </c>
      <c r="L1936" s="48">
        <f t="shared" si="328"/>
        <v>68</v>
      </c>
      <c r="S1936" s="200"/>
      <c r="T1936" s="201"/>
      <c r="U1936" s="58"/>
      <c r="V1936" s="46"/>
      <c r="W1936" s="46"/>
      <c r="X1936" s="62" t="s">
        <v>25</v>
      </c>
      <c r="Y1936" s="63" t="e">
        <f t="shared" si="325"/>
        <v>#DIV/0!</v>
      </c>
      <c r="Z1936" s="64">
        <f t="shared" si="326"/>
        <v>0</v>
      </c>
    </row>
    <row r="1937" spans="11:26" ht="15.75" customHeight="1">
      <c r="K1937" s="48">
        <f t="shared" si="327"/>
        <v>8</v>
      </c>
      <c r="L1937" s="48">
        <f t="shared" si="328"/>
        <v>68</v>
      </c>
      <c r="S1937" s="200"/>
      <c r="T1937" s="201"/>
      <c r="U1937" s="58"/>
      <c r="V1937" s="46"/>
      <c r="W1937" s="46"/>
      <c r="X1937" s="62" t="s">
        <v>25</v>
      </c>
      <c r="Y1937" s="63" t="e">
        <f t="shared" si="325"/>
        <v>#DIV/0!</v>
      </c>
      <c r="Z1937" s="64">
        <f t="shared" si="326"/>
        <v>0</v>
      </c>
    </row>
    <row r="1938" spans="11:26" ht="15.75" customHeight="1">
      <c r="K1938" s="48">
        <f t="shared" si="327"/>
        <v>8</v>
      </c>
      <c r="L1938" s="48">
        <f t="shared" si="328"/>
        <v>68</v>
      </c>
      <c r="S1938" s="200"/>
      <c r="T1938" s="201"/>
      <c r="U1938" s="58"/>
      <c r="V1938" s="46"/>
      <c r="W1938" s="46"/>
      <c r="X1938" s="62" t="s">
        <v>25</v>
      </c>
      <c r="Y1938" s="63" t="e">
        <f t="shared" si="325"/>
        <v>#DIV/0!</v>
      </c>
      <c r="Z1938" s="64">
        <f t="shared" si="326"/>
        <v>0</v>
      </c>
    </row>
    <row r="1939" spans="11:26" ht="15.75" customHeight="1">
      <c r="K1939" s="48">
        <f t="shared" si="327"/>
        <v>8</v>
      </c>
      <c r="L1939" s="48">
        <f t="shared" si="328"/>
        <v>68</v>
      </c>
      <c r="S1939" s="200"/>
      <c r="T1939" s="201"/>
      <c r="U1939" s="58"/>
      <c r="V1939" s="46"/>
      <c r="W1939" s="46"/>
      <c r="X1939" s="62" t="s">
        <v>25</v>
      </c>
      <c r="Y1939" s="63" t="e">
        <f t="shared" si="325"/>
        <v>#DIV/0!</v>
      </c>
      <c r="Z1939" s="64">
        <f t="shared" si="326"/>
        <v>0</v>
      </c>
    </row>
    <row r="1940" spans="11:26" ht="15.75" customHeight="1">
      <c r="K1940" s="48">
        <f t="shared" si="327"/>
        <v>8</v>
      </c>
      <c r="L1940" s="48">
        <f t="shared" si="328"/>
        <v>68</v>
      </c>
      <c r="S1940" s="200"/>
      <c r="T1940" s="201"/>
      <c r="U1940" s="58"/>
      <c r="V1940" s="46"/>
      <c r="W1940" s="46"/>
      <c r="X1940" s="62" t="s">
        <v>25</v>
      </c>
      <c r="Y1940" s="63" t="e">
        <f t="shared" si="325"/>
        <v>#DIV/0!</v>
      </c>
      <c r="Z1940" s="64">
        <f t="shared" si="326"/>
        <v>0</v>
      </c>
    </row>
    <row r="1941" spans="11:26" ht="15.75" customHeight="1">
      <c r="K1941" s="48">
        <f t="shared" si="327"/>
        <v>8</v>
      </c>
      <c r="L1941" s="48">
        <f t="shared" si="328"/>
        <v>68</v>
      </c>
      <c r="S1941" s="200"/>
      <c r="T1941" s="201"/>
      <c r="U1941" s="58"/>
      <c r="V1941" s="46"/>
      <c r="W1941" s="46"/>
      <c r="X1941" s="62" t="s">
        <v>25</v>
      </c>
      <c r="Y1941" s="63" t="e">
        <f t="shared" si="325"/>
        <v>#DIV/0!</v>
      </c>
      <c r="Z1941" s="64">
        <f t="shared" si="326"/>
        <v>0</v>
      </c>
    </row>
    <row r="1942" spans="11:26" ht="15.75" customHeight="1">
      <c r="K1942" s="48">
        <f t="shared" si="327"/>
        <v>8</v>
      </c>
      <c r="L1942" s="48">
        <f t="shared" si="328"/>
        <v>68</v>
      </c>
      <c r="S1942" s="200"/>
      <c r="T1942" s="201"/>
      <c r="U1942" s="58"/>
      <c r="V1942" s="46"/>
      <c r="W1942" s="46"/>
      <c r="X1942" s="62" t="s">
        <v>25</v>
      </c>
      <c r="Y1942" s="63" t="e">
        <f t="shared" si="325"/>
        <v>#DIV/0!</v>
      </c>
      <c r="Z1942" s="64">
        <f t="shared" si="326"/>
        <v>0</v>
      </c>
    </row>
    <row r="1943" spans="11:26" ht="15.75" customHeight="1">
      <c r="K1943" s="48">
        <f t="shared" si="327"/>
        <v>8</v>
      </c>
      <c r="L1943" s="48">
        <f t="shared" si="328"/>
        <v>68</v>
      </c>
      <c r="S1943" s="200"/>
      <c r="T1943" s="201"/>
      <c r="U1943" s="58"/>
      <c r="V1943" s="46"/>
      <c r="W1943" s="46"/>
      <c r="X1943" s="62" t="s">
        <v>25</v>
      </c>
      <c r="Y1943" s="63" t="e">
        <f t="shared" si="325"/>
        <v>#DIV/0!</v>
      </c>
      <c r="Z1943" s="64">
        <f t="shared" si="326"/>
        <v>0</v>
      </c>
    </row>
    <row r="1944" spans="11:26" ht="15.75" customHeight="1">
      <c r="K1944" s="48">
        <f t="shared" si="327"/>
        <v>8</v>
      </c>
      <c r="L1944" s="48">
        <f t="shared" si="328"/>
        <v>68</v>
      </c>
      <c r="S1944" s="200"/>
      <c r="T1944" s="201"/>
      <c r="U1944" s="58"/>
      <c r="V1944" s="46"/>
      <c r="W1944" s="46"/>
      <c r="X1944" s="62" t="s">
        <v>25</v>
      </c>
      <c r="Y1944" s="63" t="e">
        <f t="shared" si="325"/>
        <v>#DIV/0!</v>
      </c>
      <c r="Z1944" s="64">
        <f t="shared" si="326"/>
        <v>0</v>
      </c>
    </row>
    <row r="1945" spans="11:26" ht="15.75" customHeight="1">
      <c r="K1945" s="48">
        <f t="shared" si="327"/>
        <v>8</v>
      </c>
      <c r="L1945" s="48">
        <f t="shared" si="328"/>
        <v>68</v>
      </c>
      <c r="S1945" s="200"/>
      <c r="T1945" s="201"/>
      <c r="U1945" s="58"/>
      <c r="V1945" s="46"/>
      <c r="W1945" s="46"/>
      <c r="X1945" s="62" t="s">
        <v>25</v>
      </c>
      <c r="Y1945" s="63" t="e">
        <f t="shared" si="325"/>
        <v>#DIV/0!</v>
      </c>
      <c r="Z1945" s="64">
        <f t="shared" si="326"/>
        <v>0</v>
      </c>
    </row>
    <row r="1946" spans="11:26" ht="15.75" customHeight="1">
      <c r="K1946" s="48">
        <f t="shared" si="327"/>
        <v>8</v>
      </c>
      <c r="L1946" s="48">
        <f t="shared" si="328"/>
        <v>68</v>
      </c>
      <c r="S1946" s="200"/>
      <c r="T1946" s="201"/>
      <c r="U1946" s="58"/>
      <c r="V1946" s="46"/>
      <c r="W1946" s="46"/>
      <c r="X1946" s="62" t="s">
        <v>25</v>
      </c>
      <c r="Y1946" s="63" t="e">
        <f t="shared" si="325"/>
        <v>#DIV/0!</v>
      </c>
      <c r="Z1946" s="64">
        <f t="shared" si="326"/>
        <v>0</v>
      </c>
    </row>
    <row r="1947" spans="11:26" ht="15.75" customHeight="1">
      <c r="K1947" s="48">
        <f t="shared" si="327"/>
        <v>8</v>
      </c>
      <c r="L1947" s="48">
        <f t="shared" si="328"/>
        <v>68</v>
      </c>
      <c r="S1947" s="200"/>
      <c r="T1947" s="201"/>
      <c r="U1947" s="58"/>
      <c r="V1947" s="46"/>
      <c r="W1947" s="46"/>
      <c r="X1947" s="62" t="s">
        <v>25</v>
      </c>
      <c r="Y1947" s="63" t="e">
        <f t="shared" si="325"/>
        <v>#DIV/0!</v>
      </c>
      <c r="Z1947" s="64">
        <f t="shared" si="326"/>
        <v>0</v>
      </c>
    </row>
    <row r="1948" spans="11:26" ht="15.75" customHeight="1">
      <c r="K1948" s="48">
        <f t="shared" si="327"/>
        <v>8</v>
      </c>
      <c r="L1948" s="48">
        <f t="shared" si="328"/>
        <v>68</v>
      </c>
      <c r="S1948" s="200"/>
      <c r="T1948" s="201"/>
      <c r="U1948" s="58"/>
      <c r="V1948" s="46"/>
      <c r="W1948" s="46"/>
      <c r="X1948" s="62" t="s">
        <v>25</v>
      </c>
      <c r="Y1948" s="63" t="e">
        <f t="shared" si="325"/>
        <v>#DIV/0!</v>
      </c>
      <c r="Z1948" s="64">
        <f t="shared" si="326"/>
        <v>0</v>
      </c>
    </row>
    <row r="1949" spans="11:26" ht="15.75" customHeight="1">
      <c r="K1949" s="48">
        <f t="shared" si="327"/>
        <v>8</v>
      </c>
      <c r="L1949" s="48">
        <f t="shared" si="328"/>
        <v>68</v>
      </c>
      <c r="S1949" s="200"/>
      <c r="T1949" s="201"/>
      <c r="U1949" s="58"/>
      <c r="V1949" s="46"/>
      <c r="W1949" s="46"/>
      <c r="X1949" s="62" t="s">
        <v>25</v>
      </c>
      <c r="Y1949" s="63" t="e">
        <f t="shared" si="325"/>
        <v>#DIV/0!</v>
      </c>
      <c r="Z1949" s="64">
        <f t="shared" si="326"/>
        <v>0</v>
      </c>
    </row>
    <row r="1950" spans="11:26" ht="15.75" customHeight="1">
      <c r="K1950" s="48">
        <f t="shared" si="327"/>
        <v>8</v>
      </c>
      <c r="L1950" s="48">
        <f t="shared" si="328"/>
        <v>68</v>
      </c>
      <c r="S1950" s="200"/>
      <c r="T1950" s="201"/>
      <c r="U1950" s="58"/>
      <c r="V1950" s="46"/>
      <c r="W1950" s="46"/>
      <c r="X1950" s="62" t="s">
        <v>25</v>
      </c>
      <c r="Y1950" s="63" t="e">
        <f t="shared" si="325"/>
        <v>#DIV/0!</v>
      </c>
      <c r="Z1950" s="64">
        <f t="shared" si="326"/>
        <v>0</v>
      </c>
    </row>
    <row r="1951" spans="11:26" ht="15.75" customHeight="1">
      <c r="K1951" s="48">
        <f t="shared" si="327"/>
        <v>8</v>
      </c>
      <c r="L1951" s="48">
        <f t="shared" si="328"/>
        <v>68</v>
      </c>
      <c r="S1951" s="200"/>
      <c r="T1951" s="201"/>
      <c r="U1951" s="58"/>
      <c r="V1951" s="46"/>
      <c r="W1951" s="46"/>
      <c r="X1951" s="62" t="s">
        <v>25</v>
      </c>
      <c r="Y1951" s="63" t="e">
        <f t="shared" si="325"/>
        <v>#DIV/0!</v>
      </c>
      <c r="Z1951" s="64">
        <f t="shared" si="326"/>
        <v>0</v>
      </c>
    </row>
    <row r="1952" spans="11:26" ht="15.75" customHeight="1">
      <c r="K1952" s="48">
        <f t="shared" si="327"/>
        <v>8</v>
      </c>
      <c r="L1952" s="48">
        <f t="shared" si="328"/>
        <v>68</v>
      </c>
      <c r="S1952" s="200"/>
      <c r="T1952" s="201"/>
      <c r="U1952" s="58"/>
      <c r="V1952" s="46"/>
      <c r="W1952" s="46"/>
      <c r="X1952" s="62" t="s">
        <v>25</v>
      </c>
      <c r="Y1952" s="63" t="e">
        <f t="shared" si="325"/>
        <v>#DIV/0!</v>
      </c>
      <c r="Z1952" s="64">
        <f t="shared" si="326"/>
        <v>0</v>
      </c>
    </row>
    <row r="1953" spans="11:26" ht="15.75" customHeight="1">
      <c r="K1953" s="48">
        <f t="shared" si="327"/>
        <v>8</v>
      </c>
      <c r="L1953" s="48">
        <f t="shared" si="328"/>
        <v>68</v>
      </c>
      <c r="S1953" s="200"/>
      <c r="T1953" s="201"/>
      <c r="U1953" s="58"/>
      <c r="V1953" s="46"/>
      <c r="W1953" s="46"/>
      <c r="X1953" s="62" t="s">
        <v>25</v>
      </c>
      <c r="Y1953" s="63" t="e">
        <f t="shared" si="325"/>
        <v>#DIV/0!</v>
      </c>
      <c r="Z1953" s="64">
        <f t="shared" si="326"/>
        <v>0</v>
      </c>
    </row>
    <row r="1954" spans="11:26" ht="15.75" customHeight="1">
      <c r="K1954" s="48">
        <f t="shared" si="327"/>
        <v>8</v>
      </c>
      <c r="L1954" s="48">
        <f t="shared" si="328"/>
        <v>68</v>
      </c>
      <c r="S1954" s="200"/>
      <c r="T1954" s="201"/>
      <c r="U1954" s="58"/>
      <c r="V1954" s="46"/>
      <c r="W1954" s="46"/>
      <c r="X1954" s="62" t="s">
        <v>25</v>
      </c>
      <c r="Y1954" s="63" t="e">
        <f t="shared" si="325"/>
        <v>#DIV/0!</v>
      </c>
      <c r="Z1954" s="64">
        <f t="shared" si="326"/>
        <v>0</v>
      </c>
    </row>
    <row r="1955" spans="11:26" ht="15.75" customHeight="1">
      <c r="K1955" s="48">
        <f t="shared" si="327"/>
        <v>8</v>
      </c>
      <c r="L1955" s="48">
        <f t="shared" si="328"/>
        <v>68</v>
      </c>
      <c r="S1955" s="200"/>
      <c r="T1955" s="201"/>
      <c r="U1955" s="58"/>
      <c r="V1955" s="46"/>
      <c r="W1955" s="46"/>
      <c r="X1955" s="62" t="s">
        <v>25</v>
      </c>
      <c r="Y1955" s="63" t="e">
        <f t="shared" si="325"/>
        <v>#DIV/0!</v>
      </c>
      <c r="Z1955" s="64">
        <f t="shared" si="326"/>
        <v>0</v>
      </c>
    </row>
    <row r="1956" spans="11:26" ht="15.75" customHeight="1">
      <c r="K1956" s="48">
        <f t="shared" si="327"/>
        <v>8</v>
      </c>
      <c r="L1956" s="48">
        <f t="shared" si="328"/>
        <v>68</v>
      </c>
      <c r="S1956" s="200"/>
      <c r="T1956" s="201"/>
      <c r="U1956" s="58"/>
      <c r="V1956" s="46"/>
      <c r="W1956" s="46"/>
      <c r="X1956" s="62" t="s">
        <v>25</v>
      </c>
      <c r="Y1956" s="63" t="e">
        <f t="shared" si="325"/>
        <v>#DIV/0!</v>
      </c>
      <c r="Z1956" s="64">
        <f t="shared" si="326"/>
        <v>0</v>
      </c>
    </row>
    <row r="1957" spans="11:26" ht="15.75" customHeight="1">
      <c r="K1957" s="48">
        <f t="shared" si="327"/>
        <v>8</v>
      </c>
      <c r="L1957" s="48">
        <f t="shared" si="328"/>
        <v>68</v>
      </c>
      <c r="S1957" s="200"/>
      <c r="T1957" s="201"/>
      <c r="U1957" s="58"/>
      <c r="V1957" s="46"/>
      <c r="W1957" s="46"/>
      <c r="X1957" s="62" t="s">
        <v>25</v>
      </c>
      <c r="Y1957" s="63" t="e">
        <f t="shared" si="325"/>
        <v>#DIV/0!</v>
      </c>
      <c r="Z1957" s="64">
        <f t="shared" si="326"/>
        <v>0</v>
      </c>
    </row>
    <row r="1958" spans="11:26" ht="15.75" customHeight="1">
      <c r="K1958" s="48">
        <f t="shared" si="327"/>
        <v>8</v>
      </c>
      <c r="L1958" s="48">
        <f t="shared" si="328"/>
        <v>68</v>
      </c>
      <c r="S1958" s="200"/>
      <c r="T1958" s="201"/>
      <c r="U1958" s="58"/>
      <c r="V1958" s="46"/>
      <c r="W1958" s="46"/>
      <c r="X1958" s="62" t="s">
        <v>25</v>
      </c>
      <c r="Y1958" s="63" t="e">
        <f t="shared" si="325"/>
        <v>#DIV/0!</v>
      </c>
      <c r="Z1958" s="64">
        <f t="shared" si="326"/>
        <v>0</v>
      </c>
    </row>
    <row r="1959" spans="11:26" ht="15.75" customHeight="1">
      <c r="K1959" s="48">
        <f t="shared" si="327"/>
        <v>8</v>
      </c>
      <c r="L1959" s="48">
        <f t="shared" si="328"/>
        <v>68</v>
      </c>
      <c r="S1959" s="200"/>
      <c r="T1959" s="201"/>
      <c r="U1959" s="58"/>
      <c r="V1959" s="46"/>
      <c r="W1959" s="46"/>
      <c r="X1959" s="62" t="s">
        <v>25</v>
      </c>
      <c r="Y1959" s="63" t="e">
        <f t="shared" si="325"/>
        <v>#DIV/0!</v>
      </c>
      <c r="Z1959" s="64">
        <f t="shared" si="326"/>
        <v>0</v>
      </c>
    </row>
    <row r="1960" spans="11:26" ht="15.75" customHeight="1">
      <c r="K1960" s="48">
        <f t="shared" si="327"/>
        <v>8</v>
      </c>
      <c r="L1960" s="48">
        <f t="shared" si="328"/>
        <v>68</v>
      </c>
      <c r="S1960" s="200"/>
      <c r="T1960" s="201"/>
      <c r="U1960" s="58"/>
      <c r="V1960" s="46"/>
      <c r="W1960" s="46"/>
      <c r="X1960" s="62" t="s">
        <v>25</v>
      </c>
      <c r="Y1960" s="63" t="e">
        <f t="shared" si="325"/>
        <v>#DIV/0!</v>
      </c>
      <c r="Z1960" s="64">
        <f t="shared" si="326"/>
        <v>0</v>
      </c>
    </row>
    <row r="1961" spans="11:26" ht="15.75" customHeight="1">
      <c r="K1961" s="48">
        <f t="shared" si="327"/>
        <v>8</v>
      </c>
      <c r="L1961" s="48">
        <f t="shared" si="328"/>
        <v>68</v>
      </c>
      <c r="S1961" s="200"/>
      <c r="T1961" s="201"/>
      <c r="U1961" s="58"/>
      <c r="V1961" s="46"/>
      <c r="W1961" s="46"/>
      <c r="X1961" s="62" t="s">
        <v>25</v>
      </c>
      <c r="Y1961" s="63" t="e">
        <f t="shared" si="325"/>
        <v>#DIV/0!</v>
      </c>
      <c r="Z1961" s="64">
        <f t="shared" si="326"/>
        <v>0</v>
      </c>
    </row>
    <row r="1962" spans="11:26" ht="15.75" customHeight="1">
      <c r="K1962" s="48">
        <f t="shared" si="327"/>
        <v>8</v>
      </c>
      <c r="L1962" s="48">
        <f t="shared" si="328"/>
        <v>68</v>
      </c>
      <c r="S1962" s="200"/>
      <c r="T1962" s="201"/>
      <c r="U1962" s="58"/>
      <c r="V1962" s="46"/>
      <c r="W1962" s="46"/>
      <c r="X1962" s="62" t="s">
        <v>25</v>
      </c>
      <c r="Y1962" s="63" t="e">
        <f t="shared" si="325"/>
        <v>#DIV/0!</v>
      </c>
      <c r="Z1962" s="64">
        <f t="shared" si="326"/>
        <v>0</v>
      </c>
    </row>
    <row r="1963" spans="11:26" ht="15.75" customHeight="1">
      <c r="K1963" s="48">
        <f t="shared" si="327"/>
        <v>8</v>
      </c>
      <c r="L1963" s="48">
        <f t="shared" si="328"/>
        <v>68</v>
      </c>
      <c r="S1963" s="200"/>
      <c r="T1963" s="201"/>
      <c r="U1963" s="58"/>
      <c r="V1963" s="46"/>
      <c r="W1963" s="46"/>
      <c r="X1963" s="62" t="s">
        <v>25</v>
      </c>
      <c r="Y1963" s="63" t="e">
        <f t="shared" si="325"/>
        <v>#DIV/0!</v>
      </c>
      <c r="Z1963" s="64">
        <f t="shared" si="326"/>
        <v>0</v>
      </c>
    </row>
    <row r="1964" spans="11:26" ht="15.75" customHeight="1">
      <c r="K1964" s="48">
        <f t="shared" si="327"/>
        <v>8</v>
      </c>
      <c r="L1964" s="48">
        <f t="shared" si="328"/>
        <v>68</v>
      </c>
      <c r="S1964" s="200"/>
      <c r="T1964" s="201"/>
      <c r="U1964" s="58"/>
      <c r="V1964" s="46"/>
      <c r="W1964" s="46"/>
      <c r="X1964" s="62" t="s">
        <v>25</v>
      </c>
      <c r="Y1964" s="63" t="e">
        <f t="shared" si="325"/>
        <v>#DIV/0!</v>
      </c>
      <c r="Z1964" s="64">
        <f t="shared" si="326"/>
        <v>0</v>
      </c>
    </row>
    <row r="1965" spans="11:26" ht="15.75" customHeight="1">
      <c r="K1965" s="48">
        <f t="shared" si="327"/>
        <v>8</v>
      </c>
      <c r="L1965" s="48">
        <f t="shared" si="328"/>
        <v>68</v>
      </c>
      <c r="S1965" s="200"/>
      <c r="T1965" s="201"/>
      <c r="U1965" s="58"/>
      <c r="V1965" s="46"/>
      <c r="W1965" s="46"/>
      <c r="X1965" s="62" t="s">
        <v>25</v>
      </c>
      <c r="Y1965" s="63" t="e">
        <f t="shared" si="325"/>
        <v>#DIV/0!</v>
      </c>
      <c r="Z1965" s="64">
        <f t="shared" si="326"/>
        <v>0</v>
      </c>
    </row>
    <row r="1966" spans="11:26" ht="15.75" customHeight="1">
      <c r="K1966" s="48">
        <f t="shared" si="327"/>
        <v>8</v>
      </c>
      <c r="L1966" s="48">
        <f t="shared" si="328"/>
        <v>68</v>
      </c>
      <c r="S1966" s="200"/>
      <c r="T1966" s="201"/>
      <c r="U1966" s="58"/>
      <c r="V1966" s="46"/>
      <c r="W1966" s="46"/>
      <c r="X1966" s="62" t="s">
        <v>25</v>
      </c>
      <c r="Y1966" s="63" t="e">
        <f t="shared" si="325"/>
        <v>#DIV/0!</v>
      </c>
      <c r="Z1966" s="64">
        <f t="shared" si="326"/>
        <v>0</v>
      </c>
    </row>
    <row r="1967" spans="11:26" ht="15.75" customHeight="1">
      <c r="K1967" s="48">
        <f t="shared" si="327"/>
        <v>8</v>
      </c>
      <c r="L1967" s="48">
        <f t="shared" si="328"/>
        <v>68</v>
      </c>
      <c r="S1967" s="200"/>
      <c r="T1967" s="201"/>
      <c r="U1967" s="58"/>
      <c r="V1967" s="46"/>
      <c r="W1967" s="46"/>
      <c r="X1967" s="62" t="s">
        <v>25</v>
      </c>
      <c r="Y1967" s="63" t="e">
        <f t="shared" si="325"/>
        <v>#DIV/0!</v>
      </c>
      <c r="Z1967" s="64">
        <f t="shared" si="326"/>
        <v>0</v>
      </c>
    </row>
    <row r="1968" spans="11:26" ht="15.75" customHeight="1">
      <c r="K1968" s="48">
        <f t="shared" si="327"/>
        <v>8</v>
      </c>
      <c r="L1968" s="48">
        <f t="shared" si="328"/>
        <v>68</v>
      </c>
      <c r="S1968" s="200"/>
      <c r="T1968" s="201"/>
      <c r="U1968" s="58"/>
      <c r="V1968" s="46"/>
      <c r="W1968" s="46"/>
      <c r="X1968" s="62" t="s">
        <v>25</v>
      </c>
      <c r="Y1968" s="63" t="e">
        <f t="shared" si="325"/>
        <v>#DIV/0!</v>
      </c>
      <c r="Z1968" s="64">
        <f t="shared" si="326"/>
        <v>0</v>
      </c>
    </row>
    <row r="1969" spans="11:26" ht="15.75" customHeight="1">
      <c r="K1969" s="48">
        <f t="shared" si="327"/>
        <v>8</v>
      </c>
      <c r="L1969" s="48">
        <f t="shared" si="328"/>
        <v>68</v>
      </c>
      <c r="S1969" s="200"/>
      <c r="T1969" s="201"/>
      <c r="U1969" s="58"/>
      <c r="V1969" s="46"/>
      <c r="W1969" s="46"/>
      <c r="X1969" s="62" t="s">
        <v>25</v>
      </c>
      <c r="Y1969" s="63" t="e">
        <f t="shared" si="325"/>
        <v>#DIV/0!</v>
      </c>
      <c r="Z1969" s="64">
        <f t="shared" si="326"/>
        <v>0</v>
      </c>
    </row>
    <row r="1970" spans="11:26" ht="15.75" customHeight="1">
      <c r="K1970" s="48">
        <f t="shared" si="327"/>
        <v>8</v>
      </c>
      <c r="L1970" s="48">
        <f t="shared" si="328"/>
        <v>68</v>
      </c>
      <c r="S1970" s="200"/>
      <c r="T1970" s="201"/>
      <c r="U1970" s="58"/>
      <c r="V1970" s="46"/>
      <c r="W1970" s="46"/>
      <c r="X1970" s="62" t="s">
        <v>25</v>
      </c>
      <c r="Y1970" s="63" t="e">
        <f t="shared" si="325"/>
        <v>#DIV/0!</v>
      </c>
      <c r="Z1970" s="64">
        <f t="shared" si="326"/>
        <v>0</v>
      </c>
    </row>
    <row r="1971" spans="11:26" ht="15.75" customHeight="1">
      <c r="K1971" s="48">
        <f t="shared" si="327"/>
        <v>8</v>
      </c>
      <c r="L1971" s="48">
        <f t="shared" si="328"/>
        <v>68</v>
      </c>
      <c r="S1971" s="200"/>
      <c r="T1971" s="201"/>
      <c r="U1971" s="58"/>
      <c r="V1971" s="46"/>
      <c r="W1971" s="46"/>
      <c r="X1971" s="62" t="s">
        <v>25</v>
      </c>
      <c r="Y1971" s="63" t="e">
        <f t="shared" si="325"/>
        <v>#DIV/0!</v>
      </c>
      <c r="Z1971" s="64">
        <f t="shared" si="326"/>
        <v>0</v>
      </c>
    </row>
    <row r="1972" spans="11:26" ht="15.75" customHeight="1">
      <c r="K1972" s="48">
        <f t="shared" si="327"/>
        <v>8</v>
      </c>
      <c r="L1972" s="48">
        <f t="shared" si="328"/>
        <v>68</v>
      </c>
      <c r="S1972" s="200"/>
      <c r="T1972" s="201"/>
      <c r="U1972" s="58"/>
      <c r="V1972" s="46"/>
      <c r="W1972" s="46"/>
      <c r="X1972" s="62" t="s">
        <v>25</v>
      </c>
      <c r="Y1972" s="63" t="e">
        <f t="shared" ref="Y1972:Y2035" si="329">F1972/E1972</f>
        <v>#DIV/0!</v>
      </c>
      <c r="Z1972" s="64">
        <f t="shared" si="326"/>
        <v>0</v>
      </c>
    </row>
    <row r="1973" spans="11:26" ht="15.75" customHeight="1">
      <c r="K1973" s="48">
        <f t="shared" si="327"/>
        <v>8</v>
      </c>
      <c r="L1973" s="48">
        <f t="shared" si="328"/>
        <v>68</v>
      </c>
      <c r="S1973" s="200"/>
      <c r="T1973" s="201"/>
      <c r="U1973" s="58"/>
      <c r="V1973" s="46"/>
      <c r="W1973" s="46"/>
      <c r="X1973" s="62" t="s">
        <v>25</v>
      </c>
      <c r="Y1973" s="63" t="e">
        <f t="shared" si="329"/>
        <v>#DIV/0!</v>
      </c>
      <c r="Z1973" s="64">
        <f t="shared" si="326"/>
        <v>0</v>
      </c>
    </row>
    <row r="1974" spans="11:26" ht="15.75" customHeight="1">
      <c r="K1974" s="48">
        <f t="shared" si="327"/>
        <v>8</v>
      </c>
      <c r="L1974" s="48">
        <f t="shared" si="328"/>
        <v>68</v>
      </c>
      <c r="S1974" s="200"/>
      <c r="T1974" s="201"/>
      <c r="U1974" s="58"/>
      <c r="V1974" s="46"/>
      <c r="W1974" s="46"/>
      <c r="X1974" s="62" t="s">
        <v>25</v>
      </c>
      <c r="Y1974" s="63" t="e">
        <f t="shared" si="329"/>
        <v>#DIV/0!</v>
      </c>
      <c r="Z1974" s="64">
        <f t="shared" si="326"/>
        <v>0</v>
      </c>
    </row>
    <row r="1975" spans="11:26" ht="15.75" customHeight="1">
      <c r="K1975" s="48">
        <f t="shared" si="327"/>
        <v>8</v>
      </c>
      <c r="L1975" s="48">
        <f t="shared" si="328"/>
        <v>68</v>
      </c>
      <c r="S1975" s="200"/>
      <c r="T1975" s="201"/>
      <c r="U1975" s="58"/>
      <c r="V1975" s="46"/>
      <c r="W1975" s="46"/>
      <c r="X1975" s="62" t="s">
        <v>25</v>
      </c>
      <c r="Y1975" s="63" t="e">
        <f t="shared" si="329"/>
        <v>#DIV/0!</v>
      </c>
      <c r="Z1975" s="64">
        <f t="shared" si="326"/>
        <v>0</v>
      </c>
    </row>
    <row r="1976" spans="11:26" ht="15.75" customHeight="1">
      <c r="K1976" s="48">
        <f t="shared" si="327"/>
        <v>8</v>
      </c>
      <c r="L1976" s="48">
        <f t="shared" si="328"/>
        <v>68</v>
      </c>
      <c r="S1976" s="200"/>
      <c r="T1976" s="201"/>
      <c r="U1976" s="58"/>
      <c r="V1976" s="46"/>
      <c r="W1976" s="46"/>
      <c r="X1976" s="62" t="s">
        <v>25</v>
      </c>
      <c r="Y1976" s="63" t="e">
        <f t="shared" si="329"/>
        <v>#DIV/0!</v>
      </c>
      <c r="Z1976" s="64">
        <f t="shared" si="326"/>
        <v>0</v>
      </c>
    </row>
    <row r="1977" spans="11:26" ht="15.75" customHeight="1">
      <c r="K1977" s="48">
        <f t="shared" si="327"/>
        <v>8</v>
      </c>
      <c r="L1977" s="48">
        <f t="shared" si="328"/>
        <v>68</v>
      </c>
      <c r="S1977" s="200"/>
      <c r="T1977" s="201"/>
      <c r="U1977" s="58"/>
      <c r="V1977" s="46"/>
      <c r="W1977" s="46"/>
      <c r="X1977" s="62" t="s">
        <v>25</v>
      </c>
      <c r="Y1977" s="63" t="e">
        <f t="shared" si="329"/>
        <v>#DIV/0!</v>
      </c>
      <c r="Z1977" s="64">
        <f t="shared" si="326"/>
        <v>0</v>
      </c>
    </row>
    <row r="1978" spans="11:26" ht="15.75" customHeight="1">
      <c r="K1978" s="48">
        <f t="shared" si="327"/>
        <v>8</v>
      </c>
      <c r="L1978" s="48">
        <f t="shared" si="328"/>
        <v>68</v>
      </c>
      <c r="S1978" s="200"/>
      <c r="T1978" s="201"/>
      <c r="U1978" s="58"/>
      <c r="V1978" s="46"/>
      <c r="W1978" s="46"/>
      <c r="X1978" s="62" t="s">
        <v>25</v>
      </c>
      <c r="Y1978" s="63" t="e">
        <f t="shared" si="329"/>
        <v>#DIV/0!</v>
      </c>
      <c r="Z1978" s="64">
        <f t="shared" si="326"/>
        <v>0</v>
      </c>
    </row>
    <row r="1979" spans="11:26" ht="15.75" customHeight="1">
      <c r="K1979" s="48">
        <f t="shared" si="327"/>
        <v>8</v>
      </c>
      <c r="L1979" s="48">
        <f t="shared" si="328"/>
        <v>68</v>
      </c>
      <c r="S1979" s="200"/>
      <c r="T1979" s="201"/>
      <c r="U1979" s="58"/>
      <c r="V1979" s="46"/>
      <c r="W1979" s="46"/>
      <c r="X1979" s="62" t="s">
        <v>25</v>
      </c>
      <c r="Y1979" s="63" t="e">
        <f t="shared" si="329"/>
        <v>#DIV/0!</v>
      </c>
      <c r="Z1979" s="64">
        <f t="shared" si="326"/>
        <v>0</v>
      </c>
    </row>
    <row r="1980" spans="11:26" ht="15.75" customHeight="1">
      <c r="K1980" s="48">
        <f t="shared" si="327"/>
        <v>8</v>
      </c>
      <c r="L1980" s="48">
        <f t="shared" si="328"/>
        <v>68</v>
      </c>
      <c r="S1980" s="200"/>
      <c r="T1980" s="201"/>
      <c r="U1980" s="58"/>
      <c r="V1980" s="46"/>
      <c r="W1980" s="46"/>
      <c r="X1980" s="62" t="s">
        <v>25</v>
      </c>
      <c r="Y1980" s="63" t="e">
        <f t="shared" si="329"/>
        <v>#DIV/0!</v>
      </c>
      <c r="Z1980" s="64">
        <f t="shared" si="326"/>
        <v>0</v>
      </c>
    </row>
    <row r="1981" spans="11:26" ht="15.75" customHeight="1">
      <c r="K1981" s="48">
        <f t="shared" si="327"/>
        <v>8</v>
      </c>
      <c r="L1981" s="48">
        <f t="shared" si="328"/>
        <v>68</v>
      </c>
      <c r="S1981" s="200"/>
      <c r="T1981" s="201"/>
      <c r="U1981" s="58"/>
      <c r="V1981" s="46"/>
      <c r="W1981" s="46"/>
      <c r="X1981" s="62" t="s">
        <v>25</v>
      </c>
      <c r="Y1981" s="63" t="e">
        <f t="shared" si="329"/>
        <v>#DIV/0!</v>
      </c>
      <c r="Z1981" s="64">
        <f t="shared" si="326"/>
        <v>0</v>
      </c>
    </row>
    <row r="1982" spans="11:26" ht="15.75" customHeight="1">
      <c r="K1982" s="48">
        <f t="shared" si="327"/>
        <v>8</v>
      </c>
      <c r="L1982" s="48">
        <f t="shared" si="328"/>
        <v>68</v>
      </c>
      <c r="S1982" s="200"/>
      <c r="T1982" s="201"/>
      <c r="U1982" s="58"/>
      <c r="V1982" s="46"/>
      <c r="W1982" s="46"/>
      <c r="X1982" s="62" t="s">
        <v>25</v>
      </c>
      <c r="Y1982" s="63" t="e">
        <f t="shared" si="329"/>
        <v>#DIV/0!</v>
      </c>
      <c r="Z1982" s="64">
        <f t="shared" ref="Z1982:Z2045" si="330">E1982-N1982</f>
        <v>0</v>
      </c>
    </row>
    <row r="1983" spans="11:26" ht="15.75" customHeight="1">
      <c r="K1983" s="48">
        <f t="shared" si="327"/>
        <v>8</v>
      </c>
      <c r="L1983" s="48">
        <f t="shared" si="328"/>
        <v>68</v>
      </c>
      <c r="S1983" s="200"/>
      <c r="T1983" s="201"/>
      <c r="U1983" s="58"/>
      <c r="V1983" s="46"/>
      <c r="W1983" s="46"/>
      <c r="X1983" s="62" t="s">
        <v>25</v>
      </c>
      <c r="Y1983" s="63" t="e">
        <f t="shared" si="329"/>
        <v>#DIV/0!</v>
      </c>
      <c r="Z1983" s="64">
        <f t="shared" si="330"/>
        <v>0</v>
      </c>
    </row>
    <row r="1984" spans="11:26" ht="15.75" customHeight="1">
      <c r="K1984" s="48">
        <f t="shared" si="327"/>
        <v>8</v>
      </c>
      <c r="L1984" s="48">
        <f t="shared" si="328"/>
        <v>68</v>
      </c>
      <c r="S1984" s="200"/>
      <c r="T1984" s="201"/>
      <c r="U1984" s="58"/>
      <c r="V1984" s="46"/>
      <c r="W1984" s="46"/>
      <c r="X1984" s="62" t="s">
        <v>25</v>
      </c>
      <c r="Y1984" s="63" t="e">
        <f t="shared" si="329"/>
        <v>#DIV/0!</v>
      </c>
      <c r="Z1984" s="64">
        <f t="shared" si="330"/>
        <v>0</v>
      </c>
    </row>
    <row r="1985" spans="11:26" ht="15.75" customHeight="1">
      <c r="K1985" s="48">
        <f t="shared" si="327"/>
        <v>8</v>
      </c>
      <c r="L1985" s="48">
        <f t="shared" si="328"/>
        <v>68</v>
      </c>
      <c r="S1985" s="200"/>
      <c r="T1985" s="201"/>
      <c r="U1985" s="58"/>
      <c r="V1985" s="46"/>
      <c r="W1985" s="46"/>
      <c r="X1985" s="62" t="s">
        <v>25</v>
      </c>
      <c r="Y1985" s="63" t="e">
        <f t="shared" si="329"/>
        <v>#DIV/0!</v>
      </c>
      <c r="Z1985" s="64">
        <f t="shared" si="330"/>
        <v>0</v>
      </c>
    </row>
    <row r="1986" spans="11:26" ht="15.75" customHeight="1">
      <c r="K1986" s="48">
        <f t="shared" si="327"/>
        <v>8</v>
      </c>
      <c r="L1986" s="48">
        <f t="shared" si="328"/>
        <v>68</v>
      </c>
      <c r="S1986" s="200"/>
      <c r="T1986" s="201"/>
      <c r="U1986" s="58"/>
      <c r="V1986" s="46"/>
      <c r="W1986" s="46"/>
      <c r="X1986" s="62" t="s">
        <v>25</v>
      </c>
      <c r="Y1986" s="63" t="e">
        <f t="shared" si="329"/>
        <v>#DIV/0!</v>
      </c>
      <c r="Z1986" s="64">
        <f t="shared" si="330"/>
        <v>0</v>
      </c>
    </row>
    <row r="1987" spans="11:26" ht="15.75" customHeight="1">
      <c r="K1987" s="48">
        <f t="shared" si="327"/>
        <v>8</v>
      </c>
      <c r="L1987" s="48">
        <f t="shared" si="328"/>
        <v>68</v>
      </c>
      <c r="S1987" s="200"/>
      <c r="T1987" s="201"/>
      <c r="U1987" s="58"/>
      <c r="V1987" s="46"/>
      <c r="W1987" s="46"/>
      <c r="X1987" s="62" t="s">
        <v>25</v>
      </c>
      <c r="Y1987" s="63" t="e">
        <f t="shared" si="329"/>
        <v>#DIV/0!</v>
      </c>
      <c r="Z1987" s="64">
        <f t="shared" si="330"/>
        <v>0</v>
      </c>
    </row>
    <row r="1988" spans="11:26" ht="15.75" customHeight="1">
      <c r="K1988" s="48">
        <f t="shared" si="327"/>
        <v>8</v>
      </c>
      <c r="L1988" s="48">
        <f t="shared" si="328"/>
        <v>68</v>
      </c>
      <c r="S1988" s="200"/>
      <c r="T1988" s="201"/>
      <c r="U1988" s="58"/>
      <c r="V1988" s="46"/>
      <c r="W1988" s="46"/>
      <c r="X1988" s="62" t="s">
        <v>25</v>
      </c>
      <c r="Y1988" s="63" t="e">
        <f t="shared" si="329"/>
        <v>#DIV/0!</v>
      </c>
      <c r="Z1988" s="64">
        <f t="shared" si="330"/>
        <v>0</v>
      </c>
    </row>
    <row r="1989" spans="11:26" ht="15.75" customHeight="1">
      <c r="K1989" s="48">
        <f t="shared" si="327"/>
        <v>8</v>
      </c>
      <c r="L1989" s="48">
        <f t="shared" si="328"/>
        <v>68</v>
      </c>
      <c r="S1989" s="200"/>
      <c r="T1989" s="201"/>
      <c r="U1989" s="58"/>
      <c r="V1989" s="46"/>
      <c r="W1989" s="46"/>
      <c r="X1989" s="62" t="s">
        <v>25</v>
      </c>
      <c r="Y1989" s="63" t="e">
        <f t="shared" si="329"/>
        <v>#DIV/0!</v>
      </c>
      <c r="Z1989" s="64">
        <f t="shared" si="330"/>
        <v>0</v>
      </c>
    </row>
    <row r="1990" spans="11:26" ht="15.75" customHeight="1">
      <c r="K1990" s="48">
        <f t="shared" si="327"/>
        <v>8</v>
      </c>
      <c r="L1990" s="48">
        <f t="shared" si="328"/>
        <v>68</v>
      </c>
      <c r="S1990" s="200"/>
      <c r="T1990" s="201"/>
      <c r="U1990" s="58"/>
      <c r="V1990" s="46"/>
      <c r="W1990" s="46"/>
      <c r="X1990" s="62" t="s">
        <v>25</v>
      </c>
      <c r="Y1990" s="63" t="e">
        <f t="shared" si="329"/>
        <v>#DIV/0!</v>
      </c>
      <c r="Z1990" s="64">
        <f t="shared" si="330"/>
        <v>0</v>
      </c>
    </row>
    <row r="1991" spans="11:26" ht="15.75" customHeight="1">
      <c r="K1991" s="48">
        <f t="shared" si="327"/>
        <v>8</v>
      </c>
      <c r="L1991" s="48">
        <f t="shared" si="328"/>
        <v>68</v>
      </c>
      <c r="S1991" s="200"/>
      <c r="T1991" s="201"/>
      <c r="U1991" s="58"/>
      <c r="V1991" s="46"/>
      <c r="W1991" s="46"/>
      <c r="X1991" s="62" t="s">
        <v>25</v>
      </c>
      <c r="Y1991" s="63" t="e">
        <f t="shared" si="329"/>
        <v>#DIV/0!</v>
      </c>
      <c r="Z1991" s="64">
        <f t="shared" si="330"/>
        <v>0</v>
      </c>
    </row>
    <row r="1992" spans="11:26" ht="15.75" customHeight="1">
      <c r="K1992" s="48">
        <f t="shared" si="327"/>
        <v>8</v>
      </c>
      <c r="L1992" s="48">
        <f t="shared" si="328"/>
        <v>68</v>
      </c>
      <c r="S1992" s="200"/>
      <c r="T1992" s="201"/>
      <c r="U1992" s="58"/>
      <c r="V1992" s="46"/>
      <c r="W1992" s="46"/>
      <c r="X1992" s="62" t="s">
        <v>25</v>
      </c>
      <c r="Y1992" s="63" t="e">
        <f t="shared" si="329"/>
        <v>#DIV/0!</v>
      </c>
      <c r="Z1992" s="64">
        <f t="shared" si="330"/>
        <v>0</v>
      </c>
    </row>
    <row r="1993" spans="11:26" ht="15.75" customHeight="1">
      <c r="K1993" s="48">
        <f t="shared" si="327"/>
        <v>8</v>
      </c>
      <c r="L1993" s="48">
        <f t="shared" si="328"/>
        <v>68</v>
      </c>
      <c r="S1993" s="200"/>
      <c r="T1993" s="201"/>
      <c r="U1993" s="58"/>
      <c r="V1993" s="46"/>
      <c r="W1993" s="46"/>
      <c r="X1993" s="62" t="s">
        <v>25</v>
      </c>
      <c r="Y1993" s="63" t="e">
        <f t="shared" si="329"/>
        <v>#DIV/0!</v>
      </c>
      <c r="Z1993" s="64">
        <f t="shared" si="330"/>
        <v>0</v>
      </c>
    </row>
    <row r="1994" spans="11:26" ht="15.75" customHeight="1">
      <c r="K1994" s="48">
        <f t="shared" si="327"/>
        <v>8</v>
      </c>
      <c r="L1994" s="48">
        <f t="shared" si="328"/>
        <v>68</v>
      </c>
      <c r="S1994" s="200"/>
      <c r="T1994" s="201"/>
      <c r="U1994" s="58"/>
      <c r="V1994" s="46"/>
      <c r="W1994" s="46"/>
      <c r="X1994" s="62" t="s">
        <v>25</v>
      </c>
      <c r="Y1994" s="63" t="e">
        <f t="shared" si="329"/>
        <v>#DIV/0!</v>
      </c>
      <c r="Z1994" s="64">
        <f t="shared" si="330"/>
        <v>0</v>
      </c>
    </row>
    <row r="1995" spans="11:26" ht="15.75" customHeight="1">
      <c r="K1995" s="48">
        <f t="shared" ref="K1995:K2058" si="331">D1995+8</f>
        <v>8</v>
      </c>
      <c r="L1995" s="48">
        <f t="shared" ref="L1995:L2058" si="332">K1995+60</f>
        <v>68</v>
      </c>
      <c r="S1995" s="200"/>
      <c r="T1995" s="201"/>
      <c r="U1995" s="58"/>
      <c r="V1995" s="46"/>
      <c r="W1995" s="46"/>
      <c r="X1995" s="62" t="s">
        <v>25</v>
      </c>
      <c r="Y1995" s="63" t="e">
        <f t="shared" si="329"/>
        <v>#DIV/0!</v>
      </c>
      <c r="Z1995" s="64">
        <f t="shared" si="330"/>
        <v>0</v>
      </c>
    </row>
    <row r="1996" spans="11:26" ht="15.75" customHeight="1">
      <c r="K1996" s="48">
        <f t="shared" si="331"/>
        <v>8</v>
      </c>
      <c r="L1996" s="48">
        <f t="shared" si="332"/>
        <v>68</v>
      </c>
      <c r="S1996" s="200"/>
      <c r="T1996" s="201"/>
      <c r="U1996" s="58"/>
      <c r="V1996" s="46"/>
      <c r="W1996" s="46"/>
      <c r="X1996" s="62" t="s">
        <v>25</v>
      </c>
      <c r="Y1996" s="63" t="e">
        <f t="shared" si="329"/>
        <v>#DIV/0!</v>
      </c>
      <c r="Z1996" s="64">
        <f t="shared" si="330"/>
        <v>0</v>
      </c>
    </row>
    <row r="1997" spans="11:26" ht="15.75" customHeight="1">
      <c r="K1997" s="48">
        <f t="shared" si="331"/>
        <v>8</v>
      </c>
      <c r="L1997" s="48">
        <f t="shared" si="332"/>
        <v>68</v>
      </c>
      <c r="S1997" s="200"/>
      <c r="T1997" s="201"/>
      <c r="U1997" s="58"/>
      <c r="V1997" s="46"/>
      <c r="W1997" s="46"/>
      <c r="X1997" s="62" t="s">
        <v>25</v>
      </c>
      <c r="Y1997" s="63" t="e">
        <f t="shared" si="329"/>
        <v>#DIV/0!</v>
      </c>
      <c r="Z1997" s="64">
        <f t="shared" si="330"/>
        <v>0</v>
      </c>
    </row>
    <row r="1998" spans="11:26" ht="15.75" customHeight="1">
      <c r="K1998" s="48">
        <f t="shared" si="331"/>
        <v>8</v>
      </c>
      <c r="L1998" s="48">
        <f t="shared" si="332"/>
        <v>68</v>
      </c>
      <c r="S1998" s="200"/>
      <c r="T1998" s="201"/>
      <c r="U1998" s="58"/>
      <c r="V1998" s="46"/>
      <c r="W1998" s="46"/>
      <c r="X1998" s="62" t="s">
        <v>25</v>
      </c>
      <c r="Y1998" s="63" t="e">
        <f t="shared" si="329"/>
        <v>#DIV/0!</v>
      </c>
      <c r="Z1998" s="64">
        <f t="shared" si="330"/>
        <v>0</v>
      </c>
    </row>
    <row r="1999" spans="11:26" ht="15.75" customHeight="1">
      <c r="K1999" s="48">
        <f t="shared" si="331"/>
        <v>8</v>
      </c>
      <c r="L1999" s="48">
        <f t="shared" si="332"/>
        <v>68</v>
      </c>
      <c r="S1999" s="200"/>
      <c r="T1999" s="201"/>
      <c r="U1999" s="58"/>
      <c r="V1999" s="46"/>
      <c r="W1999" s="46"/>
      <c r="X1999" s="62" t="s">
        <v>25</v>
      </c>
      <c r="Y1999" s="63" t="e">
        <f t="shared" si="329"/>
        <v>#DIV/0!</v>
      </c>
      <c r="Z1999" s="64">
        <f t="shared" si="330"/>
        <v>0</v>
      </c>
    </row>
    <row r="2000" spans="11:26" ht="15.75" customHeight="1">
      <c r="K2000" s="48">
        <f t="shared" si="331"/>
        <v>8</v>
      </c>
      <c r="L2000" s="48">
        <f t="shared" si="332"/>
        <v>68</v>
      </c>
      <c r="S2000" s="200"/>
      <c r="T2000" s="201"/>
      <c r="U2000" s="58"/>
      <c r="V2000" s="46"/>
      <c r="W2000" s="46"/>
      <c r="X2000" s="62" t="s">
        <v>25</v>
      </c>
      <c r="Y2000" s="63" t="e">
        <f t="shared" si="329"/>
        <v>#DIV/0!</v>
      </c>
      <c r="Z2000" s="64">
        <f t="shared" si="330"/>
        <v>0</v>
      </c>
    </row>
    <row r="2001" spans="11:26" ht="15.75" customHeight="1">
      <c r="K2001" s="48">
        <f t="shared" si="331"/>
        <v>8</v>
      </c>
      <c r="L2001" s="48">
        <f t="shared" si="332"/>
        <v>68</v>
      </c>
      <c r="S2001" s="200"/>
      <c r="T2001" s="201"/>
      <c r="U2001" s="58"/>
      <c r="V2001" s="46"/>
      <c r="W2001" s="46"/>
      <c r="X2001" s="62" t="s">
        <v>25</v>
      </c>
      <c r="Y2001" s="63" t="e">
        <f t="shared" si="329"/>
        <v>#DIV/0!</v>
      </c>
      <c r="Z2001" s="64">
        <f t="shared" si="330"/>
        <v>0</v>
      </c>
    </row>
    <row r="2002" spans="11:26" ht="15.75" customHeight="1">
      <c r="K2002" s="48">
        <f t="shared" si="331"/>
        <v>8</v>
      </c>
      <c r="L2002" s="48">
        <f t="shared" si="332"/>
        <v>68</v>
      </c>
      <c r="S2002" s="200"/>
      <c r="T2002" s="201"/>
      <c r="U2002" s="58"/>
      <c r="V2002" s="46"/>
      <c r="W2002" s="46"/>
      <c r="X2002" s="62" t="s">
        <v>25</v>
      </c>
      <c r="Y2002" s="63" t="e">
        <f t="shared" si="329"/>
        <v>#DIV/0!</v>
      </c>
      <c r="Z2002" s="64">
        <f t="shared" si="330"/>
        <v>0</v>
      </c>
    </row>
    <row r="2003" spans="11:26" ht="15.75" customHeight="1">
      <c r="K2003" s="48">
        <f t="shared" si="331"/>
        <v>8</v>
      </c>
      <c r="L2003" s="48">
        <f t="shared" si="332"/>
        <v>68</v>
      </c>
      <c r="S2003" s="200"/>
      <c r="T2003" s="201"/>
      <c r="U2003" s="58"/>
      <c r="V2003" s="46"/>
      <c r="W2003" s="46"/>
      <c r="X2003" s="62" t="s">
        <v>25</v>
      </c>
      <c r="Y2003" s="63" t="e">
        <f t="shared" si="329"/>
        <v>#DIV/0!</v>
      </c>
      <c r="Z2003" s="64">
        <f t="shared" si="330"/>
        <v>0</v>
      </c>
    </row>
    <row r="2004" spans="11:26" ht="15.75" customHeight="1">
      <c r="K2004" s="48">
        <f t="shared" si="331"/>
        <v>8</v>
      </c>
      <c r="L2004" s="48">
        <f t="shared" si="332"/>
        <v>68</v>
      </c>
      <c r="S2004" s="200"/>
      <c r="T2004" s="201"/>
      <c r="U2004" s="58"/>
      <c r="V2004" s="46"/>
      <c r="W2004" s="46"/>
      <c r="X2004" s="62" t="s">
        <v>25</v>
      </c>
      <c r="Y2004" s="63" t="e">
        <f t="shared" si="329"/>
        <v>#DIV/0!</v>
      </c>
      <c r="Z2004" s="64">
        <f t="shared" si="330"/>
        <v>0</v>
      </c>
    </row>
    <row r="2005" spans="11:26" ht="15.75" customHeight="1">
      <c r="K2005" s="48">
        <f t="shared" si="331"/>
        <v>8</v>
      </c>
      <c r="L2005" s="48">
        <f t="shared" si="332"/>
        <v>68</v>
      </c>
      <c r="S2005" s="200"/>
      <c r="T2005" s="201"/>
      <c r="U2005" s="58"/>
      <c r="V2005" s="46"/>
      <c r="W2005" s="46"/>
      <c r="X2005" s="62" t="s">
        <v>25</v>
      </c>
      <c r="Y2005" s="63" t="e">
        <f t="shared" si="329"/>
        <v>#DIV/0!</v>
      </c>
      <c r="Z2005" s="64">
        <f t="shared" si="330"/>
        <v>0</v>
      </c>
    </row>
    <row r="2006" spans="11:26" ht="15.75" customHeight="1">
      <c r="K2006" s="48">
        <f t="shared" si="331"/>
        <v>8</v>
      </c>
      <c r="L2006" s="48">
        <f t="shared" si="332"/>
        <v>68</v>
      </c>
      <c r="S2006" s="200"/>
      <c r="T2006" s="201"/>
      <c r="U2006" s="58"/>
      <c r="V2006" s="46"/>
      <c r="W2006" s="46"/>
      <c r="X2006" s="62" t="s">
        <v>25</v>
      </c>
      <c r="Y2006" s="63" t="e">
        <f t="shared" si="329"/>
        <v>#DIV/0!</v>
      </c>
      <c r="Z2006" s="64">
        <f t="shared" si="330"/>
        <v>0</v>
      </c>
    </row>
    <row r="2007" spans="11:26" ht="15.75" customHeight="1">
      <c r="K2007" s="48">
        <f t="shared" si="331"/>
        <v>8</v>
      </c>
      <c r="L2007" s="48">
        <f t="shared" si="332"/>
        <v>68</v>
      </c>
      <c r="S2007" s="200"/>
      <c r="T2007" s="201"/>
      <c r="U2007" s="58"/>
      <c r="V2007" s="46"/>
      <c r="W2007" s="46"/>
      <c r="X2007" s="62" t="s">
        <v>25</v>
      </c>
      <c r="Y2007" s="63" t="e">
        <f t="shared" si="329"/>
        <v>#DIV/0!</v>
      </c>
      <c r="Z2007" s="64">
        <f t="shared" si="330"/>
        <v>0</v>
      </c>
    </row>
    <row r="2008" spans="11:26" ht="15.75" customHeight="1">
      <c r="K2008" s="48">
        <f t="shared" si="331"/>
        <v>8</v>
      </c>
      <c r="L2008" s="48">
        <f t="shared" si="332"/>
        <v>68</v>
      </c>
      <c r="S2008" s="200"/>
      <c r="T2008" s="201"/>
      <c r="U2008" s="58"/>
      <c r="V2008" s="46"/>
      <c r="W2008" s="46"/>
      <c r="X2008" s="62" t="s">
        <v>25</v>
      </c>
      <c r="Y2008" s="63" t="e">
        <f t="shared" si="329"/>
        <v>#DIV/0!</v>
      </c>
      <c r="Z2008" s="64">
        <f t="shared" si="330"/>
        <v>0</v>
      </c>
    </row>
    <row r="2009" spans="11:26" ht="15.75" customHeight="1">
      <c r="K2009" s="48">
        <f t="shared" si="331"/>
        <v>8</v>
      </c>
      <c r="L2009" s="48">
        <f t="shared" si="332"/>
        <v>68</v>
      </c>
      <c r="S2009" s="200"/>
      <c r="T2009" s="201"/>
      <c r="U2009" s="58"/>
      <c r="V2009" s="46"/>
      <c r="W2009" s="46"/>
      <c r="X2009" s="62" t="s">
        <v>25</v>
      </c>
      <c r="Y2009" s="63" t="e">
        <f t="shared" si="329"/>
        <v>#DIV/0!</v>
      </c>
      <c r="Z2009" s="64">
        <f t="shared" si="330"/>
        <v>0</v>
      </c>
    </row>
    <row r="2010" spans="11:26" ht="15.75" customHeight="1">
      <c r="K2010" s="48">
        <f t="shared" si="331"/>
        <v>8</v>
      </c>
      <c r="L2010" s="48">
        <f t="shared" si="332"/>
        <v>68</v>
      </c>
      <c r="S2010" s="200"/>
      <c r="T2010" s="201"/>
      <c r="U2010" s="58"/>
      <c r="V2010" s="46"/>
      <c r="W2010" s="46"/>
      <c r="X2010" s="62" t="s">
        <v>25</v>
      </c>
      <c r="Y2010" s="63" t="e">
        <f t="shared" si="329"/>
        <v>#DIV/0!</v>
      </c>
      <c r="Z2010" s="64">
        <f t="shared" si="330"/>
        <v>0</v>
      </c>
    </row>
    <row r="2011" spans="11:26" ht="15.75" customHeight="1">
      <c r="K2011" s="48">
        <f t="shared" si="331"/>
        <v>8</v>
      </c>
      <c r="L2011" s="48">
        <f t="shared" si="332"/>
        <v>68</v>
      </c>
      <c r="S2011" s="200"/>
      <c r="T2011" s="201"/>
      <c r="U2011" s="58"/>
      <c r="V2011" s="46"/>
      <c r="W2011" s="46"/>
      <c r="X2011" s="62" t="s">
        <v>25</v>
      </c>
      <c r="Y2011" s="63" t="e">
        <f t="shared" si="329"/>
        <v>#DIV/0!</v>
      </c>
      <c r="Z2011" s="64">
        <f t="shared" si="330"/>
        <v>0</v>
      </c>
    </row>
    <row r="2012" spans="11:26" ht="15.75" customHeight="1">
      <c r="K2012" s="48">
        <f t="shared" si="331"/>
        <v>8</v>
      </c>
      <c r="L2012" s="48">
        <f t="shared" si="332"/>
        <v>68</v>
      </c>
      <c r="S2012" s="200"/>
      <c r="T2012" s="201"/>
      <c r="U2012" s="58"/>
      <c r="V2012" s="46"/>
      <c r="W2012" s="46"/>
      <c r="X2012" s="62" t="s">
        <v>25</v>
      </c>
      <c r="Y2012" s="63" t="e">
        <f t="shared" si="329"/>
        <v>#DIV/0!</v>
      </c>
      <c r="Z2012" s="64">
        <f t="shared" si="330"/>
        <v>0</v>
      </c>
    </row>
    <row r="2013" spans="11:26" ht="15.75" customHeight="1">
      <c r="K2013" s="48">
        <f t="shared" si="331"/>
        <v>8</v>
      </c>
      <c r="L2013" s="48">
        <f t="shared" si="332"/>
        <v>68</v>
      </c>
      <c r="S2013" s="200"/>
      <c r="T2013" s="201"/>
      <c r="U2013" s="58"/>
      <c r="V2013" s="46"/>
      <c r="W2013" s="46"/>
      <c r="X2013" s="62" t="s">
        <v>25</v>
      </c>
      <c r="Y2013" s="63" t="e">
        <f t="shared" si="329"/>
        <v>#DIV/0!</v>
      </c>
      <c r="Z2013" s="64">
        <f t="shared" si="330"/>
        <v>0</v>
      </c>
    </row>
    <row r="2014" spans="11:26" ht="15.75" customHeight="1">
      <c r="K2014" s="48">
        <f t="shared" si="331"/>
        <v>8</v>
      </c>
      <c r="L2014" s="48">
        <f t="shared" si="332"/>
        <v>68</v>
      </c>
      <c r="S2014" s="200"/>
      <c r="T2014" s="201"/>
      <c r="U2014" s="58"/>
      <c r="V2014" s="46"/>
      <c r="W2014" s="46"/>
      <c r="X2014" s="62" t="s">
        <v>25</v>
      </c>
      <c r="Y2014" s="63" t="e">
        <f t="shared" si="329"/>
        <v>#DIV/0!</v>
      </c>
      <c r="Z2014" s="64">
        <f t="shared" si="330"/>
        <v>0</v>
      </c>
    </row>
    <row r="2015" spans="11:26" ht="15.75" customHeight="1">
      <c r="K2015" s="48">
        <f t="shared" si="331"/>
        <v>8</v>
      </c>
      <c r="L2015" s="48">
        <f t="shared" si="332"/>
        <v>68</v>
      </c>
      <c r="S2015" s="200"/>
      <c r="T2015" s="201"/>
      <c r="U2015" s="58"/>
      <c r="V2015" s="46"/>
      <c r="W2015" s="46"/>
      <c r="X2015" s="62" t="s">
        <v>25</v>
      </c>
      <c r="Y2015" s="63" t="e">
        <f t="shared" si="329"/>
        <v>#DIV/0!</v>
      </c>
      <c r="Z2015" s="64">
        <f t="shared" si="330"/>
        <v>0</v>
      </c>
    </row>
    <row r="2016" spans="11:26" ht="15.75" customHeight="1">
      <c r="K2016" s="48">
        <f t="shared" si="331"/>
        <v>8</v>
      </c>
      <c r="L2016" s="48">
        <f t="shared" si="332"/>
        <v>68</v>
      </c>
      <c r="S2016" s="200"/>
      <c r="T2016" s="201"/>
      <c r="U2016" s="58"/>
      <c r="V2016" s="46"/>
      <c r="W2016" s="46"/>
      <c r="X2016" s="62" t="s">
        <v>25</v>
      </c>
      <c r="Y2016" s="63" t="e">
        <f t="shared" si="329"/>
        <v>#DIV/0!</v>
      </c>
      <c r="Z2016" s="64">
        <f t="shared" si="330"/>
        <v>0</v>
      </c>
    </row>
    <row r="2017" spans="11:26" ht="15.75" customHeight="1">
      <c r="K2017" s="48">
        <f t="shared" si="331"/>
        <v>8</v>
      </c>
      <c r="L2017" s="48">
        <f t="shared" si="332"/>
        <v>68</v>
      </c>
      <c r="S2017" s="200"/>
      <c r="T2017" s="201"/>
      <c r="U2017" s="58"/>
      <c r="V2017" s="46"/>
      <c r="W2017" s="46"/>
      <c r="X2017" s="62" t="s">
        <v>25</v>
      </c>
      <c r="Y2017" s="63" t="e">
        <f t="shared" si="329"/>
        <v>#DIV/0!</v>
      </c>
      <c r="Z2017" s="64">
        <f t="shared" si="330"/>
        <v>0</v>
      </c>
    </row>
    <row r="2018" spans="11:26" ht="15.75" customHeight="1">
      <c r="K2018" s="48">
        <f t="shared" si="331"/>
        <v>8</v>
      </c>
      <c r="L2018" s="48">
        <f t="shared" si="332"/>
        <v>68</v>
      </c>
      <c r="S2018" s="200"/>
      <c r="T2018" s="201"/>
      <c r="U2018" s="58"/>
      <c r="V2018" s="46"/>
      <c r="W2018" s="46"/>
      <c r="X2018" s="62" t="s">
        <v>25</v>
      </c>
      <c r="Y2018" s="63" t="e">
        <f t="shared" si="329"/>
        <v>#DIV/0!</v>
      </c>
      <c r="Z2018" s="64">
        <f t="shared" si="330"/>
        <v>0</v>
      </c>
    </row>
    <row r="2019" spans="11:26" ht="15.75" customHeight="1">
      <c r="K2019" s="48">
        <f t="shared" si="331"/>
        <v>8</v>
      </c>
      <c r="L2019" s="48">
        <f t="shared" si="332"/>
        <v>68</v>
      </c>
      <c r="S2019" s="200"/>
      <c r="T2019" s="201"/>
      <c r="U2019" s="58"/>
      <c r="V2019" s="46"/>
      <c r="W2019" s="46"/>
      <c r="X2019" s="62" t="s">
        <v>25</v>
      </c>
      <c r="Y2019" s="63" t="e">
        <f t="shared" si="329"/>
        <v>#DIV/0!</v>
      </c>
      <c r="Z2019" s="64">
        <f t="shared" si="330"/>
        <v>0</v>
      </c>
    </row>
    <row r="2020" spans="11:26" ht="15.75" customHeight="1">
      <c r="K2020" s="48">
        <f t="shared" si="331"/>
        <v>8</v>
      </c>
      <c r="L2020" s="48">
        <f t="shared" si="332"/>
        <v>68</v>
      </c>
      <c r="S2020" s="200"/>
      <c r="T2020" s="201"/>
      <c r="U2020" s="58"/>
      <c r="V2020" s="46"/>
      <c r="W2020" s="46"/>
      <c r="X2020" s="62" t="s">
        <v>25</v>
      </c>
      <c r="Y2020" s="63" t="e">
        <f t="shared" si="329"/>
        <v>#DIV/0!</v>
      </c>
      <c r="Z2020" s="64">
        <f t="shared" si="330"/>
        <v>0</v>
      </c>
    </row>
    <row r="2021" spans="11:26" ht="15.75" customHeight="1">
      <c r="K2021" s="48">
        <f t="shared" si="331"/>
        <v>8</v>
      </c>
      <c r="L2021" s="48">
        <f t="shared" si="332"/>
        <v>68</v>
      </c>
      <c r="S2021" s="200"/>
      <c r="T2021" s="201"/>
      <c r="U2021" s="58"/>
      <c r="V2021" s="46"/>
      <c r="W2021" s="46"/>
      <c r="X2021" s="62" t="s">
        <v>25</v>
      </c>
      <c r="Y2021" s="63" t="e">
        <f t="shared" si="329"/>
        <v>#DIV/0!</v>
      </c>
      <c r="Z2021" s="64">
        <f t="shared" si="330"/>
        <v>0</v>
      </c>
    </row>
    <row r="2022" spans="11:26" ht="15.75" customHeight="1">
      <c r="K2022" s="48">
        <f t="shared" si="331"/>
        <v>8</v>
      </c>
      <c r="L2022" s="48">
        <f t="shared" si="332"/>
        <v>68</v>
      </c>
      <c r="S2022" s="200"/>
      <c r="T2022" s="201"/>
      <c r="U2022" s="58"/>
      <c r="V2022" s="46"/>
      <c r="W2022" s="46"/>
      <c r="X2022" s="62" t="s">
        <v>25</v>
      </c>
      <c r="Y2022" s="63" t="e">
        <f t="shared" si="329"/>
        <v>#DIV/0!</v>
      </c>
      <c r="Z2022" s="64">
        <f t="shared" si="330"/>
        <v>0</v>
      </c>
    </row>
    <row r="2023" spans="11:26" ht="15.75" customHeight="1">
      <c r="K2023" s="48">
        <f t="shared" si="331"/>
        <v>8</v>
      </c>
      <c r="L2023" s="48">
        <f t="shared" si="332"/>
        <v>68</v>
      </c>
      <c r="S2023" s="200"/>
      <c r="T2023" s="201"/>
      <c r="U2023" s="58"/>
      <c r="V2023" s="46"/>
      <c r="W2023" s="46"/>
      <c r="X2023" s="62" t="s">
        <v>25</v>
      </c>
      <c r="Y2023" s="63" t="e">
        <f t="shared" si="329"/>
        <v>#DIV/0!</v>
      </c>
      <c r="Z2023" s="64">
        <f t="shared" si="330"/>
        <v>0</v>
      </c>
    </row>
    <row r="2024" spans="11:26" ht="15.75" customHeight="1">
      <c r="K2024" s="48">
        <f t="shared" si="331"/>
        <v>8</v>
      </c>
      <c r="L2024" s="48">
        <f t="shared" si="332"/>
        <v>68</v>
      </c>
      <c r="S2024" s="200"/>
      <c r="T2024" s="201"/>
      <c r="U2024" s="58"/>
      <c r="V2024" s="46"/>
      <c r="W2024" s="46"/>
      <c r="X2024" s="62" t="s">
        <v>25</v>
      </c>
      <c r="Y2024" s="63" t="e">
        <f t="shared" si="329"/>
        <v>#DIV/0!</v>
      </c>
      <c r="Z2024" s="64">
        <f t="shared" si="330"/>
        <v>0</v>
      </c>
    </row>
    <row r="2025" spans="11:26" ht="15.75" customHeight="1">
      <c r="K2025" s="48">
        <f t="shared" si="331"/>
        <v>8</v>
      </c>
      <c r="L2025" s="48">
        <f t="shared" si="332"/>
        <v>68</v>
      </c>
      <c r="S2025" s="200"/>
      <c r="T2025" s="201"/>
      <c r="U2025" s="58"/>
      <c r="V2025" s="46"/>
      <c r="W2025" s="46"/>
      <c r="X2025" s="62" t="s">
        <v>25</v>
      </c>
      <c r="Y2025" s="63" t="e">
        <f t="shared" si="329"/>
        <v>#DIV/0!</v>
      </c>
      <c r="Z2025" s="64">
        <f t="shared" si="330"/>
        <v>0</v>
      </c>
    </row>
    <row r="2026" spans="11:26" ht="15.75" customHeight="1">
      <c r="K2026" s="48">
        <f t="shared" si="331"/>
        <v>8</v>
      </c>
      <c r="L2026" s="48">
        <f t="shared" si="332"/>
        <v>68</v>
      </c>
      <c r="S2026" s="200"/>
      <c r="T2026" s="201"/>
      <c r="U2026" s="58"/>
      <c r="V2026" s="46"/>
      <c r="W2026" s="46"/>
      <c r="X2026" s="62" t="s">
        <v>25</v>
      </c>
      <c r="Y2026" s="63" t="e">
        <f t="shared" si="329"/>
        <v>#DIV/0!</v>
      </c>
      <c r="Z2026" s="64">
        <f t="shared" si="330"/>
        <v>0</v>
      </c>
    </row>
    <row r="2027" spans="11:26" ht="15.75" customHeight="1">
      <c r="K2027" s="48">
        <f t="shared" si="331"/>
        <v>8</v>
      </c>
      <c r="L2027" s="48">
        <f t="shared" si="332"/>
        <v>68</v>
      </c>
      <c r="S2027" s="200"/>
      <c r="T2027" s="201"/>
      <c r="U2027" s="58"/>
      <c r="V2027" s="46"/>
      <c r="W2027" s="46"/>
      <c r="X2027" s="62" t="s">
        <v>25</v>
      </c>
      <c r="Y2027" s="63" t="e">
        <f t="shared" si="329"/>
        <v>#DIV/0!</v>
      </c>
      <c r="Z2027" s="64">
        <f t="shared" si="330"/>
        <v>0</v>
      </c>
    </row>
    <row r="2028" spans="11:26" ht="15.75" customHeight="1">
      <c r="K2028" s="48">
        <f t="shared" si="331"/>
        <v>8</v>
      </c>
      <c r="L2028" s="48">
        <f t="shared" si="332"/>
        <v>68</v>
      </c>
      <c r="S2028" s="200"/>
      <c r="T2028" s="201"/>
      <c r="U2028" s="58"/>
      <c r="V2028" s="46"/>
      <c r="W2028" s="46"/>
      <c r="X2028" s="62" t="s">
        <v>25</v>
      </c>
      <c r="Y2028" s="63" t="e">
        <f t="shared" si="329"/>
        <v>#DIV/0!</v>
      </c>
      <c r="Z2028" s="64">
        <f t="shared" si="330"/>
        <v>0</v>
      </c>
    </row>
    <row r="2029" spans="11:26" ht="15.75" customHeight="1">
      <c r="K2029" s="48">
        <f t="shared" si="331"/>
        <v>8</v>
      </c>
      <c r="L2029" s="48">
        <f t="shared" si="332"/>
        <v>68</v>
      </c>
      <c r="S2029" s="200"/>
      <c r="T2029" s="201"/>
      <c r="U2029" s="58"/>
      <c r="V2029" s="46"/>
      <c r="W2029" s="46"/>
      <c r="X2029" s="62" t="s">
        <v>25</v>
      </c>
      <c r="Y2029" s="63" t="e">
        <f t="shared" si="329"/>
        <v>#DIV/0!</v>
      </c>
      <c r="Z2029" s="64">
        <f t="shared" si="330"/>
        <v>0</v>
      </c>
    </row>
    <row r="2030" spans="11:26" ht="15.75" customHeight="1">
      <c r="K2030" s="48">
        <f t="shared" si="331"/>
        <v>8</v>
      </c>
      <c r="L2030" s="48">
        <f t="shared" si="332"/>
        <v>68</v>
      </c>
      <c r="S2030" s="200"/>
      <c r="T2030" s="201"/>
      <c r="U2030" s="58"/>
      <c r="V2030" s="46"/>
      <c r="W2030" s="46"/>
      <c r="X2030" s="62" t="s">
        <v>25</v>
      </c>
      <c r="Y2030" s="63" t="e">
        <f t="shared" si="329"/>
        <v>#DIV/0!</v>
      </c>
      <c r="Z2030" s="64">
        <f t="shared" si="330"/>
        <v>0</v>
      </c>
    </row>
    <row r="2031" spans="11:26" ht="15.75" customHeight="1">
      <c r="K2031" s="48">
        <f t="shared" si="331"/>
        <v>8</v>
      </c>
      <c r="L2031" s="48">
        <f t="shared" si="332"/>
        <v>68</v>
      </c>
      <c r="S2031" s="200"/>
      <c r="T2031" s="201"/>
      <c r="U2031" s="58"/>
      <c r="V2031" s="46"/>
      <c r="W2031" s="46"/>
      <c r="X2031" s="62" t="s">
        <v>25</v>
      </c>
      <c r="Y2031" s="63" t="e">
        <f t="shared" si="329"/>
        <v>#DIV/0!</v>
      </c>
      <c r="Z2031" s="64">
        <f t="shared" si="330"/>
        <v>0</v>
      </c>
    </row>
    <row r="2032" spans="11:26" ht="15.75" customHeight="1">
      <c r="K2032" s="48">
        <f t="shared" si="331"/>
        <v>8</v>
      </c>
      <c r="L2032" s="48">
        <f t="shared" si="332"/>
        <v>68</v>
      </c>
      <c r="S2032" s="200"/>
      <c r="T2032" s="201"/>
      <c r="U2032" s="58"/>
      <c r="V2032" s="46"/>
      <c r="W2032" s="46"/>
      <c r="X2032" s="62" t="s">
        <v>25</v>
      </c>
      <c r="Y2032" s="63" t="e">
        <f t="shared" si="329"/>
        <v>#DIV/0!</v>
      </c>
      <c r="Z2032" s="64">
        <f t="shared" si="330"/>
        <v>0</v>
      </c>
    </row>
    <row r="2033" spans="11:26" ht="15.75" customHeight="1">
      <c r="K2033" s="48">
        <f t="shared" si="331"/>
        <v>8</v>
      </c>
      <c r="L2033" s="48">
        <f t="shared" si="332"/>
        <v>68</v>
      </c>
      <c r="S2033" s="200"/>
      <c r="T2033" s="201"/>
      <c r="U2033" s="58"/>
      <c r="V2033" s="46"/>
      <c r="W2033" s="46"/>
      <c r="X2033" s="62" t="s">
        <v>25</v>
      </c>
      <c r="Y2033" s="63" t="e">
        <f t="shared" si="329"/>
        <v>#DIV/0!</v>
      </c>
      <c r="Z2033" s="64">
        <f t="shared" si="330"/>
        <v>0</v>
      </c>
    </row>
    <row r="2034" spans="11:26" ht="15.75" customHeight="1">
      <c r="K2034" s="48">
        <f t="shared" si="331"/>
        <v>8</v>
      </c>
      <c r="L2034" s="48">
        <f t="shared" si="332"/>
        <v>68</v>
      </c>
      <c r="S2034" s="200"/>
      <c r="T2034" s="201"/>
      <c r="U2034" s="58"/>
      <c r="V2034" s="46"/>
      <c r="W2034" s="46"/>
      <c r="X2034" s="62" t="s">
        <v>25</v>
      </c>
      <c r="Y2034" s="63" t="e">
        <f t="shared" si="329"/>
        <v>#DIV/0!</v>
      </c>
      <c r="Z2034" s="64">
        <f t="shared" si="330"/>
        <v>0</v>
      </c>
    </row>
    <row r="2035" spans="11:26" ht="15.75" customHeight="1">
      <c r="K2035" s="48">
        <f t="shared" si="331"/>
        <v>8</v>
      </c>
      <c r="L2035" s="48">
        <f t="shared" si="332"/>
        <v>68</v>
      </c>
      <c r="S2035" s="200"/>
      <c r="T2035" s="201"/>
      <c r="U2035" s="58"/>
      <c r="V2035" s="46"/>
      <c r="W2035" s="46"/>
      <c r="X2035" s="62" t="s">
        <v>25</v>
      </c>
      <c r="Y2035" s="63" t="e">
        <f t="shared" si="329"/>
        <v>#DIV/0!</v>
      </c>
      <c r="Z2035" s="64">
        <f t="shared" si="330"/>
        <v>0</v>
      </c>
    </row>
    <row r="2036" spans="11:26" ht="15.75" customHeight="1">
      <c r="K2036" s="48">
        <f t="shared" si="331"/>
        <v>8</v>
      </c>
      <c r="L2036" s="48">
        <f t="shared" si="332"/>
        <v>68</v>
      </c>
      <c r="S2036" s="200"/>
      <c r="T2036" s="201"/>
      <c r="U2036" s="58"/>
      <c r="V2036" s="46"/>
      <c r="W2036" s="46"/>
      <c r="X2036" s="62" t="s">
        <v>25</v>
      </c>
      <c r="Y2036" s="63" t="e">
        <f t="shared" ref="Y2036:Y2060" si="333">F2036/E2036</f>
        <v>#DIV/0!</v>
      </c>
      <c r="Z2036" s="64">
        <f t="shared" si="330"/>
        <v>0</v>
      </c>
    </row>
    <row r="2037" spans="11:26" ht="15.75" customHeight="1">
      <c r="K2037" s="48">
        <f t="shared" si="331"/>
        <v>8</v>
      </c>
      <c r="L2037" s="48">
        <f t="shared" si="332"/>
        <v>68</v>
      </c>
      <c r="S2037" s="200"/>
      <c r="T2037" s="201"/>
      <c r="U2037" s="58"/>
      <c r="V2037" s="46"/>
      <c r="W2037" s="46"/>
      <c r="X2037" s="62" t="s">
        <v>25</v>
      </c>
      <c r="Y2037" s="63" t="e">
        <f t="shared" si="333"/>
        <v>#DIV/0!</v>
      </c>
      <c r="Z2037" s="64">
        <f t="shared" si="330"/>
        <v>0</v>
      </c>
    </row>
    <row r="2038" spans="11:26" ht="15.75" customHeight="1">
      <c r="K2038" s="48">
        <f t="shared" si="331"/>
        <v>8</v>
      </c>
      <c r="L2038" s="48">
        <f t="shared" si="332"/>
        <v>68</v>
      </c>
      <c r="S2038" s="200"/>
      <c r="T2038" s="201"/>
      <c r="U2038" s="58"/>
      <c r="V2038" s="46"/>
      <c r="W2038" s="46"/>
      <c r="X2038" s="62" t="s">
        <v>25</v>
      </c>
      <c r="Y2038" s="63" t="e">
        <f t="shared" si="333"/>
        <v>#DIV/0!</v>
      </c>
      <c r="Z2038" s="64">
        <f t="shared" si="330"/>
        <v>0</v>
      </c>
    </row>
    <row r="2039" spans="11:26" ht="15.75" customHeight="1">
      <c r="K2039" s="48">
        <f t="shared" si="331"/>
        <v>8</v>
      </c>
      <c r="L2039" s="48">
        <f t="shared" si="332"/>
        <v>68</v>
      </c>
      <c r="S2039" s="200"/>
      <c r="T2039" s="201"/>
      <c r="U2039" s="58"/>
      <c r="V2039" s="46"/>
      <c r="W2039" s="46"/>
      <c r="X2039" s="62" t="s">
        <v>25</v>
      </c>
      <c r="Y2039" s="63" t="e">
        <f t="shared" si="333"/>
        <v>#DIV/0!</v>
      </c>
      <c r="Z2039" s="64">
        <f t="shared" si="330"/>
        <v>0</v>
      </c>
    </row>
    <row r="2040" spans="11:26" ht="15.75" customHeight="1">
      <c r="K2040" s="48">
        <f t="shared" si="331"/>
        <v>8</v>
      </c>
      <c r="L2040" s="48">
        <f t="shared" si="332"/>
        <v>68</v>
      </c>
      <c r="S2040" s="200"/>
      <c r="T2040" s="201"/>
      <c r="U2040" s="58"/>
      <c r="V2040" s="46"/>
      <c r="W2040" s="46"/>
      <c r="X2040" s="62" t="s">
        <v>25</v>
      </c>
      <c r="Y2040" s="63" t="e">
        <f t="shared" si="333"/>
        <v>#DIV/0!</v>
      </c>
      <c r="Z2040" s="64">
        <f t="shared" si="330"/>
        <v>0</v>
      </c>
    </row>
    <row r="2041" spans="11:26" ht="15.75" customHeight="1">
      <c r="K2041" s="48">
        <f t="shared" si="331"/>
        <v>8</v>
      </c>
      <c r="L2041" s="48">
        <f t="shared" si="332"/>
        <v>68</v>
      </c>
      <c r="S2041" s="200"/>
      <c r="T2041" s="201"/>
      <c r="U2041" s="58"/>
      <c r="V2041" s="46"/>
      <c r="W2041" s="46"/>
      <c r="X2041" s="62" t="s">
        <v>25</v>
      </c>
      <c r="Y2041" s="63" t="e">
        <f t="shared" si="333"/>
        <v>#DIV/0!</v>
      </c>
      <c r="Z2041" s="64">
        <f t="shared" si="330"/>
        <v>0</v>
      </c>
    </row>
    <row r="2042" spans="11:26" ht="15.75" customHeight="1">
      <c r="K2042" s="48">
        <f t="shared" si="331"/>
        <v>8</v>
      </c>
      <c r="L2042" s="48">
        <f t="shared" si="332"/>
        <v>68</v>
      </c>
      <c r="S2042" s="200"/>
      <c r="T2042" s="201"/>
      <c r="U2042" s="58"/>
      <c r="V2042" s="46"/>
      <c r="W2042" s="46"/>
      <c r="X2042" s="62" t="s">
        <v>25</v>
      </c>
      <c r="Y2042" s="63" t="e">
        <f t="shared" si="333"/>
        <v>#DIV/0!</v>
      </c>
      <c r="Z2042" s="64">
        <f t="shared" si="330"/>
        <v>0</v>
      </c>
    </row>
    <row r="2043" spans="11:26" ht="15.75" customHeight="1">
      <c r="K2043" s="48">
        <f t="shared" si="331"/>
        <v>8</v>
      </c>
      <c r="L2043" s="48">
        <f t="shared" si="332"/>
        <v>68</v>
      </c>
      <c r="S2043" s="200"/>
      <c r="T2043" s="201"/>
      <c r="U2043" s="58"/>
      <c r="V2043" s="46"/>
      <c r="W2043" s="46"/>
      <c r="X2043" s="62" t="s">
        <v>25</v>
      </c>
      <c r="Y2043" s="63" t="e">
        <f t="shared" si="333"/>
        <v>#DIV/0!</v>
      </c>
      <c r="Z2043" s="64">
        <f t="shared" si="330"/>
        <v>0</v>
      </c>
    </row>
    <row r="2044" spans="11:26" ht="15.75" customHeight="1">
      <c r="K2044" s="48">
        <f t="shared" si="331"/>
        <v>8</v>
      </c>
      <c r="L2044" s="48">
        <f t="shared" si="332"/>
        <v>68</v>
      </c>
      <c r="S2044" s="200"/>
      <c r="T2044" s="201"/>
      <c r="U2044" s="58"/>
      <c r="V2044" s="46"/>
      <c r="W2044" s="46"/>
      <c r="X2044" s="62" t="s">
        <v>25</v>
      </c>
      <c r="Y2044" s="63" t="e">
        <f t="shared" si="333"/>
        <v>#DIV/0!</v>
      </c>
      <c r="Z2044" s="64">
        <f t="shared" si="330"/>
        <v>0</v>
      </c>
    </row>
    <row r="2045" spans="11:26" ht="15.75" customHeight="1">
      <c r="K2045" s="48">
        <f t="shared" si="331"/>
        <v>8</v>
      </c>
      <c r="L2045" s="48">
        <f t="shared" si="332"/>
        <v>68</v>
      </c>
      <c r="S2045" s="200"/>
      <c r="T2045" s="201"/>
      <c r="U2045" s="58"/>
      <c r="V2045" s="46"/>
      <c r="W2045" s="46"/>
      <c r="X2045" s="62" t="s">
        <v>25</v>
      </c>
      <c r="Y2045" s="63" t="e">
        <f t="shared" si="333"/>
        <v>#DIV/0!</v>
      </c>
      <c r="Z2045" s="64">
        <f t="shared" si="330"/>
        <v>0</v>
      </c>
    </row>
    <row r="2046" spans="11:26" ht="15.75" customHeight="1">
      <c r="K2046" s="48">
        <f t="shared" si="331"/>
        <v>8</v>
      </c>
      <c r="L2046" s="48">
        <f t="shared" si="332"/>
        <v>68</v>
      </c>
      <c r="S2046" s="200"/>
      <c r="T2046" s="201"/>
      <c r="U2046" s="58"/>
      <c r="V2046" s="46"/>
      <c r="W2046" s="46"/>
      <c r="X2046" s="62" t="s">
        <v>25</v>
      </c>
      <c r="Y2046" s="63" t="e">
        <f t="shared" si="333"/>
        <v>#DIV/0!</v>
      </c>
      <c r="Z2046" s="64">
        <f t="shared" ref="Z2046:Z2060" si="334">E2046-N2046</f>
        <v>0</v>
      </c>
    </row>
    <row r="2047" spans="11:26" ht="15.75" customHeight="1">
      <c r="K2047" s="48">
        <f t="shared" si="331"/>
        <v>8</v>
      </c>
      <c r="L2047" s="48">
        <f t="shared" si="332"/>
        <v>68</v>
      </c>
      <c r="S2047" s="200"/>
      <c r="T2047" s="201"/>
      <c r="U2047" s="58"/>
      <c r="V2047" s="46"/>
      <c r="W2047" s="46"/>
      <c r="X2047" s="62" t="s">
        <v>25</v>
      </c>
      <c r="Y2047" s="63" t="e">
        <f t="shared" si="333"/>
        <v>#DIV/0!</v>
      </c>
      <c r="Z2047" s="64">
        <f t="shared" si="334"/>
        <v>0</v>
      </c>
    </row>
    <row r="2048" spans="11:26" ht="15.75" customHeight="1">
      <c r="K2048" s="48">
        <f t="shared" si="331"/>
        <v>8</v>
      </c>
      <c r="L2048" s="48">
        <f t="shared" si="332"/>
        <v>68</v>
      </c>
      <c r="S2048" s="200"/>
      <c r="T2048" s="201"/>
      <c r="U2048" s="58"/>
      <c r="V2048" s="46"/>
      <c r="W2048" s="46"/>
      <c r="X2048" s="62" t="s">
        <v>25</v>
      </c>
      <c r="Y2048" s="63" t="e">
        <f t="shared" si="333"/>
        <v>#DIV/0!</v>
      </c>
      <c r="Z2048" s="64">
        <f t="shared" si="334"/>
        <v>0</v>
      </c>
    </row>
    <row r="2049" spans="11:26" ht="15.75" customHeight="1">
      <c r="K2049" s="48">
        <f t="shared" si="331"/>
        <v>8</v>
      </c>
      <c r="L2049" s="48">
        <f t="shared" si="332"/>
        <v>68</v>
      </c>
      <c r="S2049" s="200"/>
      <c r="T2049" s="201"/>
      <c r="U2049" s="58"/>
      <c r="V2049" s="46"/>
      <c r="W2049" s="46"/>
      <c r="X2049" s="62" t="s">
        <v>25</v>
      </c>
      <c r="Y2049" s="63" t="e">
        <f t="shared" si="333"/>
        <v>#DIV/0!</v>
      </c>
      <c r="Z2049" s="64">
        <f t="shared" si="334"/>
        <v>0</v>
      </c>
    </row>
    <row r="2050" spans="11:26" ht="15.75" customHeight="1">
      <c r="K2050" s="48">
        <f t="shared" si="331"/>
        <v>8</v>
      </c>
      <c r="L2050" s="48">
        <f t="shared" si="332"/>
        <v>68</v>
      </c>
      <c r="S2050" s="200"/>
      <c r="T2050" s="201"/>
      <c r="U2050" s="58"/>
      <c r="V2050" s="46"/>
      <c r="W2050" s="46"/>
      <c r="X2050" s="62" t="s">
        <v>25</v>
      </c>
      <c r="Y2050" s="63" t="e">
        <f t="shared" si="333"/>
        <v>#DIV/0!</v>
      </c>
      <c r="Z2050" s="64">
        <f t="shared" si="334"/>
        <v>0</v>
      </c>
    </row>
    <row r="2051" spans="11:26" ht="15.75" customHeight="1">
      <c r="K2051" s="48">
        <f t="shared" si="331"/>
        <v>8</v>
      </c>
      <c r="L2051" s="48">
        <f t="shared" si="332"/>
        <v>68</v>
      </c>
      <c r="S2051" s="200"/>
      <c r="T2051" s="201"/>
      <c r="U2051" s="58"/>
      <c r="V2051" s="46"/>
      <c r="W2051" s="46"/>
      <c r="X2051" s="62" t="s">
        <v>25</v>
      </c>
      <c r="Y2051" s="63" t="e">
        <f t="shared" si="333"/>
        <v>#DIV/0!</v>
      </c>
      <c r="Z2051" s="64">
        <f t="shared" si="334"/>
        <v>0</v>
      </c>
    </row>
    <row r="2052" spans="11:26" ht="15.75" customHeight="1">
      <c r="K2052" s="48">
        <f t="shared" si="331"/>
        <v>8</v>
      </c>
      <c r="L2052" s="48">
        <f t="shared" si="332"/>
        <v>68</v>
      </c>
      <c r="S2052" s="200"/>
      <c r="T2052" s="201"/>
      <c r="U2052" s="58"/>
      <c r="V2052" s="46"/>
      <c r="W2052" s="46"/>
      <c r="X2052" s="62" t="s">
        <v>25</v>
      </c>
      <c r="Y2052" s="63" t="e">
        <f t="shared" si="333"/>
        <v>#DIV/0!</v>
      </c>
      <c r="Z2052" s="64">
        <f t="shared" si="334"/>
        <v>0</v>
      </c>
    </row>
    <row r="2053" spans="11:26" ht="15.75" customHeight="1">
      <c r="K2053" s="48">
        <f t="shared" si="331"/>
        <v>8</v>
      </c>
      <c r="L2053" s="48">
        <f t="shared" si="332"/>
        <v>68</v>
      </c>
      <c r="S2053" s="200"/>
      <c r="T2053" s="201"/>
      <c r="U2053" s="58"/>
      <c r="V2053" s="46"/>
      <c r="W2053" s="46"/>
      <c r="X2053" s="62" t="s">
        <v>25</v>
      </c>
      <c r="Y2053" s="63" t="e">
        <f t="shared" si="333"/>
        <v>#DIV/0!</v>
      </c>
      <c r="Z2053" s="64">
        <f t="shared" si="334"/>
        <v>0</v>
      </c>
    </row>
    <row r="2054" spans="11:26" ht="15.75" customHeight="1">
      <c r="K2054" s="48">
        <f t="shared" si="331"/>
        <v>8</v>
      </c>
      <c r="L2054" s="48">
        <f t="shared" si="332"/>
        <v>68</v>
      </c>
      <c r="S2054" s="200"/>
      <c r="T2054" s="201"/>
      <c r="U2054" s="58"/>
      <c r="V2054" s="46"/>
      <c r="W2054" s="46"/>
      <c r="X2054" s="62" t="s">
        <v>25</v>
      </c>
      <c r="Y2054" s="63" t="e">
        <f t="shared" si="333"/>
        <v>#DIV/0!</v>
      </c>
      <c r="Z2054" s="64">
        <f t="shared" si="334"/>
        <v>0</v>
      </c>
    </row>
    <row r="2055" spans="11:26" ht="15.75" customHeight="1">
      <c r="K2055" s="48">
        <f t="shared" si="331"/>
        <v>8</v>
      </c>
      <c r="L2055" s="48">
        <f t="shared" si="332"/>
        <v>68</v>
      </c>
      <c r="S2055" s="200"/>
      <c r="T2055" s="201"/>
      <c r="U2055" s="58"/>
      <c r="V2055" s="46"/>
      <c r="W2055" s="46"/>
      <c r="X2055" s="62" t="s">
        <v>25</v>
      </c>
      <c r="Y2055" s="63" t="e">
        <f t="shared" si="333"/>
        <v>#DIV/0!</v>
      </c>
      <c r="Z2055" s="64">
        <f t="shared" si="334"/>
        <v>0</v>
      </c>
    </row>
    <row r="2056" spans="11:26" ht="15.75" customHeight="1">
      <c r="K2056" s="48">
        <f t="shared" si="331"/>
        <v>8</v>
      </c>
      <c r="L2056" s="48">
        <f t="shared" si="332"/>
        <v>68</v>
      </c>
      <c r="S2056" s="200"/>
      <c r="T2056" s="201"/>
      <c r="U2056" s="58"/>
      <c r="V2056" s="46"/>
      <c r="W2056" s="46"/>
      <c r="X2056" s="62" t="s">
        <v>25</v>
      </c>
      <c r="Y2056" s="63" t="e">
        <f t="shared" si="333"/>
        <v>#DIV/0!</v>
      </c>
      <c r="Z2056" s="64">
        <f t="shared" si="334"/>
        <v>0</v>
      </c>
    </row>
    <row r="2057" spans="11:26" ht="15.75" customHeight="1">
      <c r="K2057" s="48">
        <f t="shared" si="331"/>
        <v>8</v>
      </c>
      <c r="L2057" s="48">
        <f t="shared" si="332"/>
        <v>68</v>
      </c>
      <c r="S2057" s="200"/>
      <c r="T2057" s="201"/>
      <c r="U2057" s="58"/>
      <c r="V2057" s="46"/>
      <c r="W2057" s="46"/>
      <c r="X2057" s="62" t="s">
        <v>25</v>
      </c>
      <c r="Y2057" s="63" t="e">
        <f t="shared" si="333"/>
        <v>#DIV/0!</v>
      </c>
      <c r="Z2057" s="64">
        <f t="shared" si="334"/>
        <v>0</v>
      </c>
    </row>
    <row r="2058" spans="11:26" ht="15.75" customHeight="1">
      <c r="K2058" s="48">
        <f t="shared" si="331"/>
        <v>8</v>
      </c>
      <c r="L2058" s="48">
        <f t="shared" si="332"/>
        <v>68</v>
      </c>
      <c r="S2058" s="200"/>
      <c r="T2058" s="201"/>
      <c r="U2058" s="58"/>
      <c r="V2058" s="46"/>
      <c r="W2058" s="46"/>
      <c r="X2058" s="62" t="s">
        <v>25</v>
      </c>
      <c r="Y2058" s="63" t="e">
        <f t="shared" si="333"/>
        <v>#DIV/0!</v>
      </c>
      <c r="Z2058" s="64">
        <f t="shared" si="334"/>
        <v>0</v>
      </c>
    </row>
    <row r="2059" spans="11:26" ht="15.75" customHeight="1">
      <c r="K2059" s="48">
        <f t="shared" ref="K2059:K2064" si="335">D2059+8</f>
        <v>8</v>
      </c>
      <c r="L2059" s="48">
        <f t="shared" ref="L2059:L2064" si="336">K2059+60</f>
        <v>68</v>
      </c>
      <c r="S2059" s="200"/>
      <c r="T2059" s="201"/>
      <c r="U2059" s="58"/>
      <c r="V2059" s="46"/>
      <c r="W2059" s="46"/>
      <c r="X2059" s="62" t="s">
        <v>25</v>
      </c>
      <c r="Y2059" s="63" t="e">
        <f t="shared" si="333"/>
        <v>#DIV/0!</v>
      </c>
      <c r="Z2059" s="64">
        <f t="shared" si="334"/>
        <v>0</v>
      </c>
    </row>
    <row r="2060" spans="11:26" ht="15.75" customHeight="1">
      <c r="K2060" s="48">
        <f t="shared" si="335"/>
        <v>8</v>
      </c>
      <c r="L2060" s="48">
        <f t="shared" si="336"/>
        <v>68</v>
      </c>
      <c r="S2060" s="200"/>
      <c r="T2060" s="201"/>
      <c r="U2060" s="58"/>
      <c r="V2060" s="46"/>
      <c r="W2060" s="46"/>
      <c r="X2060" s="62" t="s">
        <v>25</v>
      </c>
      <c r="Y2060" s="63" t="e">
        <f t="shared" si="333"/>
        <v>#DIV/0!</v>
      </c>
      <c r="Z2060" s="64">
        <f t="shared" si="334"/>
        <v>0</v>
      </c>
    </row>
    <row r="2061" spans="11:26" ht="15.75" customHeight="1">
      <c r="K2061" s="48">
        <f t="shared" si="335"/>
        <v>8</v>
      </c>
      <c r="L2061" s="48">
        <f t="shared" si="336"/>
        <v>68</v>
      </c>
    </row>
    <row r="2062" spans="11:26" ht="15.75" customHeight="1">
      <c r="K2062" s="48">
        <f t="shared" si="335"/>
        <v>8</v>
      </c>
      <c r="L2062" s="48">
        <f t="shared" si="336"/>
        <v>68</v>
      </c>
    </row>
    <row r="2063" spans="11:26" ht="15.75" customHeight="1">
      <c r="K2063" s="48">
        <f t="shared" si="335"/>
        <v>8</v>
      </c>
      <c r="L2063" s="48">
        <f t="shared" si="336"/>
        <v>68</v>
      </c>
    </row>
    <row r="2064" spans="11:26" ht="15.75" customHeight="1">
      <c r="K2064" s="48">
        <f t="shared" si="335"/>
        <v>8</v>
      </c>
      <c r="L2064" s="48">
        <f t="shared" si="336"/>
        <v>68</v>
      </c>
    </row>
    <row r="2066" spans="8:19">
      <c r="S2066" s="52"/>
    </row>
    <row r="2067" spans="8:19">
      <c r="S2067" s="73"/>
    </row>
    <row r="2068" spans="8:19">
      <c r="S2068" s="73"/>
    </row>
    <row r="2069" spans="8:19">
      <c r="S2069" s="117"/>
    </row>
    <row r="2070" spans="8:19">
      <c r="S2070" s="117"/>
    </row>
    <row r="2073" spans="8:19">
      <c r="H2073" s="275"/>
    </row>
  </sheetData>
  <autoFilter ref="A1:Z2064" xr:uid="{00000000-0009-0000-0000-00000F000000}"/>
  <conditionalFormatting sqref="N14:O14">
    <cfRule type="cellIs" dxfId="107" priority="77" operator="equal">
      <formula>0</formula>
    </cfRule>
  </conditionalFormatting>
  <conditionalFormatting sqref="N19:O19">
    <cfRule type="cellIs" dxfId="106" priority="83" operator="equal">
      <formula>0</formula>
    </cfRule>
  </conditionalFormatting>
  <conditionalFormatting sqref="N32:O32">
    <cfRule type="cellIs" dxfId="105" priority="82" operator="equal">
      <formula>0</formula>
    </cfRule>
  </conditionalFormatting>
  <conditionalFormatting sqref="N44:O44">
    <cfRule type="cellIs" dxfId="104" priority="103" operator="equal">
      <formula>0</formula>
    </cfRule>
  </conditionalFormatting>
  <conditionalFormatting sqref="N60:O60">
    <cfRule type="cellIs" dxfId="103" priority="107" operator="equal">
      <formula>0</formula>
    </cfRule>
  </conditionalFormatting>
  <conditionalFormatting sqref="N63:O63">
    <cfRule type="cellIs" dxfId="102" priority="102" operator="equal">
      <formula>0</formula>
    </cfRule>
  </conditionalFormatting>
  <conditionalFormatting sqref="N64:O64">
    <cfRule type="cellIs" dxfId="101" priority="78" operator="equal">
      <formula>0</formula>
    </cfRule>
  </conditionalFormatting>
  <conditionalFormatting sqref="N65:O65">
    <cfRule type="cellIs" dxfId="100" priority="105" operator="equal">
      <formula>0</formula>
    </cfRule>
  </conditionalFormatting>
  <conditionalFormatting sqref="N67:O67">
    <cfRule type="cellIs" dxfId="99" priority="95" operator="equal">
      <formula>0</formula>
    </cfRule>
  </conditionalFormatting>
  <conditionalFormatting sqref="N69:O69">
    <cfRule type="cellIs" dxfId="98" priority="94" operator="equal">
      <formula>0</formula>
    </cfRule>
  </conditionalFormatting>
  <conditionalFormatting sqref="N70:O70">
    <cfRule type="cellIs" dxfId="97" priority="93" operator="equal">
      <formula>0</formula>
    </cfRule>
  </conditionalFormatting>
  <conditionalFormatting sqref="N71:O71">
    <cfRule type="cellIs" dxfId="96" priority="108" operator="equal">
      <formula>0</formula>
    </cfRule>
  </conditionalFormatting>
  <conditionalFormatting sqref="N75:O75">
    <cfRule type="cellIs" dxfId="95" priority="106" operator="equal">
      <formula>0</formula>
    </cfRule>
  </conditionalFormatting>
  <conditionalFormatting sqref="N77:O77">
    <cfRule type="cellIs" dxfId="94" priority="104" operator="equal">
      <formula>0</formula>
    </cfRule>
  </conditionalFormatting>
  <conditionalFormatting sqref="N81:O81">
    <cfRule type="cellIs" dxfId="93" priority="99" operator="equal">
      <formula>0</formula>
    </cfRule>
  </conditionalFormatting>
  <conditionalFormatting sqref="N94:O94">
    <cfRule type="cellIs" dxfId="92" priority="96" operator="equal">
      <formula>0</formula>
    </cfRule>
  </conditionalFormatting>
  <conditionalFormatting sqref="N103:O103">
    <cfRule type="cellIs" dxfId="91" priority="98" operator="equal">
      <formula>0</formula>
    </cfRule>
  </conditionalFormatting>
  <conditionalFormatting sqref="N105:O105">
    <cfRule type="cellIs" dxfId="90" priority="97" operator="equal">
      <formula>0</formula>
    </cfRule>
  </conditionalFormatting>
  <conditionalFormatting sqref="N108:O108">
    <cfRule type="cellIs" dxfId="89" priority="91" operator="equal">
      <formula>0</formula>
    </cfRule>
  </conditionalFormatting>
  <conditionalFormatting sqref="N138:O138">
    <cfRule type="cellIs" dxfId="88" priority="92" operator="equal">
      <formula>0</formula>
    </cfRule>
  </conditionalFormatting>
  <conditionalFormatting sqref="N165:O165">
    <cfRule type="cellIs" dxfId="87" priority="90" operator="equal">
      <formula>0</formula>
    </cfRule>
  </conditionalFormatting>
  <conditionalFormatting sqref="N168:O168">
    <cfRule type="cellIs" dxfId="86" priority="89" operator="equal">
      <formula>0</formula>
    </cfRule>
  </conditionalFormatting>
  <conditionalFormatting sqref="N189:O189">
    <cfRule type="cellIs" dxfId="85" priority="81" operator="equal">
      <formula>0</formula>
    </cfRule>
  </conditionalFormatting>
  <conditionalFormatting sqref="N221:O221">
    <cfRule type="cellIs" dxfId="84" priority="87" operator="equal">
      <formula>0</formula>
    </cfRule>
  </conditionalFormatting>
  <conditionalFormatting sqref="N222:O222">
    <cfRule type="cellIs" dxfId="83" priority="88" operator="equal">
      <formula>0</formula>
    </cfRule>
  </conditionalFormatting>
  <conditionalFormatting sqref="N224:O224">
    <cfRule type="cellIs" dxfId="82" priority="86" operator="equal">
      <formula>0</formula>
    </cfRule>
  </conditionalFormatting>
  <conditionalFormatting sqref="N225:O225">
    <cfRule type="cellIs" dxfId="81" priority="85" operator="equal">
      <formula>0</formula>
    </cfRule>
  </conditionalFormatting>
  <conditionalFormatting sqref="N226:O226">
    <cfRule type="cellIs" dxfId="80" priority="84" operator="equal">
      <formula>0</formula>
    </cfRule>
  </conditionalFormatting>
  <conditionalFormatting sqref="N400:O400">
    <cfRule type="cellIs" dxfId="79" priority="80" operator="equal">
      <formula>0</formula>
    </cfRule>
  </conditionalFormatting>
  <conditionalFormatting sqref="N429:O429">
    <cfRule type="cellIs" dxfId="78" priority="72" operator="equal">
      <formula>0</formula>
    </cfRule>
  </conditionalFormatting>
  <conditionalFormatting sqref="N430:O430">
    <cfRule type="cellIs" dxfId="77" priority="60" operator="equal">
      <formula>0</formula>
    </cfRule>
  </conditionalFormatting>
  <conditionalFormatting sqref="N442:O442">
    <cfRule type="cellIs" dxfId="76" priority="67" operator="equal">
      <formula>0</formula>
    </cfRule>
  </conditionalFormatting>
  <conditionalFormatting sqref="N443:O443">
    <cfRule type="cellIs" dxfId="75" priority="66" operator="equal">
      <formula>0</formula>
    </cfRule>
  </conditionalFormatting>
  <conditionalFormatting sqref="N444:O444">
    <cfRule type="cellIs" dxfId="74" priority="73" operator="equal">
      <formula>0</formula>
    </cfRule>
  </conditionalFormatting>
  <conditionalFormatting sqref="N538:O538">
    <cfRule type="cellIs" dxfId="73" priority="63" operator="equal">
      <formula>0</formula>
    </cfRule>
  </conditionalFormatting>
  <conditionalFormatting sqref="N542:O542">
    <cfRule type="cellIs" dxfId="72" priority="57" operator="equal">
      <formula>0</formula>
    </cfRule>
  </conditionalFormatting>
  <conditionalFormatting sqref="N548:O548">
    <cfRule type="cellIs" dxfId="71" priority="61" operator="equal">
      <formula>0</formula>
    </cfRule>
  </conditionalFormatting>
  <conditionalFormatting sqref="N551:O551">
    <cfRule type="cellIs" dxfId="70" priority="50" operator="equal">
      <formula>0</formula>
    </cfRule>
  </conditionalFormatting>
  <conditionalFormatting sqref="N711:O711">
    <cfRule type="cellIs" dxfId="69" priority="52" operator="equal">
      <formula>0</formula>
    </cfRule>
  </conditionalFormatting>
  <conditionalFormatting sqref="N762:O762">
    <cfRule type="cellIs" dxfId="68" priority="49" operator="equal">
      <formula>0</formula>
    </cfRule>
  </conditionalFormatting>
  <conditionalFormatting sqref="N763:O763">
    <cfRule type="cellIs" dxfId="67" priority="48" operator="equal">
      <formula>0</formula>
    </cfRule>
  </conditionalFormatting>
  <conditionalFormatting sqref="N822:O822">
    <cfRule type="cellIs" dxfId="66" priority="64" operator="equal">
      <formula>0</formula>
    </cfRule>
  </conditionalFormatting>
  <conditionalFormatting sqref="N846:O846">
    <cfRule type="cellIs" dxfId="65" priority="46" operator="equal">
      <formula>0</formula>
    </cfRule>
  </conditionalFormatting>
  <conditionalFormatting sqref="N849:O849">
    <cfRule type="cellIs" dxfId="64" priority="47" operator="equal">
      <formula>0</formula>
    </cfRule>
  </conditionalFormatting>
  <conditionalFormatting sqref="N870:O870">
    <cfRule type="cellIs" dxfId="63" priority="44" operator="equal">
      <formula>0</formula>
    </cfRule>
  </conditionalFormatting>
  <conditionalFormatting sqref="N879:O879">
    <cfRule type="cellIs" dxfId="62" priority="31" operator="equal">
      <formula>0</formula>
    </cfRule>
  </conditionalFormatting>
  <conditionalFormatting sqref="N880:O880">
    <cfRule type="cellIs" dxfId="61" priority="32" operator="equal">
      <formula>0</formula>
    </cfRule>
  </conditionalFormatting>
  <conditionalFormatting sqref="N1148:O1148">
    <cfRule type="cellIs" dxfId="60" priority="26" operator="equal">
      <formula>0</formula>
    </cfRule>
  </conditionalFormatting>
  <conditionalFormatting sqref="N1334:O1334">
    <cfRule type="cellIs" dxfId="59" priority="19" operator="equal">
      <formula>0</formula>
    </cfRule>
  </conditionalFormatting>
  <conditionalFormatting sqref="N1335:O1335">
    <cfRule type="cellIs" dxfId="58" priority="22" operator="equal">
      <formula>0</formula>
    </cfRule>
  </conditionalFormatting>
  <conditionalFormatting sqref="N42:O43">
    <cfRule type="cellIs" dxfId="57" priority="100" operator="equal">
      <formula>0</formula>
    </cfRule>
  </conditionalFormatting>
  <conditionalFormatting sqref="N91:O92">
    <cfRule type="cellIs" dxfId="56" priority="101" operator="equal">
      <formula>0</formula>
    </cfRule>
  </conditionalFormatting>
  <conditionalFormatting sqref="N396:O399">
    <cfRule type="cellIs" dxfId="55" priority="79" operator="equal">
      <formula>0</formula>
    </cfRule>
  </conditionalFormatting>
  <conditionalFormatting sqref="N413:O414">
    <cfRule type="cellIs" dxfId="54" priority="76" operator="equal">
      <formula>0</formula>
    </cfRule>
  </conditionalFormatting>
  <conditionalFormatting sqref="N431:O434">
    <cfRule type="cellIs" dxfId="53" priority="59" operator="equal">
      <formula>0</formula>
    </cfRule>
  </conditionalFormatting>
  <conditionalFormatting sqref="N539:O541">
    <cfRule type="cellIs" dxfId="52" priority="62" operator="equal">
      <formula>0</formula>
    </cfRule>
  </conditionalFormatting>
  <conditionalFormatting sqref="N549:O550">
    <cfRule type="cellIs" dxfId="51" priority="56" operator="equal">
      <formula>0</formula>
    </cfRule>
  </conditionalFormatting>
  <conditionalFormatting sqref="N572:O583">
    <cfRule type="cellIs" dxfId="50" priority="55" operator="equal">
      <formula>0</formula>
    </cfRule>
  </conditionalFormatting>
  <conditionalFormatting sqref="N584:O588">
    <cfRule type="cellIs" dxfId="49" priority="54" operator="equal">
      <formula>0</formula>
    </cfRule>
  </conditionalFormatting>
  <conditionalFormatting sqref="N589:O590">
    <cfRule type="cellIs" dxfId="48" priority="53" operator="equal">
      <formula>0</formula>
    </cfRule>
  </conditionalFormatting>
  <conditionalFormatting sqref="N655:O671">
    <cfRule type="cellIs" dxfId="47" priority="51" operator="equal">
      <formula>0</formula>
    </cfRule>
  </conditionalFormatting>
  <conditionalFormatting sqref="N714:O722">
    <cfRule type="cellIs" dxfId="46" priority="75" operator="equal">
      <formula>0</formula>
    </cfRule>
  </conditionalFormatting>
  <conditionalFormatting sqref="N723:O728">
    <cfRule type="cellIs" dxfId="45" priority="74" operator="equal">
      <formula>0</formula>
    </cfRule>
  </conditionalFormatting>
  <conditionalFormatting sqref="N729:O731">
    <cfRule type="cellIs" dxfId="44" priority="71" operator="equal">
      <formula>0</formula>
    </cfRule>
  </conditionalFormatting>
  <conditionalFormatting sqref="N732:O734">
    <cfRule type="cellIs" dxfId="43" priority="70" operator="equal">
      <formula>0</formula>
    </cfRule>
  </conditionalFormatting>
  <conditionalFormatting sqref="N736:O740">
    <cfRule type="cellIs" dxfId="42" priority="69" operator="equal">
      <formula>0</formula>
    </cfRule>
  </conditionalFormatting>
  <conditionalFormatting sqref="N741:O752">
    <cfRule type="cellIs" dxfId="41" priority="68" operator="equal">
      <formula>0</formula>
    </cfRule>
  </conditionalFormatting>
  <conditionalFormatting sqref="N808:O821">
    <cfRule type="cellIs" dxfId="40" priority="65" operator="equal">
      <formula>0</formula>
    </cfRule>
  </conditionalFormatting>
  <conditionalFormatting sqref="N836:O845">
    <cfRule type="cellIs" dxfId="39" priority="58" operator="equal">
      <formula>0</formula>
    </cfRule>
  </conditionalFormatting>
  <conditionalFormatting sqref="N857:O869">
    <cfRule type="cellIs" dxfId="38" priority="45" operator="equal">
      <formula>0</formula>
    </cfRule>
  </conditionalFormatting>
  <conditionalFormatting sqref="N872:O873">
    <cfRule type="cellIs" dxfId="37" priority="34" operator="equal">
      <formula>0</formula>
    </cfRule>
  </conditionalFormatting>
  <conditionalFormatting sqref="N874:O875">
    <cfRule type="cellIs" dxfId="36" priority="36" operator="equal">
      <formula>0</formula>
    </cfRule>
  </conditionalFormatting>
  <conditionalFormatting sqref="N876:O878">
    <cfRule type="cellIs" dxfId="35" priority="33" operator="equal">
      <formula>0</formula>
    </cfRule>
  </conditionalFormatting>
  <conditionalFormatting sqref="N881:O888">
    <cfRule type="cellIs" dxfId="34" priority="28" operator="equal">
      <formula>0</formula>
    </cfRule>
  </conditionalFormatting>
  <conditionalFormatting sqref="N902:O930">
    <cfRule type="cellIs" dxfId="33" priority="43" operator="equal">
      <formula>0</formula>
    </cfRule>
  </conditionalFormatting>
  <conditionalFormatting sqref="N931:O1019">
    <cfRule type="cellIs" dxfId="32" priority="42" operator="equal">
      <formula>0</formula>
    </cfRule>
  </conditionalFormatting>
  <conditionalFormatting sqref="N1020:O1036">
    <cfRule type="cellIs" dxfId="31" priority="41" operator="equal">
      <formula>0</formula>
    </cfRule>
  </conditionalFormatting>
  <conditionalFormatting sqref="N1037:O1049">
    <cfRule type="cellIs" dxfId="30" priority="40" operator="equal">
      <formula>0</formula>
    </cfRule>
  </conditionalFormatting>
  <conditionalFormatting sqref="N1050:O1066">
    <cfRule type="cellIs" dxfId="29" priority="39" operator="equal">
      <formula>0</formula>
    </cfRule>
  </conditionalFormatting>
  <conditionalFormatting sqref="N1067:O1082">
    <cfRule type="cellIs" dxfId="28" priority="38" operator="equal">
      <formula>0</formula>
    </cfRule>
  </conditionalFormatting>
  <conditionalFormatting sqref="N1083:O1087">
    <cfRule type="cellIs" dxfId="27" priority="37" operator="equal">
      <formula>0</formula>
    </cfRule>
  </conditionalFormatting>
  <conditionalFormatting sqref="N1088:O1093">
    <cfRule type="cellIs" dxfId="26" priority="35" operator="equal">
      <formula>0</formula>
    </cfRule>
  </conditionalFormatting>
  <conditionalFormatting sqref="N1094:O1097">
    <cfRule type="cellIs" dxfId="25" priority="30" operator="equal">
      <formula>0</formula>
    </cfRule>
  </conditionalFormatting>
  <conditionalFormatting sqref="N1098:O1101">
    <cfRule type="cellIs" dxfId="24" priority="27" operator="equal">
      <formula>0</formula>
    </cfRule>
  </conditionalFormatting>
  <conditionalFormatting sqref="N1109:O1110">
    <cfRule type="cellIs" dxfId="23" priority="21" operator="equal">
      <formula>0</formula>
    </cfRule>
  </conditionalFormatting>
  <conditionalFormatting sqref="N1111:O1115">
    <cfRule type="cellIs" dxfId="22" priority="20" operator="equal">
      <formula>0</formula>
    </cfRule>
  </conditionalFormatting>
  <conditionalFormatting sqref="N1116:O1117">
    <cfRule type="cellIs" dxfId="21" priority="29" operator="equal">
      <formula>0</formula>
    </cfRule>
  </conditionalFormatting>
  <conditionalFormatting sqref="N1149:O1165">
    <cfRule type="cellIs" dxfId="20" priority="25" operator="equal">
      <formula>0</formula>
    </cfRule>
  </conditionalFormatting>
  <conditionalFormatting sqref="N1166:O1316">
    <cfRule type="cellIs" dxfId="19" priority="24" operator="equal">
      <formula>0</formula>
    </cfRule>
  </conditionalFormatting>
  <conditionalFormatting sqref="N1317:O1333">
    <cfRule type="cellIs" dxfId="18" priority="23" operator="equal">
      <formula>0</formula>
    </cfRule>
  </conditionalFormatting>
  <conditionalFormatting sqref="N1102:O1102">
    <cfRule type="cellIs" dxfId="17" priority="18" operator="equal">
      <formula>0</formula>
    </cfRule>
  </conditionalFormatting>
  <conditionalFormatting sqref="N1133:O1133">
    <cfRule type="cellIs" dxfId="16" priority="17" operator="equal">
      <formula>0</formula>
    </cfRule>
  </conditionalFormatting>
  <conditionalFormatting sqref="N1336:O1345">
    <cfRule type="cellIs" dxfId="15" priority="16" operator="equal">
      <formula>0</formula>
    </cfRule>
  </conditionalFormatting>
  <conditionalFormatting sqref="N1346:O1355">
    <cfRule type="cellIs" dxfId="14" priority="15" operator="equal">
      <formula>0</formula>
    </cfRule>
  </conditionalFormatting>
  <conditionalFormatting sqref="N1356:O1365">
    <cfRule type="cellIs" dxfId="13" priority="14" operator="equal">
      <formula>0</formula>
    </cfRule>
  </conditionalFormatting>
  <conditionalFormatting sqref="N1366:O1377">
    <cfRule type="cellIs" dxfId="12" priority="13" operator="equal">
      <formula>0</formula>
    </cfRule>
  </conditionalFormatting>
  <conditionalFormatting sqref="N1378:O1384">
    <cfRule type="cellIs" dxfId="11" priority="12" operator="equal">
      <formula>0</formula>
    </cfRule>
  </conditionalFormatting>
  <conditionalFormatting sqref="N1402:O1410">
    <cfRule type="cellIs" dxfId="10" priority="11" operator="equal">
      <formula>0</formula>
    </cfRule>
  </conditionalFormatting>
  <conditionalFormatting sqref="N1411:O1421">
    <cfRule type="cellIs" dxfId="9" priority="10" operator="equal">
      <formula>0</formula>
    </cfRule>
  </conditionalFormatting>
  <conditionalFormatting sqref="N1422:O1437">
    <cfRule type="cellIs" dxfId="8" priority="9" operator="equal">
      <formula>0</formula>
    </cfRule>
  </conditionalFormatting>
  <conditionalFormatting sqref="N889:O896">
    <cfRule type="cellIs" dxfId="7" priority="8" operator="equal">
      <formula>0</formula>
    </cfRule>
  </conditionalFormatting>
  <conditionalFormatting sqref="N897:O900">
    <cfRule type="cellIs" dxfId="6" priority="7" operator="equal">
      <formula>0</formula>
    </cfRule>
  </conditionalFormatting>
  <conditionalFormatting sqref="N1103">
    <cfRule type="cellIs" dxfId="5" priority="6" operator="equal">
      <formula>0</formula>
    </cfRule>
  </conditionalFormatting>
  <conditionalFormatting sqref="N1105:N1108">
    <cfRule type="cellIs" dxfId="4" priority="5" operator="equal">
      <formula>0</formula>
    </cfRule>
  </conditionalFormatting>
  <conditionalFormatting sqref="N1134:N1147 N1118:N1132">
    <cfRule type="cellIs" dxfId="3" priority="4" operator="equal">
      <formula>0</formula>
    </cfRule>
  </conditionalFormatting>
  <conditionalFormatting sqref="N1385">
    <cfRule type="cellIs" dxfId="2" priority="3" operator="equal">
      <formula>0</formula>
    </cfRule>
  </conditionalFormatting>
  <conditionalFormatting sqref="N1401">
    <cfRule type="cellIs" dxfId="1" priority="2" operator="equal">
      <formula>0</formula>
    </cfRule>
  </conditionalFormatting>
  <conditionalFormatting sqref="N1386:N1400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180" verticalDpi="18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RST 23-03-26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2026-04-01T21:55:18Z</dcterms:created>
  <dcterms:modified xsi:type="dcterms:W3CDTF">2026-04-02T00:01:03Z</dcterms:modified>
</cp:coreProperties>
</file>