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Videos\"/>
    </mc:Choice>
  </mc:AlternateContent>
  <xr:revisionPtr revIDLastSave="0" documentId="13_ncr:1_{FD7FAAE4-8555-41F1-A3B2-BD289C227310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BAO NICO" sheetId="1" r:id="rId1"/>
    <sheet name="LIST_BL_BAO NICO" sheetId="2" r:id="rId2"/>
  </sheets>
  <definedNames>
    <definedName name="_xlnm._FilterDatabase" localSheetId="1" hidden="1">'LIST_BL_BAO NICO'!$A$1:$T$1</definedName>
  </definedNames>
  <calcPr calcId="191029"/>
</workbook>
</file>

<file path=xl/calcChain.xml><?xml version="1.0" encoding="utf-8"?>
<calcChain xmlns="http://schemas.openxmlformats.org/spreadsheetml/2006/main">
  <c r="B75" i="1" l="1"/>
  <c r="BR70" i="1"/>
  <c r="BN70" i="1"/>
  <c r="BJ70" i="1"/>
  <c r="BB70" i="1"/>
  <c r="AX70" i="1"/>
  <c r="AT70" i="1"/>
  <c r="W70" i="1"/>
  <c r="M70" i="1"/>
  <c r="D70" i="1"/>
  <c r="C70" i="1"/>
  <c r="E70" i="1" s="1"/>
  <c r="FH69" i="1"/>
  <c r="AI69" i="1"/>
  <c r="X69" i="1"/>
  <c r="N69" i="1"/>
  <c r="E69" i="1"/>
  <c r="FG68" i="1"/>
  <c r="FG70" i="1" s="1"/>
  <c r="FF68" i="1"/>
  <c r="FF70" i="1" s="1"/>
  <c r="FE68" i="1"/>
  <c r="FE70" i="1" s="1"/>
  <c r="FD68" i="1"/>
  <c r="FD70" i="1" s="1"/>
  <c r="FC68" i="1"/>
  <c r="FC70" i="1" s="1"/>
  <c r="FB68" i="1"/>
  <c r="FB70" i="1" s="1"/>
  <c r="FA68" i="1"/>
  <c r="FA70" i="1" s="1"/>
  <c r="EZ68" i="1"/>
  <c r="EZ70" i="1" s="1"/>
  <c r="EY68" i="1"/>
  <c r="EY70" i="1" s="1"/>
  <c r="EX68" i="1"/>
  <c r="EX70" i="1" s="1"/>
  <c r="EW68" i="1"/>
  <c r="EW70" i="1" s="1"/>
  <c r="EV68" i="1"/>
  <c r="EV70" i="1" s="1"/>
  <c r="EU68" i="1"/>
  <c r="EU70" i="1" s="1"/>
  <c r="ET68" i="1"/>
  <c r="ET70" i="1" s="1"/>
  <c r="ES68" i="1"/>
  <c r="ES70" i="1" s="1"/>
  <c r="ER68" i="1"/>
  <c r="ER70" i="1" s="1"/>
  <c r="EQ68" i="1"/>
  <c r="EQ70" i="1" s="1"/>
  <c r="EP68" i="1"/>
  <c r="EP70" i="1" s="1"/>
  <c r="EO68" i="1"/>
  <c r="EO70" i="1" s="1"/>
  <c r="EN68" i="1"/>
  <c r="EN70" i="1" s="1"/>
  <c r="EM68" i="1"/>
  <c r="EM70" i="1" s="1"/>
  <c r="EL68" i="1"/>
  <c r="EL70" i="1" s="1"/>
  <c r="EK68" i="1"/>
  <c r="EK70" i="1" s="1"/>
  <c r="EJ68" i="1"/>
  <c r="EJ70" i="1" s="1"/>
  <c r="EI68" i="1"/>
  <c r="EI70" i="1" s="1"/>
  <c r="EH68" i="1"/>
  <c r="EH70" i="1" s="1"/>
  <c r="EG68" i="1"/>
  <c r="EG70" i="1" s="1"/>
  <c r="EF68" i="1"/>
  <c r="EF70" i="1" s="1"/>
  <c r="EE68" i="1"/>
  <c r="EE70" i="1" s="1"/>
  <c r="ED68" i="1"/>
  <c r="ED70" i="1" s="1"/>
  <c r="EC68" i="1"/>
  <c r="EC70" i="1" s="1"/>
  <c r="EB68" i="1"/>
  <c r="EB70" i="1" s="1"/>
  <c r="EA68" i="1"/>
  <c r="EA70" i="1" s="1"/>
  <c r="DZ68" i="1"/>
  <c r="DZ70" i="1" s="1"/>
  <c r="DY68" i="1"/>
  <c r="DY70" i="1" s="1"/>
  <c r="DX68" i="1"/>
  <c r="DX70" i="1" s="1"/>
  <c r="DW68" i="1"/>
  <c r="DW70" i="1" s="1"/>
  <c r="DV68" i="1"/>
  <c r="DV70" i="1" s="1"/>
  <c r="DU68" i="1"/>
  <c r="DU70" i="1" s="1"/>
  <c r="DT68" i="1"/>
  <c r="DT70" i="1" s="1"/>
  <c r="DS68" i="1"/>
  <c r="DS70" i="1" s="1"/>
  <c r="DR68" i="1"/>
  <c r="DR70" i="1" s="1"/>
  <c r="DQ68" i="1"/>
  <c r="DQ70" i="1" s="1"/>
  <c r="DP68" i="1"/>
  <c r="DP70" i="1" s="1"/>
  <c r="DO68" i="1"/>
  <c r="DO70" i="1" s="1"/>
  <c r="DN68" i="1"/>
  <c r="DN70" i="1" s="1"/>
  <c r="DM68" i="1"/>
  <c r="DM70" i="1" s="1"/>
  <c r="DL68" i="1"/>
  <c r="DL70" i="1" s="1"/>
  <c r="DK68" i="1"/>
  <c r="DK70" i="1" s="1"/>
  <c r="DJ68" i="1"/>
  <c r="DJ70" i="1" s="1"/>
  <c r="DI68" i="1"/>
  <c r="DI70" i="1" s="1"/>
  <c r="DH68" i="1"/>
  <c r="DH70" i="1" s="1"/>
  <c r="DG68" i="1"/>
  <c r="DG70" i="1" s="1"/>
  <c r="DF68" i="1"/>
  <c r="DF70" i="1" s="1"/>
  <c r="DE68" i="1"/>
  <c r="DE70" i="1" s="1"/>
  <c r="DD68" i="1"/>
  <c r="DD70" i="1" s="1"/>
  <c r="DC68" i="1"/>
  <c r="DC70" i="1" s="1"/>
  <c r="DB68" i="1"/>
  <c r="DB70" i="1" s="1"/>
  <c r="DA68" i="1"/>
  <c r="DA70" i="1" s="1"/>
  <c r="CZ68" i="1"/>
  <c r="CZ70" i="1" s="1"/>
  <c r="CY68" i="1"/>
  <c r="CY70" i="1" s="1"/>
  <c r="CX68" i="1"/>
  <c r="CX70" i="1" s="1"/>
  <c r="CW68" i="1"/>
  <c r="CW70" i="1" s="1"/>
  <c r="CV68" i="1"/>
  <c r="CV70" i="1" s="1"/>
  <c r="CU68" i="1"/>
  <c r="CU70" i="1" s="1"/>
  <c r="CT68" i="1"/>
  <c r="CT70" i="1" s="1"/>
  <c r="CS68" i="1"/>
  <c r="CS70" i="1" s="1"/>
  <c r="CR68" i="1"/>
  <c r="CR70" i="1" s="1"/>
  <c r="CQ68" i="1"/>
  <c r="CQ70" i="1" s="1"/>
  <c r="CP68" i="1"/>
  <c r="CP70" i="1" s="1"/>
  <c r="CO68" i="1"/>
  <c r="CO70" i="1" s="1"/>
  <c r="CN68" i="1"/>
  <c r="CN70" i="1" s="1"/>
  <c r="CM68" i="1"/>
  <c r="CM70" i="1" s="1"/>
  <c r="CL68" i="1"/>
  <c r="CL70" i="1" s="1"/>
  <c r="CK68" i="1"/>
  <c r="CK70" i="1" s="1"/>
  <c r="CJ68" i="1"/>
  <c r="CJ70" i="1" s="1"/>
  <c r="CI68" i="1"/>
  <c r="CI70" i="1" s="1"/>
  <c r="CH68" i="1"/>
  <c r="CH70" i="1" s="1"/>
  <c r="CG68" i="1"/>
  <c r="CG70" i="1" s="1"/>
  <c r="CF68" i="1"/>
  <c r="CF70" i="1" s="1"/>
  <c r="CE68" i="1"/>
  <c r="CE70" i="1" s="1"/>
  <c r="CD68" i="1"/>
  <c r="CD70" i="1" s="1"/>
  <c r="CC68" i="1"/>
  <c r="CC70" i="1" s="1"/>
  <c r="CB68" i="1"/>
  <c r="CB70" i="1" s="1"/>
  <c r="CA68" i="1"/>
  <c r="CA70" i="1" s="1"/>
  <c r="BZ68" i="1"/>
  <c r="BZ70" i="1" s="1"/>
  <c r="BY68" i="1"/>
  <c r="BY70" i="1" s="1"/>
  <c r="BX68" i="1"/>
  <c r="BX70" i="1" s="1"/>
  <c r="BW68" i="1"/>
  <c r="BW70" i="1" s="1"/>
  <c r="BV68" i="1"/>
  <c r="BV70" i="1" s="1"/>
  <c r="BU68" i="1"/>
  <c r="BU70" i="1" s="1"/>
  <c r="BT68" i="1"/>
  <c r="BT70" i="1" s="1"/>
  <c r="BS68" i="1"/>
  <c r="BS70" i="1" s="1"/>
  <c r="BR68" i="1"/>
  <c r="BQ68" i="1"/>
  <c r="BQ70" i="1" s="1"/>
  <c r="BP68" i="1"/>
  <c r="BP70" i="1" s="1"/>
  <c r="BO68" i="1"/>
  <c r="BO70" i="1" s="1"/>
  <c r="BN68" i="1"/>
  <c r="BM68" i="1"/>
  <c r="BM70" i="1" s="1"/>
  <c r="BL68" i="1"/>
  <c r="BL70" i="1" s="1"/>
  <c r="BK68" i="1"/>
  <c r="BK70" i="1" s="1"/>
  <c r="BJ68" i="1"/>
  <c r="BI68" i="1"/>
  <c r="BI70" i="1" s="1"/>
  <c r="BH68" i="1"/>
  <c r="BH70" i="1" s="1"/>
  <c r="BG68" i="1"/>
  <c r="BG70" i="1" s="1"/>
  <c r="BF68" i="1"/>
  <c r="BF70" i="1" s="1"/>
  <c r="BE68" i="1"/>
  <c r="BE70" i="1" s="1"/>
  <c r="BD68" i="1"/>
  <c r="BD70" i="1" s="1"/>
  <c r="BC68" i="1"/>
  <c r="BC70" i="1" s="1"/>
  <c r="BB68" i="1"/>
  <c r="BA68" i="1"/>
  <c r="BA70" i="1" s="1"/>
  <c r="AZ68" i="1"/>
  <c r="AZ70" i="1" s="1"/>
  <c r="AY68" i="1"/>
  <c r="AY70" i="1" s="1"/>
  <c r="AX68" i="1"/>
  <c r="AW68" i="1"/>
  <c r="AW70" i="1" s="1"/>
  <c r="AV68" i="1"/>
  <c r="AV70" i="1" s="1"/>
  <c r="AU68" i="1"/>
  <c r="AU70" i="1" s="1"/>
  <c r="AT68" i="1"/>
  <c r="AS68" i="1"/>
  <c r="AS70" i="1" s="1"/>
  <c r="AR68" i="1"/>
  <c r="AR70" i="1" s="1"/>
  <c r="AQ68" i="1"/>
  <c r="AQ70" i="1" s="1"/>
  <c r="AP68" i="1"/>
  <c r="AP70" i="1" s="1"/>
  <c r="AO68" i="1"/>
  <c r="AO70" i="1" s="1"/>
  <c r="AH68" i="1"/>
  <c r="AH70" i="1" s="1"/>
  <c r="AG68" i="1"/>
  <c r="AG70" i="1" s="1"/>
  <c r="AF68" i="1"/>
  <c r="AF70" i="1" s="1"/>
  <c r="AE68" i="1"/>
  <c r="AE70" i="1" s="1"/>
  <c r="AD68" i="1"/>
  <c r="W68" i="1"/>
  <c r="V68" i="1"/>
  <c r="V70" i="1" s="1"/>
  <c r="U68" i="1"/>
  <c r="U70" i="1" s="1"/>
  <c r="T68" i="1"/>
  <c r="T70" i="1" s="1"/>
  <c r="X70" i="1" s="1"/>
  <c r="M68" i="1"/>
  <c r="L68" i="1"/>
  <c r="L70" i="1" s="1"/>
  <c r="K68" i="1"/>
  <c r="D68" i="1"/>
  <c r="C68" i="1"/>
  <c r="E68" i="1" s="1"/>
  <c r="FH67" i="1"/>
  <c r="AI67" i="1"/>
  <c r="X67" i="1"/>
  <c r="N67" i="1"/>
  <c r="E67" i="1"/>
  <c r="FH66" i="1"/>
  <c r="AI66" i="1"/>
  <c r="X66" i="1"/>
  <c r="N66" i="1"/>
  <c r="E66" i="1"/>
  <c r="FH65" i="1"/>
  <c r="AI65" i="1"/>
  <c r="X65" i="1"/>
  <c r="N65" i="1"/>
  <c r="E65" i="1"/>
  <c r="FH64" i="1"/>
  <c r="AI64" i="1"/>
  <c r="AJ64" i="1" s="1"/>
  <c r="X64" i="1"/>
  <c r="Y64" i="1" s="1"/>
  <c r="N64" i="1"/>
  <c r="O64" i="1" s="1"/>
  <c r="E64" i="1"/>
  <c r="FH63" i="1"/>
  <c r="AI63" i="1"/>
  <c r="X63" i="1"/>
  <c r="N63" i="1"/>
  <c r="E63" i="1"/>
  <c r="FH62" i="1"/>
  <c r="AI62" i="1"/>
  <c r="X62" i="1"/>
  <c r="N62" i="1"/>
  <c r="E62" i="1"/>
  <c r="FH61" i="1"/>
  <c r="AI61" i="1"/>
  <c r="X61" i="1"/>
  <c r="N61" i="1"/>
  <c r="E61" i="1"/>
  <c r="FI60" i="1"/>
  <c r="FH60" i="1"/>
  <c r="AI60" i="1"/>
  <c r="AJ60" i="1" s="1"/>
  <c r="Y60" i="1"/>
  <c r="X60" i="1"/>
  <c r="N60" i="1"/>
  <c r="O60" i="1" s="1"/>
  <c r="F60" i="1"/>
  <c r="E60" i="1"/>
  <c r="FH59" i="1"/>
  <c r="AI59" i="1"/>
  <c r="X59" i="1"/>
  <c r="N59" i="1"/>
  <c r="E59" i="1"/>
  <c r="FH58" i="1"/>
  <c r="AI58" i="1"/>
  <c r="X58" i="1"/>
  <c r="N58" i="1"/>
  <c r="E58" i="1"/>
  <c r="FH57" i="1"/>
  <c r="AI57" i="1"/>
  <c r="X57" i="1"/>
  <c r="N57" i="1"/>
  <c r="E57" i="1"/>
  <c r="FH56" i="1"/>
  <c r="FI56" i="1" s="1"/>
  <c r="AI56" i="1"/>
  <c r="X56" i="1"/>
  <c r="N56" i="1"/>
  <c r="O56" i="1" s="1"/>
  <c r="E56" i="1"/>
  <c r="F56" i="1" s="1"/>
  <c r="FH55" i="1"/>
  <c r="AI55" i="1"/>
  <c r="AJ52" i="1" s="1"/>
  <c r="X55" i="1"/>
  <c r="N55" i="1"/>
  <c r="E55" i="1"/>
  <c r="FH54" i="1"/>
  <c r="AI54" i="1"/>
  <c r="X54" i="1"/>
  <c r="N54" i="1"/>
  <c r="E54" i="1"/>
  <c r="FH53" i="1"/>
  <c r="AI53" i="1"/>
  <c r="X53" i="1"/>
  <c r="N53" i="1"/>
  <c r="E53" i="1"/>
  <c r="FH52" i="1"/>
  <c r="FI52" i="1" s="1"/>
  <c r="AI52" i="1"/>
  <c r="X52" i="1"/>
  <c r="Y52" i="1" s="1"/>
  <c r="O52" i="1"/>
  <c r="N52" i="1"/>
  <c r="E52" i="1"/>
  <c r="F52" i="1" s="1"/>
  <c r="FH51" i="1"/>
  <c r="AI51" i="1"/>
  <c r="X51" i="1"/>
  <c r="N51" i="1"/>
  <c r="E51" i="1"/>
  <c r="FH50" i="1"/>
  <c r="AI50" i="1"/>
  <c r="X50" i="1"/>
  <c r="N50" i="1"/>
  <c r="E50" i="1"/>
  <c r="FH49" i="1"/>
  <c r="AI49" i="1"/>
  <c r="X49" i="1"/>
  <c r="N49" i="1"/>
  <c r="E49" i="1"/>
  <c r="FH48" i="1"/>
  <c r="AI48" i="1"/>
  <c r="AJ48" i="1" s="1"/>
  <c r="X48" i="1"/>
  <c r="Y48" i="1" s="1"/>
  <c r="N48" i="1"/>
  <c r="E48" i="1"/>
  <c r="FH47" i="1"/>
  <c r="AI47" i="1"/>
  <c r="X47" i="1"/>
  <c r="N47" i="1"/>
  <c r="E47" i="1"/>
  <c r="FH46" i="1"/>
  <c r="AI46" i="1"/>
  <c r="X46" i="1"/>
  <c r="Y44" i="1" s="1"/>
  <c r="N46" i="1"/>
  <c r="E46" i="1"/>
  <c r="FH45" i="1"/>
  <c r="AI45" i="1"/>
  <c r="X45" i="1"/>
  <c r="N45" i="1"/>
  <c r="E45" i="1"/>
  <c r="FI44" i="1"/>
  <c r="FH44" i="1"/>
  <c r="AI44" i="1"/>
  <c r="AJ44" i="1" s="1"/>
  <c r="X44" i="1"/>
  <c r="N44" i="1"/>
  <c r="O44" i="1" s="1"/>
  <c r="F44" i="1"/>
  <c r="E44" i="1"/>
  <c r="FH43" i="1"/>
  <c r="AI43" i="1"/>
  <c r="X43" i="1"/>
  <c r="N43" i="1"/>
  <c r="E43" i="1"/>
  <c r="FH42" i="1"/>
  <c r="AI42" i="1"/>
  <c r="X42" i="1"/>
  <c r="N42" i="1"/>
  <c r="E42" i="1"/>
  <c r="FH41" i="1"/>
  <c r="AI41" i="1"/>
  <c r="X41" i="1"/>
  <c r="N41" i="1"/>
  <c r="E41" i="1"/>
  <c r="FH40" i="1"/>
  <c r="AI40" i="1"/>
  <c r="X40" i="1"/>
  <c r="N40" i="1"/>
  <c r="O40" i="1" s="1"/>
  <c r="E40" i="1"/>
  <c r="FH39" i="1"/>
  <c r="AI39" i="1"/>
  <c r="AJ36" i="1" s="1"/>
  <c r="X39" i="1"/>
  <c r="N39" i="1"/>
  <c r="E39" i="1"/>
  <c r="FH38" i="1"/>
  <c r="AI38" i="1"/>
  <c r="X38" i="1"/>
  <c r="N38" i="1"/>
  <c r="E38" i="1"/>
  <c r="FH37" i="1"/>
  <c r="AI37" i="1"/>
  <c r="X37" i="1"/>
  <c r="N37" i="1"/>
  <c r="O36" i="1" s="1"/>
  <c r="E37" i="1"/>
  <c r="FH36" i="1"/>
  <c r="AI36" i="1"/>
  <c r="X36" i="1"/>
  <c r="Y36" i="1" s="1"/>
  <c r="N36" i="1"/>
  <c r="E36" i="1"/>
  <c r="F36" i="1" s="1"/>
  <c r="FH35" i="1"/>
  <c r="AI35" i="1"/>
  <c r="X35" i="1"/>
  <c r="N35" i="1"/>
  <c r="E35" i="1"/>
  <c r="FH34" i="1"/>
  <c r="AI34" i="1"/>
  <c r="X34" i="1"/>
  <c r="N34" i="1"/>
  <c r="O32" i="1" s="1"/>
  <c r="E34" i="1"/>
  <c r="FH33" i="1"/>
  <c r="AI33" i="1"/>
  <c r="AJ32" i="1" s="1"/>
  <c r="X33" i="1"/>
  <c r="N33" i="1"/>
  <c r="E33" i="1"/>
  <c r="FH32" i="1"/>
  <c r="AI32" i="1"/>
  <c r="X32" i="1"/>
  <c r="N32" i="1"/>
  <c r="E32" i="1"/>
  <c r="FH31" i="1"/>
  <c r="AI31" i="1"/>
  <c r="X31" i="1"/>
  <c r="N31" i="1"/>
  <c r="E31" i="1"/>
  <c r="FH30" i="1"/>
  <c r="AI30" i="1"/>
  <c r="X30" i="1"/>
  <c r="Y28" i="1" s="1"/>
  <c r="N30" i="1"/>
  <c r="E30" i="1"/>
  <c r="FH29" i="1"/>
  <c r="AI29" i="1"/>
  <c r="X29" i="1"/>
  <c r="N29" i="1"/>
  <c r="E29" i="1"/>
  <c r="FI28" i="1"/>
  <c r="FH28" i="1"/>
  <c r="AI28" i="1"/>
  <c r="X28" i="1"/>
  <c r="N28" i="1"/>
  <c r="O28" i="1" s="1"/>
  <c r="F28" i="1"/>
  <c r="E28" i="1"/>
  <c r="FH27" i="1"/>
  <c r="AI27" i="1"/>
  <c r="X27" i="1"/>
  <c r="Y24" i="1" s="1"/>
  <c r="N27" i="1"/>
  <c r="E27" i="1"/>
  <c r="FH26" i="1"/>
  <c r="AI26" i="1"/>
  <c r="X26" i="1"/>
  <c r="N26" i="1"/>
  <c r="E26" i="1"/>
  <c r="FH25" i="1"/>
  <c r="FI24" i="1" s="1"/>
  <c r="AI25" i="1"/>
  <c r="X25" i="1"/>
  <c r="N25" i="1"/>
  <c r="E25" i="1"/>
  <c r="F24" i="1" s="1"/>
  <c r="FH24" i="1"/>
  <c r="AI24" i="1"/>
  <c r="AJ24" i="1" s="1"/>
  <c r="X24" i="1"/>
  <c r="N24" i="1"/>
  <c r="O24" i="1" s="1"/>
  <c r="E24" i="1"/>
  <c r="FH23" i="1"/>
  <c r="AI23" i="1"/>
  <c r="AJ20" i="1" s="1"/>
  <c r="X23" i="1"/>
  <c r="N23" i="1"/>
  <c r="E23" i="1"/>
  <c r="FH22" i="1"/>
  <c r="AI22" i="1"/>
  <c r="X22" i="1"/>
  <c r="N22" i="1"/>
  <c r="E22" i="1"/>
  <c r="FH21" i="1"/>
  <c r="AI21" i="1"/>
  <c r="X21" i="1"/>
  <c r="N21" i="1"/>
  <c r="O20" i="1" s="1"/>
  <c r="E21" i="1"/>
  <c r="FH20" i="1"/>
  <c r="AI20" i="1"/>
  <c r="X20" i="1"/>
  <c r="Y20" i="1" s="1"/>
  <c r="N20" i="1"/>
  <c r="E20" i="1"/>
  <c r="F20" i="1" s="1"/>
  <c r="FH19" i="1"/>
  <c r="AI19" i="1"/>
  <c r="X19" i="1"/>
  <c r="N19" i="1"/>
  <c r="E19" i="1"/>
  <c r="FH18" i="1"/>
  <c r="AI18" i="1"/>
  <c r="X18" i="1"/>
  <c r="N18" i="1"/>
  <c r="O16" i="1" s="1"/>
  <c r="E18" i="1"/>
  <c r="FH17" i="1"/>
  <c r="AI17" i="1"/>
  <c r="AJ16" i="1" s="1"/>
  <c r="X17" i="1"/>
  <c r="N17" i="1"/>
  <c r="E17" i="1"/>
  <c r="FH16" i="1"/>
  <c r="FI16" i="1" s="1"/>
  <c r="AI16" i="1"/>
  <c r="X16" i="1"/>
  <c r="Y16" i="1" s="1"/>
  <c r="N16" i="1"/>
  <c r="E16" i="1"/>
  <c r="F16" i="1" s="1"/>
  <c r="FH15" i="1"/>
  <c r="AI15" i="1"/>
  <c r="X15" i="1"/>
  <c r="N15" i="1"/>
  <c r="E15" i="1"/>
  <c r="FH14" i="1"/>
  <c r="AI14" i="1"/>
  <c r="X14" i="1"/>
  <c r="Y12" i="1" s="1"/>
  <c r="N14" i="1"/>
  <c r="E14" i="1"/>
  <c r="FH13" i="1"/>
  <c r="AI13" i="1"/>
  <c r="X13" i="1"/>
  <c r="N13" i="1"/>
  <c r="E13" i="1"/>
  <c r="FI12" i="1"/>
  <c r="FH12" i="1"/>
  <c r="AI12" i="1"/>
  <c r="X12" i="1"/>
  <c r="N12" i="1"/>
  <c r="F12" i="1"/>
  <c r="E12" i="1"/>
  <c r="FH11" i="1"/>
  <c r="AI11" i="1"/>
  <c r="X11" i="1"/>
  <c r="N11" i="1"/>
  <c r="E11" i="1"/>
  <c r="FH10" i="1"/>
  <c r="AI10" i="1"/>
  <c r="X10" i="1"/>
  <c r="N10" i="1"/>
  <c r="E10" i="1"/>
  <c r="FH9" i="1"/>
  <c r="AI9" i="1"/>
  <c r="X9" i="1"/>
  <c r="N9" i="1"/>
  <c r="E9" i="1"/>
  <c r="FI8" i="1"/>
  <c r="FH8" i="1"/>
  <c r="AJ8" i="1"/>
  <c r="AI8" i="1"/>
  <c r="Y8" i="1"/>
  <c r="X8" i="1"/>
  <c r="O8" i="1"/>
  <c r="N8" i="1"/>
  <c r="F8" i="1"/>
  <c r="E8" i="1"/>
  <c r="FI32" i="1" l="1"/>
  <c r="Y40" i="1"/>
  <c r="N68" i="1"/>
  <c r="K70" i="1"/>
  <c r="AI68" i="1"/>
  <c r="FI48" i="1"/>
  <c r="Y56" i="1"/>
  <c r="N70" i="1"/>
  <c r="FH70" i="1"/>
  <c r="X68" i="1"/>
  <c r="B74" i="1" s="1"/>
  <c r="F32" i="1"/>
  <c r="AJ12" i="1"/>
  <c r="FI20" i="1"/>
  <c r="AJ40" i="1"/>
  <c r="F48" i="1"/>
  <c r="O12" i="1"/>
  <c r="AJ28" i="1"/>
  <c r="Y32" i="1"/>
  <c r="FI36" i="1"/>
  <c r="F40" i="1"/>
  <c r="FI40" i="1"/>
  <c r="O48" i="1"/>
  <c r="AJ56" i="1"/>
  <c r="F64" i="1"/>
  <c r="FI64" i="1"/>
  <c r="AD70" i="1"/>
  <c r="AI70" i="1" s="1"/>
  <c r="B76" i="1" s="1"/>
  <c r="FH68" i="1"/>
</calcChain>
</file>

<file path=xl/sharedStrings.xml><?xml version="1.0" encoding="utf-8"?>
<sst xmlns="http://schemas.openxmlformats.org/spreadsheetml/2006/main" count="3532" uniqueCount="620">
  <si>
    <t>SHIP NAME:      BAO NICO</t>
  </si>
  <si>
    <t>FIL</t>
  </si>
  <si>
    <t>COIL</t>
  </si>
  <si>
    <t>TUBE</t>
  </si>
  <si>
    <t>PLYWOOD</t>
  </si>
  <si>
    <t>UNITS + PACKAGES</t>
  </si>
  <si>
    <t>SARL SOCOMI</t>
  </si>
  <si>
    <t>SARL EUROPANNEAUX ALGERIE</t>
  </si>
  <si>
    <t>GROUPEMENT RKF RKF PROJECT</t>
  </si>
  <si>
    <t>SONATRACH SPA ACTIVITÉ RPC – DIVISION EXPLOITATION</t>
  </si>
  <si>
    <t>EURL BATIVERT</t>
  </si>
  <si>
    <t>SARL ECO CHAUDIERE M'SILA</t>
  </si>
  <si>
    <t>SARL FABAS</t>
  </si>
  <si>
    <t>EURL BOUGUERRA IBRAHIM TRADE</t>
  </si>
  <si>
    <t>SARL KACIMI TRADING</t>
  </si>
  <si>
    <t>AICHE OUSSAMA</t>
  </si>
  <si>
    <t>SARL GROUPE AISSAOUI</t>
  </si>
  <si>
    <t>SARL GRAVIER HENKA ET FRERES</t>
  </si>
  <si>
    <t>SARL FILS BEKAKRA GRANDS TRAVAUX</t>
  </si>
  <si>
    <t>SARL ELGHAZALA TRANS</t>
  </si>
  <si>
    <t>SARL ELBOCHRA CONSTRUCTION</t>
  </si>
  <si>
    <t>SARL EL DJAOUHARA EL BARAKA</t>
  </si>
  <si>
    <t>SARL EL CHAIB IMPORT EXPORT</t>
  </si>
  <si>
    <t>SARL DAUPHINE D'OR INDUSTRIE</t>
  </si>
  <si>
    <t>SARL CIVIL ENGINEERING PRO CEP</t>
  </si>
  <si>
    <t>SARL BELLAKEHAL GTP</t>
  </si>
  <si>
    <t>SARL BATIGEN TIZI</t>
  </si>
  <si>
    <t>SARL BAGHI DE TRAVAUX</t>
  </si>
  <si>
    <t>SARL BAGHI</t>
  </si>
  <si>
    <t>SARL B S T MOON</t>
  </si>
  <si>
    <t>SARL ATLAS BEVERAGES</t>
  </si>
  <si>
    <t>SARL ARCO BETON</t>
  </si>
  <si>
    <t>SARL AMNNA</t>
  </si>
  <si>
    <t>SARL ALPHA ELEC</t>
  </si>
  <si>
    <t>SARL ALAMHAR</t>
  </si>
  <si>
    <t>SARL AL KIMA METAL</t>
  </si>
  <si>
    <t>SARL ABNAA SAYEH SERVICES</t>
  </si>
  <si>
    <t>SADOUN ABDERRAHMAN</t>
  </si>
  <si>
    <t>NAAMAOUI MOHAMMED</t>
  </si>
  <si>
    <t>MAHAMMEDI KHALED</t>
  </si>
  <si>
    <t>MAGHREB LEASING ALGERIE SPA  P/C LAHSAYENE ABDELAZ</t>
  </si>
  <si>
    <t>TAIBI MOHAMED</t>
  </si>
  <si>
    <t>MAGHREB LEASING ALGERIE P/C SARL BASTA FORATION</t>
  </si>
  <si>
    <t>SARL HYDRO DRILING SERVICES</t>
  </si>
  <si>
    <t>SARL HYDROTECH AND CO</t>
  </si>
  <si>
    <t>SARL KHALFA CONSTRUCTION COMPANY</t>
  </si>
  <si>
    <t>SARL LES FRERS ZAHEM ET MOBARKI COMMERCE</t>
  </si>
  <si>
    <t>SPA SOCIETE NATIONALE DE LEASING SN</t>
  </si>
  <si>
    <t>SPA MAGHREB LEASING ALGERIE SPA P/C  SARL FRANGI B</t>
  </si>
  <si>
    <t>SPA ARAB LEASING CORPORATION P/C EURL TRAVAUX HYDR</t>
  </si>
  <si>
    <t>SOLTANE ABDELAZIZ</t>
  </si>
  <si>
    <t>SOCIETE GENERALE ALGERIE SPA LOCATAIRE SARL PET TE</t>
  </si>
  <si>
    <t>SOCIETE GENERALE ALGERIE SPA LOCATAIRE SARL MINIRO</t>
  </si>
  <si>
    <t>SLIMANI MOHAMED</t>
  </si>
  <si>
    <t>SLIMANE HACHEMI</t>
  </si>
  <si>
    <t>SARL ZIANI BETOBAT</t>
  </si>
  <si>
    <t>SARL YOUNES EMBALLAGE</t>
  </si>
  <si>
    <t>SARL WUQIAO CONSTRUCTION</t>
  </si>
  <si>
    <t>SARL TPL FABRICATION DES BOULONS VIS ET CLOUS</t>
  </si>
  <si>
    <t>SARL TIZLAOUIN SERVICES</t>
  </si>
  <si>
    <t>La Société Algérienne de Stimulation, Cimentatione</t>
  </si>
  <si>
    <t>SARL TECHNO NAVAL</t>
  </si>
  <si>
    <t>SARL SMCMG</t>
  </si>
  <si>
    <t>SARL SIFOR</t>
  </si>
  <si>
    <t>SARL ROYAL TIGRA</t>
  </si>
  <si>
    <t>SARL RB GLOBAL SERVICES</t>
  </si>
  <si>
    <t>SARL RANA FORT ENGINEERING AND  CONTRACTING</t>
  </si>
  <si>
    <t>SARL PHENIX FARM</t>
  </si>
  <si>
    <t>SARL OULED HADJ MAAMAR SERVICES</t>
  </si>
  <si>
    <t>SARL MULTI FOURNITURE INDUSTRIE</t>
  </si>
  <si>
    <t>SARL MOUSSAOUIAT 2014</t>
  </si>
  <si>
    <t>SARL MNHM</t>
  </si>
  <si>
    <t>SARL MITIDJA AGREGATS</t>
  </si>
  <si>
    <t>SARL METAL STEEL COMPANY LTD SETIF</t>
  </si>
  <si>
    <t>SARL LOUIFI PROJECTS</t>
  </si>
  <si>
    <t>SARL SOCIETE BOUANDJI TRAVAUX GENERAUX</t>
  </si>
  <si>
    <t>KIHOUL BELKACEM</t>
  </si>
  <si>
    <t>MAGHREB LEASING ALGERIE SPA</t>
  </si>
  <si>
    <t>HELLALET ABDESLAM</t>
  </si>
  <si>
    <t>EURL ALOUANE EXPRESS</t>
  </si>
  <si>
    <t>EURL AL MAHMOUD SERVICES</t>
  </si>
  <si>
    <t>EURL AL LAMIAA LI SINAAT AL HADITHA</t>
  </si>
  <si>
    <t>ETP DIB ZIDANE</t>
  </si>
  <si>
    <t>EL BEKAIE YASSER</t>
  </si>
  <si>
    <t>E.U.R.L CHENACHEN</t>
  </si>
  <si>
    <t>CHINA ROAD AND BRIDGE CORPORATION</t>
  </si>
  <si>
    <t>CHINA PETROLEUM ENGINEERING CONSTRUCTION CORPORATI</t>
  </si>
  <si>
    <t>CHINA NATIONAL LOGGING CORPORATION</t>
  </si>
  <si>
    <t>CHERGUI FAOUZI</t>
  </si>
  <si>
    <t>BOUCHENAK BENAOUDA</t>
  </si>
  <si>
    <t>BOUCHENAFA ATTIA</t>
  </si>
  <si>
    <t>BOUCEDRA IBRAHIM</t>
  </si>
  <si>
    <t>BOUBADJA ABDELKRIM</t>
  </si>
  <si>
    <t>BERREDJEM BOUMEDIANE</t>
  </si>
  <si>
    <t>BENYOUCEF KAMEL</t>
  </si>
  <si>
    <t>BENDRISSE SLIMANE</t>
  </si>
  <si>
    <t>BENBAHA MOHAMED</t>
  </si>
  <si>
    <t>BELABDELHADI KAMEL</t>
  </si>
  <si>
    <t>BACHAR MOHAMED</t>
  </si>
  <si>
    <t>AYAD AHMED</t>
  </si>
  <si>
    <t>AMRI MOHAMMED</t>
  </si>
  <si>
    <t>AMMI KHEIREDDINE</t>
  </si>
  <si>
    <t>ALGERIAN QATARI STEEL (AQS)</t>
  </si>
  <si>
    <t>ALC SPA ABDELGHAFOUR CHIKHI</t>
  </si>
  <si>
    <t>ALC LOCATAIRE MEHIRI FARID</t>
  </si>
  <si>
    <t>AL SALAM BANK ALGERIA  LOCATAIRE SARL NOUVEAU POLE</t>
  </si>
  <si>
    <t>AL SALAM BANK ALGERIA  LOCATAIRE SARL BATINOL CONS</t>
  </si>
  <si>
    <t>AICHOUR MOHAMMED</t>
  </si>
  <si>
    <t>EURL ANWAR TEX</t>
  </si>
  <si>
    <t>KHALED NOURA</t>
  </si>
  <si>
    <t>TOUMI ABDELKADER</t>
  </si>
  <si>
    <t>EURL BALLAT EL HOGGAR</t>
  </si>
  <si>
    <t>EURL ROBEL WOOD ALGERIA</t>
  </si>
  <si>
    <t>EURL PLANI BETON</t>
  </si>
  <si>
    <t>EURL OUHAB IBRAHIM</t>
  </si>
  <si>
    <t>EURL METALLURGIQUE MINA MANSOUR</t>
  </si>
  <si>
    <t>EURL METAL TAM</t>
  </si>
  <si>
    <t>EURL MELAKHESSOU YOUCEF</t>
  </si>
  <si>
    <t>EURL MEHRIA GRAND TRAVAUX ET HYDRAULIQUE</t>
  </si>
  <si>
    <t>EURL LITIM HOUSSAM</t>
  </si>
  <si>
    <t>EURL ATH</t>
  </si>
  <si>
    <t>EURL HL BUSINESS</t>
  </si>
  <si>
    <t>EURL GITEC</t>
  </si>
  <si>
    <t>EURL GENERALE BENBILA SERVICES</t>
  </si>
  <si>
    <t>EURL EXPERT KY</t>
  </si>
  <si>
    <t>EURL ETPH BADJOU MOHAMED</t>
  </si>
  <si>
    <t>EURL ETB ACHOURI TOUFIK</t>
  </si>
  <si>
    <t>FILALI ALI</t>
  </si>
  <si>
    <t>EURL ENNIBRAS MEUBLES</t>
  </si>
  <si>
    <t>EURL EL NAKAA TRAVAUX DE BATIMENT</t>
  </si>
  <si>
    <t>EURL DELLYS WOOD</t>
  </si>
  <si>
    <t>EURL BOURAS MOURAD GRANDS TRAVAUX</t>
  </si>
  <si>
    <t>GREAT WALL DRILLING COMPANY</t>
  </si>
  <si>
    <t>EURL BEHLOUL HYDROBAT</t>
  </si>
  <si>
    <t>GUIRA ABDERRAHMAN</t>
  </si>
  <si>
    <t>EURL STS MANAR TRAVAUX DE CONSTRUCTION ET SERVICE</t>
  </si>
  <si>
    <t>EURL ZHONG YU DES MATERIAUX DE CONSTRUCTION</t>
  </si>
  <si>
    <t>-</t>
  </si>
  <si>
    <t>DATE</t>
  </si>
  <si>
    <t>SHIFT</t>
  </si>
  <si>
    <t>LYD4301/03-07</t>
  </si>
  <si>
    <t>INC</t>
  </si>
  <si>
    <t>TOTAL</t>
  </si>
  <si>
    <t>TOTAL/J</t>
  </si>
  <si>
    <t>TJD0605</t>
  </si>
  <si>
    <t>LYD0901</t>
  </si>
  <si>
    <t>LYD7101/04/05/06</t>
  </si>
  <si>
    <t>TJD0701</t>
  </si>
  <si>
    <t>TJD0901</t>
  </si>
  <si>
    <t>LYD6001</t>
  </si>
  <si>
    <t>LYD4204</t>
  </si>
  <si>
    <t>LYD6301</t>
  </si>
  <si>
    <t>LYD3103</t>
  </si>
  <si>
    <t>LYD2702</t>
  </si>
  <si>
    <t>LYD7702</t>
  </si>
  <si>
    <t>LYD1001</t>
  </si>
  <si>
    <t>LYD4502</t>
  </si>
  <si>
    <t>LYD4401</t>
  </si>
  <si>
    <t>LYD7901</t>
  </si>
  <si>
    <t>LYD2302</t>
  </si>
  <si>
    <t>LYD0201</t>
  </si>
  <si>
    <t>LYD2908</t>
  </si>
  <si>
    <t>LYD7601</t>
  </si>
  <si>
    <t>LYD5202</t>
  </si>
  <si>
    <t>LYD2101</t>
  </si>
  <si>
    <t>LYD6901</t>
  </si>
  <si>
    <t>LYD8201</t>
  </si>
  <si>
    <t>LYD0103</t>
  </si>
  <si>
    <t>LYD4808</t>
  </si>
  <si>
    <t>LYD1301/02</t>
  </si>
  <si>
    <t>LYD4901</t>
  </si>
  <si>
    <t>LYD3105</t>
  </si>
  <si>
    <t>TJD0501</t>
  </si>
  <si>
    <t>LYD5011</t>
  </si>
  <si>
    <t>LYD0105/06</t>
  </si>
  <si>
    <t>LYD2907</t>
  </si>
  <si>
    <t>LYD4802</t>
  </si>
  <si>
    <t>LYD7701</t>
  </si>
  <si>
    <t>LYD3502</t>
  </si>
  <si>
    <t>LYD6501</t>
  </si>
  <si>
    <t>LYD5101</t>
  </si>
  <si>
    <t>LYD5801</t>
  </si>
  <si>
    <t>LYD1002</t>
  </si>
  <si>
    <t>LYD1402</t>
  </si>
  <si>
    <t>LYD2703</t>
  </si>
  <si>
    <t>LYD5501</t>
  </si>
  <si>
    <t>LYD4701</t>
  </si>
  <si>
    <t>LYD2102</t>
  </si>
  <si>
    <t>LYD0102</t>
  </si>
  <si>
    <t>LYD3801A</t>
  </si>
  <si>
    <t>LYD2902</t>
  </si>
  <si>
    <t>LYD2906</t>
  </si>
  <si>
    <t>LYD1701</t>
  </si>
  <si>
    <t>LYD2706</t>
  </si>
  <si>
    <t>LYD8101</t>
  </si>
  <si>
    <t>TJD0301-0303</t>
  </si>
  <si>
    <t>LYD2705</t>
  </si>
  <si>
    <t>LYD1101</t>
  </si>
  <si>
    <t>LYD2501</t>
  </si>
  <si>
    <t>LYD6502/03</t>
  </si>
  <si>
    <t>LYD4101</t>
  </si>
  <si>
    <t>LYD0401</t>
  </si>
  <si>
    <t>LYD4001</t>
  </si>
  <si>
    <t>LYD6402</t>
  </si>
  <si>
    <t>LYD7001</t>
  </si>
  <si>
    <t>LYD2801</t>
  </si>
  <si>
    <t>LYD0301</t>
  </si>
  <si>
    <t>LYD5201</t>
  </si>
  <si>
    <t>LYD4602/5009</t>
  </si>
  <si>
    <t>LYD5403</t>
  </si>
  <si>
    <t>LYD1901/4402</t>
  </si>
  <si>
    <t>LYD2301/04</t>
  </si>
  <si>
    <t>LYD5002</t>
  </si>
  <si>
    <t>LYD3504</t>
  </si>
  <si>
    <t>LYD1601</t>
  </si>
  <si>
    <t>LYD6603</t>
  </si>
  <si>
    <t>LYD3801B</t>
  </si>
  <si>
    <t>LYD5402</t>
  </si>
  <si>
    <t>LYD1005</t>
  </si>
  <si>
    <t>LYD2201</t>
  </si>
  <si>
    <t>LYD4704</t>
  </si>
  <si>
    <t>LYD4805</t>
  </si>
  <si>
    <t>LYD5301</t>
  </si>
  <si>
    <t>LYD0601-03</t>
  </si>
  <si>
    <t>LYD7801</t>
  </si>
  <si>
    <t>LYD4601</t>
  </si>
  <si>
    <t>LYD4801</t>
  </si>
  <si>
    <t>LYD0101</t>
  </si>
  <si>
    <t>LYD3701</t>
  </si>
  <si>
    <t>LYD1003</t>
  </si>
  <si>
    <t>LYD2202</t>
  </si>
  <si>
    <t>LYD1008</t>
  </si>
  <si>
    <t>LYD5013</t>
  </si>
  <si>
    <t>LYD4807</t>
  </si>
  <si>
    <t>LYD1007</t>
  </si>
  <si>
    <t>LYD3102</t>
  </si>
  <si>
    <t>LYD5006</t>
  </si>
  <si>
    <t>LYD2901</t>
  </si>
  <si>
    <t>LYD7201</t>
  </si>
  <si>
    <t>LYD1501</t>
  </si>
  <si>
    <t>LYD6401/03</t>
  </si>
  <si>
    <t>LYD3401</t>
  </si>
  <si>
    <t>LYD4501</t>
  </si>
  <si>
    <t>LYD4809</t>
  </si>
  <si>
    <t>LYD1006</t>
  </si>
  <si>
    <t>LYD8001/02</t>
  </si>
  <si>
    <t>LYD5010</t>
  </si>
  <si>
    <t>LYD6602</t>
  </si>
  <si>
    <t>LYD1801/02</t>
  </si>
  <si>
    <t>LYD4205/06/07</t>
  </si>
  <si>
    <t>LYD2905</t>
  </si>
  <si>
    <t>LYD4702</t>
  </si>
  <si>
    <t>LYD5701</t>
  </si>
  <si>
    <t>LYD1401</t>
  </si>
  <si>
    <t>LYD3201</t>
  </si>
  <si>
    <t>LYD5401</t>
  </si>
  <si>
    <t>LYD4201</t>
  </si>
  <si>
    <t>LYD3901 /03</t>
  </si>
  <si>
    <t>LYD3104</t>
  </si>
  <si>
    <t>LYD3604/3605</t>
  </si>
  <si>
    <t>LYD4403</t>
  </si>
  <si>
    <t>LYD7202</t>
  </si>
  <si>
    <t>LYD2904</t>
  </si>
  <si>
    <t>LYD4806/5008</t>
  </si>
  <si>
    <t>LYD3501</t>
  </si>
  <si>
    <t>LYD4302</t>
  </si>
  <si>
    <t>LYD5001</t>
  </si>
  <si>
    <t>LYD4202/03</t>
  </si>
  <si>
    <t>LYD3101</t>
  </si>
  <si>
    <t>LYD5601</t>
  </si>
  <si>
    <t>LYD3301</t>
  </si>
  <si>
    <t>LYD3503</t>
  </si>
  <si>
    <t>LYD6701</t>
  </si>
  <si>
    <t>LYD0501</t>
  </si>
  <si>
    <t>2026-03-16</t>
  </si>
  <si>
    <t>MATIN</t>
  </si>
  <si>
    <t>SOIR</t>
  </si>
  <si>
    <t>NUIT</t>
  </si>
  <si>
    <t>NUIT -2-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</si>
  <si>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</si>
  <si>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</si>
  <si>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</si>
  <si>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</si>
  <si>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</si>
  <si>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</si>
  <si>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</si>
  <si>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</si>
  <si>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</si>
  <si>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</si>
  <si>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</si>
  <si>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</si>
  <si>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</si>
  <si>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</si>
  <si>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TOTAL DECHARGER</t>
  </si>
  <si>
    <t>QUANTITE MANIFEST</t>
  </si>
  <si>
    <t>RESTE A BORD</t>
  </si>
  <si>
    <t>GLOBAL SUMMARY</t>
  </si>
  <si>
    <t>ESCALE</t>
  </si>
  <si>
    <t>NAVIRE</t>
  </si>
  <si>
    <t>B/L</t>
  </si>
  <si>
    <t>DESIGNATION</t>
  </si>
  <si>
    <t>QUANTITE</t>
  </si>
  <si>
    <t>TONAGE</t>
  </si>
  <si>
    <t>CLIENT</t>
  </si>
  <si>
    <t>CHASSIS/SERIAL</t>
  </si>
  <si>
    <t>RESTE T/P</t>
  </si>
  <si>
    <t>TYPE</t>
  </si>
  <si>
    <t>SITUATION</t>
  </si>
  <si>
    <t>OBSERVATION</t>
  </si>
  <si>
    <t>POSITION</t>
  </si>
  <si>
    <t>TRANSIT</t>
  </si>
  <si>
    <t>CLES</t>
  </si>
  <si>
    <t>SURFACE</t>
  </si>
  <si>
    <t>DAEMO BREAKER (DRB) TOP BOX TYPE</t>
  </si>
  <si>
    <t>DATE ENLEV</t>
  </si>
  <si>
    <t>CARGO_TYPE</t>
  </si>
  <si>
    <t>DJI202600096</t>
  </si>
  <si>
    <t>BAO NICO</t>
  </si>
  <si>
    <t>16/03/2026</t>
  </si>
  <si>
    <t>2601LYD0101</t>
  </si>
  <si>
    <t>1 UNIT SX3255JM384  SHACMAN F2000 6X4 DUMP TRUCK 16M3/1 UNIT ZZ4186V391HCIB  SINOTRUK 4X2 TRACTOR MANUAL GEARBOX LHD  (VOIR BL)</t>
  </si>
  <si>
    <t>roulant</t>
  </si>
  <si>
    <t>2601LYD0102</t>
  </si>
  <si>
    <t>2 UNITS ZZ4186V391HCIB  SINOTRUK SITRAK 4X2 TRACTOR-AUTOMATIC GEARBOX LHD (VOIR BL)</t>
  </si>
  <si>
    <t>2601LYD0103</t>
  </si>
  <si>
    <t>1 UNIT ZZ4186V391HCIB SINOTRUK SITRAK 4X2 TRACTOR-AUTOMATIC GEARBOX LHD (VOIR BL)</t>
  </si>
  <si>
    <t>2601LYD0104</t>
  </si>
  <si>
    <t>2 UNITS ZJLA9404GLSJZ SIDE CURTAIN SEMI TRAILER  (VOIR BL)</t>
  </si>
  <si>
    <t>2601LYD0105/06</t>
  </si>
  <si>
    <t>1 UNIT EXCAVATOR  HX340HD/1 UNIT LOADER ZL50GN/1 UNIT DUMP TRUCK ZZ3257N384GB1 (VOIR BL)</t>
  </si>
  <si>
    <t>2601LYD0201</t>
  </si>
  <si>
    <t>ZINC KETTLE</t>
  </si>
  <si>
    <t>2601LYD0301</t>
  </si>
  <si>
    <t>1 UNIT DONGFENG BRAND DFSK K02L 1293ML LIGHT TRUCK  ( VOIR BL)</t>
  </si>
  <si>
    <t>2601LYD0401</t>
  </si>
  <si>
    <t>SHEET STEEL  (Tole lamine )</t>
  </si>
  <si>
    <t>2601LYD0501</t>
  </si>
  <si>
    <t>CRUSHER</t>
  </si>
  <si>
    <t>2601LYD0601-03</t>
  </si>
  <si>
    <t>GALVANIZED STEEL PIPE</t>
  </si>
  <si>
    <t>2601LYD0604-05</t>
  </si>
  <si>
    <t>PIPE</t>
  </si>
  <si>
    <t>2601LYD0901</t>
  </si>
  <si>
    <t>CARBON STEEL COIL TUBING</t>
  </si>
  <si>
    <t>2601LYD1001</t>
  </si>
  <si>
    <t>02 UNITS FLATBED TRUCK  ( VOIR BL)</t>
  </si>
  <si>
    <t>2601LYD1002</t>
  </si>
  <si>
    <t>01 UNIT CAMION CHASSIS JMC T822 CABIN SINGLE ( VOIR BL)</t>
  </si>
  <si>
    <t>2601LYD1003</t>
  </si>
  <si>
    <t>01 UNIT CAMION AC DOUBLE CABINE JAC (VOIR BL)</t>
  </si>
  <si>
    <t>2601LYD1004</t>
  </si>
  <si>
    <t>01 UNIT CAMION AC A BENNE JAC (VOIR BL)</t>
  </si>
  <si>
    <t>2601LYD1005</t>
  </si>
  <si>
    <t>01 UNIT CARGO TRUCK JX1079TK2 ( VOIR BL )</t>
  </si>
  <si>
    <t>2601LYD1006</t>
  </si>
  <si>
    <t>1 UNIT DUMP TRUCK  SCS5070ZLJEQ6  ( VOIR BL)</t>
  </si>
  <si>
    <t>2601LYD1007</t>
  </si>
  <si>
    <t>01 UNIT DUMP TRUCK JMC 720 2800MM LHD 4X2 DOUBLE CABIN ( VOIR BL)</t>
  </si>
  <si>
    <t>2601LYD1008</t>
  </si>
  <si>
    <t>01 UNIT JMC CARGO TRUCK SINGLE CABIN  JX1054TG2 ( VOIR BL)</t>
  </si>
  <si>
    <t>2601LYD1101</t>
  </si>
  <si>
    <t>04 UNITS CITERNES DE TRANSPORT D'ACIDE EN TROIS ( VOIR BL)</t>
  </si>
  <si>
    <t>2601LYD1301/02</t>
  </si>
  <si>
    <t>01 UNIT QINGLING ISUZU FTR 4*2 CHASSIS TRUCK LHD/01 UNIT QINGLING ISUZU NKR KV100 4*2 LHD CABIN CHASSIS TRUCK ( VOIR BL)</t>
  </si>
  <si>
    <t>2601LYD1401</t>
  </si>
  <si>
    <t>2 UNITS SINOTRUK SITRAK 6X4 TRACTOR TRUCK  ( VOIR BL)</t>
  </si>
  <si>
    <t>2601LYD1402</t>
  </si>
  <si>
    <t>SHACMAN F2000 6X4 CONCRETE MIXER TRUCK  SX5255GJBJR334 ( VOIR BL)</t>
  </si>
  <si>
    <t>2601LYD1501</t>
  </si>
  <si>
    <t>COOLED PANEL</t>
  </si>
  <si>
    <t>2601LYD1601</t>
  </si>
  <si>
    <t>1 UNIT  ZOOMLION TRUCK CRANE ZTC300V5-1 ( VOIR BL)</t>
  </si>
  <si>
    <t>2601LYD1701</t>
  </si>
  <si>
    <t>1 UNIT  TRUCK-MOUNTED CONCRETE PUMP ZOOMLION 43X-5RZ ( VOIR BL)</t>
  </si>
  <si>
    <t>2601LYD1702</t>
  </si>
  <si>
    <t>1 UNIT   ZOOMLION 43M CONCRETE PUMP TRUCK 43X-5RZ SITRAK ( VOIR BL)</t>
  </si>
  <si>
    <t>2601LYD1801/02</t>
  </si>
  <si>
    <t>1 UNIT SHACMAN BRAND/ 6X4 /X3000/TRACTOR TRUCK/1 UNIT SHACMAN BRAND/6X4/F2000 DUMP TRUCK ( VOIR BL)</t>
  </si>
  <si>
    <t>2601LYD1901/4402</t>
  </si>
  <si>
    <t>18  UNITS SHACMAN X3000/TRACTOR TRUCK/CAMION 4X2/1 UNIT XCMG GRADER GR215/NIVELEUSE ( VOIR BL)</t>
  </si>
  <si>
    <t>2601LYD2101</t>
  </si>
  <si>
    <t>1 UNIT JMC 4X2 DOUBLE CABIN DUMP TRUCK LHD T822  ( VOIR BL)</t>
  </si>
  <si>
    <t>2601LYD2201</t>
  </si>
  <si>
    <t>1 UNIT JMC 4X2 SINGLE CABIN CARGO TRUCK /1 UNIT JMC 4X2 DOUBLE CABIN CARGO TRUCK/1 UNIT  JMC 4X2 SINGLE CABIN DUMP TRUCK/1 UNIT JMC 4X2 DOUBLE CABIN DUMP TRUCK  ( VOIR BL)</t>
  </si>
  <si>
    <t>2601LYD2202</t>
  </si>
  <si>
    <t>1 UNIT JMC 4X2 SINGLE CABIN CARGO TRUCK LHD  (VOIR BL )</t>
  </si>
  <si>
    <t>2601LYD2301/04</t>
  </si>
  <si>
    <t>1 UNIT HYNDAI EXCAVATOR HX 500L WITH BREAKER 195(VOIR BL )</t>
  </si>
  <si>
    <t>2601LYD2302</t>
  </si>
  <si>
    <t>1 UNIT  CHARGEUR WHEEL LOADER ( VOIR BL)</t>
  </si>
  <si>
    <t>2601LYD2303</t>
  </si>
  <si>
    <t>1 UNIT BREAKER HDBB-165Z HYNDAI (VOIR BL)</t>
  </si>
  <si>
    <t>2601LYD2501</t>
  </si>
  <si>
    <t>CHARIOT ELEVATEUR CFR DJEN DJEN PORT AS PER PROFORMA INVOICE N XCMG-AGTN-202508-06FK. DATED ON 06/10/2025. REFERENCE TO BE INDICATED ON THE COMMERCIAL INVOICE. INSURANCE COVERED BY THE APPLICANT PACKED IN 2 PACKAGES SERIAL NO./ENGINE NO.: XUGBD100HSED1456</t>
  </si>
  <si>
    <t>2601LYD2702</t>
  </si>
  <si>
    <t>1 UNIT BEIBEN 6X6 12M3 FUEL TRUCK  ( VOIR BL)</t>
  </si>
  <si>
    <t>2601LYD2703</t>
  </si>
  <si>
    <t>1 UNIT  HYUNDAI CRAWLER EXCAVATOR HX340HD/1 UNIT  SINOTRUK SITRAK 6X4 TRACTOR TRUCK ( VOIR BL)</t>
  </si>
  <si>
    <t>2601LYD2705</t>
  </si>
  <si>
    <t>1 UNIT SINOTRUK HOWO TX 6X4 TRACTOR TRUCK LHD ZZ4257V344GB1 ( VOIR BL)</t>
  </si>
  <si>
    <t>2601LYD2706</t>
  </si>
  <si>
    <t>1 UNIT CARGO TRUCK CHASSIS  ZZ1167N621GC1 ( VOIR BL)</t>
  </si>
  <si>
    <t>2601LYD2801</t>
  </si>
  <si>
    <t>1 UNIT BEIBEN WATER SPRINKLER TRUCK (VOIR BL )</t>
  </si>
  <si>
    <t>2601LYD2901</t>
  </si>
  <si>
    <t>01 UNIT  XCMG TRANSMISSION, STANDARD 3.2 CBM BUCKET, A/C CABIN BY CONTAINER (VOIR BL )</t>
  </si>
  <si>
    <t>2601LYD2902</t>
  </si>
  <si>
    <t>1 UNIT BRAND NEW XCMG WHEEL LOADER XC958 ( VOIR BL)</t>
  </si>
  <si>
    <t>2601LYD2904</t>
  </si>
  <si>
    <t>02 UNITS  XCMG TYRE COMPACTOR XP303 + XD123 ( VOIR BL)</t>
  </si>
  <si>
    <t>2601LYD2905</t>
  </si>
  <si>
    <t>1 UNIT XCMG TYRE COMPACTOR XP303/1 UNIT  XCMG  WHEEL LOADER ZL50GN WITH ONE RIM AND ONE TIRE/1 UNIT XCMG 4*2 XLS905A ASPHALT DISTRIBUTOR  ( VOIR BL)</t>
  </si>
  <si>
    <t>2601LYD2906</t>
  </si>
  <si>
    <t>1  UNIT  XCMG WHEEL LOADER XC958 ( VOIR BL)</t>
  </si>
  <si>
    <t>2601LYD2907</t>
  </si>
  <si>
    <t>XCMG WHEEL LOADER XC958 ( VOIR BL)</t>
  </si>
  <si>
    <t>2601LYD2908</t>
  </si>
  <si>
    <t>1 UNIT  XCMG ROAD ROLLER XP263 ( VOIR BL)</t>
  </si>
  <si>
    <t>2601LYD3001</t>
  </si>
  <si>
    <t>01 UNIT  XCMG WHEEL LOADER ZL50GN ( VOIR BL)</t>
  </si>
  <si>
    <t>2601LYD3101</t>
  </si>
  <si>
    <t>1 UNIT  HYNDAI CRAWLER EXCAVATOR  HX340HD + BREAKER GHB230 AS ACCESSORY ( VOIR BL)</t>
  </si>
  <si>
    <t>2601LYD3102</t>
  </si>
  <si>
    <t>1 UNIT HYUNDAI CRAWLER EXCAVATOR HX340HD ( VOIR BL)</t>
  </si>
  <si>
    <t>2601LYD3103</t>
  </si>
  <si>
    <t>01 UNIT HYUNDAI CRAWLER EXCAVATOR HX340HD + HAMMER ( VOIR BL )</t>
  </si>
  <si>
    <t>2601LYD3105</t>
  </si>
  <si>
    <t>1 UNIT XCMG WHEEL LOADER ZL50GN ( VOIR BL)</t>
  </si>
  <si>
    <t>2601LYD3201</t>
  </si>
  <si>
    <t>1 UNIT HYUNDAI CRAWLER EXCAVATOR  HX340HD (VOIR BL )</t>
  </si>
  <si>
    <t>2601LYD3301</t>
  </si>
  <si>
    <t>1 UNIT HYUNDAI CRAWLER EXCAVATOR  HX220HD (VOIR BL )</t>
  </si>
  <si>
    <t>2601LYD3401</t>
  </si>
  <si>
    <t>1 UNIT CIMC 70T 3-AXLE LOW BED SEMI-TRAILER ( VOIR BL)</t>
  </si>
  <si>
    <t>2601LYD3501</t>
  </si>
  <si>
    <t>1 UNIT SHACMAN F2000 6x4 DUMP TRUCK ( VOIR BL)</t>
  </si>
  <si>
    <t>2601LYD3502</t>
  </si>
  <si>
    <t>1 UNIT SINOTRUK SITRAK G7-P 6*4 TRACTOR  ( VOIR BL)</t>
  </si>
  <si>
    <t>2601LYD3503</t>
  </si>
  <si>
    <t>SINOTRUK HOWO TX 6X4 TIPPER /VIN NO.:  LZZ5ELSD7SN094523</t>
  </si>
  <si>
    <t>2601LYD3504</t>
  </si>
  <si>
    <t>1 UNIT SINOTRUK HOWO TX 6X4 MIXER TRUCK-10m³ ( VOIR BL)</t>
  </si>
  <si>
    <t>2601LYD3604/3605</t>
  </si>
  <si>
    <t>02 UNITS CARGO TRUCKS ISUZU SCS5070ZLJEQ6/02 BUS 19 SEATS MD6608KD6  ( VOIR BL)</t>
  </si>
  <si>
    <t>2601LYD3801A</t>
  </si>
  <si>
    <t>1 UNIT CAMION FRIGORIFIQUE ISUZU SIMPLE CABINE NKR 4X2  ( VOIR BL)</t>
  </si>
  <si>
    <t>2601LYD3801B</t>
  </si>
  <si>
    <t>02 UNITS CAMION FRIGORIFIQUE ISUZU NKR 4x2 ( VOIR BL )</t>
  </si>
  <si>
    <t>2601LYD3901 /03</t>
  </si>
  <si>
    <t>1 UNIT MINI BUS /1 UNIT PICKUP TRUCK ( VOIR BL)</t>
  </si>
  <si>
    <t>2601LYD4001</t>
  </si>
  <si>
    <t>03 UNIT SHACMAN X3000 TRACTOR TRUCK ( VOIR BL)</t>
  </si>
  <si>
    <t>2601LYD4101</t>
  </si>
  <si>
    <t>1 UNIT COMPRESSEURS ET OUTILS DE FORAGE ( VOIR BL)</t>
  </si>
  <si>
    <t>2601LYD4201</t>
  </si>
  <si>
    <t>RED OAK MDF</t>
  </si>
  <si>
    <t>2601LYD4202/03</t>
  </si>
  <si>
    <t>MELAMINE HMR MDF  / EDGE GLUED PANEL</t>
  </si>
  <si>
    <t>2601LYD4204</t>
  </si>
  <si>
    <t>2601LYD4205/06/07</t>
  </si>
  <si>
    <t>BLOCKBOARD /RED OAK MDF / RED BEECH MDF / RAW MDF</t>
  </si>
  <si>
    <t>2601LYD4301/03-07</t>
  </si>
  <si>
    <t>FILM FACED PLYWOOD / MDF</t>
  </si>
  <si>
    <t>2601LYD4302</t>
  </si>
  <si>
    <t>PLAIN MDF</t>
  </si>
  <si>
    <t>2601LYD4401</t>
  </si>
  <si>
    <t>1 UNIT HYUNDAI EXCAVATOR HX340HD ( VOIR BL)</t>
  </si>
  <si>
    <t>2601LYD4403</t>
  </si>
  <si>
    <t>1 UNIT CIMC LOWBED SEMI TRAILER ( VOIR )</t>
  </si>
  <si>
    <t>2601LYD4501</t>
  </si>
  <si>
    <t>4 UNITS LOWBED SEMI TRAILER DAT9400TDP/5 UNITS REAR DUMP SEMI TRAILER SLN9400ZH/2 UNITS REAR DUMP SEMI TRAILER WITH GRABBING MACHINE SLN9400ZH/1 UNIT EXTENDABLE FLATBED SEMI TRAILER DAT9400L</t>
  </si>
  <si>
    <t>2601LYD4502</t>
  </si>
  <si>
    <t>1 UNIT LOWBED SEMI TRAILER  DAT9400TDP 1 UNIT EXTENDABLE DROPSIDE SEMI TRAILER DAT9400L ( VOIR BL )</t>
  </si>
  <si>
    <t>2601LYD4601</t>
  </si>
  <si>
    <t>1 UNIT ZOOMLION 43M CONCRETE PUMP TRUCK 43X-5RZ ( VOIR BL )</t>
  </si>
  <si>
    <t>2601LYD4602/5009</t>
  </si>
  <si>
    <t>1 UNIT ZOOMLION TRUCK PUMP 47 METERS SITRAK  ZLJ5340THBKF 1 UNIT SINOTRUK SITRAK 6X4 TRACTOR -MANUAL GEARBOX LHD ( VOIR BL )</t>
  </si>
  <si>
    <t>2601LYD4701</t>
  </si>
  <si>
    <t>2 UNITS PX90 OFF ROAD MINING DUMP TRUCK ( VOIR BL )</t>
  </si>
  <si>
    <t>2601LYD4702</t>
  </si>
  <si>
    <t>1 UNIT SINOTRUK HOWO TX 6X4 TIPPER TRUCK LHD-16 CBM ( VOIR BL)</t>
  </si>
  <si>
    <t>2601LYD4703</t>
  </si>
  <si>
    <t>0 1 UNIT ZZ3257N384GB1 SINOTRUCK HOWO TX 6X4 DUMP TRUCK          ( VOIR BL)</t>
  </si>
  <si>
    <t>2601LYD4704</t>
  </si>
  <si>
    <t>1 UNIT SHACMAN F2000 6X4 DUMP TRUCK SX3255JM384 ( VOIR BL)</t>
  </si>
  <si>
    <t>2601LYD4801</t>
  </si>
  <si>
    <t>1 UNIT SHACMAN F2000 6x4 DUMP TRUCK  SX3255JM384 ( VOIR BL )</t>
  </si>
  <si>
    <t>2601LYD4805</t>
  </si>
  <si>
    <t>1 UNIT SHACMAN F2000 6X4 DUMP TRUCK SX3255JM384 ( VOIR BL )</t>
  </si>
  <si>
    <t>2601LYD4806/5008</t>
  </si>
  <si>
    <t>1 UNIT SHACMAN F3000 6X4 DUMP TRUCK  SX3255DR384 /1 UNIT SHACMAN F3000 6X4 CONCRETE MIXER TRUCK  SX52SSGJBDR384 /1 UNIT SHACMAN X3000 6X4 TRACTOR TRUCK  SX42555V324 (VOIR BL)</t>
  </si>
  <si>
    <t>2601LYD4807</t>
  </si>
  <si>
    <t>1 UNIT SX3255JM384 SHACMAN F2000 6X4 DUMP TRUCK  1 UNIT SX5255GJBJR334 SHACMAN F2000 6X4 CONCRETE MIXER TRUCK  ( VOIR BL)</t>
  </si>
  <si>
    <t>2601LYD4808</t>
  </si>
  <si>
    <t>1 UNIT SHACMAN F3000 6X4 340HP 10m3 MIXER TRUCK LHD ( VOIR BL)</t>
  </si>
  <si>
    <t>2601LYD4809</t>
  </si>
  <si>
    <t>ROLLER FOOT PAD</t>
  </si>
  <si>
    <t>2601LYD4901</t>
  </si>
  <si>
    <t>1 UNIT XCMG 70TON TRUCK CRANE QY70KH QY70KH ( VOIR BL)</t>
  </si>
  <si>
    <t>2601LYD5001</t>
  </si>
  <si>
    <t>1 UNIT SINOTRUK SITARK 6X4 TRACTOR-MANUAL GEARBOX LHD ( VOIR BL)</t>
  </si>
  <si>
    <t>2601LYD5002</t>
  </si>
  <si>
    <t>1 UNIT XCMG 3,5M3 SELF LOADING MIXER TRUCK SLM3500S ( VOIR BL)</t>
  </si>
  <si>
    <t>2601LYD5003</t>
  </si>
  <si>
    <t>2 UNITS XCMG CONCRETE SELF-LOADING MIXER SLM4000S ( VOIR BL)</t>
  </si>
  <si>
    <t>2601LYD5006</t>
  </si>
  <si>
    <t>1 UNIT CAMION SHACMAN L3000 PLATAU AVEC GRUE ( VOIR BL)</t>
  </si>
  <si>
    <t>2601LYD5010</t>
  </si>
  <si>
    <t>01 UNIT  XCMG WHEEL LOADER ZL50GN (VOIR BL)</t>
  </si>
  <si>
    <t>2601LYD5011</t>
  </si>
  <si>
    <t>1 UNIT 6X4 CARGO TRUCK CHASSIS ( VOIR BL)</t>
  </si>
  <si>
    <t>2601LYD5012</t>
  </si>
  <si>
    <t>1 UNIT SINOTRUK HOWO TX 6X4 TRUCK CRANE 12T ( VOIR BL)</t>
  </si>
  <si>
    <t>2601LYD5013</t>
  </si>
  <si>
    <t>1 UNIT XCMG WHEEL LOADER XC958 ( VOIR BL)</t>
  </si>
  <si>
    <t>2601LYD5101</t>
  </si>
  <si>
    <t>1 UNIT SPRINKLER SX5255GYSJM434 ( VOIR BL)</t>
  </si>
  <si>
    <t>2601LYD5201</t>
  </si>
  <si>
    <t>CRUSHING PLANT</t>
  </si>
  <si>
    <t>2601LYD5202</t>
  </si>
  <si>
    <t>MOBILE CRUSHING PLANT</t>
  </si>
  <si>
    <t>2601LYD5301</t>
  </si>
  <si>
    <t>HOLLOW PIER STEEL TEMPLATE</t>
  </si>
  <si>
    <t>2601LYD5302</t>
  </si>
  <si>
    <t>BRIDGE GIRDER ERECTION MACHINE</t>
  </si>
  <si>
    <t>2601LYD5303</t>
  </si>
  <si>
    <t>4 UNITS BEAM CARRIER  ( VOIR BL)</t>
  </si>
  <si>
    <t>2601LYD5401</t>
  </si>
  <si>
    <t>1 UNIT BULLDOZER SHANTUI SD32D ( VOIR BL)</t>
  </si>
  <si>
    <t>2601LYD5403</t>
  </si>
  <si>
    <t>1 UNIT SHANTUI  SD32D BULLDOZER  WITH ACCESSORIES (VOIR BL)</t>
  </si>
  <si>
    <t>2601LYD5501</t>
  </si>
  <si>
    <t>01 UNIT POMPE A BETON SINOTRUCK HOWO 6*4 CHASSOS LHD ( VOIR BL)</t>
  </si>
  <si>
    <t>2601LYD5601</t>
  </si>
  <si>
    <t>TWIN- PUMP CENENTING SKID / FUEL SUPPLY SUSTEM</t>
  </si>
  <si>
    <t>2601LYD5701</t>
  </si>
  <si>
    <t>CALCINED ANTHRACITE COAL</t>
  </si>
  <si>
    <t>2601LYD5801</t>
  </si>
  <si>
    <t>01 UNIT XCMG TRUCK CRANE MODEL QY100K5C / SPARE PARTS  ( VOIR BL )</t>
  </si>
  <si>
    <t>2601LYD5802</t>
  </si>
  <si>
    <t>01 UNIT XCMG WHEEL LOADER MODEL ZL50GN /SPARE PARTS ( VOIR BL)</t>
  </si>
  <si>
    <t>2601LYD5901</t>
  </si>
  <si>
    <t>2 UNITS TUNNEL DRILLING RIG ( VOIR BL)</t>
  </si>
  <si>
    <t>2601LYD6001</t>
  </si>
  <si>
    <t>COMMERCIAL PLYWOOD</t>
  </si>
  <si>
    <t>2601LYD6201/03</t>
  </si>
  <si>
    <t>SHEET STEEL</t>
  </si>
  <si>
    <t>2601LYD6302/03/04</t>
  </si>
  <si>
    <t>PLYWOOD / VENEER PAPER</t>
  </si>
  <si>
    <t>2601LYD6401/03</t>
  </si>
  <si>
    <t>1 UNIT XCMG XS47 CONCRETTE PUMP SINOTRUK SITRAK 64 CHASSIS ,LHD  WITH SPARE PARTS  ( VOIR BL)</t>
  </si>
  <si>
    <t>2601LYD6402</t>
  </si>
  <si>
    <t>1 UNIT  MOBILE CRANE  XCMG QY130KH ( VOIR BL)</t>
  </si>
  <si>
    <t>2601LYD6501</t>
  </si>
  <si>
    <t>1 UNIT WHEEL LOADER XCMG MODEL XC978 ( VOIR BL)</t>
  </si>
  <si>
    <t>2601LYD6502/03</t>
  </si>
  <si>
    <t>1 UNIT CRAWLER EXCAVATOR XCMG MODEL XE500G / 1 PC BUCKET ( VOIR BL)</t>
  </si>
  <si>
    <t>2601LYD6504</t>
  </si>
  <si>
    <t>1 UNIT   WHEEL LOADER XCMG  XC968 ( VOIR BL)</t>
  </si>
  <si>
    <t>2601LYD6505/06</t>
  </si>
  <si>
    <t>1 UNIT CRAWLER EXCAVATOR XCMG  XE500G / 1 PC BUCKET ( VOIR BL)</t>
  </si>
  <si>
    <t>2601LYD6601</t>
  </si>
  <si>
    <t>1 UNIT JAC DOUBLE CABIN DUMP TRUCK HFC1042L3KR ( VOIR BL)</t>
  </si>
  <si>
    <t>2601LYD6602</t>
  </si>
  <si>
    <t>2 UNITS CARGO TRUCK ISUZU (VOIR BL)</t>
  </si>
  <si>
    <t>2601LYD6603</t>
  </si>
  <si>
    <t>1 UNIT JAC 1040S FLATBED TRUCK (VOIR BL )</t>
  </si>
  <si>
    <t>2601LYD6701</t>
  </si>
  <si>
    <t>1 UNIT XCMG XC958  WHEEL LOADER ( VOIR BL )</t>
  </si>
  <si>
    <t>2601LYD6702</t>
  </si>
  <si>
    <t>1 UNIT HYUNDAI EXCAVATOR  HX340HD  ( VOIR BL)</t>
  </si>
  <si>
    <t>2601LYD6801A</t>
  </si>
  <si>
    <t>STEEL FORMWORK</t>
  </si>
  <si>
    <t>2601LYD6801B</t>
  </si>
  <si>
    <t>STEEL FORMWORK 5X40HQ SOC CONTAINERS N° CBHU9116225 /  CBHU9068256 /CBHU8968470 / CBHU8990869 / CBHU9011142 ( VOIR BL)</t>
  </si>
  <si>
    <t>2601LYD6901</t>
  </si>
  <si>
    <t>01 UNIT CIMC 3 AXLE 54T  SEMI - TRAILER ( VOIR BL)</t>
  </si>
  <si>
    <t>2601LYD7001</t>
  </si>
  <si>
    <t>1 UNIT  XG105 XCMG MINING DUMPER ( VOIR BL)</t>
  </si>
  <si>
    <t>2601LYD7101/04/05/06</t>
  </si>
  <si>
    <t>FOURNITURE DE TUBES</t>
  </si>
  <si>
    <t>2601LYD7201</t>
  </si>
  <si>
    <t>1 UNIT SHACMAN F2000 6X4 MIXER  ( VOIR BL)</t>
  </si>
  <si>
    <t>2601LYD7202</t>
  </si>
  <si>
    <t>1 UNIT HAITUI BULLDOZER HD32   /1 UNIT XCMG WHEEL LOADER XC958 ( VOIR BL)</t>
  </si>
  <si>
    <t>2601LYD7301</t>
  </si>
  <si>
    <t>COMPONENTS FOR BRIDGE</t>
  </si>
  <si>
    <t>2601LYD7601</t>
  </si>
  <si>
    <t>1 UNIT HUNDAI 340 EXCAVATOR  /1 UNIT MODEL 165 HYDRAULIC/BREAKER /1 UNIT JCB 3CX BACHOE LOADER/1 UNIT WHEEL DRIVE ( VOIR BL)</t>
  </si>
  <si>
    <t>2601LYD7701</t>
  </si>
  <si>
    <t>01 UNIT PELLE HYDRAULIQE DEVELON DX220LCA-2M CRAWLER EXCAVATOR  ( VOIR BL)</t>
  </si>
  <si>
    <t>2601LYD7702</t>
  </si>
  <si>
    <t>1 UNIT DEVELON DX360LCA-7B CRAWLER EXCAVATOR ( VOIR BL)</t>
  </si>
  <si>
    <t>2601LYD7801</t>
  </si>
  <si>
    <t>CAMP</t>
  </si>
  <si>
    <t>2601LYD7802</t>
  </si>
  <si>
    <t>2 UNITS WELL LOGGING TRUCK ( VOIR BL)</t>
  </si>
  <si>
    <t>2601LYD7901</t>
  </si>
  <si>
    <t>1 UNIT SX3255JM384 SHACMAN F2000 6*4 DUMP TRUCK ( VOIR BL)</t>
  </si>
  <si>
    <t>2601LYD8001/02</t>
  </si>
  <si>
    <t>01 UNIT ISUZU CLW5110XLCQ6 ISUZU FTR FLATBED CARGO TRUCK CHASSIS  /01UNIT ISUZU SUPER JUMBO ISUZU FLATBED CARGO TRUCK CHASSIS ( VOIR BL)</t>
  </si>
  <si>
    <t>2601LYD8101</t>
  </si>
  <si>
    <t>EQUIPMENT (WELDING MACHINE, HOISTING EQUIPMENT AND  OTHER CONSTRUCTION EQUIPMENT)</t>
  </si>
  <si>
    <t>2601LYD8201</t>
  </si>
  <si>
    <t>1 UNIT XCMG MOBILE CRANE QY25K5D  ( VOIR BL)</t>
  </si>
  <si>
    <t>2601TJD0301-0303</t>
  </si>
  <si>
    <t>STEEL WIRE</t>
  </si>
  <si>
    <t>2601TJD0401</t>
  </si>
  <si>
    <t>QUARTZ SAND</t>
  </si>
  <si>
    <t>2601TJD0501</t>
  </si>
  <si>
    <t>GALVANIZED STEEL STRIPS</t>
  </si>
  <si>
    <t>2601TJD0605</t>
  </si>
  <si>
    <t>PREPAINTED GALVANISED STEEL SHEET IN COILS</t>
  </si>
  <si>
    <t>2601TJD0701</t>
  </si>
  <si>
    <t>TUBE D'ECHAFFAUDAGE GALVANISE A CHAUD LONGUEUR</t>
  </si>
  <si>
    <t>2601TJD0801</t>
  </si>
  <si>
    <t>06 UNITS BULK CMENT SEMI TRAILER  ( VOIR BL)</t>
  </si>
  <si>
    <t>2601TJD0901</t>
  </si>
  <si>
    <t>SEAMLESS BOILER TUBE ASTM A179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</si>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</sst>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Calibri"/>
    </font>
    <font>
      <b/>
      <sz val="11"/>
      <name val="Calibri"/>
    </font>
    <font>
      <i/>
      <sz val="10"/>
      <name val="Calibri"/>
    </font>
    <font>
      <b/>
      <sz val="13"/>
      <name val="Calibri"/>
    </font>
    <font>
      <b/>
      <sz val="24"/>
      <color rgb="FF0000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948A54"/>
        <bgColor rgb="FF948A54"/>
      </patternFill>
    </fill>
    <fill>
      <patternFill patternType="solid">
        <fgColor rgb="FF92D050"/>
        <bgColor rgb="FF92D050"/>
      </patternFill>
    </fill>
    <fill>
      <patternFill patternType="solid">
        <fgColor rgb="FFC65911"/>
        <bgColor rgb="FFC65911"/>
      </patternFill>
    </fill>
    <fill>
      <patternFill patternType="solid">
        <fgColor rgb="FFD3D3D3"/>
        <bgColor rgb="FFD3D3D3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2" xfId="0" applyBorder="1"/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2" xfId="0" applyFont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0" fillId="0" borderId="2" xfId="0" applyBorder="1"/>
    <xf numFmtId="0" fontId="2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25">
    <dxf>
      <fill>
        <patternFill patternType="solid">
          <fgColor rgb="FFC65911"/>
          <bgColor rgb="FFC6591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C65911"/>
          <bgColor rgb="FFC6591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C65911"/>
          <bgColor rgb="FFC6591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C65911"/>
          <bgColor rgb="FFC6591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C65911"/>
          <bgColor rgb="FFC6591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C65911"/>
          <bgColor rgb="FFC6591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C65911"/>
          <bgColor rgb="FFC6591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C65911"/>
          <bgColor rgb="FFC6591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C65911"/>
          <bgColor rgb="FFC6591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C65911"/>
          <bgColor rgb="FFC6591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C65911"/>
          <bgColor rgb="FFC6591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C65911"/>
          <bgColor rgb="FFC6591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C65911"/>
          <bgColor rgb="FFC6591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C65911"/>
          <bgColor rgb="FFC6591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C65911"/>
          <bgColor rgb="FFC6591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C65911"/>
          <bgColor rgb="FFC6591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C65911"/>
          <bgColor rgb="FFC6591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C65911"/>
          <bgColor rgb="FFC6591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C65911"/>
          <bgColor rgb="FFC6591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C65911"/>
          <bgColor rgb="FFC6591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ck">
          <color rgb="FF000000"/>
        </top>
        <bottom style="thin">
          <color rgb="FF000000"/>
        </bottom>
      </border>
    </dxf>
    <dxf>
      <fill>
        <patternFill patternType="solid">
          <fgColor rgb="FFC65911"/>
          <bgColor rgb="FFC65911"/>
        </patternFill>
      </fill>
      <alignment horizontal="center" vertical="center" textRotation="0" wrapText="1" indent="0" justifyLastLine="0" shrinkToFit="0" readingOrder="0"/>
    </dxf>
    <dxf>
      <border outline="0">
        <bottom style="thick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ck">
          <color rgb="FF000000"/>
        </left>
        <right style="thick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DF7199-1501-407B-938A-1899F8060CF7}" name="Table1" displayName="Table1" ref="A1:T151" totalsRowShown="0" headerRowDxfId="24" dataDxfId="22" headerRowBorderDxfId="23" tableBorderDxfId="21" totalsRowBorderDxfId="20">
  <autoFilter ref="A1:T151" xr:uid="{CB7D3DFF-BBE8-4350-93E8-A32091AB328D}"/>
  <tableColumns count="20">
    <tableColumn id="1" xr3:uid="{157584BC-BFC5-4CC2-B97A-B18093CCF359}" name="ESCALE" dataDxfId="19"/>
    <tableColumn id="2" xr3:uid="{58A3B3DA-144B-4674-8B55-732938CD8C86}" name="NAVIRE" dataDxfId="18"/>
    <tableColumn id="3" xr3:uid="{524A4CA5-0227-4702-925F-84418285AE0D}" name="DATE" dataDxfId="17"/>
    <tableColumn id="4" xr3:uid="{B4500A6A-97D8-4D42-AC93-0217D038CA6A}" name="B/L" dataDxfId="16"/>
    <tableColumn id="5" xr3:uid="{A8A50970-0E00-4B95-BA63-68FE24A18F24}" name="DESIGNATION" dataDxfId="15"/>
    <tableColumn id="6" xr3:uid="{F739E2F1-2C84-406A-8560-973A61E22AF9}" name="QUANTITE" dataDxfId="14"/>
    <tableColumn id="7" xr3:uid="{F7504A77-E930-4F2D-972C-947703E23553}" name="TONAGE" dataDxfId="13"/>
    <tableColumn id="8" xr3:uid="{BC807E38-BB77-4D81-B3C2-9F6AE4BBFE2D}" name="CLIENT" dataDxfId="12"/>
    <tableColumn id="9" xr3:uid="{484CAF99-764D-4807-9ABD-A523F554EC38}" name="CHASSIS/SERIAL" dataDxfId="11"/>
    <tableColumn id="10" xr3:uid="{12687F56-553C-425D-AFA8-2B60934067D3}" name="RESTE T/P" dataDxfId="10"/>
    <tableColumn id="11" xr3:uid="{5CA1CAEA-3CDB-4ED3-ABD9-FF1DB98D7713}" name="TYPE" dataDxfId="9"/>
    <tableColumn id="12" xr3:uid="{8811663A-F1DE-4B50-92DA-0CB42FF8BA41}" name="SITUATION" dataDxfId="8"/>
    <tableColumn id="13" xr3:uid="{C617D18B-7D52-4C9A-9CA9-A42274C426D9}" name="OBSERVATION" dataDxfId="7"/>
    <tableColumn id="14" xr3:uid="{ACE68951-A0AA-45EC-AED7-9BBE3FCDD2F7}" name="POSITION" dataDxfId="6"/>
    <tableColumn id="15" xr3:uid="{DF03940B-6132-4A16-A1A2-07B5EDD59472}" name="TRANSIT" dataDxfId="5"/>
    <tableColumn id="16" xr3:uid="{099674C6-F010-4D79-ACF2-D0ADA2F1BD97}" name="CLES" dataDxfId="4"/>
    <tableColumn id="17" xr3:uid="{6AEE95D6-F40A-49F6-87B7-EBA63F395DC6}" name="SURFACE" dataDxfId="3"/>
    <tableColumn id="18" xr3:uid="{92E9050C-D06C-4EDF-AD21-016D8B435785}" name="DAEMO BREAKER (DRB) TOP BOX TYPE" dataDxfId="2"/>
    <tableColumn id="19" xr3:uid="{6F4098AA-A06D-4A9E-A045-B06635A19866}" name="DATE ENLEV" dataDxfId="1"/>
    <tableColumn id="20" xr3:uid="{286965B2-AAF0-41D0-AA0A-E52D072FB7C3}" name="CARGO_TYP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J76"/>
  <sheetViews>
    <sheetView tabSelected="1" topLeftCell="EW1" workbookViewId="0">
      <selection activeCell="FJ1" sqref="FJ1"/>
    </sheetView>
  </sheetViews>
  <sheetFormatPr defaultRowHeight="15" x14ac:dyDescent="0.25"/>
  <cols>
    <col min="1" max="1" width="25" customWidth="1"/>
    <col min="2" max="3" width="22" customWidth="1"/>
    <col min="9" max="9" width="15" customWidth="1"/>
    <col min="10" max="10" width="12" customWidth="1"/>
    <col min="11" max="12" width="22" customWidth="1"/>
    <col min="18" max="18" width="15" customWidth="1"/>
    <col min="19" max="19" width="12" customWidth="1"/>
    <col min="20" max="22" width="22" customWidth="1"/>
    <col min="28" max="28" width="15" customWidth="1"/>
    <col min="29" max="29" width="12" customWidth="1"/>
    <col min="30" max="33" width="22" customWidth="1"/>
    <col min="39" max="39" width="15" customWidth="1"/>
    <col min="40" max="40" width="12" customWidth="1"/>
    <col min="41" max="162" width="22" customWidth="1"/>
  </cols>
  <sheetData>
    <row r="1" spans="1:166" ht="31.5" x14ac:dyDescent="0.25">
      <c r="C1" s="25" t="s">
        <v>0</v>
      </c>
      <c r="D1" s="25"/>
      <c r="E1" s="25"/>
      <c r="F1" s="25"/>
      <c r="G1" s="25"/>
      <c r="H1" s="25"/>
      <c r="FJ1" t="s">
        <v>619</v>
      </c>
    </row>
    <row r="4" spans="1:166" x14ac:dyDescent="0.25">
      <c r="C4" s="23" t="s">
        <v>1</v>
      </c>
      <c r="D4" s="21"/>
      <c r="E4" s="21"/>
      <c r="F4" s="21"/>
      <c r="K4" s="26" t="s">
        <v>2</v>
      </c>
      <c r="L4" s="21"/>
      <c r="M4" s="21"/>
      <c r="N4" s="21"/>
      <c r="O4" s="21"/>
      <c r="T4" s="24" t="s">
        <v>3</v>
      </c>
      <c r="U4" s="21"/>
      <c r="V4" s="21"/>
      <c r="W4" s="21"/>
      <c r="X4" s="21"/>
      <c r="Y4" s="21"/>
      <c r="AD4" s="22" t="s">
        <v>4</v>
      </c>
      <c r="AE4" s="21"/>
      <c r="AF4" s="21"/>
      <c r="AG4" s="21"/>
      <c r="AH4" s="21"/>
      <c r="AI4" s="21"/>
      <c r="AJ4" s="21"/>
      <c r="AO4" s="23" t="s">
        <v>5</v>
      </c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</row>
    <row r="5" spans="1:166" ht="60" x14ac:dyDescent="0.25">
      <c r="C5" s="2" t="s">
        <v>6</v>
      </c>
      <c r="D5" s="2"/>
      <c r="E5" s="2"/>
      <c r="F5" s="2"/>
      <c r="K5" s="3" t="s">
        <v>7</v>
      </c>
      <c r="L5" s="3" t="s">
        <v>8</v>
      </c>
      <c r="M5" s="3"/>
      <c r="N5" s="3"/>
      <c r="O5" s="3"/>
      <c r="T5" s="4" t="s">
        <v>9</v>
      </c>
      <c r="U5" s="4" t="s">
        <v>10</v>
      </c>
      <c r="V5" s="4" t="s">
        <v>11</v>
      </c>
      <c r="W5" s="4"/>
      <c r="X5" s="4"/>
      <c r="Y5" s="4"/>
      <c r="AD5" s="5" t="s">
        <v>6</v>
      </c>
      <c r="AE5" s="5" t="s">
        <v>12</v>
      </c>
      <c r="AF5" s="5" t="s">
        <v>13</v>
      </c>
      <c r="AG5" s="5" t="s">
        <v>14</v>
      </c>
      <c r="AH5" s="5"/>
      <c r="AI5" s="5"/>
      <c r="AJ5" s="5"/>
      <c r="AO5" s="2" t="s">
        <v>15</v>
      </c>
      <c r="AP5" s="2" t="s">
        <v>16</v>
      </c>
      <c r="AQ5" s="2" t="s">
        <v>17</v>
      </c>
      <c r="AR5" s="2" t="s">
        <v>18</v>
      </c>
      <c r="AS5" s="2" t="s">
        <v>19</v>
      </c>
      <c r="AT5" s="2" t="s">
        <v>20</v>
      </c>
      <c r="AU5" s="2" t="s">
        <v>21</v>
      </c>
      <c r="AV5" s="2" t="s">
        <v>22</v>
      </c>
      <c r="AW5" s="2" t="s">
        <v>23</v>
      </c>
      <c r="AX5" s="2" t="s">
        <v>24</v>
      </c>
      <c r="AY5" s="2" t="s">
        <v>25</v>
      </c>
      <c r="AZ5" s="2" t="s">
        <v>26</v>
      </c>
      <c r="BA5" s="2" t="s">
        <v>27</v>
      </c>
      <c r="BB5" s="2" t="s">
        <v>28</v>
      </c>
      <c r="BC5" s="2" t="s">
        <v>29</v>
      </c>
      <c r="BD5" s="2" t="s">
        <v>30</v>
      </c>
      <c r="BE5" s="2" t="s">
        <v>31</v>
      </c>
      <c r="BF5" s="2" t="s">
        <v>32</v>
      </c>
      <c r="BG5" s="2" t="s">
        <v>33</v>
      </c>
      <c r="BH5" s="2" t="s">
        <v>34</v>
      </c>
      <c r="BI5" s="2" t="s">
        <v>35</v>
      </c>
      <c r="BJ5" s="2" t="s">
        <v>36</v>
      </c>
      <c r="BK5" s="2" t="s">
        <v>37</v>
      </c>
      <c r="BL5" s="2" t="s">
        <v>38</v>
      </c>
      <c r="BM5" s="2" t="s">
        <v>39</v>
      </c>
      <c r="BN5" s="2" t="s">
        <v>40</v>
      </c>
      <c r="BO5" s="2" t="s">
        <v>41</v>
      </c>
      <c r="BP5" s="2" t="s">
        <v>42</v>
      </c>
      <c r="BQ5" s="2" t="s">
        <v>43</v>
      </c>
      <c r="BR5" s="2" t="s">
        <v>44</v>
      </c>
      <c r="BS5" s="2" t="s">
        <v>45</v>
      </c>
      <c r="BT5" s="2" t="s">
        <v>46</v>
      </c>
      <c r="BU5" s="2" t="s">
        <v>47</v>
      </c>
      <c r="BV5" s="2" t="s">
        <v>48</v>
      </c>
      <c r="BW5" s="2" t="s">
        <v>49</v>
      </c>
      <c r="BX5" s="2" t="s">
        <v>50</v>
      </c>
      <c r="BY5" s="2" t="s">
        <v>51</v>
      </c>
      <c r="BZ5" s="2" t="s">
        <v>52</v>
      </c>
      <c r="CA5" s="2" t="s">
        <v>53</v>
      </c>
      <c r="CB5" s="2" t="s">
        <v>54</v>
      </c>
      <c r="CC5" s="2" t="s">
        <v>55</v>
      </c>
      <c r="CD5" s="2" t="s">
        <v>56</v>
      </c>
      <c r="CE5" s="2" t="s">
        <v>57</v>
      </c>
      <c r="CF5" s="2" t="s">
        <v>58</v>
      </c>
      <c r="CG5" s="2" t="s">
        <v>59</v>
      </c>
      <c r="CH5" s="2" t="s">
        <v>60</v>
      </c>
      <c r="CI5" s="2" t="s">
        <v>61</v>
      </c>
      <c r="CJ5" s="2" t="s">
        <v>62</v>
      </c>
      <c r="CK5" s="2" t="s">
        <v>63</v>
      </c>
      <c r="CL5" s="2" t="s">
        <v>64</v>
      </c>
      <c r="CM5" s="2" t="s">
        <v>65</v>
      </c>
      <c r="CN5" s="2" t="s">
        <v>66</v>
      </c>
      <c r="CO5" s="2" t="s">
        <v>67</v>
      </c>
      <c r="CP5" s="2" t="s">
        <v>68</v>
      </c>
      <c r="CQ5" s="2" t="s">
        <v>69</v>
      </c>
      <c r="CR5" s="2" t="s">
        <v>70</v>
      </c>
      <c r="CS5" s="2" t="s">
        <v>71</v>
      </c>
      <c r="CT5" s="2" t="s">
        <v>72</v>
      </c>
      <c r="CU5" s="2" t="s">
        <v>73</v>
      </c>
      <c r="CV5" s="2" t="s">
        <v>74</v>
      </c>
      <c r="CW5" s="2" t="s">
        <v>75</v>
      </c>
      <c r="CX5" s="2" t="s">
        <v>76</v>
      </c>
      <c r="CY5" s="2" t="s">
        <v>77</v>
      </c>
      <c r="CZ5" s="2" t="s">
        <v>78</v>
      </c>
      <c r="DA5" s="2" t="s">
        <v>79</v>
      </c>
      <c r="DB5" s="2" t="s">
        <v>80</v>
      </c>
      <c r="DC5" s="2" t="s">
        <v>81</v>
      </c>
      <c r="DD5" s="2" t="s">
        <v>82</v>
      </c>
      <c r="DE5" s="2" t="s">
        <v>83</v>
      </c>
      <c r="DF5" s="2" t="s">
        <v>84</v>
      </c>
      <c r="DG5" s="2" t="s">
        <v>85</v>
      </c>
      <c r="DH5" s="2" t="s">
        <v>86</v>
      </c>
      <c r="DI5" s="2" t="s">
        <v>87</v>
      </c>
      <c r="DJ5" s="2" t="s">
        <v>88</v>
      </c>
      <c r="DK5" s="2" t="s">
        <v>89</v>
      </c>
      <c r="DL5" s="2" t="s">
        <v>90</v>
      </c>
      <c r="DM5" s="2" t="s">
        <v>91</v>
      </c>
      <c r="DN5" s="2" t="s">
        <v>92</v>
      </c>
      <c r="DO5" s="2" t="s">
        <v>93</v>
      </c>
      <c r="DP5" s="2" t="s">
        <v>94</v>
      </c>
      <c r="DQ5" s="2" t="s">
        <v>95</v>
      </c>
      <c r="DR5" s="2" t="s">
        <v>96</v>
      </c>
      <c r="DS5" s="2" t="s">
        <v>97</v>
      </c>
      <c r="DT5" s="2" t="s">
        <v>98</v>
      </c>
      <c r="DU5" s="2" t="s">
        <v>99</v>
      </c>
      <c r="DV5" s="2" t="s">
        <v>100</v>
      </c>
      <c r="DW5" s="2" t="s">
        <v>101</v>
      </c>
      <c r="DX5" s="2" t="s">
        <v>102</v>
      </c>
      <c r="DY5" s="2" t="s">
        <v>103</v>
      </c>
      <c r="DZ5" s="2" t="s">
        <v>104</v>
      </c>
      <c r="EA5" s="2" t="s">
        <v>105</v>
      </c>
      <c r="EB5" s="2" t="s">
        <v>106</v>
      </c>
      <c r="EC5" s="2" t="s">
        <v>107</v>
      </c>
      <c r="ED5" s="2" t="s">
        <v>108</v>
      </c>
      <c r="EE5" s="2" t="s">
        <v>109</v>
      </c>
      <c r="EF5" s="2" t="s">
        <v>110</v>
      </c>
      <c r="EG5" s="2" t="s">
        <v>111</v>
      </c>
      <c r="EH5" s="2" t="s">
        <v>112</v>
      </c>
      <c r="EI5" s="2" t="s">
        <v>113</v>
      </c>
      <c r="EJ5" s="2" t="s">
        <v>114</v>
      </c>
      <c r="EK5" s="2" t="s">
        <v>115</v>
      </c>
      <c r="EL5" s="2" t="s">
        <v>116</v>
      </c>
      <c r="EM5" s="2" t="s">
        <v>117</v>
      </c>
      <c r="EN5" s="2" t="s">
        <v>118</v>
      </c>
      <c r="EO5" s="2" t="s">
        <v>119</v>
      </c>
      <c r="EP5" s="2" t="s">
        <v>120</v>
      </c>
      <c r="EQ5" s="2" t="s">
        <v>121</v>
      </c>
      <c r="ER5" s="2" t="s">
        <v>122</v>
      </c>
      <c r="ES5" s="2" t="s">
        <v>123</v>
      </c>
      <c r="ET5" s="2" t="s">
        <v>124</v>
      </c>
      <c r="EU5" s="2" t="s">
        <v>125</v>
      </c>
      <c r="EV5" s="2" t="s">
        <v>126</v>
      </c>
      <c r="EW5" s="2" t="s">
        <v>127</v>
      </c>
      <c r="EX5" s="2" t="s">
        <v>128</v>
      </c>
      <c r="EY5" s="2" t="s">
        <v>129</v>
      </c>
      <c r="EZ5" s="2" t="s">
        <v>130</v>
      </c>
      <c r="FA5" s="2" t="s">
        <v>131</v>
      </c>
      <c r="FB5" s="2" t="s">
        <v>132</v>
      </c>
      <c r="FC5" s="2" t="s">
        <v>133</v>
      </c>
      <c r="FD5" s="2" t="s">
        <v>134</v>
      </c>
      <c r="FE5" s="2" t="s">
        <v>135</v>
      </c>
      <c r="FF5" s="2" t="s">
        <v>136</v>
      </c>
      <c r="FG5" s="2"/>
      <c r="FH5" s="2"/>
      <c r="FI5" s="2"/>
    </row>
    <row r="6" spans="1:166" x14ac:dyDescent="0.25">
      <c r="C6" s="1"/>
      <c r="D6" s="1"/>
      <c r="E6" s="1"/>
      <c r="F6" s="1"/>
      <c r="K6" s="1"/>
      <c r="L6" s="1"/>
      <c r="M6" s="1"/>
      <c r="N6" s="1"/>
      <c r="O6" s="1"/>
      <c r="T6" s="1"/>
      <c r="U6" s="1"/>
      <c r="V6" s="1"/>
      <c r="W6" s="1"/>
      <c r="X6" s="1"/>
      <c r="Y6" s="1"/>
      <c r="AD6" s="1"/>
      <c r="AE6" s="1"/>
      <c r="AF6" s="1"/>
      <c r="AG6" s="1"/>
      <c r="AH6" s="1"/>
      <c r="AI6" s="1"/>
      <c r="AJ6" s="1"/>
      <c r="AO6" s="6" t="s">
        <v>137</v>
      </c>
      <c r="AP6" s="6" t="s">
        <v>137</v>
      </c>
      <c r="AQ6" s="6" t="s">
        <v>137</v>
      </c>
      <c r="AR6" s="6" t="s">
        <v>137</v>
      </c>
      <c r="AS6" s="6" t="s">
        <v>137</v>
      </c>
      <c r="AT6" s="6" t="s">
        <v>137</v>
      </c>
      <c r="AU6" s="6" t="s">
        <v>137</v>
      </c>
      <c r="AV6" s="6" t="s">
        <v>137</v>
      </c>
      <c r="AW6" s="6" t="s">
        <v>137</v>
      </c>
      <c r="AX6" s="6" t="s">
        <v>137</v>
      </c>
      <c r="AY6" s="6" t="s">
        <v>137</v>
      </c>
      <c r="AZ6" s="6" t="s">
        <v>137</v>
      </c>
      <c r="BA6" s="6" t="s">
        <v>137</v>
      </c>
      <c r="BB6" s="6" t="s">
        <v>137</v>
      </c>
      <c r="BC6" s="6" t="s">
        <v>137</v>
      </c>
      <c r="BD6" s="6" t="s">
        <v>137</v>
      </c>
      <c r="BE6" s="6" t="s">
        <v>137</v>
      </c>
      <c r="BF6" s="6" t="s">
        <v>137</v>
      </c>
      <c r="BG6" s="6" t="s">
        <v>137</v>
      </c>
      <c r="BH6" s="6" t="s">
        <v>137</v>
      </c>
      <c r="BI6" s="6" t="s">
        <v>137</v>
      </c>
      <c r="BJ6" s="6" t="s">
        <v>137</v>
      </c>
      <c r="BK6" s="6" t="s">
        <v>137</v>
      </c>
      <c r="BL6" s="6" t="s">
        <v>137</v>
      </c>
      <c r="BM6" s="6" t="s">
        <v>137</v>
      </c>
      <c r="BN6" s="6" t="s">
        <v>137</v>
      </c>
      <c r="BO6" s="6" t="s">
        <v>137</v>
      </c>
      <c r="BP6" s="6" t="s">
        <v>137</v>
      </c>
      <c r="BQ6" s="6" t="s">
        <v>137</v>
      </c>
      <c r="BR6" s="6" t="s">
        <v>137</v>
      </c>
      <c r="BS6" s="6" t="s">
        <v>137</v>
      </c>
      <c r="BT6" s="6" t="s">
        <v>137</v>
      </c>
      <c r="BU6" s="6" t="s">
        <v>137</v>
      </c>
      <c r="BV6" s="6" t="s">
        <v>137</v>
      </c>
      <c r="BW6" s="6" t="s">
        <v>137</v>
      </c>
      <c r="BX6" s="6" t="s">
        <v>137</v>
      </c>
      <c r="BY6" s="6" t="s">
        <v>137</v>
      </c>
      <c r="BZ6" s="6" t="s">
        <v>137</v>
      </c>
      <c r="CA6" s="6" t="s">
        <v>137</v>
      </c>
      <c r="CB6" s="6" t="s">
        <v>137</v>
      </c>
      <c r="CC6" s="6" t="s">
        <v>137</v>
      </c>
      <c r="CD6" s="6" t="s">
        <v>137</v>
      </c>
      <c r="CE6" s="6" t="s">
        <v>137</v>
      </c>
      <c r="CF6" s="6" t="s">
        <v>137</v>
      </c>
      <c r="CG6" s="6" t="s">
        <v>137</v>
      </c>
      <c r="CH6" s="6" t="s">
        <v>137</v>
      </c>
      <c r="CI6" s="6" t="s">
        <v>137</v>
      </c>
      <c r="CJ6" s="6" t="s">
        <v>137</v>
      </c>
      <c r="CK6" s="6" t="s">
        <v>137</v>
      </c>
      <c r="CL6" s="6" t="s">
        <v>137</v>
      </c>
      <c r="CM6" s="6" t="s">
        <v>137</v>
      </c>
      <c r="CN6" s="6" t="s">
        <v>137</v>
      </c>
      <c r="CO6" s="6" t="s">
        <v>137</v>
      </c>
      <c r="CP6" s="6" t="s">
        <v>137</v>
      </c>
      <c r="CQ6" s="6" t="s">
        <v>137</v>
      </c>
      <c r="CR6" s="6" t="s">
        <v>137</v>
      </c>
      <c r="CS6" s="6" t="s">
        <v>137</v>
      </c>
      <c r="CT6" s="6" t="s">
        <v>137</v>
      </c>
      <c r="CU6" s="6" t="s">
        <v>137</v>
      </c>
      <c r="CV6" s="6" t="s">
        <v>137</v>
      </c>
      <c r="CW6" s="6" t="s">
        <v>137</v>
      </c>
      <c r="CX6" s="6" t="s">
        <v>137</v>
      </c>
      <c r="CY6" s="6" t="s">
        <v>137</v>
      </c>
      <c r="CZ6" s="6" t="s">
        <v>137</v>
      </c>
      <c r="DA6" s="6" t="s">
        <v>137</v>
      </c>
      <c r="DB6" s="6" t="s">
        <v>137</v>
      </c>
      <c r="DC6" s="6" t="s">
        <v>137</v>
      </c>
      <c r="DD6" s="6" t="s">
        <v>137</v>
      </c>
      <c r="DE6" s="6" t="s">
        <v>137</v>
      </c>
      <c r="DF6" s="6" t="s">
        <v>137</v>
      </c>
      <c r="DG6" s="6" t="s">
        <v>137</v>
      </c>
      <c r="DH6" s="6" t="s">
        <v>137</v>
      </c>
      <c r="DI6" s="6" t="s">
        <v>137</v>
      </c>
      <c r="DJ6" s="6" t="s">
        <v>137</v>
      </c>
      <c r="DK6" s="6" t="s">
        <v>137</v>
      </c>
      <c r="DL6" s="6" t="s">
        <v>137</v>
      </c>
      <c r="DM6" s="6" t="s">
        <v>137</v>
      </c>
      <c r="DN6" s="6" t="s">
        <v>137</v>
      </c>
      <c r="DO6" s="6" t="s">
        <v>137</v>
      </c>
      <c r="DP6" s="6" t="s">
        <v>137</v>
      </c>
      <c r="DQ6" s="6" t="s">
        <v>137</v>
      </c>
      <c r="DR6" s="6" t="s">
        <v>137</v>
      </c>
      <c r="DS6" s="6" t="s">
        <v>137</v>
      </c>
      <c r="DT6" s="6" t="s">
        <v>137</v>
      </c>
      <c r="DU6" s="6" t="s">
        <v>137</v>
      </c>
      <c r="DV6" s="6" t="s">
        <v>137</v>
      </c>
      <c r="DW6" s="6" t="s">
        <v>137</v>
      </c>
      <c r="DX6" s="6" t="s">
        <v>137</v>
      </c>
      <c r="DY6" s="6" t="s">
        <v>137</v>
      </c>
      <c r="DZ6" s="6" t="s">
        <v>137</v>
      </c>
      <c r="EA6" s="6" t="s">
        <v>137</v>
      </c>
      <c r="EB6" s="6" t="s">
        <v>137</v>
      </c>
      <c r="EC6" s="6" t="s">
        <v>137</v>
      </c>
      <c r="ED6" s="6" t="s">
        <v>137</v>
      </c>
      <c r="EE6" s="6" t="s">
        <v>137</v>
      </c>
      <c r="EF6" s="6" t="s">
        <v>137</v>
      </c>
      <c r="EG6" s="6" t="s">
        <v>137</v>
      </c>
      <c r="EH6" s="6" t="s">
        <v>137</v>
      </c>
      <c r="EI6" s="6" t="s">
        <v>137</v>
      </c>
      <c r="EJ6" s="6" t="s">
        <v>137</v>
      </c>
      <c r="EK6" s="6" t="s">
        <v>137</v>
      </c>
      <c r="EL6" s="6" t="s">
        <v>137</v>
      </c>
      <c r="EM6" s="6" t="s">
        <v>137</v>
      </c>
      <c r="EN6" s="6" t="s">
        <v>137</v>
      </c>
      <c r="EO6" s="6" t="s">
        <v>137</v>
      </c>
      <c r="EP6" s="6" t="s">
        <v>137</v>
      </c>
      <c r="EQ6" s="6" t="s">
        <v>137</v>
      </c>
      <c r="ER6" s="6" t="s">
        <v>137</v>
      </c>
      <c r="ES6" s="6" t="s">
        <v>137</v>
      </c>
      <c r="ET6" s="6" t="s">
        <v>137</v>
      </c>
      <c r="EU6" s="6" t="s">
        <v>137</v>
      </c>
      <c r="EV6" s="6" t="s">
        <v>137</v>
      </c>
      <c r="EW6" s="6" t="s">
        <v>137</v>
      </c>
      <c r="EX6" s="6" t="s">
        <v>137</v>
      </c>
      <c r="EY6" s="6" t="s">
        <v>137</v>
      </c>
      <c r="EZ6" s="6" t="s">
        <v>137</v>
      </c>
      <c r="FA6" s="6" t="s">
        <v>137</v>
      </c>
      <c r="FB6" s="6" t="s">
        <v>137</v>
      </c>
      <c r="FC6" s="6" t="s">
        <v>137</v>
      </c>
      <c r="FD6" s="6" t="s">
        <v>137</v>
      </c>
      <c r="FE6" s="6" t="s">
        <v>137</v>
      </c>
      <c r="FF6" s="6" t="s">
        <v>137</v>
      </c>
    </row>
    <row r="7" spans="1:166" x14ac:dyDescent="0.25">
      <c r="A7" s="7" t="s">
        <v>138</v>
      </c>
      <c r="B7" s="7" t="s">
        <v>139</v>
      </c>
      <c r="C7" s="2" t="s">
        <v>140</v>
      </c>
      <c r="D7" s="2" t="s">
        <v>141</v>
      </c>
      <c r="E7" s="2" t="s">
        <v>142</v>
      </c>
      <c r="F7" s="2" t="s">
        <v>143</v>
      </c>
      <c r="I7" s="7" t="s">
        <v>138</v>
      </c>
      <c r="J7" s="7" t="s">
        <v>139</v>
      </c>
      <c r="K7" s="3" t="s">
        <v>144</v>
      </c>
      <c r="L7" s="3" t="s">
        <v>145</v>
      </c>
      <c r="M7" s="3" t="s">
        <v>141</v>
      </c>
      <c r="N7" s="3" t="s">
        <v>142</v>
      </c>
      <c r="O7" s="3" t="s">
        <v>143</v>
      </c>
      <c r="R7" s="7" t="s">
        <v>138</v>
      </c>
      <c r="S7" s="7" t="s">
        <v>139</v>
      </c>
      <c r="T7" s="4" t="s">
        <v>146</v>
      </c>
      <c r="U7" s="4" t="s">
        <v>147</v>
      </c>
      <c r="V7" s="4" t="s">
        <v>148</v>
      </c>
      <c r="W7" s="4" t="s">
        <v>141</v>
      </c>
      <c r="X7" s="4" t="s">
        <v>142</v>
      </c>
      <c r="Y7" s="4" t="s">
        <v>143</v>
      </c>
      <c r="AB7" s="7" t="s">
        <v>138</v>
      </c>
      <c r="AC7" s="7" t="s">
        <v>139</v>
      </c>
      <c r="AD7" s="5" t="s">
        <v>140</v>
      </c>
      <c r="AE7" s="5" t="s">
        <v>149</v>
      </c>
      <c r="AF7" s="5" t="s">
        <v>150</v>
      </c>
      <c r="AG7" s="5" t="s">
        <v>151</v>
      </c>
      <c r="AH7" s="5" t="s">
        <v>141</v>
      </c>
      <c r="AI7" s="5" t="s">
        <v>142</v>
      </c>
      <c r="AJ7" s="5" t="s">
        <v>143</v>
      </c>
      <c r="AM7" s="7" t="s">
        <v>138</v>
      </c>
      <c r="AN7" s="7" t="s">
        <v>139</v>
      </c>
      <c r="AO7" s="2" t="s">
        <v>152</v>
      </c>
      <c r="AP7" s="2" t="s">
        <v>153</v>
      </c>
      <c r="AQ7" s="2" t="s">
        <v>154</v>
      </c>
      <c r="AR7" s="2" t="s">
        <v>155</v>
      </c>
      <c r="AS7" s="2" t="s">
        <v>156</v>
      </c>
      <c r="AT7" s="2" t="s">
        <v>157</v>
      </c>
      <c r="AU7" s="2" t="s">
        <v>158</v>
      </c>
      <c r="AV7" s="2" t="s">
        <v>159</v>
      </c>
      <c r="AW7" s="2" t="s">
        <v>160</v>
      </c>
      <c r="AX7" s="2" t="s">
        <v>161</v>
      </c>
      <c r="AY7" s="2" t="s">
        <v>162</v>
      </c>
      <c r="AZ7" s="2" t="s">
        <v>163</v>
      </c>
      <c r="BA7" s="2" t="s">
        <v>164</v>
      </c>
      <c r="BB7" s="2" t="s">
        <v>165</v>
      </c>
      <c r="BC7" s="2" t="s">
        <v>166</v>
      </c>
      <c r="BD7" s="2" t="s">
        <v>167</v>
      </c>
      <c r="BE7" s="2" t="s">
        <v>168</v>
      </c>
      <c r="BF7" s="2" t="s">
        <v>169</v>
      </c>
      <c r="BG7" s="2" t="s">
        <v>170</v>
      </c>
      <c r="BH7" s="2" t="s">
        <v>171</v>
      </c>
      <c r="BI7" s="2" t="s">
        <v>172</v>
      </c>
      <c r="BJ7" s="2" t="s">
        <v>173</v>
      </c>
      <c r="BK7" s="2" t="s">
        <v>174</v>
      </c>
      <c r="BL7" s="2" t="s">
        <v>175</v>
      </c>
      <c r="BM7" s="2" t="s">
        <v>176</v>
      </c>
      <c r="BN7" s="2" t="s">
        <v>177</v>
      </c>
      <c r="BO7" s="2" t="s">
        <v>178</v>
      </c>
      <c r="BP7" s="2" t="s">
        <v>179</v>
      </c>
      <c r="BQ7" s="2" t="s">
        <v>180</v>
      </c>
      <c r="BR7" s="2" t="s">
        <v>181</v>
      </c>
      <c r="BS7" s="2" t="s">
        <v>182</v>
      </c>
      <c r="BT7" s="2" t="s">
        <v>183</v>
      </c>
      <c r="BU7" s="2" t="s">
        <v>184</v>
      </c>
      <c r="BV7" s="2" t="s">
        <v>185</v>
      </c>
      <c r="BW7" s="2" t="s">
        <v>186</v>
      </c>
      <c r="BX7" s="2" t="s">
        <v>187</v>
      </c>
      <c r="BY7" s="2" t="s">
        <v>188</v>
      </c>
      <c r="BZ7" s="2" t="s">
        <v>189</v>
      </c>
      <c r="CA7" s="2" t="s">
        <v>190</v>
      </c>
      <c r="CB7" s="2" t="s">
        <v>191</v>
      </c>
      <c r="CC7" s="2" t="s">
        <v>192</v>
      </c>
      <c r="CD7" s="2" t="s">
        <v>193</v>
      </c>
      <c r="CE7" s="2" t="s">
        <v>194</v>
      </c>
      <c r="CF7" s="2" t="s">
        <v>195</v>
      </c>
      <c r="CG7" s="2" t="s">
        <v>196</v>
      </c>
      <c r="CH7" s="2" t="s">
        <v>197</v>
      </c>
      <c r="CI7" s="2" t="s">
        <v>198</v>
      </c>
      <c r="CJ7" s="2" t="s">
        <v>199</v>
      </c>
      <c r="CK7" s="2" t="s">
        <v>200</v>
      </c>
      <c r="CL7" s="2" t="s">
        <v>201</v>
      </c>
      <c r="CM7" s="2" t="s">
        <v>202</v>
      </c>
      <c r="CN7" s="2" t="s">
        <v>203</v>
      </c>
      <c r="CO7" s="2" t="s">
        <v>204</v>
      </c>
      <c r="CP7" s="2" t="s">
        <v>205</v>
      </c>
      <c r="CQ7" s="2" t="s">
        <v>206</v>
      </c>
      <c r="CR7" s="2" t="s">
        <v>207</v>
      </c>
      <c r="CS7" s="2" t="s">
        <v>208</v>
      </c>
      <c r="CT7" s="2" t="s">
        <v>209</v>
      </c>
      <c r="CU7" s="2" t="s">
        <v>210</v>
      </c>
      <c r="CV7" s="2" t="s">
        <v>211</v>
      </c>
      <c r="CW7" s="2" t="s">
        <v>212</v>
      </c>
      <c r="CX7" s="2" t="s">
        <v>213</v>
      </c>
      <c r="CY7" s="2" t="s">
        <v>214</v>
      </c>
      <c r="CZ7" s="2" t="s">
        <v>215</v>
      </c>
      <c r="DA7" s="2" t="s">
        <v>216</v>
      </c>
      <c r="DB7" s="2" t="s">
        <v>217</v>
      </c>
      <c r="DC7" s="2" t="s">
        <v>218</v>
      </c>
      <c r="DD7" s="2" t="s">
        <v>219</v>
      </c>
      <c r="DE7" s="2" t="s">
        <v>220</v>
      </c>
      <c r="DF7" s="2" t="s">
        <v>221</v>
      </c>
      <c r="DG7" s="2" t="s">
        <v>222</v>
      </c>
      <c r="DH7" s="2" t="s">
        <v>223</v>
      </c>
      <c r="DI7" s="2" t="s">
        <v>224</v>
      </c>
      <c r="DJ7" s="2" t="s">
        <v>225</v>
      </c>
      <c r="DK7" s="2" t="s">
        <v>226</v>
      </c>
      <c r="DL7" s="2" t="s">
        <v>227</v>
      </c>
      <c r="DM7" s="2" t="s">
        <v>228</v>
      </c>
      <c r="DN7" s="2" t="s">
        <v>229</v>
      </c>
      <c r="DO7" s="2" t="s">
        <v>230</v>
      </c>
      <c r="DP7" s="2" t="s">
        <v>231</v>
      </c>
      <c r="DQ7" s="2" t="s">
        <v>232</v>
      </c>
      <c r="DR7" s="2" t="s">
        <v>233</v>
      </c>
      <c r="DS7" s="2" t="s">
        <v>234</v>
      </c>
      <c r="DT7" s="2" t="s">
        <v>235</v>
      </c>
      <c r="DU7" s="2" t="s">
        <v>236</v>
      </c>
      <c r="DV7" s="2" t="s">
        <v>237</v>
      </c>
      <c r="DW7" s="2" t="s">
        <v>238</v>
      </c>
      <c r="DX7" s="2" t="s">
        <v>239</v>
      </c>
      <c r="DY7" s="2" t="s">
        <v>240</v>
      </c>
      <c r="DZ7" s="2" t="s">
        <v>241</v>
      </c>
      <c r="EA7" s="2" t="s">
        <v>242</v>
      </c>
      <c r="EB7" s="2" t="s">
        <v>243</v>
      </c>
      <c r="EC7" s="2" t="s">
        <v>244</v>
      </c>
      <c r="ED7" s="2" t="s">
        <v>245</v>
      </c>
      <c r="EE7" s="2" t="s">
        <v>246</v>
      </c>
      <c r="EF7" s="2" t="s">
        <v>247</v>
      </c>
      <c r="EG7" s="2" t="s">
        <v>248</v>
      </c>
      <c r="EH7" s="2" t="s">
        <v>249</v>
      </c>
      <c r="EI7" s="2" t="s">
        <v>250</v>
      </c>
      <c r="EJ7" s="2" t="s">
        <v>251</v>
      </c>
      <c r="EK7" s="2" t="s">
        <v>252</v>
      </c>
      <c r="EL7" s="2" t="s">
        <v>253</v>
      </c>
      <c r="EM7" s="2" t="s">
        <v>254</v>
      </c>
      <c r="EN7" s="2" t="s">
        <v>255</v>
      </c>
      <c r="EO7" s="2" t="s">
        <v>256</v>
      </c>
      <c r="EP7" s="2" t="s">
        <v>257</v>
      </c>
      <c r="EQ7" s="2" t="s">
        <v>258</v>
      </c>
      <c r="ER7" s="2" t="s">
        <v>259</v>
      </c>
      <c r="ES7" s="2" t="s">
        <v>260</v>
      </c>
      <c r="ET7" s="2" t="s">
        <v>261</v>
      </c>
      <c r="EU7" s="2" t="s">
        <v>262</v>
      </c>
      <c r="EV7" s="2" t="s">
        <v>263</v>
      </c>
      <c r="EW7" s="2" t="s">
        <v>264</v>
      </c>
      <c r="EX7" s="2" t="s">
        <v>265</v>
      </c>
      <c r="EY7" s="2" t="s">
        <v>266</v>
      </c>
      <c r="EZ7" s="2" t="s">
        <v>267</v>
      </c>
      <c r="FA7" s="2" t="s">
        <v>268</v>
      </c>
      <c r="FB7" s="2" t="s">
        <v>269</v>
      </c>
      <c r="FC7" s="2" t="s">
        <v>270</v>
      </c>
      <c r="FD7" s="2" t="s">
        <v>271</v>
      </c>
      <c r="FE7" s="2" t="s">
        <v>272</v>
      </c>
      <c r="FF7" s="2" t="s">
        <v>273</v>
      </c>
      <c r="FG7" s="2" t="s">
        <v>141</v>
      </c>
      <c r="FH7" s="2" t="s">
        <v>142</v>
      </c>
      <c r="FI7" s="2" t="s">
        <v>143</v>
      </c>
    </row>
    <row r="8" spans="1:166" x14ac:dyDescent="0.25">
      <c r="A8" s="15" t="s">
        <v>274</v>
      </c>
      <c r="B8" s="7" t="s">
        <v>275</v>
      </c>
      <c r="C8" s="7">
        <v>0</v>
      </c>
      <c r="D8" s="7">
        <v>0</v>
      </c>
      <c r="E8" s="7">
        <f t="shared" ref="E8:E39" si="0">SUM(C8:D8)</f>
        <v>0</v>
      </c>
      <c r="F8" s="18">
        <f>SUM(E8:E11)</f>
        <v>0</v>
      </c>
      <c r="I8" s="15" t="s">
        <v>274</v>
      </c>
      <c r="J8" s="7" t="s">
        <v>275</v>
      </c>
      <c r="K8" s="7">
        <v>0</v>
      </c>
      <c r="L8" s="7">
        <v>0</v>
      </c>
      <c r="M8" s="7">
        <v>0</v>
      </c>
      <c r="N8" s="7">
        <f t="shared" ref="N8:N39" si="1">SUM(K8:M8)</f>
        <v>0</v>
      </c>
      <c r="O8" s="18">
        <f>SUM(N8:N11)</f>
        <v>0</v>
      </c>
      <c r="R8" s="15" t="s">
        <v>274</v>
      </c>
      <c r="S8" s="7" t="s">
        <v>275</v>
      </c>
      <c r="T8" s="7">
        <v>0</v>
      </c>
      <c r="U8" s="7">
        <v>0</v>
      </c>
      <c r="V8" s="7">
        <v>0</v>
      </c>
      <c r="W8" s="7">
        <v>0</v>
      </c>
      <c r="X8" s="7">
        <f t="shared" ref="X8:X39" si="2">SUM(T8:W8)</f>
        <v>0</v>
      </c>
      <c r="Y8" s="18">
        <f>SUM(X8:X11)</f>
        <v>0</v>
      </c>
      <c r="AB8" s="15" t="s">
        <v>274</v>
      </c>
      <c r="AC8" s="7" t="s">
        <v>275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f t="shared" ref="AI8:AI39" si="3">SUM(AD8:AH8)</f>
        <v>0</v>
      </c>
      <c r="AJ8" s="18">
        <f>SUM(AI8:AI11)</f>
        <v>0</v>
      </c>
      <c r="AM8" s="15" t="s">
        <v>274</v>
      </c>
      <c r="AN8" s="7" t="s">
        <v>275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v>0</v>
      </c>
      <c r="DL8" s="7">
        <v>0</v>
      </c>
      <c r="DM8" s="7">
        <v>0</v>
      </c>
      <c r="DN8" s="7">
        <v>0</v>
      </c>
      <c r="DO8" s="7">
        <v>0</v>
      </c>
      <c r="DP8" s="7">
        <v>0</v>
      </c>
      <c r="DQ8" s="7">
        <v>0</v>
      </c>
      <c r="DR8" s="7">
        <v>0</v>
      </c>
      <c r="DS8" s="7">
        <v>0</v>
      </c>
      <c r="DT8" s="7">
        <v>0</v>
      </c>
      <c r="DU8" s="7">
        <v>0</v>
      </c>
      <c r="DV8" s="7">
        <v>0</v>
      </c>
      <c r="DW8" s="7">
        <v>0</v>
      </c>
      <c r="DX8" s="7">
        <v>0</v>
      </c>
      <c r="DY8" s="7">
        <v>0</v>
      </c>
      <c r="DZ8" s="7">
        <v>0</v>
      </c>
      <c r="EA8" s="7">
        <v>0</v>
      </c>
      <c r="EB8" s="7">
        <v>0</v>
      </c>
      <c r="EC8" s="7">
        <v>0</v>
      </c>
      <c r="ED8" s="7">
        <v>0</v>
      </c>
      <c r="EE8" s="7">
        <v>0</v>
      </c>
      <c r="EF8" s="7">
        <v>0</v>
      </c>
      <c r="EG8" s="7">
        <v>0</v>
      </c>
      <c r="EH8" s="7">
        <v>0</v>
      </c>
      <c r="EI8" s="7">
        <v>0</v>
      </c>
      <c r="EJ8" s="7">
        <v>0</v>
      </c>
      <c r="EK8" s="7">
        <v>0</v>
      </c>
      <c r="EL8" s="7">
        <v>0</v>
      </c>
      <c r="EM8" s="7">
        <v>0</v>
      </c>
      <c r="EN8" s="7">
        <v>0</v>
      </c>
      <c r="EO8" s="7">
        <v>0</v>
      </c>
      <c r="EP8" s="7">
        <v>0</v>
      </c>
      <c r="EQ8" s="7">
        <v>0</v>
      </c>
      <c r="ER8" s="7">
        <v>0</v>
      </c>
      <c r="ES8" s="7">
        <v>0</v>
      </c>
      <c r="ET8" s="7">
        <v>0</v>
      </c>
      <c r="EU8" s="7">
        <v>0</v>
      </c>
      <c r="EV8" s="7">
        <v>0</v>
      </c>
      <c r="EW8" s="7">
        <v>0</v>
      </c>
      <c r="EX8" s="7">
        <v>0</v>
      </c>
      <c r="EY8" s="7">
        <v>0</v>
      </c>
      <c r="EZ8" s="7">
        <v>0</v>
      </c>
      <c r="FA8" s="7">
        <v>0</v>
      </c>
      <c r="FB8" s="7">
        <v>0</v>
      </c>
      <c r="FC8" s="7">
        <v>0</v>
      </c>
      <c r="FD8" s="7">
        <v>0</v>
      </c>
      <c r="FE8" s="7">
        <v>0</v>
      </c>
      <c r="FF8" s="7">
        <v>0</v>
      </c>
      <c r="FG8" s="7">
        <v>0</v>
      </c>
      <c r="FH8" s="7">
        <f t="shared" ref="FH8:FH39" si="4">SUM(AO8:FG8)</f>
        <v>0</v>
      </c>
      <c r="FI8" s="18">
        <f>SUM(FH8:FH11)</f>
        <v>0</v>
      </c>
    </row>
    <row r="9" spans="1:166" x14ac:dyDescent="0.25">
      <c r="A9" s="16"/>
      <c r="B9" s="7" t="s">
        <v>276</v>
      </c>
      <c r="C9" s="7">
        <v>0</v>
      </c>
      <c r="D9" s="7">
        <v>0</v>
      </c>
      <c r="E9" s="7">
        <f t="shared" si="0"/>
        <v>0</v>
      </c>
      <c r="F9" s="16"/>
      <c r="I9" s="16"/>
      <c r="J9" s="7" t="s">
        <v>276</v>
      </c>
      <c r="K9" s="7">
        <v>0</v>
      </c>
      <c r="L9" s="7">
        <v>0</v>
      </c>
      <c r="M9" s="7">
        <v>0</v>
      </c>
      <c r="N9" s="7">
        <f t="shared" si="1"/>
        <v>0</v>
      </c>
      <c r="O9" s="16"/>
      <c r="R9" s="16"/>
      <c r="S9" s="7" t="s">
        <v>276</v>
      </c>
      <c r="T9" s="7">
        <v>0</v>
      </c>
      <c r="U9" s="7">
        <v>0</v>
      </c>
      <c r="V9" s="7">
        <v>0</v>
      </c>
      <c r="W9" s="7">
        <v>0</v>
      </c>
      <c r="X9" s="7">
        <f t="shared" si="2"/>
        <v>0</v>
      </c>
      <c r="Y9" s="16"/>
      <c r="AB9" s="16"/>
      <c r="AC9" s="7" t="s">
        <v>276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f t="shared" si="3"/>
        <v>0</v>
      </c>
      <c r="AJ9" s="16"/>
      <c r="AM9" s="16"/>
      <c r="AN9" s="7" t="s">
        <v>276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0</v>
      </c>
      <c r="DJ9" s="7">
        <v>0</v>
      </c>
      <c r="DK9" s="7">
        <v>0</v>
      </c>
      <c r="DL9" s="7">
        <v>0</v>
      </c>
      <c r="DM9" s="7">
        <v>0</v>
      </c>
      <c r="DN9" s="7">
        <v>0</v>
      </c>
      <c r="DO9" s="7">
        <v>0</v>
      </c>
      <c r="DP9" s="7">
        <v>0</v>
      </c>
      <c r="DQ9" s="7">
        <v>0</v>
      </c>
      <c r="DR9" s="7">
        <v>0</v>
      </c>
      <c r="DS9" s="7">
        <v>0</v>
      </c>
      <c r="DT9" s="7">
        <v>0</v>
      </c>
      <c r="DU9" s="7">
        <v>0</v>
      </c>
      <c r="DV9" s="7">
        <v>0</v>
      </c>
      <c r="DW9" s="7">
        <v>0</v>
      </c>
      <c r="DX9" s="7">
        <v>0</v>
      </c>
      <c r="DY9" s="7">
        <v>0</v>
      </c>
      <c r="DZ9" s="7">
        <v>0</v>
      </c>
      <c r="EA9" s="7">
        <v>0</v>
      </c>
      <c r="EB9" s="7">
        <v>0</v>
      </c>
      <c r="EC9" s="7">
        <v>0</v>
      </c>
      <c r="ED9" s="7">
        <v>0</v>
      </c>
      <c r="EE9" s="7">
        <v>0</v>
      </c>
      <c r="EF9" s="7">
        <v>0</v>
      </c>
      <c r="EG9" s="7">
        <v>0</v>
      </c>
      <c r="EH9" s="7">
        <v>0</v>
      </c>
      <c r="EI9" s="7">
        <v>0</v>
      </c>
      <c r="EJ9" s="7">
        <v>0</v>
      </c>
      <c r="EK9" s="7">
        <v>0</v>
      </c>
      <c r="EL9" s="7">
        <v>0</v>
      </c>
      <c r="EM9" s="7">
        <v>0</v>
      </c>
      <c r="EN9" s="7">
        <v>0</v>
      </c>
      <c r="EO9" s="7">
        <v>0</v>
      </c>
      <c r="EP9" s="7">
        <v>0</v>
      </c>
      <c r="EQ9" s="7">
        <v>0</v>
      </c>
      <c r="ER9" s="7">
        <v>0</v>
      </c>
      <c r="ES9" s="7">
        <v>0</v>
      </c>
      <c r="ET9" s="7">
        <v>0</v>
      </c>
      <c r="EU9" s="7">
        <v>0</v>
      </c>
      <c r="EV9" s="7">
        <v>0</v>
      </c>
      <c r="EW9" s="7">
        <v>0</v>
      </c>
      <c r="EX9" s="7">
        <v>0</v>
      </c>
      <c r="EY9" s="7">
        <v>0</v>
      </c>
      <c r="EZ9" s="7">
        <v>0</v>
      </c>
      <c r="FA9" s="7">
        <v>0</v>
      </c>
      <c r="FB9" s="7">
        <v>0</v>
      </c>
      <c r="FC9" s="7">
        <v>0</v>
      </c>
      <c r="FD9" s="7">
        <v>0</v>
      </c>
      <c r="FE9" s="7">
        <v>0</v>
      </c>
      <c r="FF9" s="7">
        <v>0</v>
      </c>
      <c r="FG9" s="7">
        <v>0</v>
      </c>
      <c r="FH9" s="7">
        <f t="shared" si="4"/>
        <v>0</v>
      </c>
      <c r="FI9" s="16"/>
    </row>
    <row r="10" spans="1:166" x14ac:dyDescent="0.25">
      <c r="A10" s="16"/>
      <c r="B10" s="7" t="s">
        <v>277</v>
      </c>
      <c r="C10" s="7">
        <v>0</v>
      </c>
      <c r="D10" s="7">
        <v>0</v>
      </c>
      <c r="E10" s="7">
        <f t="shared" si="0"/>
        <v>0</v>
      </c>
      <c r="F10" s="16"/>
      <c r="I10" s="16"/>
      <c r="J10" s="7" t="s">
        <v>277</v>
      </c>
      <c r="K10" s="7">
        <v>0</v>
      </c>
      <c r="L10" s="7">
        <v>0</v>
      </c>
      <c r="M10" s="7">
        <v>0</v>
      </c>
      <c r="N10" s="7">
        <f t="shared" si="1"/>
        <v>0</v>
      </c>
      <c r="O10" s="16"/>
      <c r="R10" s="16"/>
      <c r="S10" s="7" t="s">
        <v>277</v>
      </c>
      <c r="T10" s="7">
        <v>0</v>
      </c>
      <c r="U10" s="7">
        <v>0</v>
      </c>
      <c r="V10" s="7">
        <v>0</v>
      </c>
      <c r="W10" s="7">
        <v>0</v>
      </c>
      <c r="X10" s="7">
        <f t="shared" si="2"/>
        <v>0</v>
      </c>
      <c r="Y10" s="16"/>
      <c r="AB10" s="16"/>
      <c r="AC10" s="7" t="s">
        <v>277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f t="shared" si="3"/>
        <v>0</v>
      </c>
      <c r="AJ10" s="16"/>
      <c r="AM10" s="16"/>
      <c r="AN10" s="7" t="s">
        <v>277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  <c r="DJ10" s="7">
        <v>0</v>
      </c>
      <c r="DK10" s="7">
        <v>0</v>
      </c>
      <c r="DL10" s="7">
        <v>0</v>
      </c>
      <c r="DM10" s="7">
        <v>0</v>
      </c>
      <c r="DN10" s="7">
        <v>0</v>
      </c>
      <c r="DO10" s="7">
        <v>0</v>
      </c>
      <c r="DP10" s="7">
        <v>0</v>
      </c>
      <c r="DQ10" s="7">
        <v>0</v>
      </c>
      <c r="DR10" s="7">
        <v>0</v>
      </c>
      <c r="DS10" s="7">
        <v>0</v>
      </c>
      <c r="DT10" s="7">
        <v>0</v>
      </c>
      <c r="DU10" s="7">
        <v>0</v>
      </c>
      <c r="DV10" s="7">
        <v>0</v>
      </c>
      <c r="DW10" s="7">
        <v>0</v>
      </c>
      <c r="DX10" s="7">
        <v>0</v>
      </c>
      <c r="DY10" s="7">
        <v>0</v>
      </c>
      <c r="DZ10" s="7">
        <v>0</v>
      </c>
      <c r="EA10" s="7">
        <v>0</v>
      </c>
      <c r="EB10" s="7">
        <v>0</v>
      </c>
      <c r="EC10" s="7">
        <v>0</v>
      </c>
      <c r="ED10" s="7">
        <v>0</v>
      </c>
      <c r="EE10" s="7">
        <v>0</v>
      </c>
      <c r="EF10" s="7">
        <v>0</v>
      </c>
      <c r="EG10" s="7">
        <v>0</v>
      </c>
      <c r="EH10" s="7">
        <v>0</v>
      </c>
      <c r="EI10" s="7">
        <v>0</v>
      </c>
      <c r="EJ10" s="7">
        <v>0</v>
      </c>
      <c r="EK10" s="7">
        <v>0</v>
      </c>
      <c r="EL10" s="7">
        <v>0</v>
      </c>
      <c r="EM10" s="7">
        <v>0</v>
      </c>
      <c r="EN10" s="7">
        <v>0</v>
      </c>
      <c r="EO10" s="7">
        <v>0</v>
      </c>
      <c r="EP10" s="7">
        <v>0</v>
      </c>
      <c r="EQ10" s="7">
        <v>0</v>
      </c>
      <c r="ER10" s="7">
        <v>0</v>
      </c>
      <c r="ES10" s="7">
        <v>0</v>
      </c>
      <c r="ET10" s="7">
        <v>0</v>
      </c>
      <c r="EU10" s="7">
        <v>0</v>
      </c>
      <c r="EV10" s="7">
        <v>0</v>
      </c>
      <c r="EW10" s="7">
        <v>0</v>
      </c>
      <c r="EX10" s="7">
        <v>0</v>
      </c>
      <c r="EY10" s="7">
        <v>0</v>
      </c>
      <c r="EZ10" s="7">
        <v>0</v>
      </c>
      <c r="FA10" s="7">
        <v>0</v>
      </c>
      <c r="FB10" s="7">
        <v>0</v>
      </c>
      <c r="FC10" s="7">
        <v>0</v>
      </c>
      <c r="FD10" s="7">
        <v>0</v>
      </c>
      <c r="FE10" s="7">
        <v>0</v>
      </c>
      <c r="FF10" s="7">
        <v>0</v>
      </c>
      <c r="FG10" s="7">
        <v>0</v>
      </c>
      <c r="FH10" s="7">
        <f t="shared" si="4"/>
        <v>0</v>
      </c>
      <c r="FI10" s="16"/>
    </row>
    <row r="11" spans="1:166" x14ac:dyDescent="0.25">
      <c r="A11" s="17"/>
      <c r="B11" s="7" t="s">
        <v>278</v>
      </c>
      <c r="C11" s="7">
        <v>0</v>
      </c>
      <c r="D11" s="7">
        <v>0</v>
      </c>
      <c r="E11" s="7">
        <f t="shared" si="0"/>
        <v>0</v>
      </c>
      <c r="F11" s="17"/>
      <c r="I11" s="17"/>
      <c r="J11" s="7" t="s">
        <v>278</v>
      </c>
      <c r="K11" s="7">
        <v>0</v>
      </c>
      <c r="L11" s="7">
        <v>0</v>
      </c>
      <c r="M11" s="7">
        <v>0</v>
      </c>
      <c r="N11" s="7">
        <f t="shared" si="1"/>
        <v>0</v>
      </c>
      <c r="O11" s="17"/>
      <c r="R11" s="17"/>
      <c r="S11" s="7" t="s">
        <v>278</v>
      </c>
      <c r="T11" s="7">
        <v>0</v>
      </c>
      <c r="U11" s="7">
        <v>0</v>
      </c>
      <c r="V11" s="7">
        <v>0</v>
      </c>
      <c r="W11" s="7">
        <v>0</v>
      </c>
      <c r="X11" s="7">
        <f t="shared" si="2"/>
        <v>0</v>
      </c>
      <c r="Y11" s="17"/>
      <c r="AB11" s="17"/>
      <c r="AC11" s="7" t="s">
        <v>278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f t="shared" si="3"/>
        <v>0</v>
      </c>
      <c r="AJ11" s="17"/>
      <c r="AM11" s="17"/>
      <c r="AN11" s="7" t="s">
        <v>278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7">
        <v>0</v>
      </c>
      <c r="CX11" s="7">
        <v>0</v>
      </c>
      <c r="CY11" s="7">
        <v>0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0</v>
      </c>
      <c r="DJ11" s="7">
        <v>0</v>
      </c>
      <c r="DK11" s="7">
        <v>0</v>
      </c>
      <c r="DL11" s="7">
        <v>0</v>
      </c>
      <c r="DM11" s="7">
        <v>0</v>
      </c>
      <c r="DN11" s="7">
        <v>0</v>
      </c>
      <c r="DO11" s="7">
        <v>0</v>
      </c>
      <c r="DP11" s="7">
        <v>0</v>
      </c>
      <c r="DQ11" s="7">
        <v>0</v>
      </c>
      <c r="DR11" s="7">
        <v>0</v>
      </c>
      <c r="DS11" s="7">
        <v>0</v>
      </c>
      <c r="DT11" s="7">
        <v>0</v>
      </c>
      <c r="DU11" s="7">
        <v>0</v>
      </c>
      <c r="DV11" s="7">
        <v>0</v>
      </c>
      <c r="DW11" s="7">
        <v>0</v>
      </c>
      <c r="DX11" s="7">
        <v>0</v>
      </c>
      <c r="DY11" s="7">
        <v>0</v>
      </c>
      <c r="DZ11" s="7">
        <v>0</v>
      </c>
      <c r="EA11" s="7">
        <v>0</v>
      </c>
      <c r="EB11" s="7">
        <v>0</v>
      </c>
      <c r="EC11" s="7">
        <v>0</v>
      </c>
      <c r="ED11" s="7">
        <v>0</v>
      </c>
      <c r="EE11" s="7">
        <v>0</v>
      </c>
      <c r="EF11" s="7">
        <v>0</v>
      </c>
      <c r="EG11" s="7">
        <v>0</v>
      </c>
      <c r="EH11" s="7">
        <v>0</v>
      </c>
      <c r="EI11" s="7">
        <v>0</v>
      </c>
      <c r="EJ11" s="7">
        <v>0</v>
      </c>
      <c r="EK11" s="7">
        <v>0</v>
      </c>
      <c r="EL11" s="7">
        <v>0</v>
      </c>
      <c r="EM11" s="7">
        <v>0</v>
      </c>
      <c r="EN11" s="7">
        <v>0</v>
      </c>
      <c r="EO11" s="7">
        <v>0</v>
      </c>
      <c r="EP11" s="7">
        <v>0</v>
      </c>
      <c r="EQ11" s="7">
        <v>0</v>
      </c>
      <c r="ER11" s="7">
        <v>0</v>
      </c>
      <c r="ES11" s="7">
        <v>0</v>
      </c>
      <c r="ET11" s="7">
        <v>0</v>
      </c>
      <c r="EU11" s="7">
        <v>0</v>
      </c>
      <c r="EV11" s="7">
        <v>0</v>
      </c>
      <c r="EW11" s="7">
        <v>0</v>
      </c>
      <c r="EX11" s="7">
        <v>0</v>
      </c>
      <c r="EY11" s="7">
        <v>0</v>
      </c>
      <c r="EZ11" s="7">
        <v>0</v>
      </c>
      <c r="FA11" s="7">
        <v>0</v>
      </c>
      <c r="FB11" s="7">
        <v>0</v>
      </c>
      <c r="FC11" s="7">
        <v>0</v>
      </c>
      <c r="FD11" s="7">
        <v>0</v>
      </c>
      <c r="FE11" s="7">
        <v>0</v>
      </c>
      <c r="FF11" s="7">
        <v>0</v>
      </c>
      <c r="FG11" s="7">
        <v>0</v>
      </c>
      <c r="FH11" s="7">
        <f t="shared" si="4"/>
        <v>0</v>
      </c>
      <c r="FI11" s="17"/>
    </row>
    <row r="12" spans="1:166" hidden="1" x14ac:dyDescent="0.25">
      <c r="A12" s="15" t="s">
        <v>279</v>
      </c>
      <c r="B12" s="7" t="s">
        <v>275</v>
      </c>
      <c r="C12" s="7">
        <v>0</v>
      </c>
      <c r="D12" s="7">
        <v>0</v>
      </c>
      <c r="E12" s="7">
        <f t="shared" si="0"/>
        <v>0</v>
      </c>
      <c r="F12" s="18">
        <f>SUM(E12:E15)</f>
        <v>0</v>
      </c>
      <c r="I12" s="15" t="s">
        <v>279</v>
      </c>
      <c r="J12" s="7" t="s">
        <v>275</v>
      </c>
      <c r="K12" s="7">
        <v>0</v>
      </c>
      <c r="L12" s="7">
        <v>0</v>
      </c>
      <c r="M12" s="7">
        <v>0</v>
      </c>
      <c r="N12" s="7">
        <f t="shared" si="1"/>
        <v>0</v>
      </c>
      <c r="O12" s="18">
        <f>SUM(N12:N15)</f>
        <v>0</v>
      </c>
      <c r="R12" s="15" t="s">
        <v>279</v>
      </c>
      <c r="S12" s="7" t="s">
        <v>275</v>
      </c>
      <c r="T12" s="7">
        <v>0</v>
      </c>
      <c r="U12" s="7">
        <v>0</v>
      </c>
      <c r="V12" s="7">
        <v>0</v>
      </c>
      <c r="W12" s="7">
        <v>0</v>
      </c>
      <c r="X12" s="7">
        <f t="shared" si="2"/>
        <v>0</v>
      </c>
      <c r="Y12" s="18">
        <f>SUM(X12:X15)</f>
        <v>0</v>
      </c>
      <c r="AB12" s="15" t="s">
        <v>279</v>
      </c>
      <c r="AC12" s="7" t="s">
        <v>275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f t="shared" si="3"/>
        <v>0</v>
      </c>
      <c r="AJ12" s="18">
        <f>SUM(AI12:AI15)</f>
        <v>0</v>
      </c>
      <c r="AM12" s="15" t="s">
        <v>279</v>
      </c>
      <c r="AN12" s="7" t="s">
        <v>275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7">
        <v>0</v>
      </c>
      <c r="CU12" s="7">
        <v>0</v>
      </c>
      <c r="CV12" s="7">
        <v>0</v>
      </c>
      <c r="CW12" s="7">
        <v>0</v>
      </c>
      <c r="CX12" s="7">
        <v>0</v>
      </c>
      <c r="CY12" s="7">
        <v>0</v>
      </c>
      <c r="CZ12" s="7">
        <v>0</v>
      </c>
      <c r="DA12" s="7">
        <v>0</v>
      </c>
      <c r="DB12" s="7">
        <v>0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  <c r="DH12" s="7">
        <v>0</v>
      </c>
      <c r="DI12" s="7">
        <v>0</v>
      </c>
      <c r="DJ12" s="7">
        <v>0</v>
      </c>
      <c r="DK12" s="7">
        <v>0</v>
      </c>
      <c r="DL12" s="7">
        <v>0</v>
      </c>
      <c r="DM12" s="7">
        <v>0</v>
      </c>
      <c r="DN12" s="7">
        <v>0</v>
      </c>
      <c r="DO12" s="7">
        <v>0</v>
      </c>
      <c r="DP12" s="7">
        <v>0</v>
      </c>
      <c r="DQ12" s="7">
        <v>0</v>
      </c>
      <c r="DR12" s="7">
        <v>0</v>
      </c>
      <c r="DS12" s="7">
        <v>0</v>
      </c>
      <c r="DT12" s="7">
        <v>0</v>
      </c>
      <c r="DU12" s="7">
        <v>0</v>
      </c>
      <c r="DV12" s="7">
        <v>0</v>
      </c>
      <c r="DW12" s="7">
        <v>0</v>
      </c>
      <c r="DX12" s="7">
        <v>0</v>
      </c>
      <c r="DY12" s="7">
        <v>0</v>
      </c>
      <c r="DZ12" s="7">
        <v>0</v>
      </c>
      <c r="EA12" s="7">
        <v>0</v>
      </c>
      <c r="EB12" s="7">
        <v>0</v>
      </c>
      <c r="EC12" s="7">
        <v>0</v>
      </c>
      <c r="ED12" s="7">
        <v>0</v>
      </c>
      <c r="EE12" s="7">
        <v>0</v>
      </c>
      <c r="EF12" s="7">
        <v>0</v>
      </c>
      <c r="EG12" s="7">
        <v>0</v>
      </c>
      <c r="EH12" s="7">
        <v>0</v>
      </c>
      <c r="EI12" s="7">
        <v>0</v>
      </c>
      <c r="EJ12" s="7">
        <v>0</v>
      </c>
      <c r="EK12" s="7">
        <v>0</v>
      </c>
      <c r="EL12" s="7">
        <v>0</v>
      </c>
      <c r="EM12" s="7">
        <v>0</v>
      </c>
      <c r="EN12" s="7">
        <v>0</v>
      </c>
      <c r="EO12" s="7">
        <v>0</v>
      </c>
      <c r="EP12" s="7">
        <v>0</v>
      </c>
      <c r="EQ12" s="7">
        <v>0</v>
      </c>
      <c r="ER12" s="7">
        <v>0</v>
      </c>
      <c r="ES12" s="7">
        <v>0</v>
      </c>
      <c r="ET12" s="7">
        <v>0</v>
      </c>
      <c r="EU12" s="7">
        <v>0</v>
      </c>
      <c r="EV12" s="7">
        <v>0</v>
      </c>
      <c r="EW12" s="7">
        <v>0</v>
      </c>
      <c r="EX12" s="7">
        <v>0</v>
      </c>
      <c r="EY12" s="7">
        <v>0</v>
      </c>
      <c r="EZ12" s="7">
        <v>0</v>
      </c>
      <c r="FA12" s="7">
        <v>0</v>
      </c>
      <c r="FB12" s="7">
        <v>0</v>
      </c>
      <c r="FC12" s="7">
        <v>0</v>
      </c>
      <c r="FD12" s="7">
        <v>0</v>
      </c>
      <c r="FE12" s="7">
        <v>0</v>
      </c>
      <c r="FF12" s="7">
        <v>0</v>
      </c>
      <c r="FG12" s="7">
        <v>0</v>
      </c>
      <c r="FH12" s="7">
        <f t="shared" si="4"/>
        <v>0</v>
      </c>
      <c r="FI12" s="18">
        <f>SUM(FH12:FH15)</f>
        <v>0</v>
      </c>
    </row>
    <row r="13" spans="1:166" hidden="1" x14ac:dyDescent="0.25">
      <c r="A13" s="16"/>
      <c r="B13" s="7" t="s">
        <v>276</v>
      </c>
      <c r="C13" s="7">
        <v>0</v>
      </c>
      <c r="D13" s="7">
        <v>0</v>
      </c>
      <c r="E13" s="7">
        <f t="shared" si="0"/>
        <v>0</v>
      </c>
      <c r="F13" s="16"/>
      <c r="I13" s="16"/>
      <c r="J13" s="7" t="s">
        <v>276</v>
      </c>
      <c r="K13" s="7">
        <v>0</v>
      </c>
      <c r="L13" s="7">
        <v>0</v>
      </c>
      <c r="M13" s="7">
        <v>0</v>
      </c>
      <c r="N13" s="7">
        <f t="shared" si="1"/>
        <v>0</v>
      </c>
      <c r="O13" s="16"/>
      <c r="R13" s="16"/>
      <c r="S13" s="7" t="s">
        <v>276</v>
      </c>
      <c r="T13" s="7">
        <v>0</v>
      </c>
      <c r="U13" s="7">
        <v>0</v>
      </c>
      <c r="V13" s="7">
        <v>0</v>
      </c>
      <c r="W13" s="7">
        <v>0</v>
      </c>
      <c r="X13" s="7">
        <f t="shared" si="2"/>
        <v>0</v>
      </c>
      <c r="Y13" s="16"/>
      <c r="AB13" s="16"/>
      <c r="AC13" s="7" t="s">
        <v>276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f t="shared" si="3"/>
        <v>0</v>
      </c>
      <c r="AJ13" s="16"/>
      <c r="AM13" s="16"/>
      <c r="AN13" s="7" t="s">
        <v>276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0</v>
      </c>
      <c r="DZ13" s="7">
        <v>0</v>
      </c>
      <c r="EA13" s="7">
        <v>0</v>
      </c>
      <c r="EB13" s="7">
        <v>0</v>
      </c>
      <c r="EC13" s="7">
        <v>0</v>
      </c>
      <c r="ED13" s="7">
        <v>0</v>
      </c>
      <c r="EE13" s="7">
        <v>0</v>
      </c>
      <c r="EF13" s="7">
        <v>0</v>
      </c>
      <c r="EG13" s="7">
        <v>0</v>
      </c>
      <c r="EH13" s="7">
        <v>0</v>
      </c>
      <c r="EI13" s="7">
        <v>0</v>
      </c>
      <c r="EJ13" s="7">
        <v>0</v>
      </c>
      <c r="EK13" s="7">
        <v>0</v>
      </c>
      <c r="EL13" s="7">
        <v>0</v>
      </c>
      <c r="EM13" s="7">
        <v>0</v>
      </c>
      <c r="EN13" s="7">
        <v>0</v>
      </c>
      <c r="EO13" s="7">
        <v>0</v>
      </c>
      <c r="EP13" s="7">
        <v>0</v>
      </c>
      <c r="EQ13" s="7">
        <v>0</v>
      </c>
      <c r="ER13" s="7">
        <v>0</v>
      </c>
      <c r="ES13" s="7">
        <v>0</v>
      </c>
      <c r="ET13" s="7">
        <v>0</v>
      </c>
      <c r="EU13" s="7">
        <v>0</v>
      </c>
      <c r="EV13" s="7">
        <v>0</v>
      </c>
      <c r="EW13" s="7">
        <v>0</v>
      </c>
      <c r="EX13" s="7">
        <v>0</v>
      </c>
      <c r="EY13" s="7">
        <v>0</v>
      </c>
      <c r="EZ13" s="7">
        <v>0</v>
      </c>
      <c r="FA13" s="7">
        <v>0</v>
      </c>
      <c r="FB13" s="7">
        <v>0</v>
      </c>
      <c r="FC13" s="7">
        <v>0</v>
      </c>
      <c r="FD13" s="7">
        <v>0</v>
      </c>
      <c r="FE13" s="7">
        <v>0</v>
      </c>
      <c r="FF13" s="7">
        <v>0</v>
      </c>
      <c r="FG13" s="7">
        <v>0</v>
      </c>
      <c r="FH13" s="7">
        <f t="shared" si="4"/>
        <v>0</v>
      </c>
      <c r="FI13" s="16"/>
    </row>
    <row r="14" spans="1:166" hidden="1" x14ac:dyDescent="0.25">
      <c r="A14" s="16"/>
      <c r="B14" s="7" t="s">
        <v>277</v>
      </c>
      <c r="C14" s="7">
        <v>0</v>
      </c>
      <c r="D14" s="7">
        <v>0</v>
      </c>
      <c r="E14" s="7">
        <f t="shared" si="0"/>
        <v>0</v>
      </c>
      <c r="F14" s="16"/>
      <c r="I14" s="16"/>
      <c r="J14" s="7" t="s">
        <v>277</v>
      </c>
      <c r="K14" s="7">
        <v>0</v>
      </c>
      <c r="L14" s="7">
        <v>0</v>
      </c>
      <c r="M14" s="7">
        <v>0</v>
      </c>
      <c r="N14" s="7">
        <f t="shared" si="1"/>
        <v>0</v>
      </c>
      <c r="O14" s="16"/>
      <c r="R14" s="16"/>
      <c r="S14" s="7" t="s">
        <v>277</v>
      </c>
      <c r="T14" s="7">
        <v>0</v>
      </c>
      <c r="U14" s="7">
        <v>0</v>
      </c>
      <c r="V14" s="7">
        <v>0</v>
      </c>
      <c r="W14" s="7">
        <v>0</v>
      </c>
      <c r="X14" s="7">
        <f t="shared" si="2"/>
        <v>0</v>
      </c>
      <c r="Y14" s="16"/>
      <c r="AB14" s="16"/>
      <c r="AC14" s="7" t="s">
        <v>277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f t="shared" si="3"/>
        <v>0</v>
      </c>
      <c r="AJ14" s="16"/>
      <c r="AM14" s="16"/>
      <c r="AN14" s="7" t="s">
        <v>277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  <c r="CF14" s="7">
        <v>0</v>
      </c>
      <c r="CG14" s="7">
        <v>0</v>
      </c>
      <c r="CH14" s="7">
        <v>0</v>
      </c>
      <c r="CI14" s="7">
        <v>0</v>
      </c>
      <c r="CJ14" s="7">
        <v>0</v>
      </c>
      <c r="CK14" s="7">
        <v>0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  <c r="CQ14" s="7">
        <v>0</v>
      </c>
      <c r="CR14" s="7">
        <v>0</v>
      </c>
      <c r="CS14" s="7">
        <v>0</v>
      </c>
      <c r="CT14" s="7">
        <v>0</v>
      </c>
      <c r="CU14" s="7">
        <v>0</v>
      </c>
      <c r="CV14" s="7">
        <v>0</v>
      </c>
      <c r="CW14" s="7">
        <v>0</v>
      </c>
      <c r="CX14" s="7">
        <v>0</v>
      </c>
      <c r="CY14" s="7">
        <v>0</v>
      </c>
      <c r="CZ14" s="7">
        <v>0</v>
      </c>
      <c r="DA14" s="7">
        <v>0</v>
      </c>
      <c r="DB14" s="7">
        <v>0</v>
      </c>
      <c r="DC14" s="7">
        <v>0</v>
      </c>
      <c r="DD14" s="7">
        <v>0</v>
      </c>
      <c r="DE14" s="7">
        <v>0</v>
      </c>
      <c r="DF14" s="7">
        <v>0</v>
      </c>
      <c r="DG14" s="7">
        <v>0</v>
      </c>
      <c r="DH14" s="7">
        <v>0</v>
      </c>
      <c r="DI14" s="7">
        <v>0</v>
      </c>
      <c r="DJ14" s="7">
        <v>0</v>
      </c>
      <c r="DK14" s="7">
        <v>0</v>
      </c>
      <c r="DL14" s="7">
        <v>0</v>
      </c>
      <c r="DM14" s="7">
        <v>0</v>
      </c>
      <c r="DN14" s="7">
        <v>0</v>
      </c>
      <c r="DO14" s="7">
        <v>0</v>
      </c>
      <c r="DP14" s="7">
        <v>0</v>
      </c>
      <c r="DQ14" s="7">
        <v>0</v>
      </c>
      <c r="DR14" s="7">
        <v>0</v>
      </c>
      <c r="DS14" s="7">
        <v>0</v>
      </c>
      <c r="DT14" s="7">
        <v>0</v>
      </c>
      <c r="DU14" s="7">
        <v>0</v>
      </c>
      <c r="DV14" s="7">
        <v>0</v>
      </c>
      <c r="DW14" s="7">
        <v>0</v>
      </c>
      <c r="DX14" s="7">
        <v>0</v>
      </c>
      <c r="DY14" s="7">
        <v>0</v>
      </c>
      <c r="DZ14" s="7">
        <v>0</v>
      </c>
      <c r="EA14" s="7">
        <v>0</v>
      </c>
      <c r="EB14" s="7">
        <v>0</v>
      </c>
      <c r="EC14" s="7">
        <v>0</v>
      </c>
      <c r="ED14" s="7">
        <v>0</v>
      </c>
      <c r="EE14" s="7">
        <v>0</v>
      </c>
      <c r="EF14" s="7">
        <v>0</v>
      </c>
      <c r="EG14" s="7">
        <v>0</v>
      </c>
      <c r="EH14" s="7">
        <v>0</v>
      </c>
      <c r="EI14" s="7">
        <v>0</v>
      </c>
      <c r="EJ14" s="7">
        <v>0</v>
      </c>
      <c r="EK14" s="7">
        <v>0</v>
      </c>
      <c r="EL14" s="7">
        <v>0</v>
      </c>
      <c r="EM14" s="7">
        <v>0</v>
      </c>
      <c r="EN14" s="7">
        <v>0</v>
      </c>
      <c r="EO14" s="7">
        <v>0</v>
      </c>
      <c r="EP14" s="7">
        <v>0</v>
      </c>
      <c r="EQ14" s="7">
        <v>0</v>
      </c>
      <c r="ER14" s="7">
        <v>0</v>
      </c>
      <c r="ES14" s="7">
        <v>0</v>
      </c>
      <c r="ET14" s="7">
        <v>0</v>
      </c>
      <c r="EU14" s="7">
        <v>0</v>
      </c>
      <c r="EV14" s="7">
        <v>0</v>
      </c>
      <c r="EW14" s="7">
        <v>0</v>
      </c>
      <c r="EX14" s="7">
        <v>0</v>
      </c>
      <c r="EY14" s="7">
        <v>0</v>
      </c>
      <c r="EZ14" s="7">
        <v>0</v>
      </c>
      <c r="FA14" s="7">
        <v>0</v>
      </c>
      <c r="FB14" s="7">
        <v>0</v>
      </c>
      <c r="FC14" s="7">
        <v>0</v>
      </c>
      <c r="FD14" s="7">
        <v>0</v>
      </c>
      <c r="FE14" s="7">
        <v>0</v>
      </c>
      <c r="FF14" s="7">
        <v>0</v>
      </c>
      <c r="FG14" s="7">
        <v>0</v>
      </c>
      <c r="FH14" s="7">
        <f t="shared" si="4"/>
        <v>0</v>
      </c>
      <c r="FI14" s="16"/>
    </row>
    <row r="15" spans="1:166" hidden="1" x14ac:dyDescent="0.25">
      <c r="A15" s="17"/>
      <c r="B15" s="7" t="s">
        <v>278</v>
      </c>
      <c r="C15" s="7">
        <v>0</v>
      </c>
      <c r="D15" s="7">
        <v>0</v>
      </c>
      <c r="E15" s="7">
        <f t="shared" si="0"/>
        <v>0</v>
      </c>
      <c r="F15" s="17"/>
      <c r="I15" s="17"/>
      <c r="J15" s="7" t="s">
        <v>278</v>
      </c>
      <c r="K15" s="7">
        <v>0</v>
      </c>
      <c r="L15" s="7">
        <v>0</v>
      </c>
      <c r="M15" s="7">
        <v>0</v>
      </c>
      <c r="N15" s="7">
        <f t="shared" si="1"/>
        <v>0</v>
      </c>
      <c r="O15" s="17"/>
      <c r="R15" s="17"/>
      <c r="S15" s="7" t="s">
        <v>278</v>
      </c>
      <c r="T15" s="7">
        <v>0</v>
      </c>
      <c r="U15" s="7">
        <v>0</v>
      </c>
      <c r="V15" s="7">
        <v>0</v>
      </c>
      <c r="W15" s="7">
        <v>0</v>
      </c>
      <c r="X15" s="7">
        <f t="shared" si="2"/>
        <v>0</v>
      </c>
      <c r="Y15" s="17"/>
      <c r="AB15" s="17"/>
      <c r="AC15" s="7" t="s">
        <v>278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f t="shared" si="3"/>
        <v>0</v>
      </c>
      <c r="AJ15" s="17"/>
      <c r="AM15" s="17"/>
      <c r="AN15" s="7" t="s">
        <v>278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0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</v>
      </c>
      <c r="CR15" s="7">
        <v>0</v>
      </c>
      <c r="CS15" s="7">
        <v>0</v>
      </c>
      <c r="CT15" s="7">
        <v>0</v>
      </c>
      <c r="CU15" s="7">
        <v>0</v>
      </c>
      <c r="CV15" s="7">
        <v>0</v>
      </c>
      <c r="CW15" s="7">
        <v>0</v>
      </c>
      <c r="CX15" s="7">
        <v>0</v>
      </c>
      <c r="CY15" s="7">
        <v>0</v>
      </c>
      <c r="CZ15" s="7">
        <v>0</v>
      </c>
      <c r="DA15" s="7">
        <v>0</v>
      </c>
      <c r="DB15" s="7">
        <v>0</v>
      </c>
      <c r="DC15" s="7">
        <v>0</v>
      </c>
      <c r="DD15" s="7">
        <v>0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7">
        <v>0</v>
      </c>
      <c r="EA15" s="7">
        <v>0</v>
      </c>
      <c r="EB15" s="7">
        <v>0</v>
      </c>
      <c r="EC15" s="7">
        <v>0</v>
      </c>
      <c r="ED15" s="7">
        <v>0</v>
      </c>
      <c r="EE15" s="7">
        <v>0</v>
      </c>
      <c r="EF15" s="7">
        <v>0</v>
      </c>
      <c r="EG15" s="7">
        <v>0</v>
      </c>
      <c r="EH15" s="7">
        <v>0</v>
      </c>
      <c r="EI15" s="7">
        <v>0</v>
      </c>
      <c r="EJ15" s="7">
        <v>0</v>
      </c>
      <c r="EK15" s="7">
        <v>0</v>
      </c>
      <c r="EL15" s="7">
        <v>0</v>
      </c>
      <c r="EM15" s="7">
        <v>0</v>
      </c>
      <c r="EN15" s="7">
        <v>0</v>
      </c>
      <c r="EO15" s="7">
        <v>0</v>
      </c>
      <c r="EP15" s="7">
        <v>0</v>
      </c>
      <c r="EQ15" s="7">
        <v>0</v>
      </c>
      <c r="ER15" s="7">
        <v>0</v>
      </c>
      <c r="ES15" s="7">
        <v>0</v>
      </c>
      <c r="ET15" s="7">
        <v>0</v>
      </c>
      <c r="EU15" s="7">
        <v>0</v>
      </c>
      <c r="EV15" s="7">
        <v>0</v>
      </c>
      <c r="EW15" s="7">
        <v>0</v>
      </c>
      <c r="EX15" s="7">
        <v>0</v>
      </c>
      <c r="EY15" s="7">
        <v>0</v>
      </c>
      <c r="EZ15" s="7">
        <v>0</v>
      </c>
      <c r="FA15" s="7">
        <v>0</v>
      </c>
      <c r="FB15" s="7">
        <v>0</v>
      </c>
      <c r="FC15" s="7">
        <v>0</v>
      </c>
      <c r="FD15" s="7">
        <v>0</v>
      </c>
      <c r="FE15" s="7">
        <v>0</v>
      </c>
      <c r="FF15" s="7">
        <v>0</v>
      </c>
      <c r="FG15" s="7">
        <v>0</v>
      </c>
      <c r="FH15" s="7">
        <f t="shared" si="4"/>
        <v>0</v>
      </c>
      <c r="FI15" s="17"/>
    </row>
    <row r="16" spans="1:166" hidden="1" x14ac:dyDescent="0.25">
      <c r="A16" s="15" t="s">
        <v>280</v>
      </c>
      <c r="B16" s="7" t="s">
        <v>275</v>
      </c>
      <c r="C16" s="7">
        <v>0</v>
      </c>
      <c r="D16" s="7">
        <v>0</v>
      </c>
      <c r="E16" s="7">
        <f t="shared" si="0"/>
        <v>0</v>
      </c>
      <c r="F16" s="18">
        <f>SUM(E16:E19)</f>
        <v>0</v>
      </c>
      <c r="I16" s="15" t="s">
        <v>280</v>
      </c>
      <c r="J16" s="7" t="s">
        <v>275</v>
      </c>
      <c r="K16" s="7">
        <v>0</v>
      </c>
      <c r="L16" s="7">
        <v>0</v>
      </c>
      <c r="M16" s="7">
        <v>0</v>
      </c>
      <c r="N16" s="7">
        <f t="shared" si="1"/>
        <v>0</v>
      </c>
      <c r="O16" s="18">
        <f>SUM(N16:N19)</f>
        <v>0</v>
      </c>
      <c r="R16" s="15" t="s">
        <v>280</v>
      </c>
      <c r="S16" s="7" t="s">
        <v>275</v>
      </c>
      <c r="T16" s="7">
        <v>0</v>
      </c>
      <c r="U16" s="7">
        <v>0</v>
      </c>
      <c r="V16" s="7">
        <v>0</v>
      </c>
      <c r="W16" s="7">
        <v>0</v>
      </c>
      <c r="X16" s="7">
        <f t="shared" si="2"/>
        <v>0</v>
      </c>
      <c r="Y16" s="18">
        <f>SUM(X16:X19)</f>
        <v>0</v>
      </c>
      <c r="AB16" s="15" t="s">
        <v>280</v>
      </c>
      <c r="AC16" s="7" t="s">
        <v>275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f t="shared" si="3"/>
        <v>0</v>
      </c>
      <c r="AJ16" s="18">
        <f>SUM(AI16:AI19)</f>
        <v>0</v>
      </c>
      <c r="AM16" s="15" t="s">
        <v>280</v>
      </c>
      <c r="AN16" s="7" t="s">
        <v>275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0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0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7">
        <v>0</v>
      </c>
      <c r="CU16" s="7">
        <v>0</v>
      </c>
      <c r="CV16" s="7">
        <v>0</v>
      </c>
      <c r="CW16" s="7">
        <v>0</v>
      </c>
      <c r="CX16" s="7">
        <v>0</v>
      </c>
      <c r="CY16" s="7">
        <v>0</v>
      </c>
      <c r="CZ16" s="7">
        <v>0</v>
      </c>
      <c r="DA16" s="7">
        <v>0</v>
      </c>
      <c r="DB16" s="7">
        <v>0</v>
      </c>
      <c r="DC16" s="7">
        <v>0</v>
      </c>
      <c r="DD16" s="7">
        <v>0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v>0</v>
      </c>
      <c r="DL16" s="7">
        <v>0</v>
      </c>
      <c r="DM16" s="7">
        <v>0</v>
      </c>
      <c r="DN16" s="7">
        <v>0</v>
      </c>
      <c r="DO16" s="7">
        <v>0</v>
      </c>
      <c r="DP16" s="7">
        <v>0</v>
      </c>
      <c r="DQ16" s="7">
        <v>0</v>
      </c>
      <c r="DR16" s="7">
        <v>0</v>
      </c>
      <c r="DS16" s="7">
        <v>0</v>
      </c>
      <c r="DT16" s="7">
        <v>0</v>
      </c>
      <c r="DU16" s="7">
        <v>0</v>
      </c>
      <c r="DV16" s="7">
        <v>0</v>
      </c>
      <c r="DW16" s="7">
        <v>0</v>
      </c>
      <c r="DX16" s="7">
        <v>0</v>
      </c>
      <c r="DY16" s="7">
        <v>0</v>
      </c>
      <c r="DZ16" s="7">
        <v>0</v>
      </c>
      <c r="EA16" s="7">
        <v>0</v>
      </c>
      <c r="EB16" s="7">
        <v>0</v>
      </c>
      <c r="EC16" s="7">
        <v>0</v>
      </c>
      <c r="ED16" s="7">
        <v>0</v>
      </c>
      <c r="EE16" s="7">
        <v>0</v>
      </c>
      <c r="EF16" s="7">
        <v>0</v>
      </c>
      <c r="EG16" s="7">
        <v>0</v>
      </c>
      <c r="EH16" s="7">
        <v>0</v>
      </c>
      <c r="EI16" s="7">
        <v>0</v>
      </c>
      <c r="EJ16" s="7">
        <v>0</v>
      </c>
      <c r="EK16" s="7">
        <v>0</v>
      </c>
      <c r="EL16" s="7">
        <v>0</v>
      </c>
      <c r="EM16" s="7">
        <v>0</v>
      </c>
      <c r="EN16" s="7">
        <v>0</v>
      </c>
      <c r="EO16" s="7">
        <v>0</v>
      </c>
      <c r="EP16" s="7">
        <v>0</v>
      </c>
      <c r="EQ16" s="7">
        <v>0</v>
      </c>
      <c r="ER16" s="7">
        <v>0</v>
      </c>
      <c r="ES16" s="7">
        <v>0</v>
      </c>
      <c r="ET16" s="7">
        <v>0</v>
      </c>
      <c r="EU16" s="7">
        <v>0</v>
      </c>
      <c r="EV16" s="7">
        <v>0</v>
      </c>
      <c r="EW16" s="7">
        <v>0</v>
      </c>
      <c r="EX16" s="7">
        <v>0</v>
      </c>
      <c r="EY16" s="7">
        <v>0</v>
      </c>
      <c r="EZ16" s="7">
        <v>0</v>
      </c>
      <c r="FA16" s="7">
        <v>0</v>
      </c>
      <c r="FB16" s="7">
        <v>0</v>
      </c>
      <c r="FC16" s="7">
        <v>0</v>
      </c>
      <c r="FD16" s="7">
        <v>0</v>
      </c>
      <c r="FE16" s="7">
        <v>0</v>
      </c>
      <c r="FF16" s="7">
        <v>0</v>
      </c>
      <c r="FG16" s="7">
        <v>0</v>
      </c>
      <c r="FH16" s="7">
        <f t="shared" si="4"/>
        <v>0</v>
      </c>
      <c r="FI16" s="18">
        <f>SUM(FH16:FH19)</f>
        <v>0</v>
      </c>
    </row>
    <row r="17" spans="1:165" hidden="1" x14ac:dyDescent="0.25">
      <c r="A17" s="16"/>
      <c r="B17" s="7" t="s">
        <v>276</v>
      </c>
      <c r="C17" s="7">
        <v>0</v>
      </c>
      <c r="D17" s="7">
        <v>0</v>
      </c>
      <c r="E17" s="7">
        <f t="shared" si="0"/>
        <v>0</v>
      </c>
      <c r="F17" s="16"/>
      <c r="I17" s="16"/>
      <c r="J17" s="7" t="s">
        <v>276</v>
      </c>
      <c r="K17" s="7">
        <v>0</v>
      </c>
      <c r="L17" s="7">
        <v>0</v>
      </c>
      <c r="M17" s="7">
        <v>0</v>
      </c>
      <c r="N17" s="7">
        <f t="shared" si="1"/>
        <v>0</v>
      </c>
      <c r="O17" s="16"/>
      <c r="R17" s="16"/>
      <c r="S17" s="7" t="s">
        <v>276</v>
      </c>
      <c r="T17" s="7">
        <v>0</v>
      </c>
      <c r="U17" s="7">
        <v>0</v>
      </c>
      <c r="V17" s="7">
        <v>0</v>
      </c>
      <c r="W17" s="7">
        <v>0</v>
      </c>
      <c r="X17" s="7">
        <f t="shared" si="2"/>
        <v>0</v>
      </c>
      <c r="Y17" s="16"/>
      <c r="AB17" s="16"/>
      <c r="AC17" s="7" t="s">
        <v>276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f t="shared" si="3"/>
        <v>0</v>
      </c>
      <c r="AJ17" s="16"/>
      <c r="AM17" s="16"/>
      <c r="AN17" s="7" t="s">
        <v>276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v>0</v>
      </c>
      <c r="DT17" s="7"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  <c r="EA17" s="7">
        <v>0</v>
      </c>
      <c r="EB17" s="7">
        <v>0</v>
      </c>
      <c r="EC17" s="7">
        <v>0</v>
      </c>
      <c r="ED17" s="7">
        <v>0</v>
      </c>
      <c r="EE17" s="7">
        <v>0</v>
      </c>
      <c r="EF17" s="7">
        <v>0</v>
      </c>
      <c r="EG17" s="7">
        <v>0</v>
      </c>
      <c r="EH17" s="7">
        <v>0</v>
      </c>
      <c r="EI17" s="7">
        <v>0</v>
      </c>
      <c r="EJ17" s="7">
        <v>0</v>
      </c>
      <c r="EK17" s="7">
        <v>0</v>
      </c>
      <c r="EL17" s="7">
        <v>0</v>
      </c>
      <c r="EM17" s="7">
        <v>0</v>
      </c>
      <c r="EN17" s="7">
        <v>0</v>
      </c>
      <c r="EO17" s="7">
        <v>0</v>
      </c>
      <c r="EP17" s="7">
        <v>0</v>
      </c>
      <c r="EQ17" s="7">
        <v>0</v>
      </c>
      <c r="ER17" s="7">
        <v>0</v>
      </c>
      <c r="ES17" s="7">
        <v>0</v>
      </c>
      <c r="ET17" s="7">
        <v>0</v>
      </c>
      <c r="EU17" s="7">
        <v>0</v>
      </c>
      <c r="EV17" s="7">
        <v>0</v>
      </c>
      <c r="EW17" s="7">
        <v>0</v>
      </c>
      <c r="EX17" s="7">
        <v>0</v>
      </c>
      <c r="EY17" s="7">
        <v>0</v>
      </c>
      <c r="EZ17" s="7">
        <v>0</v>
      </c>
      <c r="FA17" s="7">
        <v>0</v>
      </c>
      <c r="FB17" s="7">
        <v>0</v>
      </c>
      <c r="FC17" s="7">
        <v>0</v>
      </c>
      <c r="FD17" s="7">
        <v>0</v>
      </c>
      <c r="FE17" s="7">
        <v>0</v>
      </c>
      <c r="FF17" s="7">
        <v>0</v>
      </c>
      <c r="FG17" s="7">
        <v>0</v>
      </c>
      <c r="FH17" s="7">
        <f t="shared" si="4"/>
        <v>0</v>
      </c>
      <c r="FI17" s="16"/>
    </row>
    <row r="18" spans="1:165" hidden="1" x14ac:dyDescent="0.25">
      <c r="A18" s="16"/>
      <c r="B18" s="7" t="s">
        <v>277</v>
      </c>
      <c r="C18" s="7">
        <v>0</v>
      </c>
      <c r="D18" s="7">
        <v>0</v>
      </c>
      <c r="E18" s="7">
        <f t="shared" si="0"/>
        <v>0</v>
      </c>
      <c r="F18" s="16"/>
      <c r="I18" s="16"/>
      <c r="J18" s="7" t="s">
        <v>277</v>
      </c>
      <c r="K18" s="7">
        <v>0</v>
      </c>
      <c r="L18" s="7">
        <v>0</v>
      </c>
      <c r="M18" s="7">
        <v>0</v>
      </c>
      <c r="N18" s="7">
        <f t="shared" si="1"/>
        <v>0</v>
      </c>
      <c r="O18" s="16"/>
      <c r="R18" s="16"/>
      <c r="S18" s="7" t="s">
        <v>277</v>
      </c>
      <c r="T18" s="7">
        <v>0</v>
      </c>
      <c r="U18" s="7">
        <v>0</v>
      </c>
      <c r="V18" s="7">
        <v>0</v>
      </c>
      <c r="W18" s="7">
        <v>0</v>
      </c>
      <c r="X18" s="7">
        <f t="shared" si="2"/>
        <v>0</v>
      </c>
      <c r="Y18" s="16"/>
      <c r="AB18" s="16"/>
      <c r="AC18" s="7" t="s">
        <v>277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f t="shared" si="3"/>
        <v>0</v>
      </c>
      <c r="AJ18" s="16"/>
      <c r="AM18" s="16"/>
      <c r="AN18" s="7" t="s">
        <v>277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0</v>
      </c>
      <c r="CD18" s="7">
        <v>0</v>
      </c>
      <c r="CE18" s="7">
        <v>0</v>
      </c>
      <c r="CF18" s="7">
        <v>0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7">
        <v>0</v>
      </c>
      <c r="CS18" s="7">
        <v>0</v>
      </c>
      <c r="CT18" s="7">
        <v>0</v>
      </c>
      <c r="CU18" s="7">
        <v>0</v>
      </c>
      <c r="CV18" s="7">
        <v>0</v>
      </c>
      <c r="CW18" s="7">
        <v>0</v>
      </c>
      <c r="CX18" s="7">
        <v>0</v>
      </c>
      <c r="CY18" s="7">
        <v>0</v>
      </c>
      <c r="CZ18" s="7">
        <v>0</v>
      </c>
      <c r="DA18" s="7">
        <v>0</v>
      </c>
      <c r="DB18" s="7">
        <v>0</v>
      </c>
      <c r="DC18" s="7">
        <v>0</v>
      </c>
      <c r="DD18" s="7">
        <v>0</v>
      </c>
      <c r="DE18" s="7">
        <v>0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v>0</v>
      </c>
      <c r="DT18" s="7">
        <v>0</v>
      </c>
      <c r="DU18" s="7">
        <v>0</v>
      </c>
      <c r="DV18" s="7">
        <v>0</v>
      </c>
      <c r="DW18" s="7">
        <v>0</v>
      </c>
      <c r="DX18" s="7">
        <v>0</v>
      </c>
      <c r="DY18" s="7">
        <v>0</v>
      </c>
      <c r="DZ18" s="7">
        <v>0</v>
      </c>
      <c r="EA18" s="7">
        <v>0</v>
      </c>
      <c r="EB18" s="7">
        <v>0</v>
      </c>
      <c r="EC18" s="7">
        <v>0</v>
      </c>
      <c r="ED18" s="7">
        <v>0</v>
      </c>
      <c r="EE18" s="7">
        <v>0</v>
      </c>
      <c r="EF18" s="7">
        <v>0</v>
      </c>
      <c r="EG18" s="7">
        <v>0</v>
      </c>
      <c r="EH18" s="7">
        <v>0</v>
      </c>
      <c r="EI18" s="7">
        <v>0</v>
      </c>
      <c r="EJ18" s="7">
        <v>0</v>
      </c>
      <c r="EK18" s="7">
        <v>0</v>
      </c>
      <c r="EL18" s="7">
        <v>0</v>
      </c>
      <c r="EM18" s="7">
        <v>0</v>
      </c>
      <c r="EN18" s="7">
        <v>0</v>
      </c>
      <c r="EO18" s="7">
        <v>0</v>
      </c>
      <c r="EP18" s="7">
        <v>0</v>
      </c>
      <c r="EQ18" s="7">
        <v>0</v>
      </c>
      <c r="ER18" s="7">
        <v>0</v>
      </c>
      <c r="ES18" s="7">
        <v>0</v>
      </c>
      <c r="ET18" s="7">
        <v>0</v>
      </c>
      <c r="EU18" s="7">
        <v>0</v>
      </c>
      <c r="EV18" s="7">
        <v>0</v>
      </c>
      <c r="EW18" s="7">
        <v>0</v>
      </c>
      <c r="EX18" s="7">
        <v>0</v>
      </c>
      <c r="EY18" s="7">
        <v>0</v>
      </c>
      <c r="EZ18" s="7">
        <v>0</v>
      </c>
      <c r="FA18" s="7">
        <v>0</v>
      </c>
      <c r="FB18" s="7">
        <v>0</v>
      </c>
      <c r="FC18" s="7">
        <v>0</v>
      </c>
      <c r="FD18" s="7">
        <v>0</v>
      </c>
      <c r="FE18" s="7">
        <v>0</v>
      </c>
      <c r="FF18" s="7">
        <v>0</v>
      </c>
      <c r="FG18" s="7">
        <v>0</v>
      </c>
      <c r="FH18" s="7">
        <f t="shared" si="4"/>
        <v>0</v>
      </c>
      <c r="FI18" s="16"/>
    </row>
    <row r="19" spans="1:165" hidden="1" x14ac:dyDescent="0.25">
      <c r="A19" s="17"/>
      <c r="B19" s="7" t="s">
        <v>278</v>
      </c>
      <c r="C19" s="7">
        <v>0</v>
      </c>
      <c r="D19" s="7">
        <v>0</v>
      </c>
      <c r="E19" s="7">
        <f t="shared" si="0"/>
        <v>0</v>
      </c>
      <c r="F19" s="17"/>
      <c r="I19" s="17"/>
      <c r="J19" s="7" t="s">
        <v>278</v>
      </c>
      <c r="K19" s="7">
        <v>0</v>
      </c>
      <c r="L19" s="7">
        <v>0</v>
      </c>
      <c r="M19" s="7">
        <v>0</v>
      </c>
      <c r="N19" s="7">
        <f t="shared" si="1"/>
        <v>0</v>
      </c>
      <c r="O19" s="17"/>
      <c r="R19" s="17"/>
      <c r="S19" s="7" t="s">
        <v>278</v>
      </c>
      <c r="T19" s="7">
        <v>0</v>
      </c>
      <c r="U19" s="7">
        <v>0</v>
      </c>
      <c r="V19" s="7">
        <v>0</v>
      </c>
      <c r="W19" s="7">
        <v>0</v>
      </c>
      <c r="X19" s="7">
        <f t="shared" si="2"/>
        <v>0</v>
      </c>
      <c r="Y19" s="17"/>
      <c r="AB19" s="17"/>
      <c r="AC19" s="7" t="s">
        <v>278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f t="shared" si="3"/>
        <v>0</v>
      </c>
      <c r="AJ19" s="17"/>
      <c r="AM19" s="17"/>
      <c r="AN19" s="7" t="s">
        <v>278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7">
        <v>0</v>
      </c>
      <c r="CJ19" s="7">
        <v>0</v>
      </c>
      <c r="CK19" s="7">
        <v>0</v>
      </c>
      <c r="CL19" s="7">
        <v>0</v>
      </c>
      <c r="CM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P19" s="7">
        <v>0</v>
      </c>
      <c r="DQ19" s="7">
        <v>0</v>
      </c>
      <c r="DR19" s="7">
        <v>0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7">
        <v>0</v>
      </c>
      <c r="DY19" s="7">
        <v>0</v>
      </c>
      <c r="DZ19" s="7">
        <v>0</v>
      </c>
      <c r="EA19" s="7">
        <v>0</v>
      </c>
      <c r="EB19" s="7">
        <v>0</v>
      </c>
      <c r="EC19" s="7">
        <v>0</v>
      </c>
      <c r="ED19" s="7">
        <v>0</v>
      </c>
      <c r="EE19" s="7">
        <v>0</v>
      </c>
      <c r="EF19" s="7">
        <v>0</v>
      </c>
      <c r="EG19" s="7">
        <v>0</v>
      </c>
      <c r="EH19" s="7">
        <v>0</v>
      </c>
      <c r="EI19" s="7">
        <v>0</v>
      </c>
      <c r="EJ19" s="7">
        <v>0</v>
      </c>
      <c r="EK19" s="7">
        <v>0</v>
      </c>
      <c r="EL19" s="7">
        <v>0</v>
      </c>
      <c r="EM19" s="7">
        <v>0</v>
      </c>
      <c r="EN19" s="7">
        <v>0</v>
      </c>
      <c r="EO19" s="7">
        <v>0</v>
      </c>
      <c r="EP19" s="7">
        <v>0</v>
      </c>
      <c r="EQ19" s="7">
        <v>0</v>
      </c>
      <c r="ER19" s="7">
        <v>0</v>
      </c>
      <c r="ES19" s="7">
        <v>0</v>
      </c>
      <c r="ET19" s="7">
        <v>0</v>
      </c>
      <c r="EU19" s="7">
        <v>0</v>
      </c>
      <c r="EV19" s="7">
        <v>0</v>
      </c>
      <c r="EW19" s="7">
        <v>0</v>
      </c>
      <c r="EX19" s="7">
        <v>0</v>
      </c>
      <c r="EY19" s="7">
        <v>0</v>
      </c>
      <c r="EZ19" s="7">
        <v>0</v>
      </c>
      <c r="FA19" s="7">
        <v>0</v>
      </c>
      <c r="FB19" s="7">
        <v>0</v>
      </c>
      <c r="FC19" s="7">
        <v>0</v>
      </c>
      <c r="FD19" s="7">
        <v>0</v>
      </c>
      <c r="FE19" s="7">
        <v>0</v>
      </c>
      <c r="FF19" s="7">
        <v>0</v>
      </c>
      <c r="FG19" s="7">
        <v>0</v>
      </c>
      <c r="FH19" s="7">
        <f t="shared" si="4"/>
        <v>0</v>
      </c>
      <c r="FI19" s="17"/>
    </row>
    <row r="20" spans="1:165" hidden="1" x14ac:dyDescent="0.25">
      <c r="A20" s="15" t="s">
        <v>281</v>
      </c>
      <c r="B20" s="7" t="s">
        <v>275</v>
      </c>
      <c r="C20" s="7">
        <v>0</v>
      </c>
      <c r="D20" s="7">
        <v>0</v>
      </c>
      <c r="E20" s="7">
        <f t="shared" si="0"/>
        <v>0</v>
      </c>
      <c r="F20" s="18">
        <f>SUM(E20:E23)</f>
        <v>0</v>
      </c>
      <c r="I20" s="15" t="s">
        <v>281</v>
      </c>
      <c r="J20" s="7" t="s">
        <v>275</v>
      </c>
      <c r="K20" s="7">
        <v>0</v>
      </c>
      <c r="L20" s="7">
        <v>0</v>
      </c>
      <c r="M20" s="7">
        <v>0</v>
      </c>
      <c r="N20" s="7">
        <f t="shared" si="1"/>
        <v>0</v>
      </c>
      <c r="O20" s="18">
        <f>SUM(N20:N23)</f>
        <v>0</v>
      </c>
      <c r="R20" s="15" t="s">
        <v>281</v>
      </c>
      <c r="S20" s="7" t="s">
        <v>275</v>
      </c>
      <c r="T20" s="7">
        <v>0</v>
      </c>
      <c r="U20" s="7">
        <v>0</v>
      </c>
      <c r="V20" s="7">
        <v>0</v>
      </c>
      <c r="W20" s="7">
        <v>0</v>
      </c>
      <c r="X20" s="7">
        <f t="shared" si="2"/>
        <v>0</v>
      </c>
      <c r="Y20" s="18">
        <f>SUM(X20:X23)</f>
        <v>0</v>
      </c>
      <c r="AB20" s="15" t="s">
        <v>281</v>
      </c>
      <c r="AC20" s="7" t="s">
        <v>275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f t="shared" si="3"/>
        <v>0</v>
      </c>
      <c r="AJ20" s="18">
        <f>SUM(AI20:AI23)</f>
        <v>0</v>
      </c>
      <c r="AM20" s="15" t="s">
        <v>281</v>
      </c>
      <c r="AN20" s="7" t="s">
        <v>275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P20" s="7">
        <v>0</v>
      </c>
      <c r="DQ20" s="7">
        <v>0</v>
      </c>
      <c r="DR20" s="7">
        <v>0</v>
      </c>
      <c r="DS20" s="7">
        <v>0</v>
      </c>
      <c r="DT20" s="7">
        <v>0</v>
      </c>
      <c r="DU20" s="7">
        <v>0</v>
      </c>
      <c r="DV20" s="7">
        <v>0</v>
      </c>
      <c r="DW20" s="7">
        <v>0</v>
      </c>
      <c r="DX20" s="7">
        <v>0</v>
      </c>
      <c r="DY20" s="7">
        <v>0</v>
      </c>
      <c r="DZ20" s="7">
        <v>0</v>
      </c>
      <c r="EA20" s="7">
        <v>0</v>
      </c>
      <c r="EB20" s="7">
        <v>0</v>
      </c>
      <c r="EC20" s="7">
        <v>0</v>
      </c>
      <c r="ED20" s="7">
        <v>0</v>
      </c>
      <c r="EE20" s="7">
        <v>0</v>
      </c>
      <c r="EF20" s="7">
        <v>0</v>
      </c>
      <c r="EG20" s="7">
        <v>0</v>
      </c>
      <c r="EH20" s="7">
        <v>0</v>
      </c>
      <c r="EI20" s="7">
        <v>0</v>
      </c>
      <c r="EJ20" s="7">
        <v>0</v>
      </c>
      <c r="EK20" s="7">
        <v>0</v>
      </c>
      <c r="EL20" s="7">
        <v>0</v>
      </c>
      <c r="EM20" s="7">
        <v>0</v>
      </c>
      <c r="EN20" s="7">
        <v>0</v>
      </c>
      <c r="EO20" s="7">
        <v>0</v>
      </c>
      <c r="EP20" s="7">
        <v>0</v>
      </c>
      <c r="EQ20" s="7">
        <v>0</v>
      </c>
      <c r="ER20" s="7">
        <v>0</v>
      </c>
      <c r="ES20" s="7">
        <v>0</v>
      </c>
      <c r="ET20" s="7">
        <v>0</v>
      </c>
      <c r="EU20" s="7">
        <v>0</v>
      </c>
      <c r="EV20" s="7">
        <v>0</v>
      </c>
      <c r="EW20" s="7">
        <v>0</v>
      </c>
      <c r="EX20" s="7">
        <v>0</v>
      </c>
      <c r="EY20" s="7">
        <v>0</v>
      </c>
      <c r="EZ20" s="7">
        <v>0</v>
      </c>
      <c r="FA20" s="7">
        <v>0</v>
      </c>
      <c r="FB20" s="7">
        <v>0</v>
      </c>
      <c r="FC20" s="7">
        <v>0</v>
      </c>
      <c r="FD20" s="7">
        <v>0</v>
      </c>
      <c r="FE20" s="7">
        <v>0</v>
      </c>
      <c r="FF20" s="7">
        <v>0</v>
      </c>
      <c r="FG20" s="7">
        <v>0</v>
      </c>
      <c r="FH20" s="7">
        <f t="shared" si="4"/>
        <v>0</v>
      </c>
      <c r="FI20" s="18">
        <f>SUM(FH20:FH23)</f>
        <v>0</v>
      </c>
    </row>
    <row r="21" spans="1:165" hidden="1" x14ac:dyDescent="0.25">
      <c r="A21" s="16"/>
      <c r="B21" s="7" t="s">
        <v>276</v>
      </c>
      <c r="C21" s="7">
        <v>0</v>
      </c>
      <c r="D21" s="7">
        <v>0</v>
      </c>
      <c r="E21" s="7">
        <f t="shared" si="0"/>
        <v>0</v>
      </c>
      <c r="F21" s="16"/>
      <c r="I21" s="16"/>
      <c r="J21" s="7" t="s">
        <v>276</v>
      </c>
      <c r="K21" s="7">
        <v>0</v>
      </c>
      <c r="L21" s="7">
        <v>0</v>
      </c>
      <c r="M21" s="7">
        <v>0</v>
      </c>
      <c r="N21" s="7">
        <f t="shared" si="1"/>
        <v>0</v>
      </c>
      <c r="O21" s="16"/>
      <c r="R21" s="16"/>
      <c r="S21" s="7" t="s">
        <v>276</v>
      </c>
      <c r="T21" s="7">
        <v>0</v>
      </c>
      <c r="U21" s="7">
        <v>0</v>
      </c>
      <c r="V21" s="7">
        <v>0</v>
      </c>
      <c r="W21" s="7">
        <v>0</v>
      </c>
      <c r="X21" s="7">
        <f t="shared" si="2"/>
        <v>0</v>
      </c>
      <c r="Y21" s="16"/>
      <c r="AB21" s="16"/>
      <c r="AC21" s="7" t="s">
        <v>276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f t="shared" si="3"/>
        <v>0</v>
      </c>
      <c r="AJ21" s="16"/>
      <c r="AM21" s="16"/>
      <c r="AN21" s="7" t="s">
        <v>276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7">
        <v>0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0</v>
      </c>
      <c r="DY21" s="7">
        <v>0</v>
      </c>
      <c r="DZ21" s="7">
        <v>0</v>
      </c>
      <c r="EA21" s="7">
        <v>0</v>
      </c>
      <c r="EB21" s="7">
        <v>0</v>
      </c>
      <c r="EC21" s="7">
        <v>0</v>
      </c>
      <c r="ED21" s="7">
        <v>0</v>
      </c>
      <c r="EE21" s="7">
        <v>0</v>
      </c>
      <c r="EF21" s="7">
        <v>0</v>
      </c>
      <c r="EG21" s="7">
        <v>0</v>
      </c>
      <c r="EH21" s="7">
        <v>0</v>
      </c>
      <c r="EI21" s="7">
        <v>0</v>
      </c>
      <c r="EJ21" s="7">
        <v>0</v>
      </c>
      <c r="EK21" s="7">
        <v>0</v>
      </c>
      <c r="EL21" s="7">
        <v>0</v>
      </c>
      <c r="EM21" s="7">
        <v>0</v>
      </c>
      <c r="EN21" s="7">
        <v>0</v>
      </c>
      <c r="EO21" s="7">
        <v>0</v>
      </c>
      <c r="EP21" s="7">
        <v>0</v>
      </c>
      <c r="EQ21" s="7">
        <v>0</v>
      </c>
      <c r="ER21" s="7">
        <v>0</v>
      </c>
      <c r="ES21" s="7">
        <v>0</v>
      </c>
      <c r="ET21" s="7">
        <v>0</v>
      </c>
      <c r="EU21" s="7">
        <v>0</v>
      </c>
      <c r="EV21" s="7">
        <v>0</v>
      </c>
      <c r="EW21" s="7">
        <v>0</v>
      </c>
      <c r="EX21" s="7">
        <v>0</v>
      </c>
      <c r="EY21" s="7">
        <v>0</v>
      </c>
      <c r="EZ21" s="7">
        <v>0</v>
      </c>
      <c r="FA21" s="7">
        <v>0</v>
      </c>
      <c r="FB21" s="7">
        <v>0</v>
      </c>
      <c r="FC21" s="7">
        <v>0</v>
      </c>
      <c r="FD21" s="7">
        <v>0</v>
      </c>
      <c r="FE21" s="7">
        <v>0</v>
      </c>
      <c r="FF21" s="7">
        <v>0</v>
      </c>
      <c r="FG21" s="7">
        <v>0</v>
      </c>
      <c r="FH21" s="7">
        <f t="shared" si="4"/>
        <v>0</v>
      </c>
      <c r="FI21" s="16"/>
    </row>
    <row r="22" spans="1:165" hidden="1" x14ac:dyDescent="0.25">
      <c r="A22" s="16"/>
      <c r="B22" s="7" t="s">
        <v>277</v>
      </c>
      <c r="C22" s="7">
        <v>0</v>
      </c>
      <c r="D22" s="7">
        <v>0</v>
      </c>
      <c r="E22" s="7">
        <f t="shared" si="0"/>
        <v>0</v>
      </c>
      <c r="F22" s="16"/>
      <c r="I22" s="16"/>
      <c r="J22" s="7" t="s">
        <v>277</v>
      </c>
      <c r="K22" s="7">
        <v>0</v>
      </c>
      <c r="L22" s="7">
        <v>0</v>
      </c>
      <c r="M22" s="7">
        <v>0</v>
      </c>
      <c r="N22" s="7">
        <f t="shared" si="1"/>
        <v>0</v>
      </c>
      <c r="O22" s="16"/>
      <c r="R22" s="16"/>
      <c r="S22" s="7" t="s">
        <v>277</v>
      </c>
      <c r="T22" s="7">
        <v>0</v>
      </c>
      <c r="U22" s="7">
        <v>0</v>
      </c>
      <c r="V22" s="7">
        <v>0</v>
      </c>
      <c r="W22" s="7">
        <v>0</v>
      </c>
      <c r="X22" s="7">
        <f t="shared" si="2"/>
        <v>0</v>
      </c>
      <c r="Y22" s="16"/>
      <c r="AB22" s="16"/>
      <c r="AC22" s="7" t="s">
        <v>277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f t="shared" si="3"/>
        <v>0</v>
      </c>
      <c r="AJ22" s="16"/>
      <c r="AM22" s="16"/>
      <c r="AN22" s="7" t="s">
        <v>277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>
        <v>0</v>
      </c>
      <c r="CV22" s="7">
        <v>0</v>
      </c>
      <c r="CW22" s="7">
        <v>0</v>
      </c>
      <c r="CX22" s="7">
        <v>0</v>
      </c>
      <c r="CY22" s="7">
        <v>0</v>
      </c>
      <c r="CZ22" s="7">
        <v>0</v>
      </c>
      <c r="DA22" s="7">
        <v>0</v>
      </c>
      <c r="DB22" s="7">
        <v>0</v>
      </c>
      <c r="DC22" s="7">
        <v>0</v>
      </c>
      <c r="DD22" s="7">
        <v>0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0</v>
      </c>
      <c r="DY22" s="7">
        <v>0</v>
      </c>
      <c r="DZ22" s="7">
        <v>0</v>
      </c>
      <c r="EA22" s="7">
        <v>0</v>
      </c>
      <c r="EB22" s="7">
        <v>0</v>
      </c>
      <c r="EC22" s="7">
        <v>0</v>
      </c>
      <c r="ED22" s="7">
        <v>0</v>
      </c>
      <c r="EE22" s="7">
        <v>0</v>
      </c>
      <c r="EF22" s="7">
        <v>0</v>
      </c>
      <c r="EG22" s="7">
        <v>0</v>
      </c>
      <c r="EH22" s="7">
        <v>0</v>
      </c>
      <c r="EI22" s="7">
        <v>0</v>
      </c>
      <c r="EJ22" s="7">
        <v>0</v>
      </c>
      <c r="EK22" s="7">
        <v>0</v>
      </c>
      <c r="EL22" s="7">
        <v>0</v>
      </c>
      <c r="EM22" s="7">
        <v>0</v>
      </c>
      <c r="EN22" s="7">
        <v>0</v>
      </c>
      <c r="EO22" s="7">
        <v>0</v>
      </c>
      <c r="EP22" s="7">
        <v>0</v>
      </c>
      <c r="EQ22" s="7">
        <v>0</v>
      </c>
      <c r="ER22" s="7">
        <v>0</v>
      </c>
      <c r="ES22" s="7">
        <v>0</v>
      </c>
      <c r="ET22" s="7">
        <v>0</v>
      </c>
      <c r="EU22" s="7">
        <v>0</v>
      </c>
      <c r="EV22" s="7">
        <v>0</v>
      </c>
      <c r="EW22" s="7">
        <v>0</v>
      </c>
      <c r="EX22" s="7">
        <v>0</v>
      </c>
      <c r="EY22" s="7">
        <v>0</v>
      </c>
      <c r="EZ22" s="7">
        <v>0</v>
      </c>
      <c r="FA22" s="7">
        <v>0</v>
      </c>
      <c r="FB22" s="7">
        <v>0</v>
      </c>
      <c r="FC22" s="7">
        <v>0</v>
      </c>
      <c r="FD22" s="7">
        <v>0</v>
      </c>
      <c r="FE22" s="7">
        <v>0</v>
      </c>
      <c r="FF22" s="7">
        <v>0</v>
      </c>
      <c r="FG22" s="7">
        <v>0</v>
      </c>
      <c r="FH22" s="7">
        <f t="shared" si="4"/>
        <v>0</v>
      </c>
      <c r="FI22" s="16"/>
    </row>
    <row r="23" spans="1:165" hidden="1" x14ac:dyDescent="0.25">
      <c r="A23" s="17"/>
      <c r="B23" s="7" t="s">
        <v>278</v>
      </c>
      <c r="C23" s="7">
        <v>0</v>
      </c>
      <c r="D23" s="7">
        <v>0</v>
      </c>
      <c r="E23" s="7">
        <f t="shared" si="0"/>
        <v>0</v>
      </c>
      <c r="F23" s="17"/>
      <c r="I23" s="17"/>
      <c r="J23" s="7" t="s">
        <v>278</v>
      </c>
      <c r="K23" s="7">
        <v>0</v>
      </c>
      <c r="L23" s="7">
        <v>0</v>
      </c>
      <c r="M23" s="7">
        <v>0</v>
      </c>
      <c r="N23" s="7">
        <f t="shared" si="1"/>
        <v>0</v>
      </c>
      <c r="O23" s="17"/>
      <c r="R23" s="17"/>
      <c r="S23" s="7" t="s">
        <v>278</v>
      </c>
      <c r="T23" s="7">
        <v>0</v>
      </c>
      <c r="U23" s="7">
        <v>0</v>
      </c>
      <c r="V23" s="7">
        <v>0</v>
      </c>
      <c r="W23" s="7">
        <v>0</v>
      </c>
      <c r="X23" s="7">
        <f t="shared" si="2"/>
        <v>0</v>
      </c>
      <c r="Y23" s="17"/>
      <c r="AB23" s="17"/>
      <c r="AC23" s="7" t="s">
        <v>278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f t="shared" si="3"/>
        <v>0</v>
      </c>
      <c r="AJ23" s="17"/>
      <c r="AM23" s="17"/>
      <c r="AN23" s="7" t="s">
        <v>278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  <c r="DV23" s="7">
        <v>0</v>
      </c>
      <c r="DW23" s="7">
        <v>0</v>
      </c>
      <c r="DX23" s="7">
        <v>0</v>
      </c>
      <c r="DY23" s="7">
        <v>0</v>
      </c>
      <c r="DZ23" s="7">
        <v>0</v>
      </c>
      <c r="EA23" s="7">
        <v>0</v>
      </c>
      <c r="EB23" s="7">
        <v>0</v>
      </c>
      <c r="EC23" s="7">
        <v>0</v>
      </c>
      <c r="ED23" s="7">
        <v>0</v>
      </c>
      <c r="EE23" s="7">
        <v>0</v>
      </c>
      <c r="EF23" s="7">
        <v>0</v>
      </c>
      <c r="EG23" s="7">
        <v>0</v>
      </c>
      <c r="EH23" s="7">
        <v>0</v>
      </c>
      <c r="EI23" s="7">
        <v>0</v>
      </c>
      <c r="EJ23" s="7">
        <v>0</v>
      </c>
      <c r="EK23" s="7">
        <v>0</v>
      </c>
      <c r="EL23" s="7">
        <v>0</v>
      </c>
      <c r="EM23" s="7">
        <v>0</v>
      </c>
      <c r="EN23" s="7">
        <v>0</v>
      </c>
      <c r="EO23" s="7">
        <v>0</v>
      </c>
      <c r="EP23" s="7">
        <v>0</v>
      </c>
      <c r="EQ23" s="7">
        <v>0</v>
      </c>
      <c r="ER23" s="7">
        <v>0</v>
      </c>
      <c r="ES23" s="7">
        <v>0</v>
      </c>
      <c r="ET23" s="7">
        <v>0</v>
      </c>
      <c r="EU23" s="7">
        <v>0</v>
      </c>
      <c r="EV23" s="7">
        <v>0</v>
      </c>
      <c r="EW23" s="7">
        <v>0</v>
      </c>
      <c r="EX23" s="7">
        <v>0</v>
      </c>
      <c r="EY23" s="7">
        <v>0</v>
      </c>
      <c r="EZ23" s="7">
        <v>0</v>
      </c>
      <c r="FA23" s="7">
        <v>0</v>
      </c>
      <c r="FB23" s="7">
        <v>0</v>
      </c>
      <c r="FC23" s="7">
        <v>0</v>
      </c>
      <c r="FD23" s="7">
        <v>0</v>
      </c>
      <c r="FE23" s="7">
        <v>0</v>
      </c>
      <c r="FF23" s="7">
        <v>0</v>
      </c>
      <c r="FG23" s="7">
        <v>0</v>
      </c>
      <c r="FH23" s="7">
        <f t="shared" si="4"/>
        <v>0</v>
      </c>
      <c r="FI23" s="17"/>
    </row>
    <row r="24" spans="1:165" hidden="1" x14ac:dyDescent="0.25">
      <c r="A24" s="15" t="s">
        <v>282</v>
      </c>
      <c r="B24" s="7" t="s">
        <v>275</v>
      </c>
      <c r="C24" s="7">
        <v>0</v>
      </c>
      <c r="D24" s="7">
        <v>0</v>
      </c>
      <c r="E24" s="7">
        <f t="shared" si="0"/>
        <v>0</v>
      </c>
      <c r="F24" s="18">
        <f>SUM(E24:E27)</f>
        <v>0</v>
      </c>
      <c r="I24" s="15" t="s">
        <v>282</v>
      </c>
      <c r="J24" s="7" t="s">
        <v>275</v>
      </c>
      <c r="K24" s="7">
        <v>0</v>
      </c>
      <c r="L24" s="7">
        <v>0</v>
      </c>
      <c r="M24" s="7">
        <v>0</v>
      </c>
      <c r="N24" s="7">
        <f t="shared" si="1"/>
        <v>0</v>
      </c>
      <c r="O24" s="18">
        <f>SUM(N24:N27)</f>
        <v>0</v>
      </c>
      <c r="R24" s="15" t="s">
        <v>282</v>
      </c>
      <c r="S24" s="7" t="s">
        <v>275</v>
      </c>
      <c r="T24" s="7">
        <v>0</v>
      </c>
      <c r="U24" s="7">
        <v>0</v>
      </c>
      <c r="V24" s="7">
        <v>0</v>
      </c>
      <c r="W24" s="7">
        <v>0</v>
      </c>
      <c r="X24" s="7">
        <f t="shared" si="2"/>
        <v>0</v>
      </c>
      <c r="Y24" s="18">
        <f>SUM(X24:X27)</f>
        <v>0</v>
      </c>
      <c r="AB24" s="15" t="s">
        <v>282</v>
      </c>
      <c r="AC24" s="7" t="s">
        <v>275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f t="shared" si="3"/>
        <v>0</v>
      </c>
      <c r="AJ24" s="18">
        <f>SUM(AI24:AI27)</f>
        <v>0</v>
      </c>
      <c r="AM24" s="15" t="s">
        <v>282</v>
      </c>
      <c r="AN24" s="7" t="s">
        <v>275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P24" s="7">
        <v>0</v>
      </c>
      <c r="DQ24" s="7">
        <v>0</v>
      </c>
      <c r="DR24" s="7">
        <v>0</v>
      </c>
      <c r="DS24" s="7">
        <v>0</v>
      </c>
      <c r="DT24" s="7">
        <v>0</v>
      </c>
      <c r="DU24" s="7">
        <v>0</v>
      </c>
      <c r="DV24" s="7">
        <v>0</v>
      </c>
      <c r="DW24" s="7">
        <v>0</v>
      </c>
      <c r="DX24" s="7">
        <v>0</v>
      </c>
      <c r="DY24" s="7">
        <v>0</v>
      </c>
      <c r="DZ24" s="7">
        <v>0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v>0</v>
      </c>
      <c r="EN24" s="7">
        <v>0</v>
      </c>
      <c r="EO24" s="7">
        <v>0</v>
      </c>
      <c r="EP24" s="7">
        <v>0</v>
      </c>
      <c r="EQ24" s="7">
        <v>0</v>
      </c>
      <c r="ER24" s="7">
        <v>0</v>
      </c>
      <c r="ES24" s="7">
        <v>0</v>
      </c>
      <c r="ET24" s="7">
        <v>0</v>
      </c>
      <c r="EU24" s="7">
        <v>0</v>
      </c>
      <c r="EV24" s="7">
        <v>0</v>
      </c>
      <c r="EW24" s="7">
        <v>0</v>
      </c>
      <c r="EX24" s="7">
        <v>0</v>
      </c>
      <c r="EY24" s="7">
        <v>0</v>
      </c>
      <c r="EZ24" s="7">
        <v>0</v>
      </c>
      <c r="FA24" s="7">
        <v>0</v>
      </c>
      <c r="FB24" s="7">
        <v>0</v>
      </c>
      <c r="FC24" s="7">
        <v>0</v>
      </c>
      <c r="FD24" s="7">
        <v>0</v>
      </c>
      <c r="FE24" s="7">
        <v>0</v>
      </c>
      <c r="FF24" s="7">
        <v>0</v>
      </c>
      <c r="FG24" s="7">
        <v>0</v>
      </c>
      <c r="FH24" s="7">
        <f t="shared" si="4"/>
        <v>0</v>
      </c>
      <c r="FI24" s="18">
        <f>SUM(FH24:FH27)</f>
        <v>0</v>
      </c>
    </row>
    <row r="25" spans="1:165" hidden="1" x14ac:dyDescent="0.25">
      <c r="A25" s="16"/>
      <c r="B25" s="7" t="s">
        <v>276</v>
      </c>
      <c r="C25" s="7">
        <v>0</v>
      </c>
      <c r="D25" s="7">
        <v>0</v>
      </c>
      <c r="E25" s="7">
        <f t="shared" si="0"/>
        <v>0</v>
      </c>
      <c r="F25" s="16"/>
      <c r="I25" s="16"/>
      <c r="J25" s="7" t="s">
        <v>276</v>
      </c>
      <c r="K25" s="7">
        <v>0</v>
      </c>
      <c r="L25" s="7">
        <v>0</v>
      </c>
      <c r="M25" s="7">
        <v>0</v>
      </c>
      <c r="N25" s="7">
        <f t="shared" si="1"/>
        <v>0</v>
      </c>
      <c r="O25" s="16"/>
      <c r="R25" s="16"/>
      <c r="S25" s="7" t="s">
        <v>276</v>
      </c>
      <c r="T25" s="7">
        <v>0</v>
      </c>
      <c r="U25" s="7">
        <v>0</v>
      </c>
      <c r="V25" s="7">
        <v>0</v>
      </c>
      <c r="W25" s="7">
        <v>0</v>
      </c>
      <c r="X25" s="7">
        <f t="shared" si="2"/>
        <v>0</v>
      </c>
      <c r="Y25" s="16"/>
      <c r="AB25" s="16"/>
      <c r="AC25" s="7" t="s">
        <v>276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f t="shared" si="3"/>
        <v>0</v>
      </c>
      <c r="AJ25" s="16"/>
      <c r="AM25" s="16"/>
      <c r="AN25" s="7" t="s">
        <v>276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  <c r="EF25" s="7">
        <v>0</v>
      </c>
      <c r="EG25" s="7">
        <v>0</v>
      </c>
      <c r="EH25" s="7">
        <v>0</v>
      </c>
      <c r="EI25" s="7">
        <v>0</v>
      </c>
      <c r="EJ25" s="7">
        <v>0</v>
      </c>
      <c r="EK25" s="7">
        <v>0</v>
      </c>
      <c r="EL25" s="7">
        <v>0</v>
      </c>
      <c r="EM25" s="7">
        <v>0</v>
      </c>
      <c r="EN25" s="7">
        <v>0</v>
      </c>
      <c r="EO25" s="7">
        <v>0</v>
      </c>
      <c r="EP25" s="7">
        <v>0</v>
      </c>
      <c r="EQ25" s="7">
        <v>0</v>
      </c>
      <c r="ER25" s="7">
        <v>0</v>
      </c>
      <c r="ES25" s="7">
        <v>0</v>
      </c>
      <c r="ET25" s="7">
        <v>0</v>
      </c>
      <c r="EU25" s="7">
        <v>0</v>
      </c>
      <c r="EV25" s="7">
        <v>0</v>
      </c>
      <c r="EW25" s="7">
        <v>0</v>
      </c>
      <c r="EX25" s="7">
        <v>0</v>
      </c>
      <c r="EY25" s="7">
        <v>0</v>
      </c>
      <c r="EZ25" s="7">
        <v>0</v>
      </c>
      <c r="FA25" s="7">
        <v>0</v>
      </c>
      <c r="FB25" s="7">
        <v>0</v>
      </c>
      <c r="FC25" s="7">
        <v>0</v>
      </c>
      <c r="FD25" s="7">
        <v>0</v>
      </c>
      <c r="FE25" s="7">
        <v>0</v>
      </c>
      <c r="FF25" s="7">
        <v>0</v>
      </c>
      <c r="FG25" s="7">
        <v>0</v>
      </c>
      <c r="FH25" s="7">
        <f t="shared" si="4"/>
        <v>0</v>
      </c>
      <c r="FI25" s="16"/>
    </row>
    <row r="26" spans="1:165" hidden="1" x14ac:dyDescent="0.25">
      <c r="A26" s="16"/>
      <c r="B26" s="7" t="s">
        <v>277</v>
      </c>
      <c r="C26" s="7">
        <v>0</v>
      </c>
      <c r="D26" s="7">
        <v>0</v>
      </c>
      <c r="E26" s="7">
        <f t="shared" si="0"/>
        <v>0</v>
      </c>
      <c r="F26" s="16"/>
      <c r="I26" s="16"/>
      <c r="J26" s="7" t="s">
        <v>277</v>
      </c>
      <c r="K26" s="7">
        <v>0</v>
      </c>
      <c r="L26" s="7">
        <v>0</v>
      </c>
      <c r="M26" s="7">
        <v>0</v>
      </c>
      <c r="N26" s="7">
        <f t="shared" si="1"/>
        <v>0</v>
      </c>
      <c r="O26" s="16"/>
      <c r="R26" s="16"/>
      <c r="S26" s="7" t="s">
        <v>277</v>
      </c>
      <c r="T26" s="7">
        <v>0</v>
      </c>
      <c r="U26" s="7">
        <v>0</v>
      </c>
      <c r="V26" s="7">
        <v>0</v>
      </c>
      <c r="W26" s="7">
        <v>0</v>
      </c>
      <c r="X26" s="7">
        <f t="shared" si="2"/>
        <v>0</v>
      </c>
      <c r="Y26" s="16"/>
      <c r="AB26" s="16"/>
      <c r="AC26" s="7" t="s">
        <v>277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f t="shared" si="3"/>
        <v>0</v>
      </c>
      <c r="AJ26" s="16"/>
      <c r="AM26" s="16"/>
      <c r="AN26" s="7" t="s">
        <v>277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0</v>
      </c>
      <c r="DL26" s="7">
        <v>0</v>
      </c>
      <c r="DM26" s="7">
        <v>0</v>
      </c>
      <c r="DN26" s="7">
        <v>0</v>
      </c>
      <c r="DO26" s="7">
        <v>0</v>
      </c>
      <c r="DP26" s="7">
        <v>0</v>
      </c>
      <c r="DQ26" s="7">
        <v>0</v>
      </c>
      <c r="DR26" s="7">
        <v>0</v>
      </c>
      <c r="DS26" s="7">
        <v>0</v>
      </c>
      <c r="DT26" s="7">
        <v>0</v>
      </c>
      <c r="DU26" s="7">
        <v>0</v>
      </c>
      <c r="DV26" s="7">
        <v>0</v>
      </c>
      <c r="DW26" s="7">
        <v>0</v>
      </c>
      <c r="DX26" s="7">
        <v>0</v>
      </c>
      <c r="DY26" s="7">
        <v>0</v>
      </c>
      <c r="DZ26" s="7">
        <v>0</v>
      </c>
      <c r="EA26" s="7">
        <v>0</v>
      </c>
      <c r="EB26" s="7">
        <v>0</v>
      </c>
      <c r="EC26" s="7">
        <v>0</v>
      </c>
      <c r="ED26" s="7">
        <v>0</v>
      </c>
      <c r="EE26" s="7">
        <v>0</v>
      </c>
      <c r="EF26" s="7">
        <v>0</v>
      </c>
      <c r="EG26" s="7">
        <v>0</v>
      </c>
      <c r="EH26" s="7">
        <v>0</v>
      </c>
      <c r="EI26" s="7">
        <v>0</v>
      </c>
      <c r="EJ26" s="7">
        <v>0</v>
      </c>
      <c r="EK26" s="7">
        <v>0</v>
      </c>
      <c r="EL26" s="7">
        <v>0</v>
      </c>
      <c r="EM26" s="7">
        <v>0</v>
      </c>
      <c r="EN26" s="7">
        <v>0</v>
      </c>
      <c r="EO26" s="7">
        <v>0</v>
      </c>
      <c r="EP26" s="7">
        <v>0</v>
      </c>
      <c r="EQ26" s="7">
        <v>0</v>
      </c>
      <c r="ER26" s="7">
        <v>0</v>
      </c>
      <c r="ES26" s="7">
        <v>0</v>
      </c>
      <c r="ET26" s="7">
        <v>0</v>
      </c>
      <c r="EU26" s="7">
        <v>0</v>
      </c>
      <c r="EV26" s="7">
        <v>0</v>
      </c>
      <c r="EW26" s="7">
        <v>0</v>
      </c>
      <c r="EX26" s="7">
        <v>0</v>
      </c>
      <c r="EY26" s="7">
        <v>0</v>
      </c>
      <c r="EZ26" s="7">
        <v>0</v>
      </c>
      <c r="FA26" s="7">
        <v>0</v>
      </c>
      <c r="FB26" s="7">
        <v>0</v>
      </c>
      <c r="FC26" s="7">
        <v>0</v>
      </c>
      <c r="FD26" s="7">
        <v>0</v>
      </c>
      <c r="FE26" s="7">
        <v>0</v>
      </c>
      <c r="FF26" s="7">
        <v>0</v>
      </c>
      <c r="FG26" s="7">
        <v>0</v>
      </c>
      <c r="FH26" s="7">
        <f t="shared" si="4"/>
        <v>0</v>
      </c>
      <c r="FI26" s="16"/>
    </row>
    <row r="27" spans="1:165" hidden="1" x14ac:dyDescent="0.25">
      <c r="A27" s="17"/>
      <c r="B27" s="7" t="s">
        <v>278</v>
      </c>
      <c r="C27" s="7">
        <v>0</v>
      </c>
      <c r="D27" s="7">
        <v>0</v>
      </c>
      <c r="E27" s="7">
        <f t="shared" si="0"/>
        <v>0</v>
      </c>
      <c r="F27" s="17"/>
      <c r="I27" s="17"/>
      <c r="J27" s="7" t="s">
        <v>278</v>
      </c>
      <c r="K27" s="7">
        <v>0</v>
      </c>
      <c r="L27" s="7">
        <v>0</v>
      </c>
      <c r="M27" s="7">
        <v>0</v>
      </c>
      <c r="N27" s="7">
        <f t="shared" si="1"/>
        <v>0</v>
      </c>
      <c r="O27" s="17"/>
      <c r="R27" s="17"/>
      <c r="S27" s="7" t="s">
        <v>278</v>
      </c>
      <c r="T27" s="7">
        <v>0</v>
      </c>
      <c r="U27" s="7">
        <v>0</v>
      </c>
      <c r="V27" s="7">
        <v>0</v>
      </c>
      <c r="W27" s="7">
        <v>0</v>
      </c>
      <c r="X27" s="7">
        <f t="shared" si="2"/>
        <v>0</v>
      </c>
      <c r="Y27" s="17"/>
      <c r="AB27" s="17"/>
      <c r="AC27" s="7" t="s">
        <v>278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f t="shared" si="3"/>
        <v>0</v>
      </c>
      <c r="AJ27" s="17"/>
      <c r="AM27" s="17"/>
      <c r="AN27" s="7" t="s">
        <v>278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7">
        <v>0</v>
      </c>
      <c r="DB27" s="7">
        <v>0</v>
      </c>
      <c r="DC27" s="7">
        <v>0</v>
      </c>
      <c r="DD27" s="7">
        <v>0</v>
      </c>
      <c r="DE27" s="7">
        <v>0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7">
        <v>0</v>
      </c>
      <c r="DT27" s="7">
        <v>0</v>
      </c>
      <c r="DU27" s="7">
        <v>0</v>
      </c>
      <c r="DV27" s="7">
        <v>0</v>
      </c>
      <c r="DW27" s="7">
        <v>0</v>
      </c>
      <c r="DX27" s="7">
        <v>0</v>
      </c>
      <c r="DY27" s="7">
        <v>0</v>
      </c>
      <c r="DZ27" s="7">
        <v>0</v>
      </c>
      <c r="EA27" s="7">
        <v>0</v>
      </c>
      <c r="EB27" s="7">
        <v>0</v>
      </c>
      <c r="EC27" s="7">
        <v>0</v>
      </c>
      <c r="ED27" s="7">
        <v>0</v>
      </c>
      <c r="EE27" s="7">
        <v>0</v>
      </c>
      <c r="EF27" s="7">
        <v>0</v>
      </c>
      <c r="EG27" s="7">
        <v>0</v>
      </c>
      <c r="EH27" s="7">
        <v>0</v>
      </c>
      <c r="EI27" s="7">
        <v>0</v>
      </c>
      <c r="EJ27" s="7">
        <v>0</v>
      </c>
      <c r="EK27" s="7">
        <v>0</v>
      </c>
      <c r="EL27" s="7">
        <v>0</v>
      </c>
      <c r="EM27" s="7">
        <v>0</v>
      </c>
      <c r="EN27" s="7">
        <v>0</v>
      </c>
      <c r="EO27" s="7">
        <v>0</v>
      </c>
      <c r="EP27" s="7">
        <v>0</v>
      </c>
      <c r="EQ27" s="7">
        <v>0</v>
      </c>
      <c r="ER27" s="7">
        <v>0</v>
      </c>
      <c r="ES27" s="7">
        <v>0</v>
      </c>
      <c r="ET27" s="7">
        <v>0</v>
      </c>
      <c r="EU27" s="7">
        <v>0</v>
      </c>
      <c r="EV27" s="7">
        <v>0</v>
      </c>
      <c r="EW27" s="7">
        <v>0</v>
      </c>
      <c r="EX27" s="7">
        <v>0</v>
      </c>
      <c r="EY27" s="7">
        <v>0</v>
      </c>
      <c r="EZ27" s="7">
        <v>0</v>
      </c>
      <c r="FA27" s="7">
        <v>0</v>
      </c>
      <c r="FB27" s="7">
        <v>0</v>
      </c>
      <c r="FC27" s="7">
        <v>0</v>
      </c>
      <c r="FD27" s="7">
        <v>0</v>
      </c>
      <c r="FE27" s="7">
        <v>0</v>
      </c>
      <c r="FF27" s="7">
        <v>0</v>
      </c>
      <c r="FG27" s="7">
        <v>0</v>
      </c>
      <c r="FH27" s="7">
        <f t="shared" si="4"/>
        <v>0</v>
      </c>
      <c r="FI27" s="17"/>
    </row>
    <row r="28" spans="1:165" hidden="1" x14ac:dyDescent="0.25">
      <c r="A28" s="15" t="s">
        <v>283</v>
      </c>
      <c r="B28" s="7" t="s">
        <v>275</v>
      </c>
      <c r="C28" s="7">
        <v>0</v>
      </c>
      <c r="D28" s="7">
        <v>0</v>
      </c>
      <c r="E28" s="7">
        <f t="shared" si="0"/>
        <v>0</v>
      </c>
      <c r="F28" s="18">
        <f>SUM(E28:E31)</f>
        <v>0</v>
      </c>
      <c r="I28" s="15" t="s">
        <v>283</v>
      </c>
      <c r="J28" s="7" t="s">
        <v>275</v>
      </c>
      <c r="K28" s="7">
        <v>0</v>
      </c>
      <c r="L28" s="7">
        <v>0</v>
      </c>
      <c r="M28" s="7">
        <v>0</v>
      </c>
      <c r="N28" s="7">
        <f t="shared" si="1"/>
        <v>0</v>
      </c>
      <c r="O28" s="18">
        <f>SUM(N28:N31)</f>
        <v>0</v>
      </c>
      <c r="R28" s="15" t="s">
        <v>283</v>
      </c>
      <c r="S28" s="7" t="s">
        <v>275</v>
      </c>
      <c r="T28" s="7">
        <v>0</v>
      </c>
      <c r="U28" s="7">
        <v>0</v>
      </c>
      <c r="V28" s="7">
        <v>0</v>
      </c>
      <c r="W28" s="7">
        <v>0</v>
      </c>
      <c r="X28" s="7">
        <f t="shared" si="2"/>
        <v>0</v>
      </c>
      <c r="Y28" s="18">
        <f>SUM(X28:X31)</f>
        <v>0</v>
      </c>
      <c r="AB28" s="15" t="s">
        <v>283</v>
      </c>
      <c r="AC28" s="7" t="s">
        <v>275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f t="shared" si="3"/>
        <v>0</v>
      </c>
      <c r="AJ28" s="18">
        <f>SUM(AI28:AI31)</f>
        <v>0</v>
      </c>
      <c r="AM28" s="15" t="s">
        <v>283</v>
      </c>
      <c r="AN28" s="7" t="s">
        <v>275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7">
        <v>0</v>
      </c>
      <c r="CU28" s="7">
        <v>0</v>
      </c>
      <c r="CV28" s="7">
        <v>0</v>
      </c>
      <c r="CW28" s="7">
        <v>0</v>
      </c>
      <c r="CX28" s="7">
        <v>0</v>
      </c>
      <c r="CY28" s="7">
        <v>0</v>
      </c>
      <c r="CZ28" s="7">
        <v>0</v>
      </c>
      <c r="DA28" s="7">
        <v>0</v>
      </c>
      <c r="DB28" s="7">
        <v>0</v>
      </c>
      <c r="DC28" s="7">
        <v>0</v>
      </c>
      <c r="DD28" s="7">
        <v>0</v>
      </c>
      <c r="DE28" s="7">
        <v>0</v>
      </c>
      <c r="DF28" s="7">
        <v>0</v>
      </c>
      <c r="DG28" s="7">
        <v>0</v>
      </c>
      <c r="DH28" s="7">
        <v>0</v>
      </c>
      <c r="DI28" s="7">
        <v>0</v>
      </c>
      <c r="DJ28" s="7">
        <v>0</v>
      </c>
      <c r="DK28" s="7">
        <v>0</v>
      </c>
      <c r="DL28" s="7">
        <v>0</v>
      </c>
      <c r="DM28" s="7">
        <v>0</v>
      </c>
      <c r="DN28" s="7">
        <v>0</v>
      </c>
      <c r="DO28" s="7">
        <v>0</v>
      </c>
      <c r="DP28" s="7">
        <v>0</v>
      </c>
      <c r="DQ28" s="7">
        <v>0</v>
      </c>
      <c r="DR28" s="7">
        <v>0</v>
      </c>
      <c r="DS28" s="7">
        <v>0</v>
      </c>
      <c r="DT28" s="7">
        <v>0</v>
      </c>
      <c r="DU28" s="7">
        <v>0</v>
      </c>
      <c r="DV28" s="7">
        <v>0</v>
      </c>
      <c r="DW28" s="7">
        <v>0</v>
      </c>
      <c r="DX28" s="7">
        <v>0</v>
      </c>
      <c r="DY28" s="7">
        <v>0</v>
      </c>
      <c r="DZ28" s="7">
        <v>0</v>
      </c>
      <c r="EA28" s="7">
        <v>0</v>
      </c>
      <c r="EB28" s="7">
        <v>0</v>
      </c>
      <c r="EC28" s="7">
        <v>0</v>
      </c>
      <c r="ED28" s="7">
        <v>0</v>
      </c>
      <c r="EE28" s="7">
        <v>0</v>
      </c>
      <c r="EF28" s="7">
        <v>0</v>
      </c>
      <c r="EG28" s="7">
        <v>0</v>
      </c>
      <c r="EH28" s="7">
        <v>0</v>
      </c>
      <c r="EI28" s="7">
        <v>0</v>
      </c>
      <c r="EJ28" s="7">
        <v>0</v>
      </c>
      <c r="EK28" s="7">
        <v>0</v>
      </c>
      <c r="EL28" s="7">
        <v>0</v>
      </c>
      <c r="EM28" s="7">
        <v>0</v>
      </c>
      <c r="EN28" s="7">
        <v>0</v>
      </c>
      <c r="EO28" s="7">
        <v>0</v>
      </c>
      <c r="EP28" s="7">
        <v>0</v>
      </c>
      <c r="EQ28" s="7">
        <v>0</v>
      </c>
      <c r="ER28" s="7">
        <v>0</v>
      </c>
      <c r="ES28" s="7">
        <v>0</v>
      </c>
      <c r="ET28" s="7">
        <v>0</v>
      </c>
      <c r="EU28" s="7">
        <v>0</v>
      </c>
      <c r="EV28" s="7">
        <v>0</v>
      </c>
      <c r="EW28" s="7">
        <v>0</v>
      </c>
      <c r="EX28" s="7">
        <v>0</v>
      </c>
      <c r="EY28" s="7">
        <v>0</v>
      </c>
      <c r="EZ28" s="7">
        <v>0</v>
      </c>
      <c r="FA28" s="7">
        <v>0</v>
      </c>
      <c r="FB28" s="7">
        <v>0</v>
      </c>
      <c r="FC28" s="7">
        <v>0</v>
      </c>
      <c r="FD28" s="7">
        <v>0</v>
      </c>
      <c r="FE28" s="7">
        <v>0</v>
      </c>
      <c r="FF28" s="7">
        <v>0</v>
      </c>
      <c r="FG28" s="7">
        <v>0</v>
      </c>
      <c r="FH28" s="7">
        <f t="shared" si="4"/>
        <v>0</v>
      </c>
      <c r="FI28" s="18">
        <f>SUM(FH28:FH31)</f>
        <v>0</v>
      </c>
    </row>
    <row r="29" spans="1:165" hidden="1" x14ac:dyDescent="0.25">
      <c r="A29" s="16"/>
      <c r="B29" s="7" t="s">
        <v>276</v>
      </c>
      <c r="C29" s="7">
        <v>0</v>
      </c>
      <c r="D29" s="7">
        <v>0</v>
      </c>
      <c r="E29" s="7">
        <f t="shared" si="0"/>
        <v>0</v>
      </c>
      <c r="F29" s="16"/>
      <c r="I29" s="16"/>
      <c r="J29" s="7" t="s">
        <v>276</v>
      </c>
      <c r="K29" s="7">
        <v>0</v>
      </c>
      <c r="L29" s="7">
        <v>0</v>
      </c>
      <c r="M29" s="7">
        <v>0</v>
      </c>
      <c r="N29" s="7">
        <f t="shared" si="1"/>
        <v>0</v>
      </c>
      <c r="O29" s="16"/>
      <c r="R29" s="16"/>
      <c r="S29" s="7" t="s">
        <v>276</v>
      </c>
      <c r="T29" s="7">
        <v>0</v>
      </c>
      <c r="U29" s="7">
        <v>0</v>
      </c>
      <c r="V29" s="7">
        <v>0</v>
      </c>
      <c r="W29" s="7">
        <v>0</v>
      </c>
      <c r="X29" s="7">
        <f t="shared" si="2"/>
        <v>0</v>
      </c>
      <c r="Y29" s="16"/>
      <c r="AB29" s="16"/>
      <c r="AC29" s="7" t="s">
        <v>276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f t="shared" si="3"/>
        <v>0</v>
      </c>
      <c r="AJ29" s="16"/>
      <c r="AM29" s="16"/>
      <c r="AN29" s="7" t="s">
        <v>276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0</v>
      </c>
      <c r="CF29" s="7">
        <v>0</v>
      </c>
      <c r="CG29" s="7">
        <v>0</v>
      </c>
      <c r="CH29" s="7">
        <v>0</v>
      </c>
      <c r="CI29" s="7">
        <v>0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0</v>
      </c>
      <c r="CW29" s="7">
        <v>0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7">
        <v>0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</v>
      </c>
      <c r="DR29" s="7">
        <v>0</v>
      </c>
      <c r="DS29" s="7">
        <v>0</v>
      </c>
      <c r="DT29" s="7">
        <v>0</v>
      </c>
      <c r="DU29" s="7">
        <v>0</v>
      </c>
      <c r="DV29" s="7">
        <v>0</v>
      </c>
      <c r="DW29" s="7">
        <v>0</v>
      </c>
      <c r="DX29" s="7">
        <v>0</v>
      </c>
      <c r="DY29" s="7">
        <v>0</v>
      </c>
      <c r="DZ29" s="7">
        <v>0</v>
      </c>
      <c r="EA29" s="7">
        <v>0</v>
      </c>
      <c r="EB29" s="7">
        <v>0</v>
      </c>
      <c r="EC29" s="7">
        <v>0</v>
      </c>
      <c r="ED29" s="7">
        <v>0</v>
      </c>
      <c r="EE29" s="7">
        <v>0</v>
      </c>
      <c r="EF29" s="7">
        <v>0</v>
      </c>
      <c r="EG29" s="7">
        <v>0</v>
      </c>
      <c r="EH29" s="7">
        <v>0</v>
      </c>
      <c r="EI29" s="7">
        <v>0</v>
      </c>
      <c r="EJ29" s="7">
        <v>0</v>
      </c>
      <c r="EK29" s="7">
        <v>0</v>
      </c>
      <c r="EL29" s="7">
        <v>0</v>
      </c>
      <c r="EM29" s="7">
        <v>0</v>
      </c>
      <c r="EN29" s="7">
        <v>0</v>
      </c>
      <c r="EO29" s="7">
        <v>0</v>
      </c>
      <c r="EP29" s="7">
        <v>0</v>
      </c>
      <c r="EQ29" s="7">
        <v>0</v>
      </c>
      <c r="ER29" s="7">
        <v>0</v>
      </c>
      <c r="ES29" s="7">
        <v>0</v>
      </c>
      <c r="ET29" s="7">
        <v>0</v>
      </c>
      <c r="EU29" s="7">
        <v>0</v>
      </c>
      <c r="EV29" s="7">
        <v>0</v>
      </c>
      <c r="EW29" s="7">
        <v>0</v>
      </c>
      <c r="EX29" s="7">
        <v>0</v>
      </c>
      <c r="EY29" s="7">
        <v>0</v>
      </c>
      <c r="EZ29" s="7">
        <v>0</v>
      </c>
      <c r="FA29" s="7">
        <v>0</v>
      </c>
      <c r="FB29" s="7">
        <v>0</v>
      </c>
      <c r="FC29" s="7">
        <v>0</v>
      </c>
      <c r="FD29" s="7">
        <v>0</v>
      </c>
      <c r="FE29" s="7">
        <v>0</v>
      </c>
      <c r="FF29" s="7">
        <v>0</v>
      </c>
      <c r="FG29" s="7">
        <v>0</v>
      </c>
      <c r="FH29" s="7">
        <f t="shared" si="4"/>
        <v>0</v>
      </c>
      <c r="FI29" s="16"/>
    </row>
    <row r="30" spans="1:165" hidden="1" x14ac:dyDescent="0.25">
      <c r="A30" s="16"/>
      <c r="B30" s="7" t="s">
        <v>277</v>
      </c>
      <c r="C30" s="7">
        <v>0</v>
      </c>
      <c r="D30" s="7">
        <v>0</v>
      </c>
      <c r="E30" s="7">
        <f t="shared" si="0"/>
        <v>0</v>
      </c>
      <c r="F30" s="16"/>
      <c r="I30" s="16"/>
      <c r="J30" s="7" t="s">
        <v>277</v>
      </c>
      <c r="K30" s="7">
        <v>0</v>
      </c>
      <c r="L30" s="7">
        <v>0</v>
      </c>
      <c r="M30" s="7">
        <v>0</v>
      </c>
      <c r="N30" s="7">
        <f t="shared" si="1"/>
        <v>0</v>
      </c>
      <c r="O30" s="16"/>
      <c r="R30" s="16"/>
      <c r="S30" s="7" t="s">
        <v>277</v>
      </c>
      <c r="T30" s="7">
        <v>0</v>
      </c>
      <c r="U30" s="7">
        <v>0</v>
      </c>
      <c r="V30" s="7">
        <v>0</v>
      </c>
      <c r="W30" s="7">
        <v>0</v>
      </c>
      <c r="X30" s="7">
        <f t="shared" si="2"/>
        <v>0</v>
      </c>
      <c r="Y30" s="16"/>
      <c r="AB30" s="16"/>
      <c r="AC30" s="7" t="s">
        <v>277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f t="shared" si="3"/>
        <v>0</v>
      </c>
      <c r="AJ30" s="16"/>
      <c r="AM30" s="16"/>
      <c r="AN30" s="7" t="s">
        <v>277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0</v>
      </c>
      <c r="DW30" s="7">
        <v>0</v>
      </c>
      <c r="DX30" s="7">
        <v>0</v>
      </c>
      <c r="DY30" s="7">
        <v>0</v>
      </c>
      <c r="DZ30" s="7">
        <v>0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  <c r="EF30" s="7">
        <v>0</v>
      </c>
      <c r="EG30" s="7">
        <v>0</v>
      </c>
      <c r="EH30" s="7">
        <v>0</v>
      </c>
      <c r="EI30" s="7">
        <v>0</v>
      </c>
      <c r="EJ30" s="7">
        <v>0</v>
      </c>
      <c r="EK30" s="7">
        <v>0</v>
      </c>
      <c r="EL30" s="7">
        <v>0</v>
      </c>
      <c r="EM30" s="7">
        <v>0</v>
      </c>
      <c r="EN30" s="7">
        <v>0</v>
      </c>
      <c r="EO30" s="7">
        <v>0</v>
      </c>
      <c r="EP30" s="7">
        <v>0</v>
      </c>
      <c r="EQ30" s="7">
        <v>0</v>
      </c>
      <c r="ER30" s="7">
        <v>0</v>
      </c>
      <c r="ES30" s="7">
        <v>0</v>
      </c>
      <c r="ET30" s="7">
        <v>0</v>
      </c>
      <c r="EU30" s="7">
        <v>0</v>
      </c>
      <c r="EV30" s="7">
        <v>0</v>
      </c>
      <c r="EW30" s="7">
        <v>0</v>
      </c>
      <c r="EX30" s="7">
        <v>0</v>
      </c>
      <c r="EY30" s="7">
        <v>0</v>
      </c>
      <c r="EZ30" s="7">
        <v>0</v>
      </c>
      <c r="FA30" s="7">
        <v>0</v>
      </c>
      <c r="FB30" s="7">
        <v>0</v>
      </c>
      <c r="FC30" s="7">
        <v>0</v>
      </c>
      <c r="FD30" s="7">
        <v>0</v>
      </c>
      <c r="FE30" s="7">
        <v>0</v>
      </c>
      <c r="FF30" s="7">
        <v>0</v>
      </c>
      <c r="FG30" s="7">
        <v>0</v>
      </c>
      <c r="FH30" s="7">
        <f t="shared" si="4"/>
        <v>0</v>
      </c>
      <c r="FI30" s="16"/>
    </row>
    <row r="31" spans="1:165" hidden="1" x14ac:dyDescent="0.25">
      <c r="A31" s="17"/>
      <c r="B31" s="7" t="s">
        <v>278</v>
      </c>
      <c r="C31" s="7">
        <v>0</v>
      </c>
      <c r="D31" s="7">
        <v>0</v>
      </c>
      <c r="E31" s="7">
        <f t="shared" si="0"/>
        <v>0</v>
      </c>
      <c r="F31" s="17"/>
      <c r="I31" s="17"/>
      <c r="J31" s="7" t="s">
        <v>278</v>
      </c>
      <c r="K31" s="7">
        <v>0</v>
      </c>
      <c r="L31" s="7">
        <v>0</v>
      </c>
      <c r="M31" s="7">
        <v>0</v>
      </c>
      <c r="N31" s="7">
        <f t="shared" si="1"/>
        <v>0</v>
      </c>
      <c r="O31" s="17"/>
      <c r="R31" s="17"/>
      <c r="S31" s="7" t="s">
        <v>278</v>
      </c>
      <c r="T31" s="7">
        <v>0</v>
      </c>
      <c r="U31" s="7">
        <v>0</v>
      </c>
      <c r="V31" s="7">
        <v>0</v>
      </c>
      <c r="W31" s="7">
        <v>0</v>
      </c>
      <c r="X31" s="7">
        <f t="shared" si="2"/>
        <v>0</v>
      </c>
      <c r="Y31" s="17"/>
      <c r="AB31" s="17"/>
      <c r="AC31" s="7" t="s">
        <v>278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f t="shared" si="3"/>
        <v>0</v>
      </c>
      <c r="AJ31" s="17"/>
      <c r="AM31" s="17"/>
      <c r="AN31" s="7" t="s">
        <v>278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0</v>
      </c>
      <c r="DQ31" s="7">
        <v>0</v>
      </c>
      <c r="DR31" s="7">
        <v>0</v>
      </c>
      <c r="DS31" s="7">
        <v>0</v>
      </c>
      <c r="DT31" s="7">
        <v>0</v>
      </c>
      <c r="DU31" s="7">
        <v>0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0</v>
      </c>
      <c r="EC31" s="7">
        <v>0</v>
      </c>
      <c r="ED31" s="7">
        <v>0</v>
      </c>
      <c r="EE31" s="7">
        <v>0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0</v>
      </c>
      <c r="EV31" s="7">
        <v>0</v>
      </c>
      <c r="EW31" s="7">
        <v>0</v>
      </c>
      <c r="EX31" s="7">
        <v>0</v>
      </c>
      <c r="EY31" s="7">
        <v>0</v>
      </c>
      <c r="EZ31" s="7">
        <v>0</v>
      </c>
      <c r="FA31" s="7">
        <v>0</v>
      </c>
      <c r="FB31" s="7">
        <v>0</v>
      </c>
      <c r="FC31" s="7">
        <v>0</v>
      </c>
      <c r="FD31" s="7">
        <v>0</v>
      </c>
      <c r="FE31" s="7">
        <v>0</v>
      </c>
      <c r="FF31" s="7">
        <v>0</v>
      </c>
      <c r="FG31" s="7">
        <v>0</v>
      </c>
      <c r="FH31" s="7">
        <f t="shared" si="4"/>
        <v>0</v>
      </c>
      <c r="FI31" s="17"/>
    </row>
    <row r="32" spans="1:165" hidden="1" x14ac:dyDescent="0.25">
      <c r="A32" s="15" t="s">
        <v>284</v>
      </c>
      <c r="B32" s="7" t="s">
        <v>275</v>
      </c>
      <c r="C32" s="7">
        <v>0</v>
      </c>
      <c r="D32" s="7">
        <v>0</v>
      </c>
      <c r="E32" s="7">
        <f t="shared" si="0"/>
        <v>0</v>
      </c>
      <c r="F32" s="18">
        <f>SUM(E32:E35)</f>
        <v>0</v>
      </c>
      <c r="I32" s="15" t="s">
        <v>284</v>
      </c>
      <c r="J32" s="7" t="s">
        <v>275</v>
      </c>
      <c r="K32" s="7">
        <v>0</v>
      </c>
      <c r="L32" s="7">
        <v>0</v>
      </c>
      <c r="M32" s="7">
        <v>0</v>
      </c>
      <c r="N32" s="7">
        <f t="shared" si="1"/>
        <v>0</v>
      </c>
      <c r="O32" s="18">
        <f>SUM(N32:N35)</f>
        <v>0</v>
      </c>
      <c r="R32" s="15" t="s">
        <v>284</v>
      </c>
      <c r="S32" s="7" t="s">
        <v>275</v>
      </c>
      <c r="T32" s="7">
        <v>0</v>
      </c>
      <c r="U32" s="7">
        <v>0</v>
      </c>
      <c r="V32" s="7">
        <v>0</v>
      </c>
      <c r="W32" s="7">
        <v>0</v>
      </c>
      <c r="X32" s="7">
        <f t="shared" si="2"/>
        <v>0</v>
      </c>
      <c r="Y32" s="18">
        <f>SUM(X32:X35)</f>
        <v>0</v>
      </c>
      <c r="AB32" s="15" t="s">
        <v>284</v>
      </c>
      <c r="AC32" s="7" t="s">
        <v>275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f t="shared" si="3"/>
        <v>0</v>
      </c>
      <c r="AJ32" s="18">
        <f>SUM(AI32:AI35)</f>
        <v>0</v>
      </c>
      <c r="AM32" s="15" t="s">
        <v>284</v>
      </c>
      <c r="AN32" s="7" t="s">
        <v>275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7">
        <v>0</v>
      </c>
      <c r="DQ32" s="7">
        <v>0</v>
      </c>
      <c r="DR32" s="7">
        <v>0</v>
      </c>
      <c r="DS32" s="7">
        <v>0</v>
      </c>
      <c r="DT32" s="7">
        <v>0</v>
      </c>
      <c r="DU32" s="7">
        <v>0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  <c r="EF32" s="7">
        <v>0</v>
      </c>
      <c r="EG32" s="7">
        <v>0</v>
      </c>
      <c r="EH32" s="7">
        <v>0</v>
      </c>
      <c r="EI32" s="7">
        <v>0</v>
      </c>
      <c r="EJ32" s="7">
        <v>0</v>
      </c>
      <c r="EK32" s="7">
        <v>0</v>
      </c>
      <c r="EL32" s="7">
        <v>0</v>
      </c>
      <c r="EM32" s="7">
        <v>0</v>
      </c>
      <c r="EN32" s="7">
        <v>0</v>
      </c>
      <c r="EO32" s="7">
        <v>0</v>
      </c>
      <c r="EP32" s="7">
        <v>0</v>
      </c>
      <c r="EQ32" s="7">
        <v>0</v>
      </c>
      <c r="ER32" s="7">
        <v>0</v>
      </c>
      <c r="ES32" s="7">
        <v>0</v>
      </c>
      <c r="ET32" s="7">
        <v>0</v>
      </c>
      <c r="EU32" s="7">
        <v>0</v>
      </c>
      <c r="EV32" s="7">
        <v>0</v>
      </c>
      <c r="EW32" s="7">
        <v>0</v>
      </c>
      <c r="EX32" s="7">
        <v>0</v>
      </c>
      <c r="EY32" s="7">
        <v>0</v>
      </c>
      <c r="EZ32" s="7">
        <v>0</v>
      </c>
      <c r="FA32" s="7">
        <v>0</v>
      </c>
      <c r="FB32" s="7">
        <v>0</v>
      </c>
      <c r="FC32" s="7">
        <v>0</v>
      </c>
      <c r="FD32" s="7">
        <v>0</v>
      </c>
      <c r="FE32" s="7">
        <v>0</v>
      </c>
      <c r="FF32" s="7">
        <v>0</v>
      </c>
      <c r="FG32" s="7">
        <v>0</v>
      </c>
      <c r="FH32" s="7">
        <f t="shared" si="4"/>
        <v>0</v>
      </c>
      <c r="FI32" s="18">
        <f>SUM(FH32:FH35)</f>
        <v>0</v>
      </c>
    </row>
    <row r="33" spans="1:165" hidden="1" x14ac:dyDescent="0.25">
      <c r="A33" s="16"/>
      <c r="B33" s="7" t="s">
        <v>276</v>
      </c>
      <c r="C33" s="7">
        <v>0</v>
      </c>
      <c r="D33" s="7">
        <v>0</v>
      </c>
      <c r="E33" s="7">
        <f t="shared" si="0"/>
        <v>0</v>
      </c>
      <c r="F33" s="16"/>
      <c r="I33" s="16"/>
      <c r="J33" s="7" t="s">
        <v>276</v>
      </c>
      <c r="K33" s="7">
        <v>0</v>
      </c>
      <c r="L33" s="7">
        <v>0</v>
      </c>
      <c r="M33" s="7">
        <v>0</v>
      </c>
      <c r="N33" s="7">
        <f t="shared" si="1"/>
        <v>0</v>
      </c>
      <c r="O33" s="16"/>
      <c r="R33" s="16"/>
      <c r="S33" s="7" t="s">
        <v>276</v>
      </c>
      <c r="T33" s="7">
        <v>0</v>
      </c>
      <c r="U33" s="7">
        <v>0</v>
      </c>
      <c r="V33" s="7">
        <v>0</v>
      </c>
      <c r="W33" s="7">
        <v>0</v>
      </c>
      <c r="X33" s="7">
        <f t="shared" si="2"/>
        <v>0</v>
      </c>
      <c r="Y33" s="16"/>
      <c r="AB33" s="16"/>
      <c r="AC33" s="7" t="s">
        <v>276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f t="shared" si="3"/>
        <v>0</v>
      </c>
      <c r="AJ33" s="16"/>
      <c r="AM33" s="16"/>
      <c r="AN33" s="7" t="s">
        <v>276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  <c r="DS33" s="7">
        <v>0</v>
      </c>
      <c r="DT33" s="7">
        <v>0</v>
      </c>
      <c r="DU33" s="7">
        <v>0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7">
        <v>0</v>
      </c>
      <c r="EP33" s="7">
        <v>0</v>
      </c>
      <c r="EQ33" s="7">
        <v>0</v>
      </c>
      <c r="ER33" s="7">
        <v>0</v>
      </c>
      <c r="ES33" s="7">
        <v>0</v>
      </c>
      <c r="ET33" s="7">
        <v>0</v>
      </c>
      <c r="EU33" s="7">
        <v>0</v>
      </c>
      <c r="EV33" s="7">
        <v>0</v>
      </c>
      <c r="EW33" s="7">
        <v>0</v>
      </c>
      <c r="EX33" s="7">
        <v>0</v>
      </c>
      <c r="EY33" s="7">
        <v>0</v>
      </c>
      <c r="EZ33" s="7">
        <v>0</v>
      </c>
      <c r="FA33" s="7">
        <v>0</v>
      </c>
      <c r="FB33" s="7">
        <v>0</v>
      </c>
      <c r="FC33" s="7">
        <v>0</v>
      </c>
      <c r="FD33" s="7">
        <v>0</v>
      </c>
      <c r="FE33" s="7">
        <v>0</v>
      </c>
      <c r="FF33" s="7">
        <v>0</v>
      </c>
      <c r="FG33" s="7">
        <v>0</v>
      </c>
      <c r="FH33" s="7">
        <f t="shared" si="4"/>
        <v>0</v>
      </c>
      <c r="FI33" s="16"/>
    </row>
    <row r="34" spans="1:165" hidden="1" x14ac:dyDescent="0.25">
      <c r="A34" s="16"/>
      <c r="B34" s="7" t="s">
        <v>277</v>
      </c>
      <c r="C34" s="7">
        <v>0</v>
      </c>
      <c r="D34" s="7">
        <v>0</v>
      </c>
      <c r="E34" s="7">
        <f t="shared" si="0"/>
        <v>0</v>
      </c>
      <c r="F34" s="16"/>
      <c r="I34" s="16"/>
      <c r="J34" s="7" t="s">
        <v>277</v>
      </c>
      <c r="K34" s="7">
        <v>0</v>
      </c>
      <c r="L34" s="7">
        <v>0</v>
      </c>
      <c r="M34" s="7">
        <v>0</v>
      </c>
      <c r="N34" s="7">
        <f t="shared" si="1"/>
        <v>0</v>
      </c>
      <c r="O34" s="16"/>
      <c r="R34" s="16"/>
      <c r="S34" s="7" t="s">
        <v>277</v>
      </c>
      <c r="T34" s="7">
        <v>0</v>
      </c>
      <c r="U34" s="7">
        <v>0</v>
      </c>
      <c r="V34" s="7">
        <v>0</v>
      </c>
      <c r="W34" s="7">
        <v>0</v>
      </c>
      <c r="X34" s="7">
        <f t="shared" si="2"/>
        <v>0</v>
      </c>
      <c r="Y34" s="16"/>
      <c r="AB34" s="16"/>
      <c r="AC34" s="7" t="s">
        <v>277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f t="shared" si="3"/>
        <v>0</v>
      </c>
      <c r="AJ34" s="16"/>
      <c r="AM34" s="16"/>
      <c r="AN34" s="7" t="s">
        <v>277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7">
        <v>0</v>
      </c>
      <c r="CU34" s="7">
        <v>0</v>
      </c>
      <c r="CV34" s="7">
        <v>0</v>
      </c>
      <c r="CW34" s="7">
        <v>0</v>
      </c>
      <c r="CX34" s="7">
        <v>0</v>
      </c>
      <c r="CY34" s="7">
        <v>0</v>
      </c>
      <c r="CZ34" s="7">
        <v>0</v>
      </c>
      <c r="DA34" s="7">
        <v>0</v>
      </c>
      <c r="DB34" s="7">
        <v>0</v>
      </c>
      <c r="DC34" s="7">
        <v>0</v>
      </c>
      <c r="DD34" s="7">
        <v>0</v>
      </c>
      <c r="DE34" s="7">
        <v>0</v>
      </c>
      <c r="DF34" s="7">
        <v>0</v>
      </c>
      <c r="DG34" s="7">
        <v>0</v>
      </c>
      <c r="DH34" s="7">
        <v>0</v>
      </c>
      <c r="DI34" s="7">
        <v>0</v>
      </c>
      <c r="DJ34" s="7">
        <v>0</v>
      </c>
      <c r="DK34" s="7">
        <v>0</v>
      </c>
      <c r="DL34" s="7">
        <v>0</v>
      </c>
      <c r="DM34" s="7">
        <v>0</v>
      </c>
      <c r="DN34" s="7">
        <v>0</v>
      </c>
      <c r="DO34" s="7">
        <v>0</v>
      </c>
      <c r="DP34" s="7">
        <v>0</v>
      </c>
      <c r="DQ34" s="7">
        <v>0</v>
      </c>
      <c r="DR34" s="7">
        <v>0</v>
      </c>
      <c r="DS34" s="7">
        <v>0</v>
      </c>
      <c r="DT34" s="7">
        <v>0</v>
      </c>
      <c r="DU34" s="7">
        <v>0</v>
      </c>
      <c r="DV34" s="7">
        <v>0</v>
      </c>
      <c r="DW34" s="7">
        <v>0</v>
      </c>
      <c r="DX34" s="7">
        <v>0</v>
      </c>
      <c r="DY34" s="7">
        <v>0</v>
      </c>
      <c r="DZ34" s="7">
        <v>0</v>
      </c>
      <c r="EA34" s="7">
        <v>0</v>
      </c>
      <c r="EB34" s="7">
        <v>0</v>
      </c>
      <c r="EC34" s="7">
        <v>0</v>
      </c>
      <c r="ED34" s="7">
        <v>0</v>
      </c>
      <c r="EE34" s="7">
        <v>0</v>
      </c>
      <c r="EF34" s="7">
        <v>0</v>
      </c>
      <c r="EG34" s="7">
        <v>0</v>
      </c>
      <c r="EH34" s="7">
        <v>0</v>
      </c>
      <c r="EI34" s="7">
        <v>0</v>
      </c>
      <c r="EJ34" s="7">
        <v>0</v>
      </c>
      <c r="EK34" s="7">
        <v>0</v>
      </c>
      <c r="EL34" s="7">
        <v>0</v>
      </c>
      <c r="EM34" s="7">
        <v>0</v>
      </c>
      <c r="EN34" s="7">
        <v>0</v>
      </c>
      <c r="EO34" s="7">
        <v>0</v>
      </c>
      <c r="EP34" s="7">
        <v>0</v>
      </c>
      <c r="EQ34" s="7">
        <v>0</v>
      </c>
      <c r="ER34" s="7">
        <v>0</v>
      </c>
      <c r="ES34" s="7">
        <v>0</v>
      </c>
      <c r="ET34" s="7">
        <v>0</v>
      </c>
      <c r="EU34" s="7">
        <v>0</v>
      </c>
      <c r="EV34" s="7">
        <v>0</v>
      </c>
      <c r="EW34" s="7">
        <v>0</v>
      </c>
      <c r="EX34" s="7">
        <v>0</v>
      </c>
      <c r="EY34" s="7">
        <v>0</v>
      </c>
      <c r="EZ34" s="7">
        <v>0</v>
      </c>
      <c r="FA34" s="7">
        <v>0</v>
      </c>
      <c r="FB34" s="7">
        <v>0</v>
      </c>
      <c r="FC34" s="7">
        <v>0</v>
      </c>
      <c r="FD34" s="7">
        <v>0</v>
      </c>
      <c r="FE34" s="7">
        <v>0</v>
      </c>
      <c r="FF34" s="7">
        <v>0</v>
      </c>
      <c r="FG34" s="7">
        <v>0</v>
      </c>
      <c r="FH34" s="7">
        <f t="shared" si="4"/>
        <v>0</v>
      </c>
      <c r="FI34" s="16"/>
    </row>
    <row r="35" spans="1:165" hidden="1" x14ac:dyDescent="0.25">
      <c r="A35" s="17"/>
      <c r="B35" s="7" t="s">
        <v>278</v>
      </c>
      <c r="C35" s="7">
        <v>0</v>
      </c>
      <c r="D35" s="7">
        <v>0</v>
      </c>
      <c r="E35" s="7">
        <f t="shared" si="0"/>
        <v>0</v>
      </c>
      <c r="F35" s="17"/>
      <c r="I35" s="17"/>
      <c r="J35" s="7" t="s">
        <v>278</v>
      </c>
      <c r="K35" s="7">
        <v>0</v>
      </c>
      <c r="L35" s="7">
        <v>0</v>
      </c>
      <c r="M35" s="7">
        <v>0</v>
      </c>
      <c r="N35" s="7">
        <f t="shared" si="1"/>
        <v>0</v>
      </c>
      <c r="O35" s="17"/>
      <c r="R35" s="17"/>
      <c r="S35" s="7" t="s">
        <v>278</v>
      </c>
      <c r="T35" s="7">
        <v>0</v>
      </c>
      <c r="U35" s="7">
        <v>0</v>
      </c>
      <c r="V35" s="7">
        <v>0</v>
      </c>
      <c r="W35" s="7">
        <v>0</v>
      </c>
      <c r="X35" s="7">
        <f t="shared" si="2"/>
        <v>0</v>
      </c>
      <c r="Y35" s="17"/>
      <c r="AB35" s="17"/>
      <c r="AC35" s="7" t="s">
        <v>278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f t="shared" si="3"/>
        <v>0</v>
      </c>
      <c r="AJ35" s="17"/>
      <c r="AM35" s="17"/>
      <c r="AN35" s="7" t="s">
        <v>278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0</v>
      </c>
      <c r="CJ35" s="7">
        <v>0</v>
      </c>
      <c r="CK35" s="7">
        <v>0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D35" s="7">
        <v>0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  <c r="EF35" s="7">
        <v>0</v>
      </c>
      <c r="EG35" s="7">
        <v>0</v>
      </c>
      <c r="EH35" s="7">
        <v>0</v>
      </c>
      <c r="EI35" s="7">
        <v>0</v>
      </c>
      <c r="EJ35" s="7">
        <v>0</v>
      </c>
      <c r="EK35" s="7">
        <v>0</v>
      </c>
      <c r="EL35" s="7">
        <v>0</v>
      </c>
      <c r="EM35" s="7">
        <v>0</v>
      </c>
      <c r="EN35" s="7">
        <v>0</v>
      </c>
      <c r="EO35" s="7">
        <v>0</v>
      </c>
      <c r="EP35" s="7">
        <v>0</v>
      </c>
      <c r="EQ35" s="7">
        <v>0</v>
      </c>
      <c r="ER35" s="7">
        <v>0</v>
      </c>
      <c r="ES35" s="7">
        <v>0</v>
      </c>
      <c r="ET35" s="7">
        <v>0</v>
      </c>
      <c r="EU35" s="7">
        <v>0</v>
      </c>
      <c r="EV35" s="7">
        <v>0</v>
      </c>
      <c r="EW35" s="7">
        <v>0</v>
      </c>
      <c r="EX35" s="7">
        <v>0</v>
      </c>
      <c r="EY35" s="7">
        <v>0</v>
      </c>
      <c r="EZ35" s="7">
        <v>0</v>
      </c>
      <c r="FA35" s="7">
        <v>0</v>
      </c>
      <c r="FB35" s="7">
        <v>0</v>
      </c>
      <c r="FC35" s="7">
        <v>0</v>
      </c>
      <c r="FD35" s="7">
        <v>0</v>
      </c>
      <c r="FE35" s="7">
        <v>0</v>
      </c>
      <c r="FF35" s="7">
        <v>0</v>
      </c>
      <c r="FG35" s="7">
        <v>0</v>
      </c>
      <c r="FH35" s="7">
        <f t="shared" si="4"/>
        <v>0</v>
      </c>
      <c r="FI35" s="17"/>
    </row>
    <row r="36" spans="1:165" hidden="1" x14ac:dyDescent="0.25">
      <c r="A36" s="15" t="s">
        <v>285</v>
      </c>
      <c r="B36" s="7" t="s">
        <v>275</v>
      </c>
      <c r="C36" s="7">
        <v>0</v>
      </c>
      <c r="D36" s="7">
        <v>0</v>
      </c>
      <c r="E36" s="7">
        <f t="shared" si="0"/>
        <v>0</v>
      </c>
      <c r="F36" s="18">
        <f>SUM(E36:E39)</f>
        <v>0</v>
      </c>
      <c r="I36" s="15" t="s">
        <v>285</v>
      </c>
      <c r="J36" s="7" t="s">
        <v>275</v>
      </c>
      <c r="K36" s="7">
        <v>0</v>
      </c>
      <c r="L36" s="7">
        <v>0</v>
      </c>
      <c r="M36" s="7">
        <v>0</v>
      </c>
      <c r="N36" s="7">
        <f t="shared" si="1"/>
        <v>0</v>
      </c>
      <c r="O36" s="18">
        <f>SUM(N36:N39)</f>
        <v>0</v>
      </c>
      <c r="R36" s="15" t="s">
        <v>285</v>
      </c>
      <c r="S36" s="7" t="s">
        <v>275</v>
      </c>
      <c r="T36" s="7">
        <v>0</v>
      </c>
      <c r="U36" s="7">
        <v>0</v>
      </c>
      <c r="V36" s="7">
        <v>0</v>
      </c>
      <c r="W36" s="7">
        <v>0</v>
      </c>
      <c r="X36" s="7">
        <f t="shared" si="2"/>
        <v>0</v>
      </c>
      <c r="Y36" s="18">
        <f>SUM(X36:X39)</f>
        <v>0</v>
      </c>
      <c r="AB36" s="15" t="s">
        <v>285</v>
      </c>
      <c r="AC36" s="7" t="s">
        <v>275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f t="shared" si="3"/>
        <v>0</v>
      </c>
      <c r="AJ36" s="18">
        <f>SUM(AI36:AI39)</f>
        <v>0</v>
      </c>
      <c r="AM36" s="15" t="s">
        <v>285</v>
      </c>
      <c r="AN36" s="7" t="s">
        <v>275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P36" s="7">
        <v>0</v>
      </c>
      <c r="DQ36" s="7">
        <v>0</v>
      </c>
      <c r="DR36" s="7">
        <v>0</v>
      </c>
      <c r="DS36" s="7">
        <v>0</v>
      </c>
      <c r="DT36" s="7">
        <v>0</v>
      </c>
      <c r="DU36" s="7">
        <v>0</v>
      </c>
      <c r="DV36" s="7">
        <v>0</v>
      </c>
      <c r="DW36" s="7">
        <v>0</v>
      </c>
      <c r="DX36" s="7">
        <v>0</v>
      </c>
      <c r="DY36" s="7">
        <v>0</v>
      </c>
      <c r="DZ36" s="7">
        <v>0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  <c r="EF36" s="7">
        <v>0</v>
      </c>
      <c r="EG36" s="7">
        <v>0</v>
      </c>
      <c r="EH36" s="7">
        <v>0</v>
      </c>
      <c r="EI36" s="7">
        <v>0</v>
      </c>
      <c r="EJ36" s="7">
        <v>0</v>
      </c>
      <c r="EK36" s="7">
        <v>0</v>
      </c>
      <c r="EL36" s="7">
        <v>0</v>
      </c>
      <c r="EM36" s="7">
        <v>0</v>
      </c>
      <c r="EN36" s="7">
        <v>0</v>
      </c>
      <c r="EO36" s="7">
        <v>0</v>
      </c>
      <c r="EP36" s="7">
        <v>0</v>
      </c>
      <c r="EQ36" s="7">
        <v>0</v>
      </c>
      <c r="ER36" s="7">
        <v>0</v>
      </c>
      <c r="ES36" s="7">
        <v>0</v>
      </c>
      <c r="ET36" s="7">
        <v>0</v>
      </c>
      <c r="EU36" s="7">
        <v>0</v>
      </c>
      <c r="EV36" s="7">
        <v>0</v>
      </c>
      <c r="EW36" s="7">
        <v>0</v>
      </c>
      <c r="EX36" s="7">
        <v>0</v>
      </c>
      <c r="EY36" s="7">
        <v>0</v>
      </c>
      <c r="EZ36" s="7">
        <v>0</v>
      </c>
      <c r="FA36" s="7">
        <v>0</v>
      </c>
      <c r="FB36" s="7">
        <v>0</v>
      </c>
      <c r="FC36" s="7">
        <v>0</v>
      </c>
      <c r="FD36" s="7">
        <v>0</v>
      </c>
      <c r="FE36" s="7">
        <v>0</v>
      </c>
      <c r="FF36" s="7">
        <v>0</v>
      </c>
      <c r="FG36" s="7">
        <v>0</v>
      </c>
      <c r="FH36" s="7">
        <f t="shared" si="4"/>
        <v>0</v>
      </c>
      <c r="FI36" s="18">
        <f>SUM(FH36:FH39)</f>
        <v>0</v>
      </c>
    </row>
    <row r="37" spans="1:165" hidden="1" x14ac:dyDescent="0.25">
      <c r="A37" s="16"/>
      <c r="B37" s="7" t="s">
        <v>276</v>
      </c>
      <c r="C37" s="7">
        <v>0</v>
      </c>
      <c r="D37" s="7">
        <v>0</v>
      </c>
      <c r="E37" s="7">
        <f t="shared" si="0"/>
        <v>0</v>
      </c>
      <c r="F37" s="16"/>
      <c r="I37" s="16"/>
      <c r="J37" s="7" t="s">
        <v>276</v>
      </c>
      <c r="K37" s="7">
        <v>0</v>
      </c>
      <c r="L37" s="7">
        <v>0</v>
      </c>
      <c r="M37" s="7">
        <v>0</v>
      </c>
      <c r="N37" s="7">
        <f t="shared" si="1"/>
        <v>0</v>
      </c>
      <c r="O37" s="16"/>
      <c r="R37" s="16"/>
      <c r="S37" s="7" t="s">
        <v>276</v>
      </c>
      <c r="T37" s="7">
        <v>0</v>
      </c>
      <c r="U37" s="7">
        <v>0</v>
      </c>
      <c r="V37" s="7">
        <v>0</v>
      </c>
      <c r="W37" s="7">
        <v>0</v>
      </c>
      <c r="X37" s="7">
        <f t="shared" si="2"/>
        <v>0</v>
      </c>
      <c r="Y37" s="16"/>
      <c r="AB37" s="16"/>
      <c r="AC37" s="7" t="s">
        <v>276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f t="shared" si="3"/>
        <v>0</v>
      </c>
      <c r="AJ37" s="16"/>
      <c r="AM37" s="16"/>
      <c r="AN37" s="7" t="s">
        <v>276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D37" s="7">
        <v>0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7">
        <v>0</v>
      </c>
      <c r="DR37" s="7">
        <v>0</v>
      </c>
      <c r="DS37" s="7">
        <v>0</v>
      </c>
      <c r="DT37" s="7">
        <v>0</v>
      </c>
      <c r="DU37" s="7">
        <v>0</v>
      </c>
      <c r="DV37" s="7">
        <v>0</v>
      </c>
      <c r="DW37" s="7">
        <v>0</v>
      </c>
      <c r="DX37" s="7">
        <v>0</v>
      </c>
      <c r="DY37" s="7">
        <v>0</v>
      </c>
      <c r="DZ37" s="7">
        <v>0</v>
      </c>
      <c r="EA37" s="7">
        <v>0</v>
      </c>
      <c r="EB37" s="7">
        <v>0</v>
      </c>
      <c r="EC37" s="7">
        <v>0</v>
      </c>
      <c r="ED37" s="7">
        <v>0</v>
      </c>
      <c r="EE37" s="7">
        <v>0</v>
      </c>
      <c r="EF37" s="7">
        <v>0</v>
      </c>
      <c r="EG37" s="7">
        <v>0</v>
      </c>
      <c r="EH37" s="7">
        <v>0</v>
      </c>
      <c r="EI37" s="7">
        <v>0</v>
      </c>
      <c r="EJ37" s="7">
        <v>0</v>
      </c>
      <c r="EK37" s="7">
        <v>0</v>
      </c>
      <c r="EL37" s="7">
        <v>0</v>
      </c>
      <c r="EM37" s="7">
        <v>0</v>
      </c>
      <c r="EN37" s="7">
        <v>0</v>
      </c>
      <c r="EO37" s="7">
        <v>0</v>
      </c>
      <c r="EP37" s="7">
        <v>0</v>
      </c>
      <c r="EQ37" s="7">
        <v>0</v>
      </c>
      <c r="ER37" s="7">
        <v>0</v>
      </c>
      <c r="ES37" s="7">
        <v>0</v>
      </c>
      <c r="ET37" s="7">
        <v>0</v>
      </c>
      <c r="EU37" s="7">
        <v>0</v>
      </c>
      <c r="EV37" s="7">
        <v>0</v>
      </c>
      <c r="EW37" s="7">
        <v>0</v>
      </c>
      <c r="EX37" s="7">
        <v>0</v>
      </c>
      <c r="EY37" s="7">
        <v>0</v>
      </c>
      <c r="EZ37" s="7">
        <v>0</v>
      </c>
      <c r="FA37" s="7">
        <v>0</v>
      </c>
      <c r="FB37" s="7">
        <v>0</v>
      </c>
      <c r="FC37" s="7">
        <v>0</v>
      </c>
      <c r="FD37" s="7">
        <v>0</v>
      </c>
      <c r="FE37" s="7">
        <v>0</v>
      </c>
      <c r="FF37" s="7">
        <v>0</v>
      </c>
      <c r="FG37" s="7">
        <v>0</v>
      </c>
      <c r="FH37" s="7">
        <f t="shared" si="4"/>
        <v>0</v>
      </c>
      <c r="FI37" s="16"/>
    </row>
    <row r="38" spans="1:165" hidden="1" x14ac:dyDescent="0.25">
      <c r="A38" s="16"/>
      <c r="B38" s="7" t="s">
        <v>277</v>
      </c>
      <c r="C38" s="7">
        <v>0</v>
      </c>
      <c r="D38" s="7">
        <v>0</v>
      </c>
      <c r="E38" s="7">
        <f t="shared" si="0"/>
        <v>0</v>
      </c>
      <c r="F38" s="16"/>
      <c r="I38" s="16"/>
      <c r="J38" s="7" t="s">
        <v>277</v>
      </c>
      <c r="K38" s="7">
        <v>0</v>
      </c>
      <c r="L38" s="7">
        <v>0</v>
      </c>
      <c r="M38" s="7">
        <v>0</v>
      </c>
      <c r="N38" s="7">
        <f t="shared" si="1"/>
        <v>0</v>
      </c>
      <c r="O38" s="16"/>
      <c r="R38" s="16"/>
      <c r="S38" s="7" t="s">
        <v>277</v>
      </c>
      <c r="T38" s="7">
        <v>0</v>
      </c>
      <c r="U38" s="7">
        <v>0</v>
      </c>
      <c r="V38" s="7">
        <v>0</v>
      </c>
      <c r="W38" s="7">
        <v>0</v>
      </c>
      <c r="X38" s="7">
        <f t="shared" si="2"/>
        <v>0</v>
      </c>
      <c r="Y38" s="16"/>
      <c r="AB38" s="16"/>
      <c r="AC38" s="7" t="s">
        <v>277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f t="shared" si="3"/>
        <v>0</v>
      </c>
      <c r="AJ38" s="16"/>
      <c r="AM38" s="16"/>
      <c r="AN38" s="7" t="s">
        <v>277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G38" s="7">
        <v>0</v>
      </c>
      <c r="CH38" s="7">
        <v>0</v>
      </c>
      <c r="CI38" s="7">
        <v>0</v>
      </c>
      <c r="CJ38" s="7">
        <v>0</v>
      </c>
      <c r="CK38" s="7">
        <v>0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v>0</v>
      </c>
      <c r="DT38" s="7">
        <v>0</v>
      </c>
      <c r="DU38" s="7">
        <v>0</v>
      </c>
      <c r="DV38" s="7">
        <v>0</v>
      </c>
      <c r="DW38" s="7">
        <v>0</v>
      </c>
      <c r="DX38" s="7">
        <v>0</v>
      </c>
      <c r="DY38" s="7">
        <v>0</v>
      </c>
      <c r="DZ38" s="7">
        <v>0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  <c r="EF38" s="7">
        <v>0</v>
      </c>
      <c r="EG38" s="7">
        <v>0</v>
      </c>
      <c r="EH38" s="7">
        <v>0</v>
      </c>
      <c r="EI38" s="7">
        <v>0</v>
      </c>
      <c r="EJ38" s="7">
        <v>0</v>
      </c>
      <c r="EK38" s="7">
        <v>0</v>
      </c>
      <c r="EL38" s="7">
        <v>0</v>
      </c>
      <c r="EM38" s="7">
        <v>0</v>
      </c>
      <c r="EN38" s="7">
        <v>0</v>
      </c>
      <c r="EO38" s="7">
        <v>0</v>
      </c>
      <c r="EP38" s="7">
        <v>0</v>
      </c>
      <c r="EQ38" s="7">
        <v>0</v>
      </c>
      <c r="ER38" s="7">
        <v>0</v>
      </c>
      <c r="ES38" s="7">
        <v>0</v>
      </c>
      <c r="ET38" s="7">
        <v>0</v>
      </c>
      <c r="EU38" s="7">
        <v>0</v>
      </c>
      <c r="EV38" s="7">
        <v>0</v>
      </c>
      <c r="EW38" s="7">
        <v>0</v>
      </c>
      <c r="EX38" s="7">
        <v>0</v>
      </c>
      <c r="EY38" s="7">
        <v>0</v>
      </c>
      <c r="EZ38" s="7">
        <v>0</v>
      </c>
      <c r="FA38" s="7">
        <v>0</v>
      </c>
      <c r="FB38" s="7">
        <v>0</v>
      </c>
      <c r="FC38" s="7">
        <v>0</v>
      </c>
      <c r="FD38" s="7">
        <v>0</v>
      </c>
      <c r="FE38" s="7">
        <v>0</v>
      </c>
      <c r="FF38" s="7">
        <v>0</v>
      </c>
      <c r="FG38" s="7">
        <v>0</v>
      </c>
      <c r="FH38" s="7">
        <f t="shared" si="4"/>
        <v>0</v>
      </c>
      <c r="FI38" s="16"/>
    </row>
    <row r="39" spans="1:165" hidden="1" x14ac:dyDescent="0.25">
      <c r="A39" s="17"/>
      <c r="B39" s="7" t="s">
        <v>278</v>
      </c>
      <c r="C39" s="7">
        <v>0</v>
      </c>
      <c r="D39" s="7">
        <v>0</v>
      </c>
      <c r="E39" s="7">
        <f t="shared" si="0"/>
        <v>0</v>
      </c>
      <c r="F39" s="17"/>
      <c r="I39" s="17"/>
      <c r="J39" s="7" t="s">
        <v>278</v>
      </c>
      <c r="K39" s="7">
        <v>0</v>
      </c>
      <c r="L39" s="7">
        <v>0</v>
      </c>
      <c r="M39" s="7">
        <v>0</v>
      </c>
      <c r="N39" s="7">
        <f t="shared" si="1"/>
        <v>0</v>
      </c>
      <c r="O39" s="17"/>
      <c r="R39" s="17"/>
      <c r="S39" s="7" t="s">
        <v>278</v>
      </c>
      <c r="T39" s="7">
        <v>0</v>
      </c>
      <c r="U39" s="7">
        <v>0</v>
      </c>
      <c r="V39" s="7">
        <v>0</v>
      </c>
      <c r="W39" s="7">
        <v>0</v>
      </c>
      <c r="X39" s="7">
        <f t="shared" si="2"/>
        <v>0</v>
      </c>
      <c r="Y39" s="17"/>
      <c r="AB39" s="17"/>
      <c r="AC39" s="7" t="s">
        <v>278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f t="shared" si="3"/>
        <v>0</v>
      </c>
      <c r="AJ39" s="17"/>
      <c r="AM39" s="17"/>
      <c r="AN39" s="7" t="s">
        <v>278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7">
        <v>0</v>
      </c>
      <c r="BV39" s="7">
        <v>0</v>
      </c>
      <c r="BW39" s="7">
        <v>0</v>
      </c>
      <c r="BX39" s="7">
        <v>0</v>
      </c>
      <c r="BY39" s="7">
        <v>0</v>
      </c>
      <c r="BZ39" s="7">
        <v>0</v>
      </c>
      <c r="CA39" s="7">
        <v>0</v>
      </c>
      <c r="CB39" s="7">
        <v>0</v>
      </c>
      <c r="CC39" s="7">
        <v>0</v>
      </c>
      <c r="CD39" s="7">
        <v>0</v>
      </c>
      <c r="CE39" s="7">
        <v>0</v>
      </c>
      <c r="CF39" s="7">
        <v>0</v>
      </c>
      <c r="CG39" s="7">
        <v>0</v>
      </c>
      <c r="CH39" s="7">
        <v>0</v>
      </c>
      <c r="CI39" s="7">
        <v>0</v>
      </c>
      <c r="CJ39" s="7">
        <v>0</v>
      </c>
      <c r="CK39" s="7">
        <v>0</v>
      </c>
      <c r="CL39" s="7">
        <v>0</v>
      </c>
      <c r="CM39" s="7">
        <v>0</v>
      </c>
      <c r="CN39" s="7">
        <v>0</v>
      </c>
      <c r="CO39" s="7">
        <v>0</v>
      </c>
      <c r="CP39" s="7">
        <v>0</v>
      </c>
      <c r="CQ39" s="7">
        <v>0</v>
      </c>
      <c r="CR39" s="7">
        <v>0</v>
      </c>
      <c r="CS39" s="7">
        <v>0</v>
      </c>
      <c r="CT39" s="7">
        <v>0</v>
      </c>
      <c r="CU39" s="7">
        <v>0</v>
      </c>
      <c r="CV39" s="7">
        <v>0</v>
      </c>
      <c r="CW39" s="7">
        <v>0</v>
      </c>
      <c r="CX39" s="7">
        <v>0</v>
      </c>
      <c r="CY39" s="7">
        <v>0</v>
      </c>
      <c r="CZ39" s="7">
        <v>0</v>
      </c>
      <c r="DA39" s="7">
        <v>0</v>
      </c>
      <c r="DB39" s="7">
        <v>0</v>
      </c>
      <c r="DC39" s="7">
        <v>0</v>
      </c>
      <c r="DD39" s="7">
        <v>0</v>
      </c>
      <c r="DE39" s="7">
        <v>0</v>
      </c>
      <c r="DF39" s="7">
        <v>0</v>
      </c>
      <c r="DG39" s="7">
        <v>0</v>
      </c>
      <c r="DH39" s="7">
        <v>0</v>
      </c>
      <c r="DI39" s="7">
        <v>0</v>
      </c>
      <c r="DJ39" s="7">
        <v>0</v>
      </c>
      <c r="DK39" s="7">
        <v>0</v>
      </c>
      <c r="DL39" s="7">
        <v>0</v>
      </c>
      <c r="DM39" s="7">
        <v>0</v>
      </c>
      <c r="DN39" s="7">
        <v>0</v>
      </c>
      <c r="DO39" s="7">
        <v>0</v>
      </c>
      <c r="DP39" s="7">
        <v>0</v>
      </c>
      <c r="DQ39" s="7">
        <v>0</v>
      </c>
      <c r="DR39" s="7">
        <v>0</v>
      </c>
      <c r="DS39" s="7">
        <v>0</v>
      </c>
      <c r="DT39" s="7">
        <v>0</v>
      </c>
      <c r="DU39" s="7">
        <v>0</v>
      </c>
      <c r="DV39" s="7">
        <v>0</v>
      </c>
      <c r="DW39" s="7">
        <v>0</v>
      </c>
      <c r="DX39" s="7">
        <v>0</v>
      </c>
      <c r="DY39" s="7">
        <v>0</v>
      </c>
      <c r="DZ39" s="7">
        <v>0</v>
      </c>
      <c r="EA39" s="7">
        <v>0</v>
      </c>
      <c r="EB39" s="7">
        <v>0</v>
      </c>
      <c r="EC39" s="7">
        <v>0</v>
      </c>
      <c r="ED39" s="7">
        <v>0</v>
      </c>
      <c r="EE39" s="7">
        <v>0</v>
      </c>
      <c r="EF39" s="7">
        <v>0</v>
      </c>
      <c r="EG39" s="7">
        <v>0</v>
      </c>
      <c r="EH39" s="7">
        <v>0</v>
      </c>
      <c r="EI39" s="7">
        <v>0</v>
      </c>
      <c r="EJ39" s="7">
        <v>0</v>
      </c>
      <c r="EK39" s="7">
        <v>0</v>
      </c>
      <c r="EL39" s="7">
        <v>0</v>
      </c>
      <c r="EM39" s="7">
        <v>0</v>
      </c>
      <c r="EN39" s="7">
        <v>0</v>
      </c>
      <c r="EO39" s="7">
        <v>0</v>
      </c>
      <c r="EP39" s="7">
        <v>0</v>
      </c>
      <c r="EQ39" s="7">
        <v>0</v>
      </c>
      <c r="ER39" s="7">
        <v>0</v>
      </c>
      <c r="ES39" s="7">
        <v>0</v>
      </c>
      <c r="ET39" s="7">
        <v>0</v>
      </c>
      <c r="EU39" s="7">
        <v>0</v>
      </c>
      <c r="EV39" s="7">
        <v>0</v>
      </c>
      <c r="EW39" s="7">
        <v>0</v>
      </c>
      <c r="EX39" s="7">
        <v>0</v>
      </c>
      <c r="EY39" s="7">
        <v>0</v>
      </c>
      <c r="EZ39" s="7">
        <v>0</v>
      </c>
      <c r="FA39" s="7">
        <v>0</v>
      </c>
      <c r="FB39" s="7">
        <v>0</v>
      </c>
      <c r="FC39" s="7">
        <v>0</v>
      </c>
      <c r="FD39" s="7">
        <v>0</v>
      </c>
      <c r="FE39" s="7">
        <v>0</v>
      </c>
      <c r="FF39" s="7">
        <v>0</v>
      </c>
      <c r="FG39" s="7">
        <v>0</v>
      </c>
      <c r="FH39" s="7">
        <f t="shared" si="4"/>
        <v>0</v>
      </c>
      <c r="FI39" s="17"/>
    </row>
    <row r="40" spans="1:165" hidden="1" x14ac:dyDescent="0.25">
      <c r="A40" s="15" t="s">
        <v>286</v>
      </c>
      <c r="B40" s="7" t="s">
        <v>275</v>
      </c>
      <c r="C40" s="7">
        <v>0</v>
      </c>
      <c r="D40" s="7">
        <v>0</v>
      </c>
      <c r="E40" s="7">
        <f t="shared" ref="E40:E70" si="5">SUM(C40:D40)</f>
        <v>0</v>
      </c>
      <c r="F40" s="18">
        <f>SUM(E40:E43)</f>
        <v>0</v>
      </c>
      <c r="I40" s="15" t="s">
        <v>286</v>
      </c>
      <c r="J40" s="7" t="s">
        <v>275</v>
      </c>
      <c r="K40" s="7">
        <v>0</v>
      </c>
      <c r="L40" s="7">
        <v>0</v>
      </c>
      <c r="M40" s="7">
        <v>0</v>
      </c>
      <c r="N40" s="7">
        <f t="shared" ref="N40:N70" si="6">SUM(K40:M40)</f>
        <v>0</v>
      </c>
      <c r="O40" s="18">
        <f>SUM(N40:N43)</f>
        <v>0</v>
      </c>
      <c r="R40" s="15" t="s">
        <v>286</v>
      </c>
      <c r="S40" s="7" t="s">
        <v>275</v>
      </c>
      <c r="T40" s="7">
        <v>0</v>
      </c>
      <c r="U40" s="7">
        <v>0</v>
      </c>
      <c r="V40" s="7">
        <v>0</v>
      </c>
      <c r="W40" s="7">
        <v>0</v>
      </c>
      <c r="X40" s="7">
        <f t="shared" ref="X40:X70" si="7">SUM(T40:W40)</f>
        <v>0</v>
      </c>
      <c r="Y40" s="18">
        <f>SUM(X40:X43)</f>
        <v>0</v>
      </c>
      <c r="AB40" s="15" t="s">
        <v>286</v>
      </c>
      <c r="AC40" s="7" t="s">
        <v>275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f t="shared" ref="AI40:AI70" si="8">SUM(AD40:AH40)</f>
        <v>0</v>
      </c>
      <c r="AJ40" s="18">
        <f>SUM(AI40:AI43)</f>
        <v>0</v>
      </c>
      <c r="AM40" s="15" t="s">
        <v>286</v>
      </c>
      <c r="AN40" s="7" t="s">
        <v>275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G40" s="7">
        <v>0</v>
      </c>
      <c r="CH40" s="7">
        <v>0</v>
      </c>
      <c r="CI40" s="7">
        <v>0</v>
      </c>
      <c r="CJ40" s="7">
        <v>0</v>
      </c>
      <c r="CK40" s="7">
        <v>0</v>
      </c>
      <c r="CL40" s="7">
        <v>0</v>
      </c>
      <c r="CM40" s="7">
        <v>0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P40" s="7">
        <v>0</v>
      </c>
      <c r="DQ40" s="7">
        <v>0</v>
      </c>
      <c r="DR40" s="7">
        <v>0</v>
      </c>
      <c r="DS40" s="7">
        <v>0</v>
      </c>
      <c r="DT40" s="7">
        <v>0</v>
      </c>
      <c r="DU40" s="7">
        <v>0</v>
      </c>
      <c r="DV40" s="7">
        <v>0</v>
      </c>
      <c r="DW40" s="7">
        <v>0</v>
      </c>
      <c r="DX40" s="7">
        <v>0</v>
      </c>
      <c r="DY40" s="7">
        <v>0</v>
      </c>
      <c r="DZ40" s="7">
        <v>0</v>
      </c>
      <c r="EA40" s="7">
        <v>0</v>
      </c>
      <c r="EB40" s="7">
        <v>0</v>
      </c>
      <c r="EC40" s="7">
        <v>0</v>
      </c>
      <c r="ED40" s="7">
        <v>0</v>
      </c>
      <c r="EE40" s="7">
        <v>0</v>
      </c>
      <c r="EF40" s="7">
        <v>0</v>
      </c>
      <c r="EG40" s="7">
        <v>0</v>
      </c>
      <c r="EH40" s="7">
        <v>0</v>
      </c>
      <c r="EI40" s="7">
        <v>0</v>
      </c>
      <c r="EJ40" s="7">
        <v>0</v>
      </c>
      <c r="EK40" s="7">
        <v>0</v>
      </c>
      <c r="EL40" s="7">
        <v>0</v>
      </c>
      <c r="EM40" s="7">
        <v>0</v>
      </c>
      <c r="EN40" s="7">
        <v>0</v>
      </c>
      <c r="EO40" s="7">
        <v>0</v>
      </c>
      <c r="EP40" s="7">
        <v>0</v>
      </c>
      <c r="EQ40" s="7">
        <v>0</v>
      </c>
      <c r="ER40" s="7">
        <v>0</v>
      </c>
      <c r="ES40" s="7">
        <v>0</v>
      </c>
      <c r="ET40" s="7">
        <v>0</v>
      </c>
      <c r="EU40" s="7">
        <v>0</v>
      </c>
      <c r="EV40" s="7">
        <v>0</v>
      </c>
      <c r="EW40" s="7">
        <v>0</v>
      </c>
      <c r="EX40" s="7">
        <v>0</v>
      </c>
      <c r="EY40" s="7">
        <v>0</v>
      </c>
      <c r="EZ40" s="7">
        <v>0</v>
      </c>
      <c r="FA40" s="7">
        <v>0</v>
      </c>
      <c r="FB40" s="7">
        <v>0</v>
      </c>
      <c r="FC40" s="7">
        <v>0</v>
      </c>
      <c r="FD40" s="7">
        <v>0</v>
      </c>
      <c r="FE40" s="7">
        <v>0</v>
      </c>
      <c r="FF40" s="7">
        <v>0</v>
      </c>
      <c r="FG40" s="7">
        <v>0</v>
      </c>
      <c r="FH40" s="7">
        <f t="shared" ref="FH40:FH70" si="9">SUM(AO40:FG40)</f>
        <v>0</v>
      </c>
      <c r="FI40" s="18">
        <f>SUM(FH40:FH43)</f>
        <v>0</v>
      </c>
    </row>
    <row r="41" spans="1:165" hidden="1" x14ac:dyDescent="0.25">
      <c r="A41" s="16"/>
      <c r="B41" s="7" t="s">
        <v>276</v>
      </c>
      <c r="C41" s="7">
        <v>0</v>
      </c>
      <c r="D41" s="7">
        <v>0</v>
      </c>
      <c r="E41" s="7">
        <f t="shared" si="5"/>
        <v>0</v>
      </c>
      <c r="F41" s="16"/>
      <c r="I41" s="16"/>
      <c r="J41" s="7" t="s">
        <v>276</v>
      </c>
      <c r="K41" s="7">
        <v>0</v>
      </c>
      <c r="L41" s="7">
        <v>0</v>
      </c>
      <c r="M41" s="7">
        <v>0</v>
      </c>
      <c r="N41" s="7">
        <f t="shared" si="6"/>
        <v>0</v>
      </c>
      <c r="O41" s="16"/>
      <c r="R41" s="16"/>
      <c r="S41" s="7" t="s">
        <v>276</v>
      </c>
      <c r="T41" s="7">
        <v>0</v>
      </c>
      <c r="U41" s="7">
        <v>0</v>
      </c>
      <c r="V41" s="7">
        <v>0</v>
      </c>
      <c r="W41" s="7">
        <v>0</v>
      </c>
      <c r="X41" s="7">
        <f t="shared" si="7"/>
        <v>0</v>
      </c>
      <c r="Y41" s="16"/>
      <c r="AB41" s="16"/>
      <c r="AC41" s="7" t="s">
        <v>276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f t="shared" si="8"/>
        <v>0</v>
      </c>
      <c r="AJ41" s="16"/>
      <c r="AM41" s="16"/>
      <c r="AN41" s="7" t="s">
        <v>276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G41" s="7">
        <v>0</v>
      </c>
      <c r="CH41" s="7">
        <v>0</v>
      </c>
      <c r="CI41" s="7">
        <v>0</v>
      </c>
      <c r="CJ41" s="7">
        <v>0</v>
      </c>
      <c r="CK41" s="7">
        <v>0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0</v>
      </c>
      <c r="DU41" s="7">
        <v>0</v>
      </c>
      <c r="DV41" s="7">
        <v>0</v>
      </c>
      <c r="DW41" s="7">
        <v>0</v>
      </c>
      <c r="DX41" s="7">
        <v>0</v>
      </c>
      <c r="DY41" s="7">
        <v>0</v>
      </c>
      <c r="DZ41" s="7">
        <v>0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  <c r="EF41" s="7">
        <v>0</v>
      </c>
      <c r="EG41" s="7">
        <v>0</v>
      </c>
      <c r="EH41" s="7">
        <v>0</v>
      </c>
      <c r="EI41" s="7">
        <v>0</v>
      </c>
      <c r="EJ41" s="7">
        <v>0</v>
      </c>
      <c r="EK41" s="7">
        <v>0</v>
      </c>
      <c r="EL41" s="7">
        <v>0</v>
      </c>
      <c r="EM41" s="7">
        <v>0</v>
      </c>
      <c r="EN41" s="7">
        <v>0</v>
      </c>
      <c r="EO41" s="7">
        <v>0</v>
      </c>
      <c r="EP41" s="7">
        <v>0</v>
      </c>
      <c r="EQ41" s="7">
        <v>0</v>
      </c>
      <c r="ER41" s="7">
        <v>0</v>
      </c>
      <c r="ES41" s="7">
        <v>0</v>
      </c>
      <c r="ET41" s="7">
        <v>0</v>
      </c>
      <c r="EU41" s="7">
        <v>0</v>
      </c>
      <c r="EV41" s="7">
        <v>0</v>
      </c>
      <c r="EW41" s="7">
        <v>0</v>
      </c>
      <c r="EX41" s="7">
        <v>0</v>
      </c>
      <c r="EY41" s="7">
        <v>0</v>
      </c>
      <c r="EZ41" s="7">
        <v>0</v>
      </c>
      <c r="FA41" s="7">
        <v>0</v>
      </c>
      <c r="FB41" s="7">
        <v>0</v>
      </c>
      <c r="FC41" s="7">
        <v>0</v>
      </c>
      <c r="FD41" s="7">
        <v>0</v>
      </c>
      <c r="FE41" s="7">
        <v>0</v>
      </c>
      <c r="FF41" s="7">
        <v>0</v>
      </c>
      <c r="FG41" s="7">
        <v>0</v>
      </c>
      <c r="FH41" s="7">
        <f t="shared" si="9"/>
        <v>0</v>
      </c>
      <c r="FI41" s="16"/>
    </row>
    <row r="42" spans="1:165" hidden="1" x14ac:dyDescent="0.25">
      <c r="A42" s="16"/>
      <c r="B42" s="7" t="s">
        <v>277</v>
      </c>
      <c r="C42" s="7">
        <v>0</v>
      </c>
      <c r="D42" s="7">
        <v>0</v>
      </c>
      <c r="E42" s="7">
        <f t="shared" si="5"/>
        <v>0</v>
      </c>
      <c r="F42" s="16"/>
      <c r="I42" s="16"/>
      <c r="J42" s="7" t="s">
        <v>277</v>
      </c>
      <c r="K42" s="7">
        <v>0</v>
      </c>
      <c r="L42" s="7">
        <v>0</v>
      </c>
      <c r="M42" s="7">
        <v>0</v>
      </c>
      <c r="N42" s="7">
        <f t="shared" si="6"/>
        <v>0</v>
      </c>
      <c r="O42" s="16"/>
      <c r="R42" s="16"/>
      <c r="S42" s="7" t="s">
        <v>277</v>
      </c>
      <c r="T42" s="7">
        <v>0</v>
      </c>
      <c r="U42" s="7">
        <v>0</v>
      </c>
      <c r="V42" s="7">
        <v>0</v>
      </c>
      <c r="W42" s="7">
        <v>0</v>
      </c>
      <c r="X42" s="7">
        <f t="shared" si="7"/>
        <v>0</v>
      </c>
      <c r="Y42" s="16"/>
      <c r="AB42" s="16"/>
      <c r="AC42" s="7" t="s">
        <v>277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f t="shared" si="8"/>
        <v>0</v>
      </c>
      <c r="AJ42" s="16"/>
      <c r="AM42" s="16"/>
      <c r="AN42" s="7" t="s">
        <v>277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7">
        <v>0</v>
      </c>
      <c r="DQ42" s="7">
        <v>0</v>
      </c>
      <c r="DR42" s="7">
        <v>0</v>
      </c>
      <c r="DS42" s="7">
        <v>0</v>
      </c>
      <c r="DT42" s="7">
        <v>0</v>
      </c>
      <c r="DU42" s="7">
        <v>0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7">
        <v>0</v>
      </c>
      <c r="EV42" s="7">
        <v>0</v>
      </c>
      <c r="EW42" s="7">
        <v>0</v>
      </c>
      <c r="EX42" s="7">
        <v>0</v>
      </c>
      <c r="EY42" s="7">
        <v>0</v>
      </c>
      <c r="EZ42" s="7">
        <v>0</v>
      </c>
      <c r="FA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0</v>
      </c>
      <c r="FH42" s="7">
        <f t="shared" si="9"/>
        <v>0</v>
      </c>
      <c r="FI42" s="16"/>
    </row>
    <row r="43" spans="1:165" hidden="1" x14ac:dyDescent="0.25">
      <c r="A43" s="17"/>
      <c r="B43" s="7" t="s">
        <v>278</v>
      </c>
      <c r="C43" s="7">
        <v>0</v>
      </c>
      <c r="D43" s="7">
        <v>0</v>
      </c>
      <c r="E43" s="7">
        <f t="shared" si="5"/>
        <v>0</v>
      </c>
      <c r="F43" s="17"/>
      <c r="I43" s="17"/>
      <c r="J43" s="7" t="s">
        <v>278</v>
      </c>
      <c r="K43" s="7">
        <v>0</v>
      </c>
      <c r="L43" s="7">
        <v>0</v>
      </c>
      <c r="M43" s="7">
        <v>0</v>
      </c>
      <c r="N43" s="7">
        <f t="shared" si="6"/>
        <v>0</v>
      </c>
      <c r="O43" s="17"/>
      <c r="R43" s="17"/>
      <c r="S43" s="7" t="s">
        <v>278</v>
      </c>
      <c r="T43" s="7">
        <v>0</v>
      </c>
      <c r="U43" s="7">
        <v>0</v>
      </c>
      <c r="V43" s="7">
        <v>0</v>
      </c>
      <c r="W43" s="7">
        <v>0</v>
      </c>
      <c r="X43" s="7">
        <f t="shared" si="7"/>
        <v>0</v>
      </c>
      <c r="Y43" s="17"/>
      <c r="AB43" s="17"/>
      <c r="AC43" s="7" t="s">
        <v>278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f t="shared" si="8"/>
        <v>0</v>
      </c>
      <c r="AJ43" s="17"/>
      <c r="AM43" s="17"/>
      <c r="AN43" s="7" t="s">
        <v>278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>
        <v>0</v>
      </c>
      <c r="CA43" s="7">
        <v>0</v>
      </c>
      <c r="CB43" s="7">
        <v>0</v>
      </c>
      <c r="CC43" s="7">
        <v>0</v>
      </c>
      <c r="CD43" s="7">
        <v>0</v>
      </c>
      <c r="CE43" s="7">
        <v>0</v>
      </c>
      <c r="CF43" s="7">
        <v>0</v>
      </c>
      <c r="CG43" s="7">
        <v>0</v>
      </c>
      <c r="CH43" s="7">
        <v>0</v>
      </c>
      <c r="CI43" s="7">
        <v>0</v>
      </c>
      <c r="CJ43" s="7">
        <v>0</v>
      </c>
      <c r="CK43" s="7">
        <v>0</v>
      </c>
      <c r="CL43" s="7">
        <v>0</v>
      </c>
      <c r="CM43" s="7">
        <v>0</v>
      </c>
      <c r="CN43" s="7">
        <v>0</v>
      </c>
      <c r="CO43" s="7">
        <v>0</v>
      </c>
      <c r="CP43" s="7">
        <v>0</v>
      </c>
      <c r="CQ43" s="7">
        <v>0</v>
      </c>
      <c r="CR43" s="7">
        <v>0</v>
      </c>
      <c r="CS43" s="7">
        <v>0</v>
      </c>
      <c r="CT43" s="7">
        <v>0</v>
      </c>
      <c r="CU43" s="7">
        <v>0</v>
      </c>
      <c r="CV43" s="7">
        <v>0</v>
      </c>
      <c r="CW43" s="7">
        <v>0</v>
      </c>
      <c r="CX43" s="7">
        <v>0</v>
      </c>
      <c r="CY43" s="7">
        <v>0</v>
      </c>
      <c r="CZ43" s="7">
        <v>0</v>
      </c>
      <c r="DA43" s="7">
        <v>0</v>
      </c>
      <c r="DB43" s="7">
        <v>0</v>
      </c>
      <c r="DC43" s="7">
        <v>0</v>
      </c>
      <c r="DD43" s="7">
        <v>0</v>
      </c>
      <c r="DE43" s="7">
        <v>0</v>
      </c>
      <c r="DF43" s="7">
        <v>0</v>
      </c>
      <c r="DG43" s="7">
        <v>0</v>
      </c>
      <c r="DH43" s="7">
        <v>0</v>
      </c>
      <c r="DI43" s="7">
        <v>0</v>
      </c>
      <c r="DJ43" s="7">
        <v>0</v>
      </c>
      <c r="DK43" s="7">
        <v>0</v>
      </c>
      <c r="DL43" s="7">
        <v>0</v>
      </c>
      <c r="DM43" s="7">
        <v>0</v>
      </c>
      <c r="DN43" s="7">
        <v>0</v>
      </c>
      <c r="DO43" s="7">
        <v>0</v>
      </c>
      <c r="DP43" s="7">
        <v>0</v>
      </c>
      <c r="DQ43" s="7">
        <v>0</v>
      </c>
      <c r="DR43" s="7">
        <v>0</v>
      </c>
      <c r="DS43" s="7">
        <v>0</v>
      </c>
      <c r="DT43" s="7">
        <v>0</v>
      </c>
      <c r="DU43" s="7">
        <v>0</v>
      </c>
      <c r="DV43" s="7">
        <v>0</v>
      </c>
      <c r="DW43" s="7">
        <v>0</v>
      </c>
      <c r="DX43" s="7">
        <v>0</v>
      </c>
      <c r="DY43" s="7">
        <v>0</v>
      </c>
      <c r="DZ43" s="7">
        <v>0</v>
      </c>
      <c r="EA43" s="7">
        <v>0</v>
      </c>
      <c r="EB43" s="7">
        <v>0</v>
      </c>
      <c r="EC43" s="7">
        <v>0</v>
      </c>
      <c r="ED43" s="7">
        <v>0</v>
      </c>
      <c r="EE43" s="7">
        <v>0</v>
      </c>
      <c r="EF43" s="7">
        <v>0</v>
      </c>
      <c r="EG43" s="7">
        <v>0</v>
      </c>
      <c r="EH43" s="7">
        <v>0</v>
      </c>
      <c r="EI43" s="7">
        <v>0</v>
      </c>
      <c r="EJ43" s="7">
        <v>0</v>
      </c>
      <c r="EK43" s="7">
        <v>0</v>
      </c>
      <c r="EL43" s="7">
        <v>0</v>
      </c>
      <c r="EM43" s="7">
        <v>0</v>
      </c>
      <c r="EN43" s="7">
        <v>0</v>
      </c>
      <c r="EO43" s="7">
        <v>0</v>
      </c>
      <c r="EP43" s="7">
        <v>0</v>
      </c>
      <c r="EQ43" s="7">
        <v>0</v>
      </c>
      <c r="ER43" s="7">
        <v>0</v>
      </c>
      <c r="ES43" s="7">
        <v>0</v>
      </c>
      <c r="ET43" s="7">
        <v>0</v>
      </c>
      <c r="EU43" s="7">
        <v>0</v>
      </c>
      <c r="EV43" s="7">
        <v>0</v>
      </c>
      <c r="EW43" s="7">
        <v>0</v>
      </c>
      <c r="EX43" s="7">
        <v>0</v>
      </c>
      <c r="EY43" s="7">
        <v>0</v>
      </c>
      <c r="EZ43" s="7">
        <v>0</v>
      </c>
      <c r="FA43" s="7">
        <v>0</v>
      </c>
      <c r="FB43" s="7">
        <v>0</v>
      </c>
      <c r="FC43" s="7">
        <v>0</v>
      </c>
      <c r="FD43" s="7">
        <v>0</v>
      </c>
      <c r="FE43" s="7">
        <v>0</v>
      </c>
      <c r="FF43" s="7">
        <v>0</v>
      </c>
      <c r="FG43" s="7">
        <v>0</v>
      </c>
      <c r="FH43" s="7">
        <f t="shared" si="9"/>
        <v>0</v>
      </c>
      <c r="FI43" s="17"/>
    </row>
    <row r="44" spans="1:165" hidden="1" x14ac:dyDescent="0.25">
      <c r="A44" s="15" t="s">
        <v>287</v>
      </c>
      <c r="B44" s="7" t="s">
        <v>275</v>
      </c>
      <c r="C44" s="7">
        <v>0</v>
      </c>
      <c r="D44" s="7">
        <v>0</v>
      </c>
      <c r="E44" s="7">
        <f t="shared" si="5"/>
        <v>0</v>
      </c>
      <c r="F44" s="18">
        <f>SUM(E44:E47)</f>
        <v>0</v>
      </c>
      <c r="I44" s="15" t="s">
        <v>287</v>
      </c>
      <c r="J44" s="7" t="s">
        <v>275</v>
      </c>
      <c r="K44" s="7">
        <v>0</v>
      </c>
      <c r="L44" s="7">
        <v>0</v>
      </c>
      <c r="M44" s="7">
        <v>0</v>
      </c>
      <c r="N44" s="7">
        <f t="shared" si="6"/>
        <v>0</v>
      </c>
      <c r="O44" s="18">
        <f>SUM(N44:N47)</f>
        <v>0</v>
      </c>
      <c r="R44" s="15" t="s">
        <v>287</v>
      </c>
      <c r="S44" s="7" t="s">
        <v>275</v>
      </c>
      <c r="T44" s="7">
        <v>0</v>
      </c>
      <c r="U44" s="7">
        <v>0</v>
      </c>
      <c r="V44" s="7">
        <v>0</v>
      </c>
      <c r="W44" s="7">
        <v>0</v>
      </c>
      <c r="X44" s="7">
        <f t="shared" si="7"/>
        <v>0</v>
      </c>
      <c r="Y44" s="18">
        <f>SUM(X44:X47)</f>
        <v>0</v>
      </c>
      <c r="AB44" s="15" t="s">
        <v>287</v>
      </c>
      <c r="AC44" s="7" t="s">
        <v>275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f t="shared" si="8"/>
        <v>0</v>
      </c>
      <c r="AJ44" s="18">
        <f>SUM(AI44:AI47)</f>
        <v>0</v>
      </c>
      <c r="AM44" s="15" t="s">
        <v>287</v>
      </c>
      <c r="AN44" s="7" t="s">
        <v>275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G44" s="7">
        <v>0</v>
      </c>
      <c r="CH44" s="7">
        <v>0</v>
      </c>
      <c r="CI44" s="7">
        <v>0</v>
      </c>
      <c r="CJ44" s="7">
        <v>0</v>
      </c>
      <c r="CK44" s="7">
        <v>0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P44" s="7">
        <v>0</v>
      </c>
      <c r="DQ44" s="7">
        <v>0</v>
      </c>
      <c r="DR44" s="7">
        <v>0</v>
      </c>
      <c r="DS44" s="7">
        <v>0</v>
      </c>
      <c r="DT44" s="7">
        <v>0</v>
      </c>
      <c r="DU44" s="7">
        <v>0</v>
      </c>
      <c r="DV44" s="7">
        <v>0</v>
      </c>
      <c r="DW44" s="7">
        <v>0</v>
      </c>
      <c r="DX44" s="7">
        <v>0</v>
      </c>
      <c r="DY44" s="7">
        <v>0</v>
      </c>
      <c r="DZ44" s="7">
        <v>0</v>
      </c>
      <c r="EA44" s="7">
        <v>0</v>
      </c>
      <c r="EB44" s="7">
        <v>0</v>
      </c>
      <c r="EC44" s="7">
        <v>0</v>
      </c>
      <c r="ED44" s="7">
        <v>0</v>
      </c>
      <c r="EE44" s="7">
        <v>0</v>
      </c>
      <c r="EF44" s="7">
        <v>0</v>
      </c>
      <c r="EG44" s="7">
        <v>0</v>
      </c>
      <c r="EH44" s="7">
        <v>0</v>
      </c>
      <c r="EI44" s="7">
        <v>0</v>
      </c>
      <c r="EJ44" s="7">
        <v>0</v>
      </c>
      <c r="EK44" s="7">
        <v>0</v>
      </c>
      <c r="EL44" s="7">
        <v>0</v>
      </c>
      <c r="EM44" s="7">
        <v>0</v>
      </c>
      <c r="EN44" s="7">
        <v>0</v>
      </c>
      <c r="EO44" s="7">
        <v>0</v>
      </c>
      <c r="EP44" s="7">
        <v>0</v>
      </c>
      <c r="EQ44" s="7">
        <v>0</v>
      </c>
      <c r="ER44" s="7">
        <v>0</v>
      </c>
      <c r="ES44" s="7">
        <v>0</v>
      </c>
      <c r="ET44" s="7">
        <v>0</v>
      </c>
      <c r="EU44" s="7">
        <v>0</v>
      </c>
      <c r="EV44" s="7">
        <v>0</v>
      </c>
      <c r="EW44" s="7">
        <v>0</v>
      </c>
      <c r="EX44" s="7">
        <v>0</v>
      </c>
      <c r="EY44" s="7">
        <v>0</v>
      </c>
      <c r="EZ44" s="7">
        <v>0</v>
      </c>
      <c r="FA44" s="7">
        <v>0</v>
      </c>
      <c r="FB44" s="7">
        <v>0</v>
      </c>
      <c r="FC44" s="7">
        <v>0</v>
      </c>
      <c r="FD44" s="7">
        <v>0</v>
      </c>
      <c r="FE44" s="7">
        <v>0</v>
      </c>
      <c r="FF44" s="7">
        <v>0</v>
      </c>
      <c r="FG44" s="7">
        <v>0</v>
      </c>
      <c r="FH44" s="7">
        <f t="shared" si="9"/>
        <v>0</v>
      </c>
      <c r="FI44" s="18">
        <f>SUM(FH44:FH47)</f>
        <v>0</v>
      </c>
    </row>
    <row r="45" spans="1:165" hidden="1" x14ac:dyDescent="0.25">
      <c r="A45" s="16"/>
      <c r="B45" s="7" t="s">
        <v>276</v>
      </c>
      <c r="C45" s="7">
        <v>0</v>
      </c>
      <c r="D45" s="7">
        <v>0</v>
      </c>
      <c r="E45" s="7">
        <f t="shared" si="5"/>
        <v>0</v>
      </c>
      <c r="F45" s="16"/>
      <c r="I45" s="16"/>
      <c r="J45" s="7" t="s">
        <v>276</v>
      </c>
      <c r="K45" s="7">
        <v>0</v>
      </c>
      <c r="L45" s="7">
        <v>0</v>
      </c>
      <c r="M45" s="7">
        <v>0</v>
      </c>
      <c r="N45" s="7">
        <f t="shared" si="6"/>
        <v>0</v>
      </c>
      <c r="O45" s="16"/>
      <c r="R45" s="16"/>
      <c r="S45" s="7" t="s">
        <v>276</v>
      </c>
      <c r="T45" s="7">
        <v>0</v>
      </c>
      <c r="U45" s="7">
        <v>0</v>
      </c>
      <c r="V45" s="7">
        <v>0</v>
      </c>
      <c r="W45" s="7">
        <v>0</v>
      </c>
      <c r="X45" s="7">
        <f t="shared" si="7"/>
        <v>0</v>
      </c>
      <c r="Y45" s="16"/>
      <c r="AB45" s="16"/>
      <c r="AC45" s="7" t="s">
        <v>276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f t="shared" si="8"/>
        <v>0</v>
      </c>
      <c r="AJ45" s="16"/>
      <c r="AM45" s="16"/>
      <c r="AN45" s="7" t="s">
        <v>276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E45" s="7">
        <v>0</v>
      </c>
      <c r="CF45" s="7">
        <v>0</v>
      </c>
      <c r="CG45" s="7">
        <v>0</v>
      </c>
      <c r="CH45" s="7">
        <v>0</v>
      </c>
      <c r="CI45" s="7">
        <v>0</v>
      </c>
      <c r="CJ45" s="7">
        <v>0</v>
      </c>
      <c r="CK45" s="7">
        <v>0</v>
      </c>
      <c r="CL45" s="7">
        <v>0</v>
      </c>
      <c r="CM45" s="7">
        <v>0</v>
      </c>
      <c r="CN45" s="7">
        <v>0</v>
      </c>
      <c r="CO45" s="7">
        <v>0</v>
      </c>
      <c r="CP45" s="7">
        <v>0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P45" s="7">
        <v>0</v>
      </c>
      <c r="DQ45" s="7">
        <v>0</v>
      </c>
      <c r="DR45" s="7">
        <v>0</v>
      </c>
      <c r="DS45" s="7">
        <v>0</v>
      </c>
      <c r="DT45" s="7">
        <v>0</v>
      </c>
      <c r="DU45" s="7">
        <v>0</v>
      </c>
      <c r="DV45" s="7">
        <v>0</v>
      </c>
      <c r="DW45" s="7">
        <v>0</v>
      </c>
      <c r="DX45" s="7">
        <v>0</v>
      </c>
      <c r="DY45" s="7">
        <v>0</v>
      </c>
      <c r="DZ45" s="7">
        <v>0</v>
      </c>
      <c r="EA45" s="7">
        <v>0</v>
      </c>
      <c r="EB45" s="7">
        <v>0</v>
      </c>
      <c r="EC45" s="7">
        <v>0</v>
      </c>
      <c r="ED45" s="7">
        <v>0</v>
      </c>
      <c r="EE45" s="7">
        <v>0</v>
      </c>
      <c r="EF45" s="7">
        <v>0</v>
      </c>
      <c r="EG45" s="7">
        <v>0</v>
      </c>
      <c r="EH45" s="7">
        <v>0</v>
      </c>
      <c r="EI45" s="7">
        <v>0</v>
      </c>
      <c r="EJ45" s="7">
        <v>0</v>
      </c>
      <c r="EK45" s="7">
        <v>0</v>
      </c>
      <c r="EL45" s="7">
        <v>0</v>
      </c>
      <c r="EM45" s="7">
        <v>0</v>
      </c>
      <c r="EN45" s="7">
        <v>0</v>
      </c>
      <c r="EO45" s="7">
        <v>0</v>
      </c>
      <c r="EP45" s="7">
        <v>0</v>
      </c>
      <c r="EQ45" s="7">
        <v>0</v>
      </c>
      <c r="ER45" s="7">
        <v>0</v>
      </c>
      <c r="ES45" s="7">
        <v>0</v>
      </c>
      <c r="ET45" s="7">
        <v>0</v>
      </c>
      <c r="EU45" s="7">
        <v>0</v>
      </c>
      <c r="EV45" s="7">
        <v>0</v>
      </c>
      <c r="EW45" s="7">
        <v>0</v>
      </c>
      <c r="EX45" s="7">
        <v>0</v>
      </c>
      <c r="EY45" s="7">
        <v>0</v>
      </c>
      <c r="EZ45" s="7">
        <v>0</v>
      </c>
      <c r="FA45" s="7">
        <v>0</v>
      </c>
      <c r="FB45" s="7">
        <v>0</v>
      </c>
      <c r="FC45" s="7">
        <v>0</v>
      </c>
      <c r="FD45" s="7">
        <v>0</v>
      </c>
      <c r="FE45" s="7">
        <v>0</v>
      </c>
      <c r="FF45" s="7">
        <v>0</v>
      </c>
      <c r="FG45" s="7">
        <v>0</v>
      </c>
      <c r="FH45" s="7">
        <f t="shared" si="9"/>
        <v>0</v>
      </c>
      <c r="FI45" s="16"/>
    </row>
    <row r="46" spans="1:165" hidden="1" x14ac:dyDescent="0.25">
      <c r="A46" s="16"/>
      <c r="B46" s="7" t="s">
        <v>277</v>
      </c>
      <c r="C46" s="7">
        <v>0</v>
      </c>
      <c r="D46" s="7">
        <v>0</v>
      </c>
      <c r="E46" s="7">
        <f t="shared" si="5"/>
        <v>0</v>
      </c>
      <c r="F46" s="16"/>
      <c r="I46" s="16"/>
      <c r="J46" s="7" t="s">
        <v>277</v>
      </c>
      <c r="K46" s="7">
        <v>0</v>
      </c>
      <c r="L46" s="7">
        <v>0</v>
      </c>
      <c r="M46" s="7">
        <v>0</v>
      </c>
      <c r="N46" s="7">
        <f t="shared" si="6"/>
        <v>0</v>
      </c>
      <c r="O46" s="16"/>
      <c r="R46" s="16"/>
      <c r="S46" s="7" t="s">
        <v>277</v>
      </c>
      <c r="T46" s="7">
        <v>0</v>
      </c>
      <c r="U46" s="7">
        <v>0</v>
      </c>
      <c r="V46" s="7">
        <v>0</v>
      </c>
      <c r="W46" s="7">
        <v>0</v>
      </c>
      <c r="X46" s="7">
        <f t="shared" si="7"/>
        <v>0</v>
      </c>
      <c r="Y46" s="16"/>
      <c r="AB46" s="16"/>
      <c r="AC46" s="7" t="s">
        <v>277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f t="shared" si="8"/>
        <v>0</v>
      </c>
      <c r="AJ46" s="16"/>
      <c r="AM46" s="16"/>
      <c r="AN46" s="7" t="s">
        <v>277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G46" s="7">
        <v>0</v>
      </c>
      <c r="CH46" s="7">
        <v>0</v>
      </c>
      <c r="CI46" s="7">
        <v>0</v>
      </c>
      <c r="CJ46" s="7">
        <v>0</v>
      </c>
      <c r="CK46" s="7">
        <v>0</v>
      </c>
      <c r="CL46" s="7">
        <v>0</v>
      </c>
      <c r="CM46" s="7">
        <v>0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P46" s="7">
        <v>0</v>
      </c>
      <c r="DQ46" s="7">
        <v>0</v>
      </c>
      <c r="DR46" s="7">
        <v>0</v>
      </c>
      <c r="DS46" s="7">
        <v>0</v>
      </c>
      <c r="DT46" s="7">
        <v>0</v>
      </c>
      <c r="DU46" s="7">
        <v>0</v>
      </c>
      <c r="DV46" s="7">
        <v>0</v>
      </c>
      <c r="DW46" s="7">
        <v>0</v>
      </c>
      <c r="DX46" s="7">
        <v>0</v>
      </c>
      <c r="DY46" s="7">
        <v>0</v>
      </c>
      <c r="DZ46" s="7">
        <v>0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  <c r="EF46" s="7">
        <v>0</v>
      </c>
      <c r="EG46" s="7">
        <v>0</v>
      </c>
      <c r="EH46" s="7">
        <v>0</v>
      </c>
      <c r="EI46" s="7">
        <v>0</v>
      </c>
      <c r="EJ46" s="7">
        <v>0</v>
      </c>
      <c r="EK46" s="7">
        <v>0</v>
      </c>
      <c r="EL46" s="7">
        <v>0</v>
      </c>
      <c r="EM46" s="7">
        <v>0</v>
      </c>
      <c r="EN46" s="7">
        <v>0</v>
      </c>
      <c r="EO46" s="7">
        <v>0</v>
      </c>
      <c r="EP46" s="7">
        <v>0</v>
      </c>
      <c r="EQ46" s="7">
        <v>0</v>
      </c>
      <c r="ER46" s="7">
        <v>0</v>
      </c>
      <c r="ES46" s="7">
        <v>0</v>
      </c>
      <c r="ET46" s="7">
        <v>0</v>
      </c>
      <c r="EU46" s="7">
        <v>0</v>
      </c>
      <c r="EV46" s="7">
        <v>0</v>
      </c>
      <c r="EW46" s="7">
        <v>0</v>
      </c>
      <c r="EX46" s="7">
        <v>0</v>
      </c>
      <c r="EY46" s="7">
        <v>0</v>
      </c>
      <c r="EZ46" s="7">
        <v>0</v>
      </c>
      <c r="FA46" s="7">
        <v>0</v>
      </c>
      <c r="FB46" s="7">
        <v>0</v>
      </c>
      <c r="FC46" s="7">
        <v>0</v>
      </c>
      <c r="FD46" s="7">
        <v>0</v>
      </c>
      <c r="FE46" s="7">
        <v>0</v>
      </c>
      <c r="FF46" s="7">
        <v>0</v>
      </c>
      <c r="FG46" s="7">
        <v>0</v>
      </c>
      <c r="FH46" s="7">
        <f t="shared" si="9"/>
        <v>0</v>
      </c>
      <c r="FI46" s="16"/>
    </row>
    <row r="47" spans="1:165" hidden="1" x14ac:dyDescent="0.25">
      <c r="A47" s="17"/>
      <c r="B47" s="7" t="s">
        <v>278</v>
      </c>
      <c r="C47" s="7">
        <v>0</v>
      </c>
      <c r="D47" s="7">
        <v>0</v>
      </c>
      <c r="E47" s="7">
        <f t="shared" si="5"/>
        <v>0</v>
      </c>
      <c r="F47" s="17"/>
      <c r="I47" s="17"/>
      <c r="J47" s="7" t="s">
        <v>278</v>
      </c>
      <c r="K47" s="7">
        <v>0</v>
      </c>
      <c r="L47" s="7">
        <v>0</v>
      </c>
      <c r="M47" s="7">
        <v>0</v>
      </c>
      <c r="N47" s="7">
        <f t="shared" si="6"/>
        <v>0</v>
      </c>
      <c r="O47" s="17"/>
      <c r="R47" s="17"/>
      <c r="S47" s="7" t="s">
        <v>278</v>
      </c>
      <c r="T47" s="7">
        <v>0</v>
      </c>
      <c r="U47" s="7">
        <v>0</v>
      </c>
      <c r="V47" s="7">
        <v>0</v>
      </c>
      <c r="W47" s="7">
        <v>0</v>
      </c>
      <c r="X47" s="7">
        <f t="shared" si="7"/>
        <v>0</v>
      </c>
      <c r="Y47" s="17"/>
      <c r="AB47" s="17"/>
      <c r="AC47" s="7" t="s">
        <v>278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f t="shared" si="8"/>
        <v>0</v>
      </c>
      <c r="AJ47" s="17"/>
      <c r="AM47" s="17"/>
      <c r="AN47" s="7" t="s">
        <v>278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G47" s="7">
        <v>0</v>
      </c>
      <c r="CH47" s="7">
        <v>0</v>
      </c>
      <c r="CI47" s="7">
        <v>0</v>
      </c>
      <c r="CJ47" s="7">
        <v>0</v>
      </c>
      <c r="CK47" s="7">
        <v>0</v>
      </c>
      <c r="CL47" s="7">
        <v>0</v>
      </c>
      <c r="CM47" s="7">
        <v>0</v>
      </c>
      <c r="CN47" s="7">
        <v>0</v>
      </c>
      <c r="CO47" s="7">
        <v>0</v>
      </c>
      <c r="CP47" s="7">
        <v>0</v>
      </c>
      <c r="CQ47" s="7">
        <v>0</v>
      </c>
      <c r="CR47" s="7">
        <v>0</v>
      </c>
      <c r="CS47" s="7">
        <v>0</v>
      </c>
      <c r="CT47" s="7">
        <v>0</v>
      </c>
      <c r="CU47" s="7">
        <v>0</v>
      </c>
      <c r="CV47" s="7">
        <v>0</v>
      </c>
      <c r="CW47" s="7">
        <v>0</v>
      </c>
      <c r="CX47" s="7">
        <v>0</v>
      </c>
      <c r="CY47" s="7">
        <v>0</v>
      </c>
      <c r="CZ47" s="7">
        <v>0</v>
      </c>
      <c r="DA47" s="7">
        <v>0</v>
      </c>
      <c r="DB47" s="7">
        <v>0</v>
      </c>
      <c r="DC47" s="7">
        <v>0</v>
      </c>
      <c r="DD47" s="7">
        <v>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P47" s="7">
        <v>0</v>
      </c>
      <c r="DQ47" s="7">
        <v>0</v>
      </c>
      <c r="DR47" s="7">
        <v>0</v>
      </c>
      <c r="DS47" s="7">
        <v>0</v>
      </c>
      <c r="DT47" s="7">
        <v>0</v>
      </c>
      <c r="DU47" s="7">
        <v>0</v>
      </c>
      <c r="DV47" s="7">
        <v>0</v>
      </c>
      <c r="DW47" s="7">
        <v>0</v>
      </c>
      <c r="DX47" s="7">
        <v>0</v>
      </c>
      <c r="DY47" s="7">
        <v>0</v>
      </c>
      <c r="DZ47" s="7">
        <v>0</v>
      </c>
      <c r="EA47" s="7">
        <v>0</v>
      </c>
      <c r="EB47" s="7">
        <v>0</v>
      </c>
      <c r="EC47" s="7">
        <v>0</v>
      </c>
      <c r="ED47" s="7">
        <v>0</v>
      </c>
      <c r="EE47" s="7">
        <v>0</v>
      </c>
      <c r="EF47" s="7">
        <v>0</v>
      </c>
      <c r="EG47" s="7">
        <v>0</v>
      </c>
      <c r="EH47" s="7">
        <v>0</v>
      </c>
      <c r="EI47" s="7">
        <v>0</v>
      </c>
      <c r="EJ47" s="7">
        <v>0</v>
      </c>
      <c r="EK47" s="7">
        <v>0</v>
      </c>
      <c r="EL47" s="7">
        <v>0</v>
      </c>
      <c r="EM47" s="7">
        <v>0</v>
      </c>
      <c r="EN47" s="7">
        <v>0</v>
      </c>
      <c r="EO47" s="7">
        <v>0</v>
      </c>
      <c r="EP47" s="7">
        <v>0</v>
      </c>
      <c r="EQ47" s="7">
        <v>0</v>
      </c>
      <c r="ER47" s="7">
        <v>0</v>
      </c>
      <c r="ES47" s="7">
        <v>0</v>
      </c>
      <c r="ET47" s="7">
        <v>0</v>
      </c>
      <c r="EU47" s="7">
        <v>0</v>
      </c>
      <c r="EV47" s="7">
        <v>0</v>
      </c>
      <c r="EW47" s="7">
        <v>0</v>
      </c>
      <c r="EX47" s="7">
        <v>0</v>
      </c>
      <c r="EY47" s="7">
        <v>0</v>
      </c>
      <c r="EZ47" s="7">
        <v>0</v>
      </c>
      <c r="FA47" s="7">
        <v>0</v>
      </c>
      <c r="FB47" s="7">
        <v>0</v>
      </c>
      <c r="FC47" s="7">
        <v>0</v>
      </c>
      <c r="FD47" s="7">
        <v>0</v>
      </c>
      <c r="FE47" s="7">
        <v>0</v>
      </c>
      <c r="FF47" s="7">
        <v>0</v>
      </c>
      <c r="FG47" s="7">
        <v>0</v>
      </c>
      <c r="FH47" s="7">
        <f t="shared" si="9"/>
        <v>0</v>
      </c>
      <c r="FI47" s="17"/>
    </row>
    <row r="48" spans="1:165" hidden="1" x14ac:dyDescent="0.25">
      <c r="A48" s="15" t="s">
        <v>288</v>
      </c>
      <c r="B48" s="7" t="s">
        <v>275</v>
      </c>
      <c r="C48" s="7">
        <v>0</v>
      </c>
      <c r="D48" s="7">
        <v>0</v>
      </c>
      <c r="E48" s="7">
        <f t="shared" si="5"/>
        <v>0</v>
      </c>
      <c r="F48" s="18">
        <f>SUM(E48:E51)</f>
        <v>0</v>
      </c>
      <c r="I48" s="15" t="s">
        <v>288</v>
      </c>
      <c r="J48" s="7" t="s">
        <v>275</v>
      </c>
      <c r="K48" s="7">
        <v>0</v>
      </c>
      <c r="L48" s="7">
        <v>0</v>
      </c>
      <c r="M48" s="7">
        <v>0</v>
      </c>
      <c r="N48" s="7">
        <f t="shared" si="6"/>
        <v>0</v>
      </c>
      <c r="O48" s="18">
        <f>SUM(N48:N51)</f>
        <v>0</v>
      </c>
      <c r="R48" s="15" t="s">
        <v>288</v>
      </c>
      <c r="S48" s="7" t="s">
        <v>275</v>
      </c>
      <c r="T48" s="7">
        <v>0</v>
      </c>
      <c r="U48" s="7">
        <v>0</v>
      </c>
      <c r="V48" s="7">
        <v>0</v>
      </c>
      <c r="W48" s="7">
        <v>0</v>
      </c>
      <c r="X48" s="7">
        <f t="shared" si="7"/>
        <v>0</v>
      </c>
      <c r="Y48" s="18">
        <f>SUM(X48:X51)</f>
        <v>0</v>
      </c>
      <c r="AB48" s="15" t="s">
        <v>288</v>
      </c>
      <c r="AC48" s="7" t="s">
        <v>275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f t="shared" si="8"/>
        <v>0</v>
      </c>
      <c r="AJ48" s="18">
        <f>SUM(AI48:AI51)</f>
        <v>0</v>
      </c>
      <c r="AM48" s="15" t="s">
        <v>288</v>
      </c>
      <c r="AN48" s="7" t="s">
        <v>275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G48" s="7">
        <v>0</v>
      </c>
      <c r="CH48" s="7">
        <v>0</v>
      </c>
      <c r="CI48" s="7">
        <v>0</v>
      </c>
      <c r="CJ48" s="7">
        <v>0</v>
      </c>
      <c r="CK48" s="7">
        <v>0</v>
      </c>
      <c r="CL48" s="7">
        <v>0</v>
      </c>
      <c r="CM48" s="7">
        <v>0</v>
      </c>
      <c r="CN48" s="7">
        <v>0</v>
      </c>
      <c r="CO48" s="7">
        <v>0</v>
      </c>
      <c r="CP48" s="7">
        <v>0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0</v>
      </c>
      <c r="CW48" s="7">
        <v>0</v>
      </c>
      <c r="CX48" s="7">
        <v>0</v>
      </c>
      <c r="CY48" s="7">
        <v>0</v>
      </c>
      <c r="CZ48" s="7">
        <v>0</v>
      </c>
      <c r="DA48" s="7">
        <v>0</v>
      </c>
      <c r="DB48" s="7">
        <v>0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P48" s="7">
        <v>0</v>
      </c>
      <c r="DQ48" s="7">
        <v>0</v>
      </c>
      <c r="DR48" s="7">
        <v>0</v>
      </c>
      <c r="DS48" s="7">
        <v>0</v>
      </c>
      <c r="DT48" s="7">
        <v>0</v>
      </c>
      <c r="DU48" s="7">
        <v>0</v>
      </c>
      <c r="DV48" s="7">
        <v>0</v>
      </c>
      <c r="DW48" s="7">
        <v>0</v>
      </c>
      <c r="DX48" s="7">
        <v>0</v>
      </c>
      <c r="DY48" s="7">
        <v>0</v>
      </c>
      <c r="DZ48" s="7">
        <v>0</v>
      </c>
      <c r="EA48" s="7">
        <v>0</v>
      </c>
      <c r="EB48" s="7">
        <v>0</v>
      </c>
      <c r="EC48" s="7">
        <v>0</v>
      </c>
      <c r="ED48" s="7">
        <v>0</v>
      </c>
      <c r="EE48" s="7">
        <v>0</v>
      </c>
      <c r="EF48" s="7">
        <v>0</v>
      </c>
      <c r="EG48" s="7">
        <v>0</v>
      </c>
      <c r="EH48" s="7">
        <v>0</v>
      </c>
      <c r="EI48" s="7">
        <v>0</v>
      </c>
      <c r="EJ48" s="7">
        <v>0</v>
      </c>
      <c r="EK48" s="7">
        <v>0</v>
      </c>
      <c r="EL48" s="7">
        <v>0</v>
      </c>
      <c r="EM48" s="7">
        <v>0</v>
      </c>
      <c r="EN48" s="7">
        <v>0</v>
      </c>
      <c r="EO48" s="7">
        <v>0</v>
      </c>
      <c r="EP48" s="7">
        <v>0</v>
      </c>
      <c r="EQ48" s="7">
        <v>0</v>
      </c>
      <c r="ER48" s="7">
        <v>0</v>
      </c>
      <c r="ES48" s="7">
        <v>0</v>
      </c>
      <c r="ET48" s="7">
        <v>0</v>
      </c>
      <c r="EU48" s="7">
        <v>0</v>
      </c>
      <c r="EV48" s="7">
        <v>0</v>
      </c>
      <c r="EW48" s="7">
        <v>0</v>
      </c>
      <c r="EX48" s="7">
        <v>0</v>
      </c>
      <c r="EY48" s="7">
        <v>0</v>
      </c>
      <c r="EZ48" s="7">
        <v>0</v>
      </c>
      <c r="FA48" s="7">
        <v>0</v>
      </c>
      <c r="FB48" s="7">
        <v>0</v>
      </c>
      <c r="FC48" s="7">
        <v>0</v>
      </c>
      <c r="FD48" s="7">
        <v>0</v>
      </c>
      <c r="FE48" s="7">
        <v>0</v>
      </c>
      <c r="FF48" s="7">
        <v>0</v>
      </c>
      <c r="FG48" s="7">
        <v>0</v>
      </c>
      <c r="FH48" s="7">
        <f t="shared" si="9"/>
        <v>0</v>
      </c>
      <c r="FI48" s="18">
        <f>SUM(FH48:FH51)</f>
        <v>0</v>
      </c>
    </row>
    <row r="49" spans="1:165" hidden="1" x14ac:dyDescent="0.25">
      <c r="A49" s="16"/>
      <c r="B49" s="7" t="s">
        <v>276</v>
      </c>
      <c r="C49" s="7">
        <v>0</v>
      </c>
      <c r="D49" s="7">
        <v>0</v>
      </c>
      <c r="E49" s="7">
        <f t="shared" si="5"/>
        <v>0</v>
      </c>
      <c r="F49" s="16"/>
      <c r="I49" s="16"/>
      <c r="J49" s="7" t="s">
        <v>276</v>
      </c>
      <c r="K49" s="7">
        <v>0</v>
      </c>
      <c r="L49" s="7">
        <v>0</v>
      </c>
      <c r="M49" s="7">
        <v>0</v>
      </c>
      <c r="N49" s="7">
        <f t="shared" si="6"/>
        <v>0</v>
      </c>
      <c r="O49" s="16"/>
      <c r="R49" s="16"/>
      <c r="S49" s="7" t="s">
        <v>276</v>
      </c>
      <c r="T49" s="7">
        <v>0</v>
      </c>
      <c r="U49" s="7">
        <v>0</v>
      </c>
      <c r="V49" s="7">
        <v>0</v>
      </c>
      <c r="W49" s="7">
        <v>0</v>
      </c>
      <c r="X49" s="7">
        <f t="shared" si="7"/>
        <v>0</v>
      </c>
      <c r="Y49" s="16"/>
      <c r="AB49" s="16"/>
      <c r="AC49" s="7" t="s">
        <v>276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f t="shared" si="8"/>
        <v>0</v>
      </c>
      <c r="AJ49" s="16"/>
      <c r="AM49" s="16"/>
      <c r="AN49" s="7" t="s">
        <v>276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G49" s="7">
        <v>0</v>
      </c>
      <c r="CH49" s="7">
        <v>0</v>
      </c>
      <c r="CI49" s="7">
        <v>0</v>
      </c>
      <c r="CJ49" s="7">
        <v>0</v>
      </c>
      <c r="CK49" s="7">
        <v>0</v>
      </c>
      <c r="CL49" s="7">
        <v>0</v>
      </c>
      <c r="CM49" s="7">
        <v>0</v>
      </c>
      <c r="CN49" s="7">
        <v>0</v>
      </c>
      <c r="CO49" s="7">
        <v>0</v>
      </c>
      <c r="CP49" s="7">
        <v>0</v>
      </c>
      <c r="CQ49" s="7">
        <v>0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P49" s="7">
        <v>0</v>
      </c>
      <c r="DQ49" s="7">
        <v>0</v>
      </c>
      <c r="DR49" s="7">
        <v>0</v>
      </c>
      <c r="DS49" s="7">
        <v>0</v>
      </c>
      <c r="DT49" s="7">
        <v>0</v>
      </c>
      <c r="DU49" s="7">
        <v>0</v>
      </c>
      <c r="DV49" s="7">
        <v>0</v>
      </c>
      <c r="DW49" s="7">
        <v>0</v>
      </c>
      <c r="DX49" s="7">
        <v>0</v>
      </c>
      <c r="DY49" s="7">
        <v>0</v>
      </c>
      <c r="DZ49" s="7">
        <v>0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  <c r="EF49" s="7">
        <v>0</v>
      </c>
      <c r="EG49" s="7">
        <v>0</v>
      </c>
      <c r="EH49" s="7">
        <v>0</v>
      </c>
      <c r="EI49" s="7">
        <v>0</v>
      </c>
      <c r="EJ49" s="7">
        <v>0</v>
      </c>
      <c r="EK49" s="7">
        <v>0</v>
      </c>
      <c r="EL49" s="7">
        <v>0</v>
      </c>
      <c r="EM49" s="7">
        <v>0</v>
      </c>
      <c r="EN49" s="7">
        <v>0</v>
      </c>
      <c r="EO49" s="7">
        <v>0</v>
      </c>
      <c r="EP49" s="7">
        <v>0</v>
      </c>
      <c r="EQ49" s="7">
        <v>0</v>
      </c>
      <c r="ER49" s="7">
        <v>0</v>
      </c>
      <c r="ES49" s="7">
        <v>0</v>
      </c>
      <c r="ET49" s="7">
        <v>0</v>
      </c>
      <c r="EU49" s="7">
        <v>0</v>
      </c>
      <c r="EV49" s="7">
        <v>0</v>
      </c>
      <c r="EW49" s="7">
        <v>0</v>
      </c>
      <c r="EX49" s="7">
        <v>0</v>
      </c>
      <c r="EY49" s="7">
        <v>0</v>
      </c>
      <c r="EZ49" s="7">
        <v>0</v>
      </c>
      <c r="FA49" s="7">
        <v>0</v>
      </c>
      <c r="FB49" s="7">
        <v>0</v>
      </c>
      <c r="FC49" s="7">
        <v>0</v>
      </c>
      <c r="FD49" s="7">
        <v>0</v>
      </c>
      <c r="FE49" s="7">
        <v>0</v>
      </c>
      <c r="FF49" s="7">
        <v>0</v>
      </c>
      <c r="FG49" s="7">
        <v>0</v>
      </c>
      <c r="FH49" s="7">
        <f t="shared" si="9"/>
        <v>0</v>
      </c>
      <c r="FI49" s="16"/>
    </row>
    <row r="50" spans="1:165" hidden="1" x14ac:dyDescent="0.25">
      <c r="A50" s="16"/>
      <c r="B50" s="7" t="s">
        <v>277</v>
      </c>
      <c r="C50" s="7">
        <v>0</v>
      </c>
      <c r="D50" s="7">
        <v>0</v>
      </c>
      <c r="E50" s="7">
        <f t="shared" si="5"/>
        <v>0</v>
      </c>
      <c r="F50" s="16"/>
      <c r="I50" s="16"/>
      <c r="J50" s="7" t="s">
        <v>277</v>
      </c>
      <c r="K50" s="7">
        <v>0</v>
      </c>
      <c r="L50" s="7">
        <v>0</v>
      </c>
      <c r="M50" s="7">
        <v>0</v>
      </c>
      <c r="N50" s="7">
        <f t="shared" si="6"/>
        <v>0</v>
      </c>
      <c r="O50" s="16"/>
      <c r="R50" s="16"/>
      <c r="S50" s="7" t="s">
        <v>277</v>
      </c>
      <c r="T50" s="7">
        <v>0</v>
      </c>
      <c r="U50" s="7">
        <v>0</v>
      </c>
      <c r="V50" s="7">
        <v>0</v>
      </c>
      <c r="W50" s="7">
        <v>0</v>
      </c>
      <c r="X50" s="7">
        <f t="shared" si="7"/>
        <v>0</v>
      </c>
      <c r="Y50" s="16"/>
      <c r="AB50" s="16"/>
      <c r="AC50" s="7" t="s">
        <v>277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f t="shared" si="8"/>
        <v>0</v>
      </c>
      <c r="AJ50" s="16"/>
      <c r="AM50" s="16"/>
      <c r="AN50" s="7" t="s">
        <v>277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G50" s="7">
        <v>0</v>
      </c>
      <c r="CH50" s="7">
        <v>0</v>
      </c>
      <c r="CI50" s="7">
        <v>0</v>
      </c>
      <c r="CJ50" s="7">
        <v>0</v>
      </c>
      <c r="CK50" s="7">
        <v>0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0</v>
      </c>
      <c r="CR50" s="7">
        <v>0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P50" s="7">
        <v>0</v>
      </c>
      <c r="DQ50" s="7">
        <v>0</v>
      </c>
      <c r="DR50" s="7">
        <v>0</v>
      </c>
      <c r="DS50" s="7">
        <v>0</v>
      </c>
      <c r="DT50" s="7">
        <v>0</v>
      </c>
      <c r="DU50" s="7">
        <v>0</v>
      </c>
      <c r="DV50" s="7">
        <v>0</v>
      </c>
      <c r="DW50" s="7">
        <v>0</v>
      </c>
      <c r="DX50" s="7">
        <v>0</v>
      </c>
      <c r="DY50" s="7">
        <v>0</v>
      </c>
      <c r="DZ50" s="7">
        <v>0</v>
      </c>
      <c r="EA50" s="7">
        <v>0</v>
      </c>
      <c r="EB50" s="7">
        <v>0</v>
      </c>
      <c r="EC50" s="7">
        <v>0</v>
      </c>
      <c r="ED50" s="7">
        <v>0</v>
      </c>
      <c r="EE50" s="7">
        <v>0</v>
      </c>
      <c r="EF50" s="7">
        <v>0</v>
      </c>
      <c r="EG50" s="7">
        <v>0</v>
      </c>
      <c r="EH50" s="7">
        <v>0</v>
      </c>
      <c r="EI50" s="7">
        <v>0</v>
      </c>
      <c r="EJ50" s="7">
        <v>0</v>
      </c>
      <c r="EK50" s="7">
        <v>0</v>
      </c>
      <c r="EL50" s="7">
        <v>0</v>
      </c>
      <c r="EM50" s="7">
        <v>0</v>
      </c>
      <c r="EN50" s="7">
        <v>0</v>
      </c>
      <c r="EO50" s="7">
        <v>0</v>
      </c>
      <c r="EP50" s="7">
        <v>0</v>
      </c>
      <c r="EQ50" s="7">
        <v>0</v>
      </c>
      <c r="ER50" s="7">
        <v>0</v>
      </c>
      <c r="ES50" s="7">
        <v>0</v>
      </c>
      <c r="ET50" s="7">
        <v>0</v>
      </c>
      <c r="EU50" s="7">
        <v>0</v>
      </c>
      <c r="EV50" s="7">
        <v>0</v>
      </c>
      <c r="EW50" s="7">
        <v>0</v>
      </c>
      <c r="EX50" s="7">
        <v>0</v>
      </c>
      <c r="EY50" s="7">
        <v>0</v>
      </c>
      <c r="EZ50" s="7">
        <v>0</v>
      </c>
      <c r="FA50" s="7">
        <v>0</v>
      </c>
      <c r="FB50" s="7">
        <v>0</v>
      </c>
      <c r="FC50" s="7">
        <v>0</v>
      </c>
      <c r="FD50" s="7">
        <v>0</v>
      </c>
      <c r="FE50" s="7">
        <v>0</v>
      </c>
      <c r="FF50" s="7">
        <v>0</v>
      </c>
      <c r="FG50" s="7">
        <v>0</v>
      </c>
      <c r="FH50" s="7">
        <f t="shared" si="9"/>
        <v>0</v>
      </c>
      <c r="FI50" s="16"/>
    </row>
    <row r="51" spans="1:165" hidden="1" x14ac:dyDescent="0.25">
      <c r="A51" s="17"/>
      <c r="B51" s="7" t="s">
        <v>278</v>
      </c>
      <c r="C51" s="7">
        <v>0</v>
      </c>
      <c r="D51" s="7">
        <v>0</v>
      </c>
      <c r="E51" s="7">
        <f t="shared" si="5"/>
        <v>0</v>
      </c>
      <c r="F51" s="17"/>
      <c r="I51" s="17"/>
      <c r="J51" s="7" t="s">
        <v>278</v>
      </c>
      <c r="K51" s="7">
        <v>0</v>
      </c>
      <c r="L51" s="7">
        <v>0</v>
      </c>
      <c r="M51" s="7">
        <v>0</v>
      </c>
      <c r="N51" s="7">
        <f t="shared" si="6"/>
        <v>0</v>
      </c>
      <c r="O51" s="17"/>
      <c r="R51" s="17"/>
      <c r="S51" s="7" t="s">
        <v>278</v>
      </c>
      <c r="T51" s="7">
        <v>0</v>
      </c>
      <c r="U51" s="7">
        <v>0</v>
      </c>
      <c r="V51" s="7">
        <v>0</v>
      </c>
      <c r="W51" s="7">
        <v>0</v>
      </c>
      <c r="X51" s="7">
        <f t="shared" si="7"/>
        <v>0</v>
      </c>
      <c r="Y51" s="17"/>
      <c r="AB51" s="17"/>
      <c r="AC51" s="7" t="s">
        <v>278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f t="shared" si="8"/>
        <v>0</v>
      </c>
      <c r="AJ51" s="17"/>
      <c r="AM51" s="17"/>
      <c r="AN51" s="7" t="s">
        <v>278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G51" s="7">
        <v>0</v>
      </c>
      <c r="CH51" s="7">
        <v>0</v>
      </c>
      <c r="CI51" s="7">
        <v>0</v>
      </c>
      <c r="CJ51" s="7">
        <v>0</v>
      </c>
      <c r="CK51" s="7">
        <v>0</v>
      </c>
      <c r="CL51" s="7">
        <v>0</v>
      </c>
      <c r="CM51" s="7">
        <v>0</v>
      </c>
      <c r="CN51" s="7">
        <v>0</v>
      </c>
      <c r="CO51" s="7">
        <v>0</v>
      </c>
      <c r="CP51" s="7">
        <v>0</v>
      </c>
      <c r="CQ51" s="7">
        <v>0</v>
      </c>
      <c r="CR51" s="7">
        <v>0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P51" s="7">
        <v>0</v>
      </c>
      <c r="DQ51" s="7">
        <v>0</v>
      </c>
      <c r="DR51" s="7">
        <v>0</v>
      </c>
      <c r="DS51" s="7">
        <v>0</v>
      </c>
      <c r="DT51" s="7">
        <v>0</v>
      </c>
      <c r="DU51" s="7">
        <v>0</v>
      </c>
      <c r="DV51" s="7">
        <v>0</v>
      </c>
      <c r="DW51" s="7">
        <v>0</v>
      </c>
      <c r="DX51" s="7">
        <v>0</v>
      </c>
      <c r="DY51" s="7">
        <v>0</v>
      </c>
      <c r="DZ51" s="7">
        <v>0</v>
      </c>
      <c r="EA51" s="7">
        <v>0</v>
      </c>
      <c r="EB51" s="7">
        <v>0</v>
      </c>
      <c r="EC51" s="7">
        <v>0</v>
      </c>
      <c r="ED51" s="7">
        <v>0</v>
      </c>
      <c r="EE51" s="7">
        <v>0</v>
      </c>
      <c r="EF51" s="7">
        <v>0</v>
      </c>
      <c r="EG51" s="7">
        <v>0</v>
      </c>
      <c r="EH51" s="7">
        <v>0</v>
      </c>
      <c r="EI51" s="7">
        <v>0</v>
      </c>
      <c r="EJ51" s="7">
        <v>0</v>
      </c>
      <c r="EK51" s="7">
        <v>0</v>
      </c>
      <c r="EL51" s="7">
        <v>0</v>
      </c>
      <c r="EM51" s="7">
        <v>0</v>
      </c>
      <c r="EN51" s="7">
        <v>0</v>
      </c>
      <c r="EO51" s="7">
        <v>0</v>
      </c>
      <c r="EP51" s="7">
        <v>0</v>
      </c>
      <c r="EQ51" s="7">
        <v>0</v>
      </c>
      <c r="ER51" s="7">
        <v>0</v>
      </c>
      <c r="ES51" s="7">
        <v>0</v>
      </c>
      <c r="ET51" s="7">
        <v>0</v>
      </c>
      <c r="EU51" s="7">
        <v>0</v>
      </c>
      <c r="EV51" s="7">
        <v>0</v>
      </c>
      <c r="EW51" s="7">
        <v>0</v>
      </c>
      <c r="EX51" s="7">
        <v>0</v>
      </c>
      <c r="EY51" s="7">
        <v>0</v>
      </c>
      <c r="EZ51" s="7">
        <v>0</v>
      </c>
      <c r="FA51" s="7">
        <v>0</v>
      </c>
      <c r="FB51" s="7">
        <v>0</v>
      </c>
      <c r="FC51" s="7">
        <v>0</v>
      </c>
      <c r="FD51" s="7">
        <v>0</v>
      </c>
      <c r="FE51" s="7">
        <v>0</v>
      </c>
      <c r="FF51" s="7">
        <v>0</v>
      </c>
      <c r="FG51" s="7">
        <v>0</v>
      </c>
      <c r="FH51" s="7">
        <f t="shared" si="9"/>
        <v>0</v>
      </c>
      <c r="FI51" s="17"/>
    </row>
    <row r="52" spans="1:165" hidden="1" x14ac:dyDescent="0.25">
      <c r="A52" s="15" t="s">
        <v>289</v>
      </c>
      <c r="B52" s="7" t="s">
        <v>275</v>
      </c>
      <c r="C52" s="7">
        <v>0</v>
      </c>
      <c r="D52" s="7">
        <v>0</v>
      </c>
      <c r="E52" s="7">
        <f t="shared" si="5"/>
        <v>0</v>
      </c>
      <c r="F52" s="18">
        <f>SUM(E52:E55)</f>
        <v>0</v>
      </c>
      <c r="I52" s="15" t="s">
        <v>289</v>
      </c>
      <c r="J52" s="7" t="s">
        <v>275</v>
      </c>
      <c r="K52" s="7">
        <v>0</v>
      </c>
      <c r="L52" s="7">
        <v>0</v>
      </c>
      <c r="M52" s="7">
        <v>0</v>
      </c>
      <c r="N52" s="7">
        <f t="shared" si="6"/>
        <v>0</v>
      </c>
      <c r="O52" s="18">
        <f>SUM(N52:N55)</f>
        <v>0</v>
      </c>
      <c r="R52" s="15" t="s">
        <v>289</v>
      </c>
      <c r="S52" s="7" t="s">
        <v>275</v>
      </c>
      <c r="T52" s="7">
        <v>0</v>
      </c>
      <c r="U52" s="7">
        <v>0</v>
      </c>
      <c r="V52" s="7">
        <v>0</v>
      </c>
      <c r="W52" s="7">
        <v>0</v>
      </c>
      <c r="X52" s="7">
        <f t="shared" si="7"/>
        <v>0</v>
      </c>
      <c r="Y52" s="18">
        <f>SUM(X52:X55)</f>
        <v>0</v>
      </c>
      <c r="AB52" s="15" t="s">
        <v>289</v>
      </c>
      <c r="AC52" s="7" t="s">
        <v>275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f t="shared" si="8"/>
        <v>0</v>
      </c>
      <c r="AJ52" s="18">
        <f>SUM(AI52:AI55)</f>
        <v>0</v>
      </c>
      <c r="AM52" s="15" t="s">
        <v>289</v>
      </c>
      <c r="AN52" s="7" t="s">
        <v>275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S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E52" s="7">
        <v>0</v>
      </c>
      <c r="CF52" s="7">
        <v>0</v>
      </c>
      <c r="CG52" s="7">
        <v>0</v>
      </c>
      <c r="CH52" s="7">
        <v>0</v>
      </c>
      <c r="CI52" s="7">
        <v>0</v>
      </c>
      <c r="CJ52" s="7">
        <v>0</v>
      </c>
      <c r="CK52" s="7">
        <v>0</v>
      </c>
      <c r="CL52" s="7">
        <v>0</v>
      </c>
      <c r="CM52" s="7">
        <v>0</v>
      </c>
      <c r="CN52" s="7">
        <v>0</v>
      </c>
      <c r="CO52" s="7">
        <v>0</v>
      </c>
      <c r="CP52" s="7">
        <v>0</v>
      </c>
      <c r="CQ52" s="7">
        <v>0</v>
      </c>
      <c r="CR52" s="7">
        <v>0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CZ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L52" s="7">
        <v>0</v>
      </c>
      <c r="DM52" s="7">
        <v>0</v>
      </c>
      <c r="DN52" s="7">
        <v>0</v>
      </c>
      <c r="DO52" s="7">
        <v>0</v>
      </c>
      <c r="DP52" s="7">
        <v>0</v>
      </c>
      <c r="DQ52" s="7">
        <v>0</v>
      </c>
      <c r="DR52" s="7">
        <v>0</v>
      </c>
      <c r="DS52" s="7">
        <v>0</v>
      </c>
      <c r="DT52" s="7">
        <v>0</v>
      </c>
      <c r="DU52" s="7">
        <v>0</v>
      </c>
      <c r="DV52" s="7">
        <v>0</v>
      </c>
      <c r="DW52" s="7">
        <v>0</v>
      </c>
      <c r="DX52" s="7">
        <v>0</v>
      </c>
      <c r="DY52" s="7">
        <v>0</v>
      </c>
      <c r="DZ52" s="7">
        <v>0</v>
      </c>
      <c r="EA52" s="7">
        <v>0</v>
      </c>
      <c r="EB52" s="7">
        <v>0</v>
      </c>
      <c r="EC52" s="7">
        <v>0</v>
      </c>
      <c r="ED52" s="7">
        <v>0</v>
      </c>
      <c r="EE52" s="7">
        <v>0</v>
      </c>
      <c r="EF52" s="7">
        <v>0</v>
      </c>
      <c r="EG52" s="7">
        <v>0</v>
      </c>
      <c r="EH52" s="7">
        <v>0</v>
      </c>
      <c r="EI52" s="7">
        <v>0</v>
      </c>
      <c r="EJ52" s="7">
        <v>0</v>
      </c>
      <c r="EK52" s="7">
        <v>0</v>
      </c>
      <c r="EL52" s="7">
        <v>0</v>
      </c>
      <c r="EM52" s="7">
        <v>0</v>
      </c>
      <c r="EN52" s="7">
        <v>0</v>
      </c>
      <c r="EO52" s="7">
        <v>0</v>
      </c>
      <c r="EP52" s="7">
        <v>0</v>
      </c>
      <c r="EQ52" s="7">
        <v>0</v>
      </c>
      <c r="ER52" s="7">
        <v>0</v>
      </c>
      <c r="ES52" s="7">
        <v>0</v>
      </c>
      <c r="ET52" s="7">
        <v>0</v>
      </c>
      <c r="EU52" s="7">
        <v>0</v>
      </c>
      <c r="EV52" s="7">
        <v>0</v>
      </c>
      <c r="EW52" s="7">
        <v>0</v>
      </c>
      <c r="EX52" s="7">
        <v>0</v>
      </c>
      <c r="EY52" s="7">
        <v>0</v>
      </c>
      <c r="EZ52" s="7">
        <v>0</v>
      </c>
      <c r="FA52" s="7">
        <v>0</v>
      </c>
      <c r="FB52" s="7">
        <v>0</v>
      </c>
      <c r="FC52" s="7">
        <v>0</v>
      </c>
      <c r="FD52" s="7">
        <v>0</v>
      </c>
      <c r="FE52" s="7">
        <v>0</v>
      </c>
      <c r="FF52" s="7">
        <v>0</v>
      </c>
      <c r="FG52" s="7">
        <v>0</v>
      </c>
      <c r="FH52" s="7">
        <f t="shared" si="9"/>
        <v>0</v>
      </c>
      <c r="FI52" s="18">
        <f>SUM(FH52:FH55)</f>
        <v>0</v>
      </c>
    </row>
    <row r="53" spans="1:165" hidden="1" x14ac:dyDescent="0.25">
      <c r="A53" s="16"/>
      <c r="B53" s="7" t="s">
        <v>276</v>
      </c>
      <c r="C53" s="7">
        <v>0</v>
      </c>
      <c r="D53" s="7">
        <v>0</v>
      </c>
      <c r="E53" s="7">
        <f t="shared" si="5"/>
        <v>0</v>
      </c>
      <c r="F53" s="16"/>
      <c r="I53" s="16"/>
      <c r="J53" s="7" t="s">
        <v>276</v>
      </c>
      <c r="K53" s="7">
        <v>0</v>
      </c>
      <c r="L53" s="7">
        <v>0</v>
      </c>
      <c r="M53" s="7">
        <v>0</v>
      </c>
      <c r="N53" s="7">
        <f t="shared" si="6"/>
        <v>0</v>
      </c>
      <c r="O53" s="16"/>
      <c r="R53" s="16"/>
      <c r="S53" s="7" t="s">
        <v>276</v>
      </c>
      <c r="T53" s="7">
        <v>0</v>
      </c>
      <c r="U53" s="7">
        <v>0</v>
      </c>
      <c r="V53" s="7">
        <v>0</v>
      </c>
      <c r="W53" s="7">
        <v>0</v>
      </c>
      <c r="X53" s="7">
        <f t="shared" si="7"/>
        <v>0</v>
      </c>
      <c r="Y53" s="16"/>
      <c r="AB53" s="16"/>
      <c r="AC53" s="7" t="s">
        <v>276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f t="shared" si="8"/>
        <v>0</v>
      </c>
      <c r="AJ53" s="16"/>
      <c r="AM53" s="16"/>
      <c r="AN53" s="7" t="s">
        <v>276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S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E53" s="7">
        <v>0</v>
      </c>
      <c r="CF53" s="7">
        <v>0</v>
      </c>
      <c r="CG53" s="7">
        <v>0</v>
      </c>
      <c r="CH53" s="7">
        <v>0</v>
      </c>
      <c r="CI53" s="7">
        <v>0</v>
      </c>
      <c r="CJ53" s="7">
        <v>0</v>
      </c>
      <c r="CK53" s="7">
        <v>0</v>
      </c>
      <c r="CL53" s="7">
        <v>0</v>
      </c>
      <c r="CM53" s="7">
        <v>0</v>
      </c>
      <c r="CN53" s="7">
        <v>0</v>
      </c>
      <c r="CO53" s="7">
        <v>0</v>
      </c>
      <c r="CP53" s="7">
        <v>0</v>
      </c>
      <c r="CQ53" s="7">
        <v>0</v>
      </c>
      <c r="CR53" s="7">
        <v>0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CZ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P53" s="7">
        <v>0</v>
      </c>
      <c r="DQ53" s="7">
        <v>0</v>
      </c>
      <c r="DR53" s="7">
        <v>0</v>
      </c>
      <c r="DS53" s="7">
        <v>0</v>
      </c>
      <c r="DT53" s="7">
        <v>0</v>
      </c>
      <c r="DU53" s="7">
        <v>0</v>
      </c>
      <c r="DV53" s="7">
        <v>0</v>
      </c>
      <c r="DW53" s="7">
        <v>0</v>
      </c>
      <c r="DX53" s="7">
        <v>0</v>
      </c>
      <c r="DY53" s="7">
        <v>0</v>
      </c>
      <c r="DZ53" s="7">
        <v>0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  <c r="EF53" s="7">
        <v>0</v>
      </c>
      <c r="EG53" s="7">
        <v>0</v>
      </c>
      <c r="EH53" s="7">
        <v>0</v>
      </c>
      <c r="EI53" s="7">
        <v>0</v>
      </c>
      <c r="EJ53" s="7">
        <v>0</v>
      </c>
      <c r="EK53" s="7">
        <v>0</v>
      </c>
      <c r="EL53" s="7">
        <v>0</v>
      </c>
      <c r="EM53" s="7">
        <v>0</v>
      </c>
      <c r="EN53" s="7">
        <v>0</v>
      </c>
      <c r="EO53" s="7">
        <v>0</v>
      </c>
      <c r="EP53" s="7">
        <v>0</v>
      </c>
      <c r="EQ53" s="7">
        <v>0</v>
      </c>
      <c r="ER53" s="7">
        <v>0</v>
      </c>
      <c r="ES53" s="7">
        <v>0</v>
      </c>
      <c r="ET53" s="7">
        <v>0</v>
      </c>
      <c r="EU53" s="7">
        <v>0</v>
      </c>
      <c r="EV53" s="7">
        <v>0</v>
      </c>
      <c r="EW53" s="7">
        <v>0</v>
      </c>
      <c r="EX53" s="7">
        <v>0</v>
      </c>
      <c r="EY53" s="7">
        <v>0</v>
      </c>
      <c r="EZ53" s="7">
        <v>0</v>
      </c>
      <c r="FA53" s="7">
        <v>0</v>
      </c>
      <c r="FB53" s="7">
        <v>0</v>
      </c>
      <c r="FC53" s="7">
        <v>0</v>
      </c>
      <c r="FD53" s="7">
        <v>0</v>
      </c>
      <c r="FE53" s="7">
        <v>0</v>
      </c>
      <c r="FF53" s="7">
        <v>0</v>
      </c>
      <c r="FG53" s="7">
        <v>0</v>
      </c>
      <c r="FH53" s="7">
        <f t="shared" si="9"/>
        <v>0</v>
      </c>
      <c r="FI53" s="16"/>
    </row>
    <row r="54" spans="1:165" hidden="1" x14ac:dyDescent="0.25">
      <c r="A54" s="16"/>
      <c r="B54" s="7" t="s">
        <v>277</v>
      </c>
      <c r="C54" s="7">
        <v>0</v>
      </c>
      <c r="D54" s="7">
        <v>0</v>
      </c>
      <c r="E54" s="7">
        <f t="shared" si="5"/>
        <v>0</v>
      </c>
      <c r="F54" s="16"/>
      <c r="I54" s="16"/>
      <c r="J54" s="7" t="s">
        <v>277</v>
      </c>
      <c r="K54" s="7">
        <v>0</v>
      </c>
      <c r="L54" s="7">
        <v>0</v>
      </c>
      <c r="M54" s="7">
        <v>0</v>
      </c>
      <c r="N54" s="7">
        <f t="shared" si="6"/>
        <v>0</v>
      </c>
      <c r="O54" s="16"/>
      <c r="R54" s="16"/>
      <c r="S54" s="7" t="s">
        <v>277</v>
      </c>
      <c r="T54" s="7">
        <v>0</v>
      </c>
      <c r="U54" s="7">
        <v>0</v>
      </c>
      <c r="V54" s="7">
        <v>0</v>
      </c>
      <c r="W54" s="7">
        <v>0</v>
      </c>
      <c r="X54" s="7">
        <f t="shared" si="7"/>
        <v>0</v>
      </c>
      <c r="Y54" s="16"/>
      <c r="AB54" s="16"/>
      <c r="AC54" s="7" t="s">
        <v>277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f t="shared" si="8"/>
        <v>0</v>
      </c>
      <c r="AJ54" s="16"/>
      <c r="AM54" s="16"/>
      <c r="AN54" s="7" t="s">
        <v>277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G54" s="7">
        <v>0</v>
      </c>
      <c r="CH54" s="7">
        <v>0</v>
      </c>
      <c r="CI54" s="7">
        <v>0</v>
      </c>
      <c r="CJ54" s="7">
        <v>0</v>
      </c>
      <c r="CK54" s="7">
        <v>0</v>
      </c>
      <c r="CL54" s="7">
        <v>0</v>
      </c>
      <c r="CM54" s="7">
        <v>0</v>
      </c>
      <c r="CN54" s="7">
        <v>0</v>
      </c>
      <c r="CO54" s="7">
        <v>0</v>
      </c>
      <c r="CP54" s="7">
        <v>0</v>
      </c>
      <c r="CQ54" s="7">
        <v>0</v>
      </c>
      <c r="CR54" s="7">
        <v>0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P54" s="7">
        <v>0</v>
      </c>
      <c r="DQ54" s="7">
        <v>0</v>
      </c>
      <c r="DR54" s="7">
        <v>0</v>
      </c>
      <c r="DS54" s="7">
        <v>0</v>
      </c>
      <c r="DT54" s="7">
        <v>0</v>
      </c>
      <c r="DU54" s="7">
        <v>0</v>
      </c>
      <c r="DV54" s="7">
        <v>0</v>
      </c>
      <c r="DW54" s="7">
        <v>0</v>
      </c>
      <c r="DX54" s="7">
        <v>0</v>
      </c>
      <c r="DY54" s="7">
        <v>0</v>
      </c>
      <c r="DZ54" s="7">
        <v>0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  <c r="EF54" s="7">
        <v>0</v>
      </c>
      <c r="EG54" s="7">
        <v>0</v>
      </c>
      <c r="EH54" s="7">
        <v>0</v>
      </c>
      <c r="EI54" s="7">
        <v>0</v>
      </c>
      <c r="EJ54" s="7">
        <v>0</v>
      </c>
      <c r="EK54" s="7">
        <v>0</v>
      </c>
      <c r="EL54" s="7">
        <v>0</v>
      </c>
      <c r="EM54" s="7">
        <v>0</v>
      </c>
      <c r="EN54" s="7">
        <v>0</v>
      </c>
      <c r="EO54" s="7">
        <v>0</v>
      </c>
      <c r="EP54" s="7">
        <v>0</v>
      </c>
      <c r="EQ54" s="7">
        <v>0</v>
      </c>
      <c r="ER54" s="7">
        <v>0</v>
      </c>
      <c r="ES54" s="7">
        <v>0</v>
      </c>
      <c r="ET54" s="7">
        <v>0</v>
      </c>
      <c r="EU54" s="7">
        <v>0</v>
      </c>
      <c r="EV54" s="7">
        <v>0</v>
      </c>
      <c r="EW54" s="7">
        <v>0</v>
      </c>
      <c r="EX54" s="7">
        <v>0</v>
      </c>
      <c r="EY54" s="7">
        <v>0</v>
      </c>
      <c r="EZ54" s="7">
        <v>0</v>
      </c>
      <c r="FA54" s="7">
        <v>0</v>
      </c>
      <c r="FB54" s="7">
        <v>0</v>
      </c>
      <c r="FC54" s="7">
        <v>0</v>
      </c>
      <c r="FD54" s="7">
        <v>0</v>
      </c>
      <c r="FE54" s="7">
        <v>0</v>
      </c>
      <c r="FF54" s="7">
        <v>0</v>
      </c>
      <c r="FG54" s="7">
        <v>0</v>
      </c>
      <c r="FH54" s="7">
        <f t="shared" si="9"/>
        <v>0</v>
      </c>
      <c r="FI54" s="16"/>
    </row>
    <row r="55" spans="1:165" hidden="1" x14ac:dyDescent="0.25">
      <c r="A55" s="17"/>
      <c r="B55" s="7" t="s">
        <v>278</v>
      </c>
      <c r="C55" s="7">
        <v>0</v>
      </c>
      <c r="D55" s="7">
        <v>0</v>
      </c>
      <c r="E55" s="7">
        <f t="shared" si="5"/>
        <v>0</v>
      </c>
      <c r="F55" s="17"/>
      <c r="I55" s="17"/>
      <c r="J55" s="7" t="s">
        <v>278</v>
      </c>
      <c r="K55" s="7">
        <v>0</v>
      </c>
      <c r="L55" s="7">
        <v>0</v>
      </c>
      <c r="M55" s="7">
        <v>0</v>
      </c>
      <c r="N55" s="7">
        <f t="shared" si="6"/>
        <v>0</v>
      </c>
      <c r="O55" s="17"/>
      <c r="R55" s="17"/>
      <c r="S55" s="7" t="s">
        <v>278</v>
      </c>
      <c r="T55" s="7">
        <v>0</v>
      </c>
      <c r="U55" s="7">
        <v>0</v>
      </c>
      <c r="V55" s="7">
        <v>0</v>
      </c>
      <c r="W55" s="7">
        <v>0</v>
      </c>
      <c r="X55" s="7">
        <f t="shared" si="7"/>
        <v>0</v>
      </c>
      <c r="Y55" s="17"/>
      <c r="AB55" s="17"/>
      <c r="AC55" s="7" t="s">
        <v>278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f t="shared" si="8"/>
        <v>0</v>
      </c>
      <c r="AJ55" s="17"/>
      <c r="AM55" s="17"/>
      <c r="AN55" s="7" t="s">
        <v>278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G55" s="7">
        <v>0</v>
      </c>
      <c r="CH55" s="7">
        <v>0</v>
      </c>
      <c r="CI55" s="7">
        <v>0</v>
      </c>
      <c r="CJ55" s="7">
        <v>0</v>
      </c>
      <c r="CK55" s="7">
        <v>0</v>
      </c>
      <c r="CL55" s="7">
        <v>0</v>
      </c>
      <c r="CM55" s="7">
        <v>0</v>
      </c>
      <c r="CN55" s="7">
        <v>0</v>
      </c>
      <c r="CO55" s="7">
        <v>0</v>
      </c>
      <c r="CP55" s="7">
        <v>0</v>
      </c>
      <c r="CQ55" s="7">
        <v>0</v>
      </c>
      <c r="CR55" s="7">
        <v>0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P55" s="7">
        <v>0</v>
      </c>
      <c r="DQ55" s="7">
        <v>0</v>
      </c>
      <c r="DR55" s="7">
        <v>0</v>
      </c>
      <c r="DS55" s="7">
        <v>0</v>
      </c>
      <c r="DT55" s="7">
        <v>0</v>
      </c>
      <c r="DU55" s="7">
        <v>0</v>
      </c>
      <c r="DV55" s="7">
        <v>0</v>
      </c>
      <c r="DW55" s="7">
        <v>0</v>
      </c>
      <c r="DX55" s="7">
        <v>0</v>
      </c>
      <c r="DY55" s="7">
        <v>0</v>
      </c>
      <c r="DZ55" s="7">
        <v>0</v>
      </c>
      <c r="EA55" s="7">
        <v>0</v>
      </c>
      <c r="EB55" s="7">
        <v>0</v>
      </c>
      <c r="EC55" s="7">
        <v>0</v>
      </c>
      <c r="ED55" s="7">
        <v>0</v>
      </c>
      <c r="EE55" s="7">
        <v>0</v>
      </c>
      <c r="EF55" s="7">
        <v>0</v>
      </c>
      <c r="EG55" s="7">
        <v>0</v>
      </c>
      <c r="EH55" s="7">
        <v>0</v>
      </c>
      <c r="EI55" s="7">
        <v>0</v>
      </c>
      <c r="EJ55" s="7">
        <v>0</v>
      </c>
      <c r="EK55" s="7">
        <v>0</v>
      </c>
      <c r="EL55" s="7">
        <v>0</v>
      </c>
      <c r="EM55" s="7">
        <v>0</v>
      </c>
      <c r="EN55" s="7">
        <v>0</v>
      </c>
      <c r="EO55" s="7">
        <v>0</v>
      </c>
      <c r="EP55" s="7">
        <v>0</v>
      </c>
      <c r="EQ55" s="7">
        <v>0</v>
      </c>
      <c r="ER55" s="7">
        <v>0</v>
      </c>
      <c r="ES55" s="7">
        <v>0</v>
      </c>
      <c r="ET55" s="7">
        <v>0</v>
      </c>
      <c r="EU55" s="7">
        <v>0</v>
      </c>
      <c r="EV55" s="7">
        <v>0</v>
      </c>
      <c r="EW55" s="7">
        <v>0</v>
      </c>
      <c r="EX55" s="7">
        <v>0</v>
      </c>
      <c r="EY55" s="7">
        <v>0</v>
      </c>
      <c r="EZ55" s="7">
        <v>0</v>
      </c>
      <c r="FA55" s="7">
        <v>0</v>
      </c>
      <c r="FB55" s="7">
        <v>0</v>
      </c>
      <c r="FC55" s="7">
        <v>0</v>
      </c>
      <c r="FD55" s="7">
        <v>0</v>
      </c>
      <c r="FE55" s="7">
        <v>0</v>
      </c>
      <c r="FF55" s="7">
        <v>0</v>
      </c>
      <c r="FG55" s="7">
        <v>0</v>
      </c>
      <c r="FH55" s="7">
        <f t="shared" si="9"/>
        <v>0</v>
      </c>
      <c r="FI55" s="17"/>
    </row>
    <row r="56" spans="1:165" hidden="1" x14ac:dyDescent="0.25">
      <c r="A56" s="15" t="s">
        <v>290</v>
      </c>
      <c r="B56" s="7" t="s">
        <v>275</v>
      </c>
      <c r="C56" s="7">
        <v>0</v>
      </c>
      <c r="D56" s="7">
        <v>0</v>
      </c>
      <c r="E56" s="7">
        <f t="shared" si="5"/>
        <v>0</v>
      </c>
      <c r="F56" s="18">
        <f>SUM(E56:E59)</f>
        <v>0</v>
      </c>
      <c r="I56" s="15" t="s">
        <v>290</v>
      </c>
      <c r="J56" s="7" t="s">
        <v>275</v>
      </c>
      <c r="K56" s="7">
        <v>0</v>
      </c>
      <c r="L56" s="7">
        <v>0</v>
      </c>
      <c r="M56" s="7">
        <v>0</v>
      </c>
      <c r="N56" s="7">
        <f t="shared" si="6"/>
        <v>0</v>
      </c>
      <c r="O56" s="18">
        <f>SUM(N56:N59)</f>
        <v>0</v>
      </c>
      <c r="R56" s="15" t="s">
        <v>290</v>
      </c>
      <c r="S56" s="7" t="s">
        <v>275</v>
      </c>
      <c r="T56" s="7">
        <v>0</v>
      </c>
      <c r="U56" s="7">
        <v>0</v>
      </c>
      <c r="V56" s="7">
        <v>0</v>
      </c>
      <c r="W56" s="7">
        <v>0</v>
      </c>
      <c r="X56" s="7">
        <f t="shared" si="7"/>
        <v>0</v>
      </c>
      <c r="Y56" s="18">
        <f>SUM(X56:X59)</f>
        <v>0</v>
      </c>
      <c r="AB56" s="15" t="s">
        <v>290</v>
      </c>
      <c r="AC56" s="7" t="s">
        <v>275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f t="shared" si="8"/>
        <v>0</v>
      </c>
      <c r="AJ56" s="18">
        <f>SUM(AI56:AI59)</f>
        <v>0</v>
      </c>
      <c r="AM56" s="15" t="s">
        <v>290</v>
      </c>
      <c r="AN56" s="7" t="s">
        <v>275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0</v>
      </c>
      <c r="CG56" s="7">
        <v>0</v>
      </c>
      <c r="CH56" s="7">
        <v>0</v>
      </c>
      <c r="CI56" s="7">
        <v>0</v>
      </c>
      <c r="CJ56" s="7">
        <v>0</v>
      </c>
      <c r="CK56" s="7">
        <v>0</v>
      </c>
      <c r="CL56" s="7">
        <v>0</v>
      </c>
      <c r="CM56" s="7">
        <v>0</v>
      </c>
      <c r="CN56" s="7">
        <v>0</v>
      </c>
      <c r="CO56" s="7">
        <v>0</v>
      </c>
      <c r="CP56" s="7">
        <v>0</v>
      </c>
      <c r="CQ56" s="7">
        <v>0</v>
      </c>
      <c r="CR56" s="7">
        <v>0</v>
      </c>
      <c r="CS56" s="7">
        <v>0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CZ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P56" s="7">
        <v>0</v>
      </c>
      <c r="DQ56" s="7">
        <v>0</v>
      </c>
      <c r="DR56" s="7">
        <v>0</v>
      </c>
      <c r="DS56" s="7">
        <v>0</v>
      </c>
      <c r="DT56" s="7">
        <v>0</v>
      </c>
      <c r="DU56" s="7">
        <v>0</v>
      </c>
      <c r="DV56" s="7">
        <v>0</v>
      </c>
      <c r="DW56" s="7">
        <v>0</v>
      </c>
      <c r="DX56" s="7">
        <v>0</v>
      </c>
      <c r="DY56" s="7">
        <v>0</v>
      </c>
      <c r="DZ56" s="7">
        <v>0</v>
      </c>
      <c r="EA56" s="7">
        <v>0</v>
      </c>
      <c r="EB56" s="7">
        <v>0</v>
      </c>
      <c r="EC56" s="7">
        <v>0</v>
      </c>
      <c r="ED56" s="7">
        <v>0</v>
      </c>
      <c r="EE56" s="7">
        <v>0</v>
      </c>
      <c r="EF56" s="7">
        <v>0</v>
      </c>
      <c r="EG56" s="7">
        <v>0</v>
      </c>
      <c r="EH56" s="7">
        <v>0</v>
      </c>
      <c r="EI56" s="7">
        <v>0</v>
      </c>
      <c r="EJ56" s="7">
        <v>0</v>
      </c>
      <c r="EK56" s="7">
        <v>0</v>
      </c>
      <c r="EL56" s="7">
        <v>0</v>
      </c>
      <c r="EM56" s="7">
        <v>0</v>
      </c>
      <c r="EN56" s="7">
        <v>0</v>
      </c>
      <c r="EO56" s="7">
        <v>0</v>
      </c>
      <c r="EP56" s="7">
        <v>0</v>
      </c>
      <c r="EQ56" s="7">
        <v>0</v>
      </c>
      <c r="ER56" s="7">
        <v>0</v>
      </c>
      <c r="ES56" s="7">
        <v>0</v>
      </c>
      <c r="ET56" s="7">
        <v>0</v>
      </c>
      <c r="EU56" s="7">
        <v>0</v>
      </c>
      <c r="EV56" s="7">
        <v>0</v>
      </c>
      <c r="EW56" s="7">
        <v>0</v>
      </c>
      <c r="EX56" s="7">
        <v>0</v>
      </c>
      <c r="EY56" s="7">
        <v>0</v>
      </c>
      <c r="EZ56" s="7">
        <v>0</v>
      </c>
      <c r="FA56" s="7">
        <v>0</v>
      </c>
      <c r="FB56" s="7">
        <v>0</v>
      </c>
      <c r="FC56" s="7">
        <v>0</v>
      </c>
      <c r="FD56" s="7">
        <v>0</v>
      </c>
      <c r="FE56" s="7">
        <v>0</v>
      </c>
      <c r="FF56" s="7">
        <v>0</v>
      </c>
      <c r="FG56" s="7">
        <v>0</v>
      </c>
      <c r="FH56" s="7">
        <f t="shared" si="9"/>
        <v>0</v>
      </c>
      <c r="FI56" s="18">
        <f>SUM(FH56:FH59)</f>
        <v>0</v>
      </c>
    </row>
    <row r="57" spans="1:165" hidden="1" x14ac:dyDescent="0.25">
      <c r="A57" s="16"/>
      <c r="B57" s="7" t="s">
        <v>276</v>
      </c>
      <c r="C57" s="7">
        <v>0</v>
      </c>
      <c r="D57" s="7">
        <v>0</v>
      </c>
      <c r="E57" s="7">
        <f t="shared" si="5"/>
        <v>0</v>
      </c>
      <c r="F57" s="16"/>
      <c r="I57" s="16"/>
      <c r="J57" s="7" t="s">
        <v>276</v>
      </c>
      <c r="K57" s="7">
        <v>0</v>
      </c>
      <c r="L57" s="7">
        <v>0</v>
      </c>
      <c r="M57" s="7">
        <v>0</v>
      </c>
      <c r="N57" s="7">
        <f t="shared" si="6"/>
        <v>0</v>
      </c>
      <c r="O57" s="16"/>
      <c r="R57" s="16"/>
      <c r="S57" s="7" t="s">
        <v>276</v>
      </c>
      <c r="T57" s="7">
        <v>0</v>
      </c>
      <c r="U57" s="7">
        <v>0</v>
      </c>
      <c r="V57" s="7">
        <v>0</v>
      </c>
      <c r="W57" s="7">
        <v>0</v>
      </c>
      <c r="X57" s="7">
        <f t="shared" si="7"/>
        <v>0</v>
      </c>
      <c r="Y57" s="16"/>
      <c r="AB57" s="16"/>
      <c r="AC57" s="7" t="s">
        <v>276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f t="shared" si="8"/>
        <v>0</v>
      </c>
      <c r="AJ57" s="16"/>
      <c r="AM57" s="16"/>
      <c r="AN57" s="7" t="s">
        <v>276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E57" s="7">
        <v>0</v>
      </c>
      <c r="CF57" s="7">
        <v>0</v>
      </c>
      <c r="CG57" s="7">
        <v>0</v>
      </c>
      <c r="CH57" s="7">
        <v>0</v>
      </c>
      <c r="CI57" s="7">
        <v>0</v>
      </c>
      <c r="CJ57" s="7">
        <v>0</v>
      </c>
      <c r="CK57" s="7">
        <v>0</v>
      </c>
      <c r="CL57" s="7">
        <v>0</v>
      </c>
      <c r="CM57" s="7">
        <v>0</v>
      </c>
      <c r="CN57" s="7">
        <v>0</v>
      </c>
      <c r="CO57" s="7">
        <v>0</v>
      </c>
      <c r="CP57" s="7">
        <v>0</v>
      </c>
      <c r="CQ57" s="7">
        <v>0</v>
      </c>
      <c r="CR57" s="7">
        <v>0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P57" s="7">
        <v>0</v>
      </c>
      <c r="DQ57" s="7">
        <v>0</v>
      </c>
      <c r="DR57" s="7">
        <v>0</v>
      </c>
      <c r="DS57" s="7">
        <v>0</v>
      </c>
      <c r="DT57" s="7">
        <v>0</v>
      </c>
      <c r="DU57" s="7">
        <v>0</v>
      </c>
      <c r="DV57" s="7">
        <v>0</v>
      </c>
      <c r="DW57" s="7">
        <v>0</v>
      </c>
      <c r="DX57" s="7">
        <v>0</v>
      </c>
      <c r="DY57" s="7">
        <v>0</v>
      </c>
      <c r="DZ57" s="7">
        <v>0</v>
      </c>
      <c r="EA57" s="7">
        <v>0</v>
      </c>
      <c r="EB57" s="7">
        <v>0</v>
      </c>
      <c r="EC57" s="7">
        <v>0</v>
      </c>
      <c r="ED57" s="7">
        <v>0</v>
      </c>
      <c r="EE57" s="7">
        <v>0</v>
      </c>
      <c r="EF57" s="7">
        <v>0</v>
      </c>
      <c r="EG57" s="7">
        <v>0</v>
      </c>
      <c r="EH57" s="7">
        <v>0</v>
      </c>
      <c r="EI57" s="7">
        <v>0</v>
      </c>
      <c r="EJ57" s="7">
        <v>0</v>
      </c>
      <c r="EK57" s="7">
        <v>0</v>
      </c>
      <c r="EL57" s="7">
        <v>0</v>
      </c>
      <c r="EM57" s="7">
        <v>0</v>
      </c>
      <c r="EN57" s="7">
        <v>0</v>
      </c>
      <c r="EO57" s="7">
        <v>0</v>
      </c>
      <c r="EP57" s="7">
        <v>0</v>
      </c>
      <c r="EQ57" s="7">
        <v>0</v>
      </c>
      <c r="ER57" s="7">
        <v>0</v>
      </c>
      <c r="ES57" s="7">
        <v>0</v>
      </c>
      <c r="ET57" s="7">
        <v>0</v>
      </c>
      <c r="EU57" s="7">
        <v>0</v>
      </c>
      <c r="EV57" s="7">
        <v>0</v>
      </c>
      <c r="EW57" s="7">
        <v>0</v>
      </c>
      <c r="EX57" s="7">
        <v>0</v>
      </c>
      <c r="EY57" s="7">
        <v>0</v>
      </c>
      <c r="EZ57" s="7">
        <v>0</v>
      </c>
      <c r="FA57" s="7">
        <v>0</v>
      </c>
      <c r="FB57" s="7">
        <v>0</v>
      </c>
      <c r="FC57" s="7">
        <v>0</v>
      </c>
      <c r="FD57" s="7">
        <v>0</v>
      </c>
      <c r="FE57" s="7">
        <v>0</v>
      </c>
      <c r="FF57" s="7">
        <v>0</v>
      </c>
      <c r="FG57" s="7">
        <v>0</v>
      </c>
      <c r="FH57" s="7">
        <f t="shared" si="9"/>
        <v>0</v>
      </c>
      <c r="FI57" s="16"/>
    </row>
    <row r="58" spans="1:165" hidden="1" x14ac:dyDescent="0.25">
      <c r="A58" s="16"/>
      <c r="B58" s="7" t="s">
        <v>277</v>
      </c>
      <c r="C58" s="7">
        <v>0</v>
      </c>
      <c r="D58" s="7">
        <v>0</v>
      </c>
      <c r="E58" s="7">
        <f t="shared" si="5"/>
        <v>0</v>
      </c>
      <c r="F58" s="16"/>
      <c r="I58" s="16"/>
      <c r="J58" s="7" t="s">
        <v>277</v>
      </c>
      <c r="K58" s="7">
        <v>0</v>
      </c>
      <c r="L58" s="7">
        <v>0</v>
      </c>
      <c r="M58" s="7">
        <v>0</v>
      </c>
      <c r="N58" s="7">
        <f t="shared" si="6"/>
        <v>0</v>
      </c>
      <c r="O58" s="16"/>
      <c r="R58" s="16"/>
      <c r="S58" s="7" t="s">
        <v>277</v>
      </c>
      <c r="T58" s="7">
        <v>0</v>
      </c>
      <c r="U58" s="7">
        <v>0</v>
      </c>
      <c r="V58" s="7">
        <v>0</v>
      </c>
      <c r="W58" s="7">
        <v>0</v>
      </c>
      <c r="X58" s="7">
        <f t="shared" si="7"/>
        <v>0</v>
      </c>
      <c r="Y58" s="16"/>
      <c r="AB58" s="16"/>
      <c r="AC58" s="7" t="s">
        <v>277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f t="shared" si="8"/>
        <v>0</v>
      </c>
      <c r="AJ58" s="16"/>
      <c r="AM58" s="16"/>
      <c r="AN58" s="7" t="s">
        <v>277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E58" s="7">
        <v>0</v>
      </c>
      <c r="CF58" s="7">
        <v>0</v>
      </c>
      <c r="CG58" s="7">
        <v>0</v>
      </c>
      <c r="CH58" s="7">
        <v>0</v>
      </c>
      <c r="CI58" s="7">
        <v>0</v>
      </c>
      <c r="CJ58" s="7">
        <v>0</v>
      </c>
      <c r="CK58" s="7">
        <v>0</v>
      </c>
      <c r="CL58" s="7">
        <v>0</v>
      </c>
      <c r="CM58" s="7">
        <v>0</v>
      </c>
      <c r="CN58" s="7">
        <v>0</v>
      </c>
      <c r="CO58" s="7">
        <v>0</v>
      </c>
      <c r="CP58" s="7">
        <v>0</v>
      </c>
      <c r="CQ58" s="7">
        <v>0</v>
      </c>
      <c r="CR58" s="7">
        <v>0</v>
      </c>
      <c r="CS58" s="7">
        <v>0</v>
      </c>
      <c r="CT58" s="7">
        <v>0</v>
      </c>
      <c r="CU58" s="7">
        <v>0</v>
      </c>
      <c r="CV58" s="7">
        <v>0</v>
      </c>
      <c r="CW58" s="7">
        <v>0</v>
      </c>
      <c r="CX58" s="7">
        <v>0</v>
      </c>
      <c r="CY58" s="7">
        <v>0</v>
      </c>
      <c r="CZ58" s="7">
        <v>0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P58" s="7">
        <v>0</v>
      </c>
      <c r="DQ58" s="7">
        <v>0</v>
      </c>
      <c r="DR58" s="7">
        <v>0</v>
      </c>
      <c r="DS58" s="7">
        <v>0</v>
      </c>
      <c r="DT58" s="7">
        <v>0</v>
      </c>
      <c r="DU58" s="7">
        <v>0</v>
      </c>
      <c r="DV58" s="7">
        <v>0</v>
      </c>
      <c r="DW58" s="7">
        <v>0</v>
      </c>
      <c r="DX58" s="7">
        <v>0</v>
      </c>
      <c r="DY58" s="7">
        <v>0</v>
      </c>
      <c r="DZ58" s="7">
        <v>0</v>
      </c>
      <c r="EA58" s="7">
        <v>0</v>
      </c>
      <c r="EB58" s="7">
        <v>0</v>
      </c>
      <c r="EC58" s="7">
        <v>0</v>
      </c>
      <c r="ED58" s="7">
        <v>0</v>
      </c>
      <c r="EE58" s="7">
        <v>0</v>
      </c>
      <c r="EF58" s="7">
        <v>0</v>
      </c>
      <c r="EG58" s="7">
        <v>0</v>
      </c>
      <c r="EH58" s="7">
        <v>0</v>
      </c>
      <c r="EI58" s="7">
        <v>0</v>
      </c>
      <c r="EJ58" s="7">
        <v>0</v>
      </c>
      <c r="EK58" s="7">
        <v>0</v>
      </c>
      <c r="EL58" s="7">
        <v>0</v>
      </c>
      <c r="EM58" s="7">
        <v>0</v>
      </c>
      <c r="EN58" s="7">
        <v>0</v>
      </c>
      <c r="EO58" s="7">
        <v>0</v>
      </c>
      <c r="EP58" s="7">
        <v>0</v>
      </c>
      <c r="EQ58" s="7">
        <v>0</v>
      </c>
      <c r="ER58" s="7">
        <v>0</v>
      </c>
      <c r="ES58" s="7">
        <v>0</v>
      </c>
      <c r="ET58" s="7">
        <v>0</v>
      </c>
      <c r="EU58" s="7">
        <v>0</v>
      </c>
      <c r="EV58" s="7">
        <v>0</v>
      </c>
      <c r="EW58" s="7">
        <v>0</v>
      </c>
      <c r="EX58" s="7">
        <v>0</v>
      </c>
      <c r="EY58" s="7">
        <v>0</v>
      </c>
      <c r="EZ58" s="7">
        <v>0</v>
      </c>
      <c r="FA58" s="7">
        <v>0</v>
      </c>
      <c r="FB58" s="7">
        <v>0</v>
      </c>
      <c r="FC58" s="7">
        <v>0</v>
      </c>
      <c r="FD58" s="7">
        <v>0</v>
      </c>
      <c r="FE58" s="7">
        <v>0</v>
      </c>
      <c r="FF58" s="7">
        <v>0</v>
      </c>
      <c r="FG58" s="7">
        <v>0</v>
      </c>
      <c r="FH58" s="7">
        <f t="shared" si="9"/>
        <v>0</v>
      </c>
      <c r="FI58" s="16"/>
    </row>
    <row r="59" spans="1:165" hidden="1" x14ac:dyDescent="0.25">
      <c r="A59" s="17"/>
      <c r="B59" s="7" t="s">
        <v>278</v>
      </c>
      <c r="C59" s="7">
        <v>0</v>
      </c>
      <c r="D59" s="7">
        <v>0</v>
      </c>
      <c r="E59" s="7">
        <f t="shared" si="5"/>
        <v>0</v>
      </c>
      <c r="F59" s="17"/>
      <c r="I59" s="17"/>
      <c r="J59" s="7" t="s">
        <v>278</v>
      </c>
      <c r="K59" s="7">
        <v>0</v>
      </c>
      <c r="L59" s="7">
        <v>0</v>
      </c>
      <c r="M59" s="7">
        <v>0</v>
      </c>
      <c r="N59" s="7">
        <f t="shared" si="6"/>
        <v>0</v>
      </c>
      <c r="O59" s="17"/>
      <c r="R59" s="17"/>
      <c r="S59" s="7" t="s">
        <v>278</v>
      </c>
      <c r="T59" s="7">
        <v>0</v>
      </c>
      <c r="U59" s="7">
        <v>0</v>
      </c>
      <c r="V59" s="7">
        <v>0</v>
      </c>
      <c r="W59" s="7">
        <v>0</v>
      </c>
      <c r="X59" s="7">
        <f t="shared" si="7"/>
        <v>0</v>
      </c>
      <c r="Y59" s="17"/>
      <c r="AB59" s="17"/>
      <c r="AC59" s="7" t="s">
        <v>278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f t="shared" si="8"/>
        <v>0</v>
      </c>
      <c r="AJ59" s="17"/>
      <c r="AM59" s="17"/>
      <c r="AN59" s="7" t="s">
        <v>278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0</v>
      </c>
      <c r="CG59" s="7">
        <v>0</v>
      </c>
      <c r="CH59" s="7">
        <v>0</v>
      </c>
      <c r="CI59" s="7">
        <v>0</v>
      </c>
      <c r="CJ59" s="7">
        <v>0</v>
      </c>
      <c r="CK59" s="7">
        <v>0</v>
      </c>
      <c r="CL59" s="7">
        <v>0</v>
      </c>
      <c r="CM59" s="7">
        <v>0</v>
      </c>
      <c r="CN59" s="7">
        <v>0</v>
      </c>
      <c r="CO59" s="7">
        <v>0</v>
      </c>
      <c r="CP59" s="7">
        <v>0</v>
      </c>
      <c r="CQ59" s="7">
        <v>0</v>
      </c>
      <c r="CR59" s="7">
        <v>0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CZ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P59" s="7">
        <v>0</v>
      </c>
      <c r="DQ59" s="7">
        <v>0</v>
      </c>
      <c r="DR59" s="7">
        <v>0</v>
      </c>
      <c r="DS59" s="7">
        <v>0</v>
      </c>
      <c r="DT59" s="7">
        <v>0</v>
      </c>
      <c r="DU59" s="7">
        <v>0</v>
      </c>
      <c r="DV59" s="7">
        <v>0</v>
      </c>
      <c r="DW59" s="7">
        <v>0</v>
      </c>
      <c r="DX59" s="7">
        <v>0</v>
      </c>
      <c r="DY59" s="7">
        <v>0</v>
      </c>
      <c r="DZ59" s="7">
        <v>0</v>
      </c>
      <c r="EA59" s="7">
        <v>0</v>
      </c>
      <c r="EB59" s="7">
        <v>0</v>
      </c>
      <c r="EC59" s="7">
        <v>0</v>
      </c>
      <c r="ED59" s="7">
        <v>0</v>
      </c>
      <c r="EE59" s="7">
        <v>0</v>
      </c>
      <c r="EF59" s="7">
        <v>0</v>
      </c>
      <c r="EG59" s="7">
        <v>0</v>
      </c>
      <c r="EH59" s="7">
        <v>0</v>
      </c>
      <c r="EI59" s="7">
        <v>0</v>
      </c>
      <c r="EJ59" s="7">
        <v>0</v>
      </c>
      <c r="EK59" s="7">
        <v>0</v>
      </c>
      <c r="EL59" s="7">
        <v>0</v>
      </c>
      <c r="EM59" s="7">
        <v>0</v>
      </c>
      <c r="EN59" s="7">
        <v>0</v>
      </c>
      <c r="EO59" s="7">
        <v>0</v>
      </c>
      <c r="EP59" s="7">
        <v>0</v>
      </c>
      <c r="EQ59" s="7">
        <v>0</v>
      </c>
      <c r="ER59" s="7">
        <v>0</v>
      </c>
      <c r="ES59" s="7">
        <v>0</v>
      </c>
      <c r="ET59" s="7">
        <v>0</v>
      </c>
      <c r="EU59" s="7">
        <v>0</v>
      </c>
      <c r="EV59" s="7">
        <v>0</v>
      </c>
      <c r="EW59" s="7">
        <v>0</v>
      </c>
      <c r="EX59" s="7">
        <v>0</v>
      </c>
      <c r="EY59" s="7">
        <v>0</v>
      </c>
      <c r="EZ59" s="7">
        <v>0</v>
      </c>
      <c r="FA59" s="7">
        <v>0</v>
      </c>
      <c r="FB59" s="7">
        <v>0</v>
      </c>
      <c r="FC59" s="7">
        <v>0</v>
      </c>
      <c r="FD59" s="7">
        <v>0</v>
      </c>
      <c r="FE59" s="7">
        <v>0</v>
      </c>
      <c r="FF59" s="7">
        <v>0</v>
      </c>
      <c r="FG59" s="7">
        <v>0</v>
      </c>
      <c r="FH59" s="7">
        <f t="shared" si="9"/>
        <v>0</v>
      </c>
      <c r="FI59" s="17"/>
    </row>
    <row r="60" spans="1:165" hidden="1" x14ac:dyDescent="0.25">
      <c r="A60" s="15" t="s">
        <v>291</v>
      </c>
      <c r="B60" s="7" t="s">
        <v>275</v>
      </c>
      <c r="C60" s="7">
        <v>0</v>
      </c>
      <c r="D60" s="7">
        <v>0</v>
      </c>
      <c r="E60" s="7">
        <f t="shared" si="5"/>
        <v>0</v>
      </c>
      <c r="F60" s="18">
        <f>SUM(E60:E63)</f>
        <v>0</v>
      </c>
      <c r="I60" s="15" t="s">
        <v>291</v>
      </c>
      <c r="J60" s="7" t="s">
        <v>275</v>
      </c>
      <c r="K60" s="7">
        <v>0</v>
      </c>
      <c r="L60" s="7">
        <v>0</v>
      </c>
      <c r="M60" s="7">
        <v>0</v>
      </c>
      <c r="N60" s="7">
        <f t="shared" si="6"/>
        <v>0</v>
      </c>
      <c r="O60" s="18">
        <f>SUM(N60:N63)</f>
        <v>0</v>
      </c>
      <c r="R60" s="15" t="s">
        <v>291</v>
      </c>
      <c r="S60" s="7" t="s">
        <v>275</v>
      </c>
      <c r="T60" s="7">
        <v>0</v>
      </c>
      <c r="U60" s="7">
        <v>0</v>
      </c>
      <c r="V60" s="7">
        <v>0</v>
      </c>
      <c r="W60" s="7">
        <v>0</v>
      </c>
      <c r="X60" s="7">
        <f t="shared" si="7"/>
        <v>0</v>
      </c>
      <c r="Y60" s="18">
        <f>SUM(X60:X63)</f>
        <v>0</v>
      </c>
      <c r="AB60" s="15" t="s">
        <v>291</v>
      </c>
      <c r="AC60" s="7" t="s">
        <v>275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f t="shared" si="8"/>
        <v>0</v>
      </c>
      <c r="AJ60" s="18">
        <f>SUM(AI60:AI63)</f>
        <v>0</v>
      </c>
      <c r="AM60" s="15" t="s">
        <v>291</v>
      </c>
      <c r="AN60" s="7" t="s">
        <v>275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</v>
      </c>
      <c r="CF60" s="7">
        <v>0</v>
      </c>
      <c r="CG60" s="7">
        <v>0</v>
      </c>
      <c r="CH60" s="7">
        <v>0</v>
      </c>
      <c r="CI60" s="7">
        <v>0</v>
      </c>
      <c r="CJ60" s="7">
        <v>0</v>
      </c>
      <c r="CK60" s="7">
        <v>0</v>
      </c>
      <c r="CL60" s="7">
        <v>0</v>
      </c>
      <c r="CM60" s="7">
        <v>0</v>
      </c>
      <c r="CN60" s="7">
        <v>0</v>
      </c>
      <c r="CO60" s="7">
        <v>0</v>
      </c>
      <c r="CP60" s="7">
        <v>0</v>
      </c>
      <c r="CQ60" s="7">
        <v>0</v>
      </c>
      <c r="CR60" s="7">
        <v>0</v>
      </c>
      <c r="CS60" s="7">
        <v>0</v>
      </c>
      <c r="CT60" s="7">
        <v>0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P60" s="7">
        <v>0</v>
      </c>
      <c r="DQ60" s="7">
        <v>0</v>
      </c>
      <c r="DR60" s="7">
        <v>0</v>
      </c>
      <c r="DS60" s="7">
        <v>0</v>
      </c>
      <c r="DT60" s="7">
        <v>0</v>
      </c>
      <c r="DU60" s="7">
        <v>0</v>
      </c>
      <c r="DV60" s="7">
        <v>0</v>
      </c>
      <c r="DW60" s="7">
        <v>0</v>
      </c>
      <c r="DX60" s="7">
        <v>0</v>
      </c>
      <c r="DY60" s="7">
        <v>0</v>
      </c>
      <c r="DZ60" s="7">
        <v>0</v>
      </c>
      <c r="EA60" s="7">
        <v>0</v>
      </c>
      <c r="EB60" s="7">
        <v>0</v>
      </c>
      <c r="EC60" s="7">
        <v>0</v>
      </c>
      <c r="ED60" s="7">
        <v>0</v>
      </c>
      <c r="EE60" s="7">
        <v>0</v>
      </c>
      <c r="EF60" s="7">
        <v>0</v>
      </c>
      <c r="EG60" s="7">
        <v>0</v>
      </c>
      <c r="EH60" s="7">
        <v>0</v>
      </c>
      <c r="EI60" s="7">
        <v>0</v>
      </c>
      <c r="EJ60" s="7">
        <v>0</v>
      </c>
      <c r="EK60" s="7">
        <v>0</v>
      </c>
      <c r="EL60" s="7">
        <v>0</v>
      </c>
      <c r="EM60" s="7">
        <v>0</v>
      </c>
      <c r="EN60" s="7">
        <v>0</v>
      </c>
      <c r="EO60" s="7">
        <v>0</v>
      </c>
      <c r="EP60" s="7">
        <v>0</v>
      </c>
      <c r="EQ60" s="7">
        <v>0</v>
      </c>
      <c r="ER60" s="7">
        <v>0</v>
      </c>
      <c r="ES60" s="7">
        <v>0</v>
      </c>
      <c r="ET60" s="7">
        <v>0</v>
      </c>
      <c r="EU60" s="7">
        <v>0</v>
      </c>
      <c r="EV60" s="7">
        <v>0</v>
      </c>
      <c r="EW60" s="7">
        <v>0</v>
      </c>
      <c r="EX60" s="7">
        <v>0</v>
      </c>
      <c r="EY60" s="7">
        <v>0</v>
      </c>
      <c r="EZ60" s="7">
        <v>0</v>
      </c>
      <c r="FA60" s="7">
        <v>0</v>
      </c>
      <c r="FB60" s="7">
        <v>0</v>
      </c>
      <c r="FC60" s="7">
        <v>0</v>
      </c>
      <c r="FD60" s="7">
        <v>0</v>
      </c>
      <c r="FE60" s="7">
        <v>0</v>
      </c>
      <c r="FF60" s="7">
        <v>0</v>
      </c>
      <c r="FG60" s="7">
        <v>0</v>
      </c>
      <c r="FH60" s="7">
        <f t="shared" si="9"/>
        <v>0</v>
      </c>
      <c r="FI60" s="18">
        <f>SUM(FH60:FH63)</f>
        <v>0</v>
      </c>
    </row>
    <row r="61" spans="1:165" hidden="1" x14ac:dyDescent="0.25">
      <c r="A61" s="16"/>
      <c r="B61" s="7" t="s">
        <v>276</v>
      </c>
      <c r="C61" s="7">
        <v>0</v>
      </c>
      <c r="D61" s="7">
        <v>0</v>
      </c>
      <c r="E61" s="7">
        <f t="shared" si="5"/>
        <v>0</v>
      </c>
      <c r="F61" s="16"/>
      <c r="I61" s="16"/>
      <c r="J61" s="7" t="s">
        <v>276</v>
      </c>
      <c r="K61" s="7">
        <v>0</v>
      </c>
      <c r="L61" s="7">
        <v>0</v>
      </c>
      <c r="M61" s="7">
        <v>0</v>
      </c>
      <c r="N61" s="7">
        <f t="shared" si="6"/>
        <v>0</v>
      </c>
      <c r="O61" s="16"/>
      <c r="R61" s="16"/>
      <c r="S61" s="7" t="s">
        <v>276</v>
      </c>
      <c r="T61" s="7">
        <v>0</v>
      </c>
      <c r="U61" s="7">
        <v>0</v>
      </c>
      <c r="V61" s="7">
        <v>0</v>
      </c>
      <c r="W61" s="7">
        <v>0</v>
      </c>
      <c r="X61" s="7">
        <f t="shared" si="7"/>
        <v>0</v>
      </c>
      <c r="Y61" s="16"/>
      <c r="AB61" s="16"/>
      <c r="AC61" s="7" t="s">
        <v>276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f t="shared" si="8"/>
        <v>0</v>
      </c>
      <c r="AJ61" s="16"/>
      <c r="AM61" s="16"/>
      <c r="AN61" s="7" t="s">
        <v>276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E61" s="7">
        <v>0</v>
      </c>
      <c r="CF61" s="7">
        <v>0</v>
      </c>
      <c r="CG61" s="7">
        <v>0</v>
      </c>
      <c r="CH61" s="7">
        <v>0</v>
      </c>
      <c r="CI61" s="7">
        <v>0</v>
      </c>
      <c r="CJ61" s="7">
        <v>0</v>
      </c>
      <c r="CK61" s="7">
        <v>0</v>
      </c>
      <c r="CL61" s="7">
        <v>0</v>
      </c>
      <c r="CM61" s="7">
        <v>0</v>
      </c>
      <c r="CN61" s="7">
        <v>0</v>
      </c>
      <c r="CO61" s="7">
        <v>0</v>
      </c>
      <c r="CP61" s="7">
        <v>0</v>
      </c>
      <c r="CQ61" s="7">
        <v>0</v>
      </c>
      <c r="CR61" s="7">
        <v>0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CZ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P61" s="7">
        <v>0</v>
      </c>
      <c r="DQ61" s="7">
        <v>0</v>
      </c>
      <c r="DR61" s="7">
        <v>0</v>
      </c>
      <c r="DS61" s="7">
        <v>0</v>
      </c>
      <c r="DT61" s="7">
        <v>0</v>
      </c>
      <c r="DU61" s="7">
        <v>0</v>
      </c>
      <c r="DV61" s="7">
        <v>0</v>
      </c>
      <c r="DW61" s="7">
        <v>0</v>
      </c>
      <c r="DX61" s="7">
        <v>0</v>
      </c>
      <c r="DY61" s="7">
        <v>0</v>
      </c>
      <c r="DZ61" s="7">
        <v>0</v>
      </c>
      <c r="EA61" s="7">
        <v>0</v>
      </c>
      <c r="EB61" s="7">
        <v>0</v>
      </c>
      <c r="EC61" s="7">
        <v>0</v>
      </c>
      <c r="ED61" s="7">
        <v>0</v>
      </c>
      <c r="EE61" s="7">
        <v>0</v>
      </c>
      <c r="EF61" s="7">
        <v>0</v>
      </c>
      <c r="EG61" s="7">
        <v>0</v>
      </c>
      <c r="EH61" s="7">
        <v>0</v>
      </c>
      <c r="EI61" s="7">
        <v>0</v>
      </c>
      <c r="EJ61" s="7">
        <v>0</v>
      </c>
      <c r="EK61" s="7">
        <v>0</v>
      </c>
      <c r="EL61" s="7">
        <v>0</v>
      </c>
      <c r="EM61" s="7">
        <v>0</v>
      </c>
      <c r="EN61" s="7">
        <v>0</v>
      </c>
      <c r="EO61" s="7">
        <v>0</v>
      </c>
      <c r="EP61" s="7">
        <v>0</v>
      </c>
      <c r="EQ61" s="7">
        <v>0</v>
      </c>
      <c r="ER61" s="7">
        <v>0</v>
      </c>
      <c r="ES61" s="7">
        <v>0</v>
      </c>
      <c r="ET61" s="7">
        <v>0</v>
      </c>
      <c r="EU61" s="7">
        <v>0</v>
      </c>
      <c r="EV61" s="7">
        <v>0</v>
      </c>
      <c r="EW61" s="7">
        <v>0</v>
      </c>
      <c r="EX61" s="7">
        <v>0</v>
      </c>
      <c r="EY61" s="7">
        <v>0</v>
      </c>
      <c r="EZ61" s="7">
        <v>0</v>
      </c>
      <c r="FA61" s="7">
        <v>0</v>
      </c>
      <c r="FB61" s="7">
        <v>0</v>
      </c>
      <c r="FC61" s="7">
        <v>0</v>
      </c>
      <c r="FD61" s="7">
        <v>0</v>
      </c>
      <c r="FE61" s="7">
        <v>0</v>
      </c>
      <c r="FF61" s="7">
        <v>0</v>
      </c>
      <c r="FG61" s="7">
        <v>0</v>
      </c>
      <c r="FH61" s="7">
        <f t="shared" si="9"/>
        <v>0</v>
      </c>
      <c r="FI61" s="16"/>
    </row>
    <row r="62" spans="1:165" hidden="1" x14ac:dyDescent="0.25">
      <c r="A62" s="16"/>
      <c r="B62" s="7" t="s">
        <v>277</v>
      </c>
      <c r="C62" s="7">
        <v>0</v>
      </c>
      <c r="D62" s="7">
        <v>0</v>
      </c>
      <c r="E62" s="7">
        <f t="shared" si="5"/>
        <v>0</v>
      </c>
      <c r="F62" s="16"/>
      <c r="I62" s="16"/>
      <c r="J62" s="7" t="s">
        <v>277</v>
      </c>
      <c r="K62" s="7">
        <v>0</v>
      </c>
      <c r="L62" s="7">
        <v>0</v>
      </c>
      <c r="M62" s="7">
        <v>0</v>
      </c>
      <c r="N62" s="7">
        <f t="shared" si="6"/>
        <v>0</v>
      </c>
      <c r="O62" s="16"/>
      <c r="R62" s="16"/>
      <c r="S62" s="7" t="s">
        <v>277</v>
      </c>
      <c r="T62" s="7">
        <v>0</v>
      </c>
      <c r="U62" s="7">
        <v>0</v>
      </c>
      <c r="V62" s="7">
        <v>0</v>
      </c>
      <c r="W62" s="7">
        <v>0</v>
      </c>
      <c r="X62" s="7">
        <f t="shared" si="7"/>
        <v>0</v>
      </c>
      <c r="Y62" s="16"/>
      <c r="AB62" s="16"/>
      <c r="AC62" s="7" t="s">
        <v>277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f t="shared" si="8"/>
        <v>0</v>
      </c>
      <c r="AJ62" s="16"/>
      <c r="AM62" s="16"/>
      <c r="AN62" s="7" t="s">
        <v>277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G62" s="7">
        <v>0</v>
      </c>
      <c r="CH62" s="7">
        <v>0</v>
      </c>
      <c r="CI62" s="7">
        <v>0</v>
      </c>
      <c r="CJ62" s="7">
        <v>0</v>
      </c>
      <c r="CK62" s="7">
        <v>0</v>
      </c>
      <c r="CL62" s="7">
        <v>0</v>
      </c>
      <c r="CM62" s="7">
        <v>0</v>
      </c>
      <c r="CN62" s="7">
        <v>0</v>
      </c>
      <c r="CO62" s="7">
        <v>0</v>
      </c>
      <c r="CP62" s="7">
        <v>0</v>
      </c>
      <c r="CQ62" s="7">
        <v>0</v>
      </c>
      <c r="CR62" s="7">
        <v>0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CZ62" s="7">
        <v>0</v>
      </c>
      <c r="DA62" s="7">
        <v>0</v>
      </c>
      <c r="DB62" s="7">
        <v>0</v>
      </c>
      <c r="DC62" s="7">
        <v>0</v>
      </c>
      <c r="DD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P62" s="7">
        <v>0</v>
      </c>
      <c r="DQ62" s="7">
        <v>0</v>
      </c>
      <c r="DR62" s="7">
        <v>0</v>
      </c>
      <c r="DS62" s="7">
        <v>0</v>
      </c>
      <c r="DT62" s="7">
        <v>0</v>
      </c>
      <c r="DU62" s="7">
        <v>0</v>
      </c>
      <c r="DV62" s="7">
        <v>0</v>
      </c>
      <c r="DW62" s="7">
        <v>0</v>
      </c>
      <c r="DX62" s="7">
        <v>0</v>
      </c>
      <c r="DY62" s="7">
        <v>0</v>
      </c>
      <c r="DZ62" s="7">
        <v>0</v>
      </c>
      <c r="EA62" s="7">
        <v>0</v>
      </c>
      <c r="EB62" s="7">
        <v>0</v>
      </c>
      <c r="EC62" s="7">
        <v>0</v>
      </c>
      <c r="ED62" s="7">
        <v>0</v>
      </c>
      <c r="EE62" s="7">
        <v>0</v>
      </c>
      <c r="EF62" s="7">
        <v>0</v>
      </c>
      <c r="EG62" s="7">
        <v>0</v>
      </c>
      <c r="EH62" s="7">
        <v>0</v>
      </c>
      <c r="EI62" s="7">
        <v>0</v>
      </c>
      <c r="EJ62" s="7">
        <v>0</v>
      </c>
      <c r="EK62" s="7">
        <v>0</v>
      </c>
      <c r="EL62" s="7">
        <v>0</v>
      </c>
      <c r="EM62" s="7">
        <v>0</v>
      </c>
      <c r="EN62" s="7">
        <v>0</v>
      </c>
      <c r="EO62" s="7">
        <v>0</v>
      </c>
      <c r="EP62" s="7">
        <v>0</v>
      </c>
      <c r="EQ62" s="7">
        <v>0</v>
      </c>
      <c r="ER62" s="7">
        <v>0</v>
      </c>
      <c r="ES62" s="7">
        <v>0</v>
      </c>
      <c r="ET62" s="7">
        <v>0</v>
      </c>
      <c r="EU62" s="7">
        <v>0</v>
      </c>
      <c r="EV62" s="7">
        <v>0</v>
      </c>
      <c r="EW62" s="7">
        <v>0</v>
      </c>
      <c r="EX62" s="7">
        <v>0</v>
      </c>
      <c r="EY62" s="7">
        <v>0</v>
      </c>
      <c r="EZ62" s="7">
        <v>0</v>
      </c>
      <c r="FA62" s="7">
        <v>0</v>
      </c>
      <c r="FB62" s="7">
        <v>0</v>
      </c>
      <c r="FC62" s="7">
        <v>0</v>
      </c>
      <c r="FD62" s="7">
        <v>0</v>
      </c>
      <c r="FE62" s="7">
        <v>0</v>
      </c>
      <c r="FF62" s="7">
        <v>0</v>
      </c>
      <c r="FG62" s="7">
        <v>0</v>
      </c>
      <c r="FH62" s="7">
        <f t="shared" si="9"/>
        <v>0</v>
      </c>
      <c r="FI62" s="16"/>
    </row>
    <row r="63" spans="1:165" hidden="1" x14ac:dyDescent="0.25">
      <c r="A63" s="17"/>
      <c r="B63" s="7" t="s">
        <v>278</v>
      </c>
      <c r="C63" s="7">
        <v>0</v>
      </c>
      <c r="D63" s="7">
        <v>0</v>
      </c>
      <c r="E63" s="7">
        <f t="shared" si="5"/>
        <v>0</v>
      </c>
      <c r="F63" s="17"/>
      <c r="I63" s="17"/>
      <c r="J63" s="7" t="s">
        <v>278</v>
      </c>
      <c r="K63" s="7">
        <v>0</v>
      </c>
      <c r="L63" s="7">
        <v>0</v>
      </c>
      <c r="M63" s="7">
        <v>0</v>
      </c>
      <c r="N63" s="7">
        <f t="shared" si="6"/>
        <v>0</v>
      </c>
      <c r="O63" s="17"/>
      <c r="R63" s="17"/>
      <c r="S63" s="7" t="s">
        <v>278</v>
      </c>
      <c r="T63" s="7">
        <v>0</v>
      </c>
      <c r="U63" s="7">
        <v>0</v>
      </c>
      <c r="V63" s="7">
        <v>0</v>
      </c>
      <c r="W63" s="7">
        <v>0</v>
      </c>
      <c r="X63" s="7">
        <f t="shared" si="7"/>
        <v>0</v>
      </c>
      <c r="Y63" s="17"/>
      <c r="AB63" s="17"/>
      <c r="AC63" s="7" t="s">
        <v>278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f t="shared" si="8"/>
        <v>0</v>
      </c>
      <c r="AJ63" s="17"/>
      <c r="AM63" s="17"/>
      <c r="AN63" s="7" t="s">
        <v>278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G63" s="7">
        <v>0</v>
      </c>
      <c r="CH63" s="7">
        <v>0</v>
      </c>
      <c r="CI63" s="7">
        <v>0</v>
      </c>
      <c r="CJ63" s="7">
        <v>0</v>
      </c>
      <c r="CK63" s="7">
        <v>0</v>
      </c>
      <c r="CL63" s="7">
        <v>0</v>
      </c>
      <c r="CM63" s="7">
        <v>0</v>
      </c>
      <c r="CN63" s="7">
        <v>0</v>
      </c>
      <c r="CO63" s="7">
        <v>0</v>
      </c>
      <c r="CP63" s="7">
        <v>0</v>
      </c>
      <c r="CQ63" s="7">
        <v>0</v>
      </c>
      <c r="CR63" s="7">
        <v>0</v>
      </c>
      <c r="CS63" s="7">
        <v>0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P63" s="7">
        <v>0</v>
      </c>
      <c r="DQ63" s="7">
        <v>0</v>
      </c>
      <c r="DR63" s="7">
        <v>0</v>
      </c>
      <c r="DS63" s="7">
        <v>0</v>
      </c>
      <c r="DT63" s="7">
        <v>0</v>
      </c>
      <c r="DU63" s="7">
        <v>0</v>
      </c>
      <c r="DV63" s="7">
        <v>0</v>
      </c>
      <c r="DW63" s="7">
        <v>0</v>
      </c>
      <c r="DX63" s="7">
        <v>0</v>
      </c>
      <c r="DY63" s="7">
        <v>0</v>
      </c>
      <c r="DZ63" s="7">
        <v>0</v>
      </c>
      <c r="EA63" s="7">
        <v>0</v>
      </c>
      <c r="EB63" s="7">
        <v>0</v>
      </c>
      <c r="EC63" s="7">
        <v>0</v>
      </c>
      <c r="ED63" s="7">
        <v>0</v>
      </c>
      <c r="EE63" s="7">
        <v>0</v>
      </c>
      <c r="EF63" s="7">
        <v>0</v>
      </c>
      <c r="EG63" s="7">
        <v>0</v>
      </c>
      <c r="EH63" s="7">
        <v>0</v>
      </c>
      <c r="EI63" s="7">
        <v>0</v>
      </c>
      <c r="EJ63" s="7">
        <v>0</v>
      </c>
      <c r="EK63" s="7">
        <v>0</v>
      </c>
      <c r="EL63" s="7">
        <v>0</v>
      </c>
      <c r="EM63" s="7">
        <v>0</v>
      </c>
      <c r="EN63" s="7">
        <v>0</v>
      </c>
      <c r="EO63" s="7">
        <v>0</v>
      </c>
      <c r="EP63" s="7">
        <v>0</v>
      </c>
      <c r="EQ63" s="7">
        <v>0</v>
      </c>
      <c r="ER63" s="7">
        <v>0</v>
      </c>
      <c r="ES63" s="7">
        <v>0</v>
      </c>
      <c r="ET63" s="7">
        <v>0</v>
      </c>
      <c r="EU63" s="7">
        <v>0</v>
      </c>
      <c r="EV63" s="7">
        <v>0</v>
      </c>
      <c r="EW63" s="7">
        <v>0</v>
      </c>
      <c r="EX63" s="7">
        <v>0</v>
      </c>
      <c r="EY63" s="7">
        <v>0</v>
      </c>
      <c r="EZ63" s="7">
        <v>0</v>
      </c>
      <c r="FA63" s="7">
        <v>0</v>
      </c>
      <c r="FB63" s="7">
        <v>0</v>
      </c>
      <c r="FC63" s="7">
        <v>0</v>
      </c>
      <c r="FD63" s="7">
        <v>0</v>
      </c>
      <c r="FE63" s="7">
        <v>0</v>
      </c>
      <c r="FF63" s="7">
        <v>0</v>
      </c>
      <c r="FG63" s="7">
        <v>0</v>
      </c>
      <c r="FH63" s="7">
        <f t="shared" si="9"/>
        <v>0</v>
      </c>
      <c r="FI63" s="17"/>
    </row>
    <row r="64" spans="1:165" hidden="1" x14ac:dyDescent="0.25">
      <c r="A64" s="15" t="s">
        <v>292</v>
      </c>
      <c r="B64" s="7" t="s">
        <v>275</v>
      </c>
      <c r="C64" s="7">
        <v>0</v>
      </c>
      <c r="D64" s="7">
        <v>0</v>
      </c>
      <c r="E64" s="7">
        <f t="shared" si="5"/>
        <v>0</v>
      </c>
      <c r="F64" s="18">
        <f>SUM(E64:E67)</f>
        <v>0</v>
      </c>
      <c r="I64" s="15" t="s">
        <v>292</v>
      </c>
      <c r="J64" s="7" t="s">
        <v>275</v>
      </c>
      <c r="K64" s="7">
        <v>0</v>
      </c>
      <c r="L64" s="7">
        <v>0</v>
      </c>
      <c r="M64" s="7">
        <v>0</v>
      </c>
      <c r="N64" s="7">
        <f t="shared" si="6"/>
        <v>0</v>
      </c>
      <c r="O64" s="18">
        <f>SUM(N64:N67)</f>
        <v>0</v>
      </c>
      <c r="R64" s="15" t="s">
        <v>292</v>
      </c>
      <c r="S64" s="7" t="s">
        <v>275</v>
      </c>
      <c r="T64" s="7">
        <v>0</v>
      </c>
      <c r="U64" s="7">
        <v>0</v>
      </c>
      <c r="V64" s="7">
        <v>0</v>
      </c>
      <c r="W64" s="7">
        <v>0</v>
      </c>
      <c r="X64" s="7">
        <f t="shared" si="7"/>
        <v>0</v>
      </c>
      <c r="Y64" s="18">
        <f>SUM(X64:X67)</f>
        <v>0</v>
      </c>
      <c r="AB64" s="15" t="s">
        <v>292</v>
      </c>
      <c r="AC64" s="7" t="s">
        <v>275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f t="shared" si="8"/>
        <v>0</v>
      </c>
      <c r="AJ64" s="18">
        <f>SUM(AI64:AI67)</f>
        <v>0</v>
      </c>
      <c r="AM64" s="15" t="s">
        <v>292</v>
      </c>
      <c r="AN64" s="7" t="s">
        <v>275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0</v>
      </c>
      <c r="CG64" s="7">
        <v>0</v>
      </c>
      <c r="CH64" s="7">
        <v>0</v>
      </c>
      <c r="CI64" s="7">
        <v>0</v>
      </c>
      <c r="CJ64" s="7">
        <v>0</v>
      </c>
      <c r="CK64" s="7">
        <v>0</v>
      </c>
      <c r="CL64" s="7">
        <v>0</v>
      </c>
      <c r="CM64" s="7">
        <v>0</v>
      </c>
      <c r="CN64" s="7">
        <v>0</v>
      </c>
      <c r="CO64" s="7">
        <v>0</v>
      </c>
      <c r="CP64" s="7">
        <v>0</v>
      </c>
      <c r="CQ64" s="7">
        <v>0</v>
      </c>
      <c r="CR64" s="7">
        <v>0</v>
      </c>
      <c r="CS64" s="7">
        <v>0</v>
      </c>
      <c r="CT64" s="7">
        <v>0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CZ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P64" s="7">
        <v>0</v>
      </c>
      <c r="DQ64" s="7">
        <v>0</v>
      </c>
      <c r="DR64" s="7">
        <v>0</v>
      </c>
      <c r="DS64" s="7">
        <v>0</v>
      </c>
      <c r="DT64" s="7">
        <v>0</v>
      </c>
      <c r="DU64" s="7">
        <v>0</v>
      </c>
      <c r="DV64" s="7">
        <v>0</v>
      </c>
      <c r="DW64" s="7">
        <v>0</v>
      </c>
      <c r="DX64" s="7">
        <v>0</v>
      </c>
      <c r="DY64" s="7">
        <v>0</v>
      </c>
      <c r="DZ64" s="7">
        <v>0</v>
      </c>
      <c r="EA64" s="7">
        <v>0</v>
      </c>
      <c r="EB64" s="7">
        <v>0</v>
      </c>
      <c r="EC64" s="7">
        <v>0</v>
      </c>
      <c r="ED64" s="7">
        <v>0</v>
      </c>
      <c r="EE64" s="7">
        <v>0</v>
      </c>
      <c r="EF64" s="7">
        <v>0</v>
      </c>
      <c r="EG64" s="7">
        <v>0</v>
      </c>
      <c r="EH64" s="7">
        <v>0</v>
      </c>
      <c r="EI64" s="7">
        <v>0</v>
      </c>
      <c r="EJ64" s="7">
        <v>0</v>
      </c>
      <c r="EK64" s="7">
        <v>0</v>
      </c>
      <c r="EL64" s="7">
        <v>0</v>
      </c>
      <c r="EM64" s="7">
        <v>0</v>
      </c>
      <c r="EN64" s="7">
        <v>0</v>
      </c>
      <c r="EO64" s="7">
        <v>0</v>
      </c>
      <c r="EP64" s="7">
        <v>0</v>
      </c>
      <c r="EQ64" s="7">
        <v>0</v>
      </c>
      <c r="ER64" s="7">
        <v>0</v>
      </c>
      <c r="ES64" s="7">
        <v>0</v>
      </c>
      <c r="ET64" s="7">
        <v>0</v>
      </c>
      <c r="EU64" s="7">
        <v>0</v>
      </c>
      <c r="EV64" s="7">
        <v>0</v>
      </c>
      <c r="EW64" s="7">
        <v>0</v>
      </c>
      <c r="EX64" s="7">
        <v>0</v>
      </c>
      <c r="EY64" s="7">
        <v>0</v>
      </c>
      <c r="EZ64" s="7">
        <v>0</v>
      </c>
      <c r="FA64" s="7">
        <v>0</v>
      </c>
      <c r="FB64" s="7">
        <v>0</v>
      </c>
      <c r="FC64" s="7">
        <v>0</v>
      </c>
      <c r="FD64" s="7">
        <v>0</v>
      </c>
      <c r="FE64" s="7">
        <v>0</v>
      </c>
      <c r="FF64" s="7">
        <v>0</v>
      </c>
      <c r="FG64" s="7">
        <v>0</v>
      </c>
      <c r="FH64" s="7">
        <f t="shared" si="9"/>
        <v>0</v>
      </c>
      <c r="FI64" s="18">
        <f>SUM(FH64:FH67)</f>
        <v>0</v>
      </c>
    </row>
    <row r="65" spans="1:165" hidden="1" x14ac:dyDescent="0.25">
      <c r="A65" s="16"/>
      <c r="B65" s="7" t="s">
        <v>276</v>
      </c>
      <c r="C65" s="7">
        <v>0</v>
      </c>
      <c r="D65" s="7">
        <v>0</v>
      </c>
      <c r="E65" s="7">
        <f t="shared" si="5"/>
        <v>0</v>
      </c>
      <c r="F65" s="16"/>
      <c r="I65" s="16"/>
      <c r="J65" s="7" t="s">
        <v>276</v>
      </c>
      <c r="K65" s="7">
        <v>0</v>
      </c>
      <c r="L65" s="7">
        <v>0</v>
      </c>
      <c r="M65" s="7">
        <v>0</v>
      </c>
      <c r="N65" s="7">
        <f t="shared" si="6"/>
        <v>0</v>
      </c>
      <c r="O65" s="16"/>
      <c r="R65" s="16"/>
      <c r="S65" s="7" t="s">
        <v>276</v>
      </c>
      <c r="T65" s="7">
        <v>0</v>
      </c>
      <c r="U65" s="7">
        <v>0</v>
      </c>
      <c r="V65" s="7">
        <v>0</v>
      </c>
      <c r="W65" s="7">
        <v>0</v>
      </c>
      <c r="X65" s="7">
        <f t="shared" si="7"/>
        <v>0</v>
      </c>
      <c r="Y65" s="16"/>
      <c r="AB65" s="16"/>
      <c r="AC65" s="7" t="s">
        <v>276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f t="shared" si="8"/>
        <v>0</v>
      </c>
      <c r="AJ65" s="16"/>
      <c r="AM65" s="16"/>
      <c r="AN65" s="7" t="s">
        <v>276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</v>
      </c>
      <c r="CF65" s="7">
        <v>0</v>
      </c>
      <c r="CG65" s="7">
        <v>0</v>
      </c>
      <c r="CH65" s="7">
        <v>0</v>
      </c>
      <c r="CI65" s="7">
        <v>0</v>
      </c>
      <c r="CJ65" s="7">
        <v>0</v>
      </c>
      <c r="CK65" s="7">
        <v>0</v>
      </c>
      <c r="CL65" s="7">
        <v>0</v>
      </c>
      <c r="CM65" s="7">
        <v>0</v>
      </c>
      <c r="CN65" s="7">
        <v>0</v>
      </c>
      <c r="CO65" s="7">
        <v>0</v>
      </c>
      <c r="CP65" s="7">
        <v>0</v>
      </c>
      <c r="CQ65" s="7">
        <v>0</v>
      </c>
      <c r="CR65" s="7">
        <v>0</v>
      </c>
      <c r="CS65" s="7">
        <v>0</v>
      </c>
      <c r="CT65" s="7">
        <v>0</v>
      </c>
      <c r="CU65" s="7">
        <v>0</v>
      </c>
      <c r="CV65" s="7">
        <v>0</v>
      </c>
      <c r="CW65" s="7">
        <v>0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P65" s="7">
        <v>0</v>
      </c>
      <c r="DQ65" s="7">
        <v>0</v>
      </c>
      <c r="DR65" s="7">
        <v>0</v>
      </c>
      <c r="DS65" s="7">
        <v>0</v>
      </c>
      <c r="DT65" s="7">
        <v>0</v>
      </c>
      <c r="DU65" s="7">
        <v>0</v>
      </c>
      <c r="DV65" s="7">
        <v>0</v>
      </c>
      <c r="DW65" s="7">
        <v>0</v>
      </c>
      <c r="DX65" s="7">
        <v>0</v>
      </c>
      <c r="DY65" s="7">
        <v>0</v>
      </c>
      <c r="DZ65" s="7">
        <v>0</v>
      </c>
      <c r="EA65" s="7">
        <v>0</v>
      </c>
      <c r="EB65" s="7">
        <v>0</v>
      </c>
      <c r="EC65" s="7">
        <v>0</v>
      </c>
      <c r="ED65" s="7">
        <v>0</v>
      </c>
      <c r="EE65" s="7">
        <v>0</v>
      </c>
      <c r="EF65" s="7">
        <v>0</v>
      </c>
      <c r="EG65" s="7">
        <v>0</v>
      </c>
      <c r="EH65" s="7">
        <v>0</v>
      </c>
      <c r="EI65" s="7">
        <v>0</v>
      </c>
      <c r="EJ65" s="7">
        <v>0</v>
      </c>
      <c r="EK65" s="7">
        <v>0</v>
      </c>
      <c r="EL65" s="7">
        <v>0</v>
      </c>
      <c r="EM65" s="7">
        <v>0</v>
      </c>
      <c r="EN65" s="7">
        <v>0</v>
      </c>
      <c r="EO65" s="7">
        <v>0</v>
      </c>
      <c r="EP65" s="7">
        <v>0</v>
      </c>
      <c r="EQ65" s="7">
        <v>0</v>
      </c>
      <c r="ER65" s="7">
        <v>0</v>
      </c>
      <c r="ES65" s="7">
        <v>0</v>
      </c>
      <c r="ET65" s="7">
        <v>0</v>
      </c>
      <c r="EU65" s="7">
        <v>0</v>
      </c>
      <c r="EV65" s="7">
        <v>0</v>
      </c>
      <c r="EW65" s="7">
        <v>0</v>
      </c>
      <c r="EX65" s="7">
        <v>0</v>
      </c>
      <c r="EY65" s="7">
        <v>0</v>
      </c>
      <c r="EZ65" s="7">
        <v>0</v>
      </c>
      <c r="FA65" s="7">
        <v>0</v>
      </c>
      <c r="FB65" s="7">
        <v>0</v>
      </c>
      <c r="FC65" s="7">
        <v>0</v>
      </c>
      <c r="FD65" s="7">
        <v>0</v>
      </c>
      <c r="FE65" s="7">
        <v>0</v>
      </c>
      <c r="FF65" s="7">
        <v>0</v>
      </c>
      <c r="FG65" s="7">
        <v>0</v>
      </c>
      <c r="FH65" s="7">
        <f t="shared" si="9"/>
        <v>0</v>
      </c>
      <c r="FI65" s="16"/>
    </row>
    <row r="66" spans="1:165" hidden="1" x14ac:dyDescent="0.25">
      <c r="A66" s="16"/>
      <c r="B66" s="7" t="s">
        <v>277</v>
      </c>
      <c r="C66" s="7">
        <v>0</v>
      </c>
      <c r="D66" s="7">
        <v>0</v>
      </c>
      <c r="E66" s="7">
        <f t="shared" si="5"/>
        <v>0</v>
      </c>
      <c r="F66" s="16"/>
      <c r="I66" s="16"/>
      <c r="J66" s="7" t="s">
        <v>277</v>
      </c>
      <c r="K66" s="7">
        <v>0</v>
      </c>
      <c r="L66" s="7">
        <v>0</v>
      </c>
      <c r="M66" s="7">
        <v>0</v>
      </c>
      <c r="N66" s="7">
        <f t="shared" si="6"/>
        <v>0</v>
      </c>
      <c r="O66" s="16"/>
      <c r="R66" s="16"/>
      <c r="S66" s="7" t="s">
        <v>277</v>
      </c>
      <c r="T66" s="7">
        <v>0</v>
      </c>
      <c r="U66" s="7">
        <v>0</v>
      </c>
      <c r="V66" s="7">
        <v>0</v>
      </c>
      <c r="W66" s="7">
        <v>0</v>
      </c>
      <c r="X66" s="7">
        <f t="shared" si="7"/>
        <v>0</v>
      </c>
      <c r="Y66" s="16"/>
      <c r="AB66" s="16"/>
      <c r="AC66" s="7" t="s">
        <v>277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f t="shared" si="8"/>
        <v>0</v>
      </c>
      <c r="AJ66" s="16"/>
      <c r="AM66" s="16"/>
      <c r="AN66" s="7" t="s">
        <v>277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G66" s="7">
        <v>0</v>
      </c>
      <c r="CH66" s="7">
        <v>0</v>
      </c>
      <c r="CI66" s="7">
        <v>0</v>
      </c>
      <c r="CJ66" s="7">
        <v>0</v>
      </c>
      <c r="CK66" s="7">
        <v>0</v>
      </c>
      <c r="CL66" s="7">
        <v>0</v>
      </c>
      <c r="CM66" s="7">
        <v>0</v>
      </c>
      <c r="CN66" s="7">
        <v>0</v>
      </c>
      <c r="CO66" s="7">
        <v>0</v>
      </c>
      <c r="CP66" s="7">
        <v>0</v>
      </c>
      <c r="CQ66" s="7">
        <v>0</v>
      </c>
      <c r="CR66" s="7">
        <v>0</v>
      </c>
      <c r="CS66" s="7">
        <v>0</v>
      </c>
      <c r="CT66" s="7">
        <v>0</v>
      </c>
      <c r="CU66" s="7">
        <v>0</v>
      </c>
      <c r="CV66" s="7">
        <v>0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P66" s="7">
        <v>0</v>
      </c>
      <c r="DQ66" s="7">
        <v>0</v>
      </c>
      <c r="DR66" s="7">
        <v>0</v>
      </c>
      <c r="DS66" s="7">
        <v>0</v>
      </c>
      <c r="DT66" s="7">
        <v>0</v>
      </c>
      <c r="DU66" s="7">
        <v>0</v>
      </c>
      <c r="DV66" s="7">
        <v>0</v>
      </c>
      <c r="DW66" s="7">
        <v>0</v>
      </c>
      <c r="DX66" s="7">
        <v>0</v>
      </c>
      <c r="DY66" s="7">
        <v>0</v>
      </c>
      <c r="DZ66" s="7">
        <v>0</v>
      </c>
      <c r="EA66" s="7">
        <v>0</v>
      </c>
      <c r="EB66" s="7">
        <v>0</v>
      </c>
      <c r="EC66" s="7">
        <v>0</v>
      </c>
      <c r="ED66" s="7">
        <v>0</v>
      </c>
      <c r="EE66" s="7">
        <v>0</v>
      </c>
      <c r="EF66" s="7">
        <v>0</v>
      </c>
      <c r="EG66" s="7">
        <v>0</v>
      </c>
      <c r="EH66" s="7">
        <v>0</v>
      </c>
      <c r="EI66" s="7">
        <v>0</v>
      </c>
      <c r="EJ66" s="7">
        <v>0</v>
      </c>
      <c r="EK66" s="7">
        <v>0</v>
      </c>
      <c r="EL66" s="7">
        <v>0</v>
      </c>
      <c r="EM66" s="7">
        <v>0</v>
      </c>
      <c r="EN66" s="7">
        <v>0</v>
      </c>
      <c r="EO66" s="7">
        <v>0</v>
      </c>
      <c r="EP66" s="7">
        <v>0</v>
      </c>
      <c r="EQ66" s="7">
        <v>0</v>
      </c>
      <c r="ER66" s="7">
        <v>0</v>
      </c>
      <c r="ES66" s="7">
        <v>0</v>
      </c>
      <c r="ET66" s="7">
        <v>0</v>
      </c>
      <c r="EU66" s="7">
        <v>0</v>
      </c>
      <c r="EV66" s="7">
        <v>0</v>
      </c>
      <c r="EW66" s="7">
        <v>0</v>
      </c>
      <c r="EX66" s="7">
        <v>0</v>
      </c>
      <c r="EY66" s="7">
        <v>0</v>
      </c>
      <c r="EZ66" s="7">
        <v>0</v>
      </c>
      <c r="FA66" s="7">
        <v>0</v>
      </c>
      <c r="FB66" s="7">
        <v>0</v>
      </c>
      <c r="FC66" s="7">
        <v>0</v>
      </c>
      <c r="FD66" s="7">
        <v>0</v>
      </c>
      <c r="FE66" s="7">
        <v>0</v>
      </c>
      <c r="FF66" s="7">
        <v>0</v>
      </c>
      <c r="FG66" s="7">
        <v>0</v>
      </c>
      <c r="FH66" s="7">
        <f t="shared" si="9"/>
        <v>0</v>
      </c>
      <c r="FI66" s="16"/>
    </row>
    <row r="67" spans="1:165" hidden="1" x14ac:dyDescent="0.25">
      <c r="A67" s="17"/>
      <c r="B67" s="7" t="s">
        <v>278</v>
      </c>
      <c r="C67" s="7">
        <v>0</v>
      </c>
      <c r="D67" s="7">
        <v>0</v>
      </c>
      <c r="E67" s="7">
        <f t="shared" si="5"/>
        <v>0</v>
      </c>
      <c r="F67" s="17"/>
      <c r="I67" s="17"/>
      <c r="J67" s="7" t="s">
        <v>278</v>
      </c>
      <c r="K67" s="7">
        <v>0</v>
      </c>
      <c r="L67" s="7">
        <v>0</v>
      </c>
      <c r="M67" s="7">
        <v>0</v>
      </c>
      <c r="N67" s="7">
        <f t="shared" si="6"/>
        <v>0</v>
      </c>
      <c r="O67" s="17"/>
      <c r="R67" s="17"/>
      <c r="S67" s="7" t="s">
        <v>278</v>
      </c>
      <c r="T67" s="7">
        <v>0</v>
      </c>
      <c r="U67" s="7">
        <v>0</v>
      </c>
      <c r="V67" s="7">
        <v>0</v>
      </c>
      <c r="W67" s="7">
        <v>0</v>
      </c>
      <c r="X67" s="7">
        <f t="shared" si="7"/>
        <v>0</v>
      </c>
      <c r="Y67" s="17"/>
      <c r="AB67" s="17"/>
      <c r="AC67" s="7" t="s">
        <v>278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f t="shared" si="8"/>
        <v>0</v>
      </c>
      <c r="AJ67" s="17"/>
      <c r="AM67" s="17"/>
      <c r="AN67" s="7" t="s">
        <v>278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E67" s="7">
        <v>0</v>
      </c>
      <c r="CF67" s="7">
        <v>0</v>
      </c>
      <c r="CG67" s="7">
        <v>0</v>
      </c>
      <c r="CH67" s="7">
        <v>0</v>
      </c>
      <c r="CI67" s="7">
        <v>0</v>
      </c>
      <c r="CJ67" s="7">
        <v>0</v>
      </c>
      <c r="CK67" s="7">
        <v>0</v>
      </c>
      <c r="CL67" s="7">
        <v>0</v>
      </c>
      <c r="CM67" s="7">
        <v>0</v>
      </c>
      <c r="CN67" s="7">
        <v>0</v>
      </c>
      <c r="CO67" s="7">
        <v>0</v>
      </c>
      <c r="CP67" s="7">
        <v>0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P67" s="7">
        <v>0</v>
      </c>
      <c r="DQ67" s="7">
        <v>0</v>
      </c>
      <c r="DR67" s="7">
        <v>0</v>
      </c>
      <c r="DS67" s="7">
        <v>0</v>
      </c>
      <c r="DT67" s="7">
        <v>0</v>
      </c>
      <c r="DU67" s="7">
        <v>0</v>
      </c>
      <c r="DV67" s="7">
        <v>0</v>
      </c>
      <c r="DW67" s="7">
        <v>0</v>
      </c>
      <c r="DX67" s="7">
        <v>0</v>
      </c>
      <c r="DY67" s="7">
        <v>0</v>
      </c>
      <c r="DZ67" s="7">
        <v>0</v>
      </c>
      <c r="EA67" s="7">
        <v>0</v>
      </c>
      <c r="EB67" s="7">
        <v>0</v>
      </c>
      <c r="EC67" s="7">
        <v>0</v>
      </c>
      <c r="ED67" s="7">
        <v>0</v>
      </c>
      <c r="EE67" s="7">
        <v>0</v>
      </c>
      <c r="EF67" s="7">
        <v>0</v>
      </c>
      <c r="EG67" s="7">
        <v>0</v>
      </c>
      <c r="EH67" s="7">
        <v>0</v>
      </c>
      <c r="EI67" s="7">
        <v>0</v>
      </c>
      <c r="EJ67" s="7">
        <v>0</v>
      </c>
      <c r="EK67" s="7">
        <v>0</v>
      </c>
      <c r="EL67" s="7">
        <v>0</v>
      </c>
      <c r="EM67" s="7">
        <v>0</v>
      </c>
      <c r="EN67" s="7">
        <v>0</v>
      </c>
      <c r="EO67" s="7">
        <v>0</v>
      </c>
      <c r="EP67" s="7">
        <v>0</v>
      </c>
      <c r="EQ67" s="7">
        <v>0</v>
      </c>
      <c r="ER67" s="7">
        <v>0</v>
      </c>
      <c r="ES67" s="7">
        <v>0</v>
      </c>
      <c r="ET67" s="7">
        <v>0</v>
      </c>
      <c r="EU67" s="7">
        <v>0</v>
      </c>
      <c r="EV67" s="7">
        <v>0</v>
      </c>
      <c r="EW67" s="7">
        <v>0</v>
      </c>
      <c r="EX67" s="7">
        <v>0</v>
      </c>
      <c r="EY67" s="7">
        <v>0</v>
      </c>
      <c r="EZ67" s="7">
        <v>0</v>
      </c>
      <c r="FA67" s="7">
        <v>0</v>
      </c>
      <c r="FB67" s="7">
        <v>0</v>
      </c>
      <c r="FC67" s="7">
        <v>0</v>
      </c>
      <c r="FD67" s="7">
        <v>0</v>
      </c>
      <c r="FE67" s="7">
        <v>0</v>
      </c>
      <c r="FF67" s="7">
        <v>0</v>
      </c>
      <c r="FG67" s="7">
        <v>0</v>
      </c>
      <c r="FH67" s="7">
        <f t="shared" si="9"/>
        <v>0</v>
      </c>
      <c r="FI67" s="17"/>
    </row>
    <row r="68" spans="1:165" x14ac:dyDescent="0.25">
      <c r="A68" s="20" t="s">
        <v>293</v>
      </c>
      <c r="B68" s="21"/>
      <c r="C68" s="8">
        <f>SUM(C8:C67)</f>
        <v>0</v>
      </c>
      <c r="D68" s="8">
        <f>SUM(D8:D67)</f>
        <v>0</v>
      </c>
      <c r="E68" s="8">
        <f t="shared" si="5"/>
        <v>0</v>
      </c>
      <c r="I68" s="20" t="s">
        <v>293</v>
      </c>
      <c r="J68" s="21"/>
      <c r="K68" s="8">
        <f>SUM(K8:K67)</f>
        <v>0</v>
      </c>
      <c r="L68" s="8">
        <f>SUM(L8:L67)</f>
        <v>0</v>
      </c>
      <c r="M68" s="8">
        <f>SUM(M8:M67)</f>
        <v>0</v>
      </c>
      <c r="N68" s="8">
        <f t="shared" si="6"/>
        <v>0</v>
      </c>
      <c r="R68" s="20" t="s">
        <v>293</v>
      </c>
      <c r="S68" s="21"/>
      <c r="T68" s="8">
        <f>SUM(T8:T67)</f>
        <v>0</v>
      </c>
      <c r="U68" s="8">
        <f>SUM(U8:U67)</f>
        <v>0</v>
      </c>
      <c r="V68" s="8">
        <f>SUM(V8:V67)</f>
        <v>0</v>
      </c>
      <c r="W68" s="8">
        <f>SUM(W8:W67)</f>
        <v>0</v>
      </c>
      <c r="X68" s="8">
        <f t="shared" si="7"/>
        <v>0</v>
      </c>
      <c r="AB68" s="20" t="s">
        <v>293</v>
      </c>
      <c r="AC68" s="21"/>
      <c r="AD68" s="8">
        <f>SUM(AD8:AD67)</f>
        <v>0</v>
      </c>
      <c r="AE68" s="8">
        <f>SUM(AE8:AE67)</f>
        <v>0</v>
      </c>
      <c r="AF68" s="8">
        <f>SUM(AF8:AF67)</f>
        <v>0</v>
      </c>
      <c r="AG68" s="8">
        <f>SUM(AG8:AG67)</f>
        <v>0</v>
      </c>
      <c r="AH68" s="8">
        <f>SUM(AH8:AH67)</f>
        <v>0</v>
      </c>
      <c r="AI68" s="8">
        <f t="shared" si="8"/>
        <v>0</v>
      </c>
      <c r="AM68" s="20" t="s">
        <v>293</v>
      </c>
      <c r="AN68" s="21"/>
      <c r="AO68" s="8">
        <f t="shared" ref="AO68:BT68" si="10">SUM(AO8:AO67)</f>
        <v>0</v>
      </c>
      <c r="AP68" s="8">
        <f t="shared" si="10"/>
        <v>0</v>
      </c>
      <c r="AQ68" s="8">
        <f t="shared" si="10"/>
        <v>0</v>
      </c>
      <c r="AR68" s="8">
        <f t="shared" si="10"/>
        <v>0</v>
      </c>
      <c r="AS68" s="8">
        <f t="shared" si="10"/>
        <v>0</v>
      </c>
      <c r="AT68" s="8">
        <f t="shared" si="10"/>
        <v>0</v>
      </c>
      <c r="AU68" s="8">
        <f t="shared" si="10"/>
        <v>0</v>
      </c>
      <c r="AV68" s="8">
        <f t="shared" si="10"/>
        <v>0</v>
      </c>
      <c r="AW68" s="8">
        <f t="shared" si="10"/>
        <v>0</v>
      </c>
      <c r="AX68" s="8">
        <f t="shared" si="10"/>
        <v>0</v>
      </c>
      <c r="AY68" s="8">
        <f t="shared" si="10"/>
        <v>0</v>
      </c>
      <c r="AZ68" s="8">
        <f t="shared" si="10"/>
        <v>0</v>
      </c>
      <c r="BA68" s="8">
        <f t="shared" si="10"/>
        <v>0</v>
      </c>
      <c r="BB68" s="8">
        <f t="shared" si="10"/>
        <v>0</v>
      </c>
      <c r="BC68" s="8">
        <f t="shared" si="10"/>
        <v>0</v>
      </c>
      <c r="BD68" s="8">
        <f t="shared" si="10"/>
        <v>0</v>
      </c>
      <c r="BE68" s="8">
        <f t="shared" si="10"/>
        <v>0</v>
      </c>
      <c r="BF68" s="8">
        <f t="shared" si="10"/>
        <v>0</v>
      </c>
      <c r="BG68" s="8">
        <f t="shared" si="10"/>
        <v>0</v>
      </c>
      <c r="BH68" s="8">
        <f t="shared" si="10"/>
        <v>0</v>
      </c>
      <c r="BI68" s="8">
        <f t="shared" si="10"/>
        <v>0</v>
      </c>
      <c r="BJ68" s="8">
        <f t="shared" si="10"/>
        <v>0</v>
      </c>
      <c r="BK68" s="8">
        <f t="shared" si="10"/>
        <v>0</v>
      </c>
      <c r="BL68" s="8">
        <f t="shared" si="10"/>
        <v>0</v>
      </c>
      <c r="BM68" s="8">
        <f t="shared" si="10"/>
        <v>0</v>
      </c>
      <c r="BN68" s="8">
        <f t="shared" si="10"/>
        <v>0</v>
      </c>
      <c r="BO68" s="8">
        <f t="shared" si="10"/>
        <v>0</v>
      </c>
      <c r="BP68" s="8">
        <f t="shared" si="10"/>
        <v>0</v>
      </c>
      <c r="BQ68" s="8">
        <f t="shared" si="10"/>
        <v>0</v>
      </c>
      <c r="BR68" s="8">
        <f t="shared" si="10"/>
        <v>0</v>
      </c>
      <c r="BS68" s="8">
        <f t="shared" si="10"/>
        <v>0</v>
      </c>
      <c r="BT68" s="8">
        <f t="shared" si="10"/>
        <v>0</v>
      </c>
      <c r="BU68" s="8">
        <f t="shared" ref="BU68:CZ68" si="11">SUM(BU8:BU67)</f>
        <v>0</v>
      </c>
      <c r="BV68" s="8">
        <f t="shared" si="11"/>
        <v>0</v>
      </c>
      <c r="BW68" s="8">
        <f t="shared" si="11"/>
        <v>0</v>
      </c>
      <c r="BX68" s="8">
        <f t="shared" si="11"/>
        <v>0</v>
      </c>
      <c r="BY68" s="8">
        <f t="shared" si="11"/>
        <v>0</v>
      </c>
      <c r="BZ68" s="8">
        <f t="shared" si="11"/>
        <v>0</v>
      </c>
      <c r="CA68" s="8">
        <f t="shared" si="11"/>
        <v>0</v>
      </c>
      <c r="CB68" s="8">
        <f t="shared" si="11"/>
        <v>0</v>
      </c>
      <c r="CC68" s="8">
        <f t="shared" si="11"/>
        <v>0</v>
      </c>
      <c r="CD68" s="8">
        <f t="shared" si="11"/>
        <v>0</v>
      </c>
      <c r="CE68" s="8">
        <f t="shared" si="11"/>
        <v>0</v>
      </c>
      <c r="CF68" s="8">
        <f t="shared" si="11"/>
        <v>0</v>
      </c>
      <c r="CG68" s="8">
        <f t="shared" si="11"/>
        <v>0</v>
      </c>
      <c r="CH68" s="8">
        <f t="shared" si="11"/>
        <v>0</v>
      </c>
      <c r="CI68" s="8">
        <f t="shared" si="11"/>
        <v>0</v>
      </c>
      <c r="CJ68" s="8">
        <f t="shared" si="11"/>
        <v>0</v>
      </c>
      <c r="CK68" s="8">
        <f t="shared" si="11"/>
        <v>0</v>
      </c>
      <c r="CL68" s="8">
        <f t="shared" si="11"/>
        <v>0</v>
      </c>
      <c r="CM68" s="8">
        <f t="shared" si="11"/>
        <v>0</v>
      </c>
      <c r="CN68" s="8">
        <f t="shared" si="11"/>
        <v>0</v>
      </c>
      <c r="CO68" s="8">
        <f t="shared" si="11"/>
        <v>0</v>
      </c>
      <c r="CP68" s="8">
        <f t="shared" si="11"/>
        <v>0</v>
      </c>
      <c r="CQ68" s="8">
        <f t="shared" si="11"/>
        <v>0</v>
      </c>
      <c r="CR68" s="8">
        <f t="shared" si="11"/>
        <v>0</v>
      </c>
      <c r="CS68" s="8">
        <f t="shared" si="11"/>
        <v>0</v>
      </c>
      <c r="CT68" s="8">
        <f t="shared" si="11"/>
        <v>0</v>
      </c>
      <c r="CU68" s="8">
        <f t="shared" si="11"/>
        <v>0</v>
      </c>
      <c r="CV68" s="8">
        <f t="shared" si="11"/>
        <v>0</v>
      </c>
      <c r="CW68" s="8">
        <f t="shared" si="11"/>
        <v>0</v>
      </c>
      <c r="CX68" s="8">
        <f t="shared" si="11"/>
        <v>0</v>
      </c>
      <c r="CY68" s="8">
        <f t="shared" si="11"/>
        <v>0</v>
      </c>
      <c r="CZ68" s="8">
        <f t="shared" si="11"/>
        <v>0</v>
      </c>
      <c r="DA68" s="8">
        <f t="shared" ref="DA68:EF68" si="12">SUM(DA8:DA67)</f>
        <v>0</v>
      </c>
      <c r="DB68" s="8">
        <f t="shared" si="12"/>
        <v>0</v>
      </c>
      <c r="DC68" s="8">
        <f t="shared" si="12"/>
        <v>0</v>
      </c>
      <c r="DD68" s="8">
        <f t="shared" si="12"/>
        <v>0</v>
      </c>
      <c r="DE68" s="8">
        <f t="shared" si="12"/>
        <v>0</v>
      </c>
      <c r="DF68" s="8">
        <f t="shared" si="12"/>
        <v>0</v>
      </c>
      <c r="DG68" s="8">
        <f t="shared" si="12"/>
        <v>0</v>
      </c>
      <c r="DH68" s="8">
        <f t="shared" si="12"/>
        <v>0</v>
      </c>
      <c r="DI68" s="8">
        <f t="shared" si="12"/>
        <v>0</v>
      </c>
      <c r="DJ68" s="8">
        <f t="shared" si="12"/>
        <v>0</v>
      </c>
      <c r="DK68" s="8">
        <f t="shared" si="12"/>
        <v>0</v>
      </c>
      <c r="DL68" s="8">
        <f t="shared" si="12"/>
        <v>0</v>
      </c>
      <c r="DM68" s="8">
        <f t="shared" si="12"/>
        <v>0</v>
      </c>
      <c r="DN68" s="8">
        <f t="shared" si="12"/>
        <v>0</v>
      </c>
      <c r="DO68" s="8">
        <f t="shared" si="12"/>
        <v>0</v>
      </c>
      <c r="DP68" s="8">
        <f t="shared" si="12"/>
        <v>0</v>
      </c>
      <c r="DQ68" s="8">
        <f t="shared" si="12"/>
        <v>0</v>
      </c>
      <c r="DR68" s="8">
        <f t="shared" si="12"/>
        <v>0</v>
      </c>
      <c r="DS68" s="8">
        <f t="shared" si="12"/>
        <v>0</v>
      </c>
      <c r="DT68" s="8">
        <f t="shared" si="12"/>
        <v>0</v>
      </c>
      <c r="DU68" s="8">
        <f t="shared" si="12"/>
        <v>0</v>
      </c>
      <c r="DV68" s="8">
        <f t="shared" si="12"/>
        <v>0</v>
      </c>
      <c r="DW68" s="8">
        <f t="shared" si="12"/>
        <v>0</v>
      </c>
      <c r="DX68" s="8">
        <f t="shared" si="12"/>
        <v>0</v>
      </c>
      <c r="DY68" s="8">
        <f t="shared" si="12"/>
        <v>0</v>
      </c>
      <c r="DZ68" s="8">
        <f t="shared" si="12"/>
        <v>0</v>
      </c>
      <c r="EA68" s="8">
        <f t="shared" si="12"/>
        <v>0</v>
      </c>
      <c r="EB68" s="8">
        <f t="shared" si="12"/>
        <v>0</v>
      </c>
      <c r="EC68" s="8">
        <f t="shared" si="12"/>
        <v>0</v>
      </c>
      <c r="ED68" s="8">
        <f t="shared" si="12"/>
        <v>0</v>
      </c>
      <c r="EE68" s="8">
        <f t="shared" si="12"/>
        <v>0</v>
      </c>
      <c r="EF68" s="8">
        <f t="shared" si="12"/>
        <v>0</v>
      </c>
      <c r="EG68" s="8">
        <f t="shared" ref="EG68:FG68" si="13">SUM(EG8:EG67)</f>
        <v>0</v>
      </c>
      <c r="EH68" s="8">
        <f t="shared" si="13"/>
        <v>0</v>
      </c>
      <c r="EI68" s="8">
        <f t="shared" si="13"/>
        <v>0</v>
      </c>
      <c r="EJ68" s="8">
        <f t="shared" si="13"/>
        <v>0</v>
      </c>
      <c r="EK68" s="8">
        <f t="shared" si="13"/>
        <v>0</v>
      </c>
      <c r="EL68" s="8">
        <f t="shared" si="13"/>
        <v>0</v>
      </c>
      <c r="EM68" s="8">
        <f t="shared" si="13"/>
        <v>0</v>
      </c>
      <c r="EN68" s="8">
        <f t="shared" si="13"/>
        <v>0</v>
      </c>
      <c r="EO68" s="8">
        <f t="shared" si="13"/>
        <v>0</v>
      </c>
      <c r="EP68" s="8">
        <f t="shared" si="13"/>
        <v>0</v>
      </c>
      <c r="EQ68" s="8">
        <f t="shared" si="13"/>
        <v>0</v>
      </c>
      <c r="ER68" s="8">
        <f t="shared" si="13"/>
        <v>0</v>
      </c>
      <c r="ES68" s="8">
        <f t="shared" si="13"/>
        <v>0</v>
      </c>
      <c r="ET68" s="8">
        <f t="shared" si="13"/>
        <v>0</v>
      </c>
      <c r="EU68" s="8">
        <f t="shared" si="13"/>
        <v>0</v>
      </c>
      <c r="EV68" s="8">
        <f t="shared" si="13"/>
        <v>0</v>
      </c>
      <c r="EW68" s="8">
        <f t="shared" si="13"/>
        <v>0</v>
      </c>
      <c r="EX68" s="8">
        <f t="shared" si="13"/>
        <v>0</v>
      </c>
      <c r="EY68" s="8">
        <f t="shared" si="13"/>
        <v>0</v>
      </c>
      <c r="EZ68" s="8">
        <f t="shared" si="13"/>
        <v>0</v>
      </c>
      <c r="FA68" s="8">
        <f t="shared" si="13"/>
        <v>0</v>
      </c>
      <c r="FB68" s="8">
        <f t="shared" si="13"/>
        <v>0</v>
      </c>
      <c r="FC68" s="8">
        <f t="shared" si="13"/>
        <v>0</v>
      </c>
      <c r="FD68" s="8">
        <f t="shared" si="13"/>
        <v>0</v>
      </c>
      <c r="FE68" s="8">
        <f t="shared" si="13"/>
        <v>0</v>
      </c>
      <c r="FF68" s="8">
        <f t="shared" si="13"/>
        <v>0</v>
      </c>
      <c r="FG68" s="8">
        <f t="shared" si="13"/>
        <v>0</v>
      </c>
      <c r="FH68" s="8">
        <f t="shared" si="9"/>
        <v>0</v>
      </c>
    </row>
    <row r="69" spans="1:165" x14ac:dyDescent="0.25">
      <c r="A69" s="20" t="s">
        <v>294</v>
      </c>
      <c r="B69" s="21"/>
      <c r="C69" s="8">
        <v>797</v>
      </c>
      <c r="D69" s="8">
        <v>0</v>
      </c>
      <c r="E69" s="8">
        <f t="shared" si="5"/>
        <v>797</v>
      </c>
      <c r="I69" s="20" t="s">
        <v>294</v>
      </c>
      <c r="J69" s="21"/>
      <c r="K69" s="8">
        <v>83</v>
      </c>
      <c r="L69" s="8">
        <v>4</v>
      </c>
      <c r="M69" s="8">
        <v>0</v>
      </c>
      <c r="N69" s="8">
        <f t="shared" si="6"/>
        <v>87</v>
      </c>
      <c r="R69" s="20" t="s">
        <v>294</v>
      </c>
      <c r="S69" s="21"/>
      <c r="T69" s="8">
        <v>364</v>
      </c>
      <c r="U69" s="8">
        <v>38</v>
      </c>
      <c r="V69" s="8">
        <v>14</v>
      </c>
      <c r="W69" s="8">
        <v>0</v>
      </c>
      <c r="X69" s="8">
        <f t="shared" si="7"/>
        <v>416</v>
      </c>
      <c r="AB69" s="20" t="s">
        <v>294</v>
      </c>
      <c r="AC69" s="21"/>
      <c r="AD69" s="8">
        <v>797</v>
      </c>
      <c r="AE69" s="8">
        <v>156</v>
      </c>
      <c r="AF69" s="8">
        <v>250</v>
      </c>
      <c r="AG69" s="8">
        <v>3146</v>
      </c>
      <c r="AH69" s="8">
        <v>0</v>
      </c>
      <c r="AI69" s="8">
        <f t="shared" si="8"/>
        <v>4349</v>
      </c>
      <c r="AM69" s="20" t="s">
        <v>294</v>
      </c>
      <c r="AN69" s="21"/>
      <c r="AO69" s="8">
        <v>4</v>
      </c>
      <c r="AP69" s="8">
        <v>1</v>
      </c>
      <c r="AQ69" s="8">
        <v>0</v>
      </c>
      <c r="AR69" s="8">
        <v>2</v>
      </c>
      <c r="AS69" s="8">
        <v>1</v>
      </c>
      <c r="AT69" s="8">
        <v>3</v>
      </c>
      <c r="AU69" s="8">
        <v>1</v>
      </c>
      <c r="AV69" s="8">
        <v>2</v>
      </c>
      <c r="AW69" s="8">
        <v>1</v>
      </c>
      <c r="AX69" s="8">
        <v>1</v>
      </c>
      <c r="AY69" s="8">
        <v>0</v>
      </c>
      <c r="AZ69" s="8">
        <v>17</v>
      </c>
      <c r="BA69" s="8">
        <v>1</v>
      </c>
      <c r="BB69" s="8">
        <v>1</v>
      </c>
      <c r="BC69" s="8">
        <v>1</v>
      </c>
      <c r="BD69" s="8">
        <v>2</v>
      </c>
      <c r="BE69" s="8">
        <v>1</v>
      </c>
      <c r="BF69" s="8">
        <v>2</v>
      </c>
      <c r="BG69" s="8">
        <v>9</v>
      </c>
      <c r="BH69" s="8">
        <v>4</v>
      </c>
      <c r="BI69" s="8">
        <v>46</v>
      </c>
      <c r="BJ69" s="8">
        <v>1</v>
      </c>
      <c r="BK69" s="8">
        <v>5</v>
      </c>
      <c r="BL69" s="8">
        <v>4</v>
      </c>
      <c r="BM69" s="8">
        <v>1</v>
      </c>
      <c r="BN69" s="8">
        <v>0</v>
      </c>
      <c r="BO69" s="8">
        <v>1</v>
      </c>
      <c r="BP69" s="8">
        <v>10</v>
      </c>
      <c r="BQ69" s="8">
        <v>1</v>
      </c>
      <c r="BR69" s="8">
        <v>14</v>
      </c>
      <c r="BS69" s="8">
        <v>1</v>
      </c>
      <c r="BT69" s="8">
        <v>2</v>
      </c>
      <c r="BU69" s="8">
        <v>5</v>
      </c>
      <c r="BV69" s="8">
        <v>1</v>
      </c>
      <c r="BW69" s="8">
        <v>2</v>
      </c>
      <c r="BX69" s="8">
        <v>1</v>
      </c>
      <c r="BY69" s="8">
        <v>2</v>
      </c>
      <c r="BZ69" s="8">
        <v>1</v>
      </c>
      <c r="CA69" s="8">
        <v>5</v>
      </c>
      <c r="CB69" s="8">
        <v>4</v>
      </c>
      <c r="CC69" s="8">
        <v>1</v>
      </c>
      <c r="CD69" s="8">
        <v>1</v>
      </c>
      <c r="CE69" s="8">
        <v>1</v>
      </c>
      <c r="CF69" s="8">
        <v>273</v>
      </c>
      <c r="CG69" s="8">
        <v>1</v>
      </c>
      <c r="CH69" s="8">
        <v>4</v>
      </c>
      <c r="CI69" s="8">
        <v>2</v>
      </c>
      <c r="CJ69" s="8">
        <v>9</v>
      </c>
      <c r="CK69" s="8">
        <v>6</v>
      </c>
      <c r="CL69" s="8">
        <v>145</v>
      </c>
      <c r="CM69" s="8">
        <v>3</v>
      </c>
      <c r="CN69" s="8">
        <v>19</v>
      </c>
      <c r="CO69" s="8">
        <v>1</v>
      </c>
      <c r="CP69" s="8">
        <v>1</v>
      </c>
      <c r="CQ69" s="8">
        <v>1</v>
      </c>
      <c r="CR69" s="8">
        <v>22</v>
      </c>
      <c r="CS69" s="8">
        <v>2</v>
      </c>
      <c r="CT69" s="8">
        <v>4</v>
      </c>
      <c r="CU69" s="8">
        <v>19</v>
      </c>
      <c r="CV69" s="8">
        <v>9</v>
      </c>
      <c r="CW69" s="8">
        <v>3</v>
      </c>
      <c r="CX69" s="8">
        <v>2</v>
      </c>
      <c r="CY69" s="8">
        <v>4</v>
      </c>
      <c r="CZ69" s="8">
        <v>1</v>
      </c>
      <c r="DA69" s="8">
        <v>2</v>
      </c>
      <c r="DB69" s="8">
        <v>4</v>
      </c>
      <c r="DC69" s="8">
        <v>2</v>
      </c>
      <c r="DD69" s="8">
        <v>4</v>
      </c>
      <c r="DE69" s="8">
        <v>1</v>
      </c>
      <c r="DF69" s="8">
        <v>1</v>
      </c>
      <c r="DG69" s="8">
        <v>358</v>
      </c>
      <c r="DH69" s="8">
        <v>74</v>
      </c>
      <c r="DI69" s="8">
        <v>5</v>
      </c>
      <c r="DJ69" s="8">
        <v>1</v>
      </c>
      <c r="DK69" s="8">
        <v>1</v>
      </c>
      <c r="DL69" s="8">
        <v>2</v>
      </c>
      <c r="DM69" s="8">
        <v>1</v>
      </c>
      <c r="DN69" s="8">
        <v>2</v>
      </c>
      <c r="DO69" s="8">
        <v>1</v>
      </c>
      <c r="DP69" s="8">
        <v>1</v>
      </c>
      <c r="DQ69" s="8">
        <v>1</v>
      </c>
      <c r="DR69" s="8">
        <v>2</v>
      </c>
      <c r="DS69" s="8">
        <v>1</v>
      </c>
      <c r="DT69" s="8">
        <v>2</v>
      </c>
      <c r="DU69" s="8">
        <v>1</v>
      </c>
      <c r="DV69" s="8">
        <v>3</v>
      </c>
      <c r="DW69" s="8">
        <v>1</v>
      </c>
      <c r="DX69" s="8">
        <v>2</v>
      </c>
      <c r="DY69" s="8">
        <v>3</v>
      </c>
      <c r="DZ69" s="8">
        <v>1</v>
      </c>
      <c r="EA69" s="8">
        <v>17</v>
      </c>
      <c r="EB69" s="8">
        <v>1</v>
      </c>
      <c r="EC69" s="8">
        <v>1</v>
      </c>
      <c r="ED69" s="8">
        <v>2</v>
      </c>
      <c r="EE69" s="8">
        <v>1</v>
      </c>
      <c r="EF69" s="8">
        <v>2</v>
      </c>
      <c r="EG69" s="8">
        <v>2</v>
      </c>
      <c r="EH69" s="8">
        <v>235</v>
      </c>
      <c r="EI69" s="8">
        <v>6</v>
      </c>
      <c r="EJ69" s="8">
        <v>2</v>
      </c>
      <c r="EK69" s="8">
        <v>200</v>
      </c>
      <c r="EL69" s="8">
        <v>2</v>
      </c>
      <c r="EM69" s="8">
        <v>2</v>
      </c>
      <c r="EN69" s="8">
        <v>4</v>
      </c>
      <c r="EO69" s="8">
        <v>150</v>
      </c>
      <c r="EP69" s="8">
        <v>2</v>
      </c>
      <c r="EQ69" s="8">
        <v>3</v>
      </c>
      <c r="ER69" s="8">
        <v>4</v>
      </c>
      <c r="ES69" s="8">
        <v>1</v>
      </c>
      <c r="ET69" s="8">
        <v>0</v>
      </c>
      <c r="EU69" s="8">
        <v>2</v>
      </c>
      <c r="EV69" s="8">
        <v>3</v>
      </c>
      <c r="EW69" s="8">
        <v>1</v>
      </c>
      <c r="EX69" s="8">
        <v>306</v>
      </c>
      <c r="EY69" s="8">
        <v>1</v>
      </c>
      <c r="EZ69" s="8">
        <v>80</v>
      </c>
      <c r="FA69" s="8">
        <v>6</v>
      </c>
      <c r="FB69" s="8">
        <v>8</v>
      </c>
      <c r="FC69" s="8">
        <v>3</v>
      </c>
      <c r="FD69" s="8">
        <v>1</v>
      </c>
      <c r="FE69" s="8">
        <v>6</v>
      </c>
      <c r="FF69" s="8">
        <v>422</v>
      </c>
      <c r="FG69" s="8">
        <v>0</v>
      </c>
      <c r="FH69" s="8">
        <f t="shared" si="9"/>
        <v>2648</v>
      </c>
    </row>
    <row r="70" spans="1:165" x14ac:dyDescent="0.25">
      <c r="A70" s="20" t="s">
        <v>295</v>
      </c>
      <c r="B70" s="21"/>
      <c r="C70" s="8">
        <f>C69-C68</f>
        <v>797</v>
      </c>
      <c r="D70" s="8">
        <f>D69-D68</f>
        <v>0</v>
      </c>
      <c r="E70" s="8">
        <f t="shared" si="5"/>
        <v>797</v>
      </c>
      <c r="I70" s="20" t="s">
        <v>295</v>
      </c>
      <c r="J70" s="21"/>
      <c r="K70" s="8">
        <f>K69-K68</f>
        <v>83</v>
      </c>
      <c r="L70" s="8">
        <f>L69-L68</f>
        <v>4</v>
      </c>
      <c r="M70" s="8">
        <f>M69-M68</f>
        <v>0</v>
      </c>
      <c r="N70" s="8">
        <f t="shared" si="6"/>
        <v>87</v>
      </c>
      <c r="R70" s="20" t="s">
        <v>295</v>
      </c>
      <c r="S70" s="21"/>
      <c r="T70" s="8">
        <f>T69-T68</f>
        <v>364</v>
      </c>
      <c r="U70" s="8">
        <f>U69-U68</f>
        <v>38</v>
      </c>
      <c r="V70" s="8">
        <f>V69-V68</f>
        <v>14</v>
      </c>
      <c r="W70" s="8">
        <f>W69-W68</f>
        <v>0</v>
      </c>
      <c r="X70" s="8">
        <f t="shared" si="7"/>
        <v>416</v>
      </c>
      <c r="AB70" s="20" t="s">
        <v>295</v>
      </c>
      <c r="AC70" s="21"/>
      <c r="AD70" s="8">
        <f>AD69-AD68</f>
        <v>797</v>
      </c>
      <c r="AE70" s="8">
        <f>AE69-AE68</f>
        <v>156</v>
      </c>
      <c r="AF70" s="8">
        <f>AF69-AF68</f>
        <v>250</v>
      </c>
      <c r="AG70" s="8">
        <f>AG69-AG68</f>
        <v>3146</v>
      </c>
      <c r="AH70" s="8">
        <f>AH69-AH68</f>
        <v>0</v>
      </c>
      <c r="AI70" s="8">
        <f t="shared" si="8"/>
        <v>4349</v>
      </c>
      <c r="AM70" s="20" t="s">
        <v>295</v>
      </c>
      <c r="AN70" s="21"/>
      <c r="AO70" s="8">
        <f t="shared" ref="AO70:BT70" si="14">AO69-AO68</f>
        <v>4</v>
      </c>
      <c r="AP70" s="8">
        <f t="shared" si="14"/>
        <v>1</v>
      </c>
      <c r="AQ70" s="8">
        <f t="shared" si="14"/>
        <v>0</v>
      </c>
      <c r="AR70" s="8">
        <f t="shared" si="14"/>
        <v>2</v>
      </c>
      <c r="AS70" s="8">
        <f t="shared" si="14"/>
        <v>1</v>
      </c>
      <c r="AT70" s="8">
        <f t="shared" si="14"/>
        <v>3</v>
      </c>
      <c r="AU70" s="8">
        <f t="shared" si="14"/>
        <v>1</v>
      </c>
      <c r="AV70" s="8">
        <f t="shared" si="14"/>
        <v>2</v>
      </c>
      <c r="AW70" s="8">
        <f t="shared" si="14"/>
        <v>1</v>
      </c>
      <c r="AX70" s="8">
        <f t="shared" si="14"/>
        <v>1</v>
      </c>
      <c r="AY70" s="8">
        <f t="shared" si="14"/>
        <v>0</v>
      </c>
      <c r="AZ70" s="8">
        <f t="shared" si="14"/>
        <v>17</v>
      </c>
      <c r="BA70" s="8">
        <f t="shared" si="14"/>
        <v>1</v>
      </c>
      <c r="BB70" s="8">
        <f t="shared" si="14"/>
        <v>1</v>
      </c>
      <c r="BC70" s="8">
        <f t="shared" si="14"/>
        <v>1</v>
      </c>
      <c r="BD70" s="8">
        <f t="shared" si="14"/>
        <v>2</v>
      </c>
      <c r="BE70" s="8">
        <f t="shared" si="14"/>
        <v>1</v>
      </c>
      <c r="BF70" s="8">
        <f t="shared" si="14"/>
        <v>2</v>
      </c>
      <c r="BG70" s="8">
        <f t="shared" si="14"/>
        <v>9</v>
      </c>
      <c r="BH70" s="8">
        <f t="shared" si="14"/>
        <v>4</v>
      </c>
      <c r="BI70" s="8">
        <f t="shared" si="14"/>
        <v>46</v>
      </c>
      <c r="BJ70" s="8">
        <f t="shared" si="14"/>
        <v>1</v>
      </c>
      <c r="BK70" s="8">
        <f t="shared" si="14"/>
        <v>5</v>
      </c>
      <c r="BL70" s="8">
        <f t="shared" si="14"/>
        <v>4</v>
      </c>
      <c r="BM70" s="8">
        <f t="shared" si="14"/>
        <v>1</v>
      </c>
      <c r="BN70" s="8">
        <f t="shared" si="14"/>
        <v>0</v>
      </c>
      <c r="BO70" s="8">
        <f t="shared" si="14"/>
        <v>1</v>
      </c>
      <c r="BP70" s="8">
        <f t="shared" si="14"/>
        <v>10</v>
      </c>
      <c r="BQ70" s="8">
        <f t="shared" si="14"/>
        <v>1</v>
      </c>
      <c r="BR70" s="8">
        <f t="shared" si="14"/>
        <v>14</v>
      </c>
      <c r="BS70" s="8">
        <f t="shared" si="14"/>
        <v>1</v>
      </c>
      <c r="BT70" s="8">
        <f t="shared" si="14"/>
        <v>2</v>
      </c>
      <c r="BU70" s="8">
        <f t="shared" ref="BU70:CZ70" si="15">BU69-BU68</f>
        <v>5</v>
      </c>
      <c r="BV70" s="8">
        <f t="shared" si="15"/>
        <v>1</v>
      </c>
      <c r="BW70" s="8">
        <f t="shared" si="15"/>
        <v>2</v>
      </c>
      <c r="BX70" s="8">
        <f t="shared" si="15"/>
        <v>1</v>
      </c>
      <c r="BY70" s="8">
        <f t="shared" si="15"/>
        <v>2</v>
      </c>
      <c r="BZ70" s="8">
        <f t="shared" si="15"/>
        <v>1</v>
      </c>
      <c r="CA70" s="8">
        <f t="shared" si="15"/>
        <v>5</v>
      </c>
      <c r="CB70" s="8">
        <f t="shared" si="15"/>
        <v>4</v>
      </c>
      <c r="CC70" s="8">
        <f t="shared" si="15"/>
        <v>1</v>
      </c>
      <c r="CD70" s="8">
        <f t="shared" si="15"/>
        <v>1</v>
      </c>
      <c r="CE70" s="8">
        <f t="shared" si="15"/>
        <v>1</v>
      </c>
      <c r="CF70" s="8">
        <f t="shared" si="15"/>
        <v>273</v>
      </c>
      <c r="CG70" s="8">
        <f t="shared" si="15"/>
        <v>1</v>
      </c>
      <c r="CH70" s="8">
        <f t="shared" si="15"/>
        <v>4</v>
      </c>
      <c r="CI70" s="8">
        <f t="shared" si="15"/>
        <v>2</v>
      </c>
      <c r="CJ70" s="8">
        <f t="shared" si="15"/>
        <v>9</v>
      </c>
      <c r="CK70" s="8">
        <f t="shared" si="15"/>
        <v>6</v>
      </c>
      <c r="CL70" s="8">
        <f t="shared" si="15"/>
        <v>145</v>
      </c>
      <c r="CM70" s="8">
        <f t="shared" si="15"/>
        <v>3</v>
      </c>
      <c r="CN70" s="8">
        <f t="shared" si="15"/>
        <v>19</v>
      </c>
      <c r="CO70" s="8">
        <f t="shared" si="15"/>
        <v>1</v>
      </c>
      <c r="CP70" s="8">
        <f t="shared" si="15"/>
        <v>1</v>
      </c>
      <c r="CQ70" s="8">
        <f t="shared" si="15"/>
        <v>1</v>
      </c>
      <c r="CR70" s="8">
        <f t="shared" si="15"/>
        <v>22</v>
      </c>
      <c r="CS70" s="8">
        <f t="shared" si="15"/>
        <v>2</v>
      </c>
      <c r="CT70" s="8">
        <f t="shared" si="15"/>
        <v>4</v>
      </c>
      <c r="CU70" s="8">
        <f t="shared" si="15"/>
        <v>19</v>
      </c>
      <c r="CV70" s="8">
        <f t="shared" si="15"/>
        <v>9</v>
      </c>
      <c r="CW70" s="8">
        <f t="shared" si="15"/>
        <v>3</v>
      </c>
      <c r="CX70" s="8">
        <f t="shared" si="15"/>
        <v>2</v>
      </c>
      <c r="CY70" s="8">
        <f t="shared" si="15"/>
        <v>4</v>
      </c>
      <c r="CZ70" s="8">
        <f t="shared" si="15"/>
        <v>1</v>
      </c>
      <c r="DA70" s="8">
        <f t="shared" ref="DA70:EF70" si="16">DA69-DA68</f>
        <v>2</v>
      </c>
      <c r="DB70" s="8">
        <f t="shared" si="16"/>
        <v>4</v>
      </c>
      <c r="DC70" s="8">
        <f t="shared" si="16"/>
        <v>2</v>
      </c>
      <c r="DD70" s="8">
        <f t="shared" si="16"/>
        <v>4</v>
      </c>
      <c r="DE70" s="8">
        <f t="shared" si="16"/>
        <v>1</v>
      </c>
      <c r="DF70" s="8">
        <f t="shared" si="16"/>
        <v>1</v>
      </c>
      <c r="DG70" s="8">
        <f t="shared" si="16"/>
        <v>358</v>
      </c>
      <c r="DH70" s="8">
        <f t="shared" si="16"/>
        <v>74</v>
      </c>
      <c r="DI70" s="8">
        <f t="shared" si="16"/>
        <v>5</v>
      </c>
      <c r="DJ70" s="8">
        <f t="shared" si="16"/>
        <v>1</v>
      </c>
      <c r="DK70" s="8">
        <f t="shared" si="16"/>
        <v>1</v>
      </c>
      <c r="DL70" s="8">
        <f t="shared" si="16"/>
        <v>2</v>
      </c>
      <c r="DM70" s="8">
        <f t="shared" si="16"/>
        <v>1</v>
      </c>
      <c r="DN70" s="8">
        <f t="shared" si="16"/>
        <v>2</v>
      </c>
      <c r="DO70" s="8">
        <f t="shared" si="16"/>
        <v>1</v>
      </c>
      <c r="DP70" s="8">
        <f t="shared" si="16"/>
        <v>1</v>
      </c>
      <c r="DQ70" s="8">
        <f t="shared" si="16"/>
        <v>1</v>
      </c>
      <c r="DR70" s="8">
        <f t="shared" si="16"/>
        <v>2</v>
      </c>
      <c r="DS70" s="8">
        <f t="shared" si="16"/>
        <v>1</v>
      </c>
      <c r="DT70" s="8">
        <f t="shared" si="16"/>
        <v>2</v>
      </c>
      <c r="DU70" s="8">
        <f t="shared" si="16"/>
        <v>1</v>
      </c>
      <c r="DV70" s="8">
        <f t="shared" si="16"/>
        <v>3</v>
      </c>
      <c r="DW70" s="8">
        <f t="shared" si="16"/>
        <v>1</v>
      </c>
      <c r="DX70" s="8">
        <f t="shared" si="16"/>
        <v>2</v>
      </c>
      <c r="DY70" s="8">
        <f t="shared" si="16"/>
        <v>3</v>
      </c>
      <c r="DZ70" s="8">
        <f t="shared" si="16"/>
        <v>1</v>
      </c>
      <c r="EA70" s="8">
        <f t="shared" si="16"/>
        <v>17</v>
      </c>
      <c r="EB70" s="8">
        <f t="shared" si="16"/>
        <v>1</v>
      </c>
      <c r="EC70" s="8">
        <f t="shared" si="16"/>
        <v>1</v>
      </c>
      <c r="ED70" s="8">
        <f t="shared" si="16"/>
        <v>2</v>
      </c>
      <c r="EE70" s="8">
        <f t="shared" si="16"/>
        <v>1</v>
      </c>
      <c r="EF70" s="8">
        <f t="shared" si="16"/>
        <v>2</v>
      </c>
      <c r="EG70" s="8">
        <f t="shared" ref="EG70:FG70" si="17">EG69-EG68</f>
        <v>2</v>
      </c>
      <c r="EH70" s="8">
        <f t="shared" si="17"/>
        <v>235</v>
      </c>
      <c r="EI70" s="8">
        <f t="shared" si="17"/>
        <v>6</v>
      </c>
      <c r="EJ70" s="8">
        <f t="shared" si="17"/>
        <v>2</v>
      </c>
      <c r="EK70" s="8">
        <f t="shared" si="17"/>
        <v>200</v>
      </c>
      <c r="EL70" s="8">
        <f t="shared" si="17"/>
        <v>2</v>
      </c>
      <c r="EM70" s="8">
        <f t="shared" si="17"/>
        <v>2</v>
      </c>
      <c r="EN70" s="8">
        <f t="shared" si="17"/>
        <v>4</v>
      </c>
      <c r="EO70" s="8">
        <f t="shared" si="17"/>
        <v>150</v>
      </c>
      <c r="EP70" s="8">
        <f t="shared" si="17"/>
        <v>2</v>
      </c>
      <c r="EQ70" s="8">
        <f t="shared" si="17"/>
        <v>3</v>
      </c>
      <c r="ER70" s="8">
        <f t="shared" si="17"/>
        <v>4</v>
      </c>
      <c r="ES70" s="8">
        <f t="shared" si="17"/>
        <v>1</v>
      </c>
      <c r="ET70" s="8">
        <f t="shared" si="17"/>
        <v>0</v>
      </c>
      <c r="EU70" s="8">
        <f t="shared" si="17"/>
        <v>2</v>
      </c>
      <c r="EV70" s="8">
        <f t="shared" si="17"/>
        <v>3</v>
      </c>
      <c r="EW70" s="8">
        <f t="shared" si="17"/>
        <v>1</v>
      </c>
      <c r="EX70" s="8">
        <f t="shared" si="17"/>
        <v>306</v>
      </c>
      <c r="EY70" s="8">
        <f t="shared" si="17"/>
        <v>1</v>
      </c>
      <c r="EZ70" s="8">
        <f t="shared" si="17"/>
        <v>80</v>
      </c>
      <c r="FA70" s="8">
        <f t="shared" si="17"/>
        <v>6</v>
      </c>
      <c r="FB70" s="8">
        <f t="shared" si="17"/>
        <v>8</v>
      </c>
      <c r="FC70" s="8">
        <f t="shared" si="17"/>
        <v>3</v>
      </c>
      <c r="FD70" s="8">
        <f t="shared" si="17"/>
        <v>1</v>
      </c>
      <c r="FE70" s="8">
        <f t="shared" si="17"/>
        <v>6</v>
      </c>
      <c r="FF70" s="8">
        <f t="shared" si="17"/>
        <v>422</v>
      </c>
      <c r="FG70" s="8">
        <f t="shared" si="17"/>
        <v>0</v>
      </c>
      <c r="FH70" s="8">
        <f t="shared" si="9"/>
        <v>2648</v>
      </c>
    </row>
    <row r="73" spans="1:165" ht="17.25" x14ac:dyDescent="0.25">
      <c r="A73" s="19" t="s">
        <v>296</v>
      </c>
      <c r="B73" s="19"/>
    </row>
    <row r="74" spans="1:165" x14ac:dyDescent="0.25">
      <c r="A74" s="9" t="s">
        <v>293</v>
      </c>
      <c r="B74" s="2">
        <f>SUM(E68,N68,X68,AI68,FH68)</f>
        <v>0</v>
      </c>
    </row>
    <row r="75" spans="1:165" x14ac:dyDescent="0.25">
      <c r="A75" s="9" t="s">
        <v>294</v>
      </c>
      <c r="B75" s="2">
        <f>SUM(E69,N69,X69,AI69,FH69)</f>
        <v>8297</v>
      </c>
    </row>
    <row r="76" spans="1:165" x14ac:dyDescent="0.25">
      <c r="A76" s="9" t="s">
        <v>295</v>
      </c>
      <c r="B76" s="2">
        <f>SUM(E70,N70,X70,AI70,FH70)</f>
        <v>8297</v>
      </c>
    </row>
  </sheetData>
  <mergeCells count="172">
    <mergeCell ref="T4:Y4"/>
    <mergeCell ref="AJ56:AJ59"/>
    <mergeCell ref="C1:H1"/>
    <mergeCell ref="K4:O4"/>
    <mergeCell ref="A48:A51"/>
    <mergeCell ref="I40:I43"/>
    <mergeCell ref="F44:F47"/>
    <mergeCell ref="AJ52:AJ55"/>
    <mergeCell ref="FI36:FI39"/>
    <mergeCell ref="I16:I19"/>
    <mergeCell ref="A16:A19"/>
    <mergeCell ref="F12:F15"/>
    <mergeCell ref="R12:R15"/>
    <mergeCell ref="AO4:FI4"/>
    <mergeCell ref="Y16:Y19"/>
    <mergeCell ref="AM40:AM43"/>
    <mergeCell ref="AJ28:AJ31"/>
    <mergeCell ref="R32:R35"/>
    <mergeCell ref="Y44:Y47"/>
    <mergeCell ref="I52:I55"/>
    <mergeCell ref="Y36:Y39"/>
    <mergeCell ref="FI8:FI11"/>
    <mergeCell ref="I20:I23"/>
    <mergeCell ref="AB48:AB51"/>
    <mergeCell ref="A20:A23"/>
    <mergeCell ref="Y12:Y15"/>
    <mergeCell ref="I48:I51"/>
    <mergeCell ref="A44:A47"/>
    <mergeCell ref="F52:F55"/>
    <mergeCell ref="Y32:Y35"/>
    <mergeCell ref="AB28:AB31"/>
    <mergeCell ref="I12:I15"/>
    <mergeCell ref="F16:F19"/>
    <mergeCell ref="A28:A31"/>
    <mergeCell ref="AB68:AC68"/>
    <mergeCell ref="A24:A27"/>
    <mergeCell ref="Y60:Y63"/>
    <mergeCell ref="I68:J68"/>
    <mergeCell ref="F56:F59"/>
    <mergeCell ref="R56:R59"/>
    <mergeCell ref="I44:I47"/>
    <mergeCell ref="A64:A67"/>
    <mergeCell ref="A40:A43"/>
    <mergeCell ref="A52:A55"/>
    <mergeCell ref="A60:A63"/>
    <mergeCell ref="F24:F27"/>
    <mergeCell ref="A56:A59"/>
    <mergeCell ref="F28:F31"/>
    <mergeCell ref="Y52:Y55"/>
    <mergeCell ref="I60:I63"/>
    <mergeCell ref="A68:B68"/>
    <mergeCell ref="F64:F67"/>
    <mergeCell ref="R64:R67"/>
    <mergeCell ref="I28:I31"/>
    <mergeCell ref="O52:O55"/>
    <mergeCell ref="FI20:FI23"/>
    <mergeCell ref="AB12:AB15"/>
    <mergeCell ref="O16:O19"/>
    <mergeCell ref="AM16:AM19"/>
    <mergeCell ref="AJ44:AJ47"/>
    <mergeCell ref="AM36:AM39"/>
    <mergeCell ref="Y20:Y23"/>
    <mergeCell ref="AJ40:AJ43"/>
    <mergeCell ref="R68:S68"/>
    <mergeCell ref="R52:R55"/>
    <mergeCell ref="AJ32:AJ35"/>
    <mergeCell ref="A12:A15"/>
    <mergeCell ref="F8:F11"/>
    <mergeCell ref="F20:F23"/>
    <mergeCell ref="AM28:AM31"/>
    <mergeCell ref="AM64:AM67"/>
    <mergeCell ref="R20:R23"/>
    <mergeCell ref="O32:O35"/>
    <mergeCell ref="A32:A35"/>
    <mergeCell ref="I24:I27"/>
    <mergeCell ref="AM48:AM51"/>
    <mergeCell ref="AB52:AB55"/>
    <mergeCell ref="I8:I11"/>
    <mergeCell ref="I64:I67"/>
    <mergeCell ref="AJ36:AJ39"/>
    <mergeCell ref="AB36:AB39"/>
    <mergeCell ref="Y28:Y31"/>
    <mergeCell ref="O40:O43"/>
    <mergeCell ref="Y40:Y43"/>
    <mergeCell ref="AJ20:AJ23"/>
    <mergeCell ref="O8:O11"/>
    <mergeCell ref="Y48:Y51"/>
    <mergeCell ref="AM24:AM27"/>
    <mergeCell ref="AB40:AB43"/>
    <mergeCell ref="O44:O47"/>
    <mergeCell ref="F32:F35"/>
    <mergeCell ref="AM70:AN70"/>
    <mergeCell ref="R70:S70"/>
    <mergeCell ref="FI56:FI59"/>
    <mergeCell ref="O56:O59"/>
    <mergeCell ref="AM60:AM63"/>
    <mergeCell ref="FI48:FI51"/>
    <mergeCell ref="O48:O51"/>
    <mergeCell ref="AD4:AJ4"/>
    <mergeCell ref="R36:R39"/>
    <mergeCell ref="C4:F4"/>
    <mergeCell ref="AM20:AM23"/>
    <mergeCell ref="AJ24:AJ27"/>
    <mergeCell ref="FI16:FI19"/>
    <mergeCell ref="AB8:AB11"/>
    <mergeCell ref="FI12:FI15"/>
    <mergeCell ref="O12:O15"/>
    <mergeCell ref="FI44:FI47"/>
    <mergeCell ref="R8:R11"/>
    <mergeCell ref="AM12:AM15"/>
    <mergeCell ref="AJ16:AJ19"/>
    <mergeCell ref="FI24:FI27"/>
    <mergeCell ref="O20:O23"/>
    <mergeCell ref="AB16:AB19"/>
    <mergeCell ref="FI52:FI55"/>
    <mergeCell ref="AB69:AC69"/>
    <mergeCell ref="O60:O63"/>
    <mergeCell ref="F48:F51"/>
    <mergeCell ref="I36:I39"/>
    <mergeCell ref="F40:F43"/>
    <mergeCell ref="AB64:AB67"/>
    <mergeCell ref="R40:R43"/>
    <mergeCell ref="FI40:FI43"/>
    <mergeCell ref="I56:I59"/>
    <mergeCell ref="AB24:AB27"/>
    <mergeCell ref="AJ8:AJ11"/>
    <mergeCell ref="R16:R19"/>
    <mergeCell ref="AB20:AB23"/>
    <mergeCell ref="AM56:AM59"/>
    <mergeCell ref="AB60:AB63"/>
    <mergeCell ref="O24:O27"/>
    <mergeCell ref="A70:B70"/>
    <mergeCell ref="Y24:Y27"/>
    <mergeCell ref="Y64:Y67"/>
    <mergeCell ref="R69:S69"/>
    <mergeCell ref="R44:R47"/>
    <mergeCell ref="AB44:AB47"/>
    <mergeCell ref="A8:A11"/>
    <mergeCell ref="A36:A39"/>
    <mergeCell ref="R48:R51"/>
    <mergeCell ref="Y8:Y11"/>
    <mergeCell ref="AJ12:AJ15"/>
    <mergeCell ref="AM8:AM11"/>
    <mergeCell ref="AB32:AB35"/>
    <mergeCell ref="R24:R27"/>
    <mergeCell ref="A69:B69"/>
    <mergeCell ref="O36:O39"/>
    <mergeCell ref="I70:J70"/>
    <mergeCell ref="AM32:AM35"/>
    <mergeCell ref="F60:F63"/>
    <mergeCell ref="Y56:Y59"/>
    <mergeCell ref="R28:R31"/>
    <mergeCell ref="A73:B73"/>
    <mergeCell ref="FI28:FI31"/>
    <mergeCell ref="O28:O31"/>
    <mergeCell ref="R60:R63"/>
    <mergeCell ref="FI64:FI67"/>
    <mergeCell ref="AM52:AM55"/>
    <mergeCell ref="AB56:AB59"/>
    <mergeCell ref="FI32:FI35"/>
    <mergeCell ref="O64:O67"/>
    <mergeCell ref="AJ60:AJ63"/>
    <mergeCell ref="AM68:AN68"/>
    <mergeCell ref="AB70:AC70"/>
    <mergeCell ref="AM69:AN69"/>
    <mergeCell ref="AJ64:AJ67"/>
    <mergeCell ref="I69:J69"/>
    <mergeCell ref="I32:I35"/>
    <mergeCell ref="F36:F39"/>
    <mergeCell ref="AJ48:AJ51"/>
    <mergeCell ref="AM44:AM47"/>
    <mergeCell ref="FI60:FI63"/>
  </mergeCells>
  <pageMargins left="0.75" right="0.75" top="1" bottom="1" header="0.5" footer="0.5"/>
  <pageSetup paperSize="9"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0"/>
  <sheetViews>
    <sheetView workbookViewId="0">
      <selection activeCell="G16" sqref="G16"/>
    </sheetView>
  </sheetViews>
  <sheetFormatPr defaultRowHeight="15" x14ac:dyDescent="0.25"/>
  <cols>
    <col min="1" max="17" width="20" customWidth="1"/>
    <col min="18" max="18" width="36.5703125" customWidth="1"/>
    <col min="19" max="20" width="20" customWidth="1"/>
  </cols>
  <sheetData>
    <row r="1" spans="1:20" ht="15.75" thickBot="1" x14ac:dyDescent="0.3">
      <c r="A1" s="14" t="s">
        <v>297</v>
      </c>
      <c r="B1" s="14" t="s">
        <v>298</v>
      </c>
      <c r="C1" s="14" t="s">
        <v>138</v>
      </c>
      <c r="D1" s="14" t="s">
        <v>299</v>
      </c>
      <c r="E1" s="14" t="s">
        <v>300</v>
      </c>
      <c r="F1" s="14" t="s">
        <v>301</v>
      </c>
      <c r="G1" s="14" t="s">
        <v>302</v>
      </c>
      <c r="H1" s="14" t="s">
        <v>303</v>
      </c>
      <c r="I1" s="14" t="s">
        <v>304</v>
      </c>
      <c r="J1" s="14" t="s">
        <v>305</v>
      </c>
      <c r="K1" s="14" t="s">
        <v>306</v>
      </c>
      <c r="L1" s="14" t="s">
        <v>307</v>
      </c>
      <c r="M1" s="14" t="s">
        <v>308</v>
      </c>
      <c r="N1" s="14" t="s">
        <v>309</v>
      </c>
      <c r="O1" s="14" t="s">
        <v>310</v>
      </c>
      <c r="P1" s="14" t="s">
        <v>311</v>
      </c>
      <c r="Q1" s="14" t="s">
        <v>312</v>
      </c>
      <c r="R1" s="14" t="s">
        <v>313</v>
      </c>
      <c r="S1" s="14" t="s">
        <v>314</v>
      </c>
      <c r="T1" s="14" t="s">
        <v>315</v>
      </c>
    </row>
    <row r="2" spans="1:20" ht="15" customHeight="1" thickTop="1" x14ac:dyDescent="0.25">
      <c r="A2" s="10" t="s">
        <v>316</v>
      </c>
      <c r="B2" s="10" t="s">
        <v>317</v>
      </c>
      <c r="C2" s="10" t="s">
        <v>318</v>
      </c>
      <c r="D2" s="10" t="s">
        <v>319</v>
      </c>
      <c r="E2" s="10" t="s">
        <v>320</v>
      </c>
      <c r="F2" s="10">
        <v>2</v>
      </c>
      <c r="G2" s="10">
        <v>22.3</v>
      </c>
      <c r="H2" s="10" t="s">
        <v>90</v>
      </c>
      <c r="I2" s="10" t="s">
        <v>137</v>
      </c>
      <c r="J2" s="10" t="s">
        <v>137</v>
      </c>
      <c r="K2" s="10" t="s">
        <v>137</v>
      </c>
      <c r="L2" s="10" t="s">
        <v>137</v>
      </c>
      <c r="M2" s="10" t="s">
        <v>137</v>
      </c>
      <c r="N2" s="10" t="s">
        <v>137</v>
      </c>
      <c r="O2" s="10" t="s">
        <v>137</v>
      </c>
      <c r="P2" s="10" t="s">
        <v>137</v>
      </c>
      <c r="Q2" s="10" t="s">
        <v>137</v>
      </c>
      <c r="R2" s="10" t="s">
        <v>137</v>
      </c>
      <c r="S2" s="10" t="s">
        <v>137</v>
      </c>
      <c r="T2" s="10" t="s">
        <v>321</v>
      </c>
    </row>
    <row r="3" spans="1:20" ht="15" customHeight="1" x14ac:dyDescent="0.25">
      <c r="A3" s="10" t="s">
        <v>316</v>
      </c>
      <c r="B3" s="10" t="s">
        <v>317</v>
      </c>
      <c r="C3" s="10" t="s">
        <v>318</v>
      </c>
      <c r="D3" s="10" t="s">
        <v>322</v>
      </c>
      <c r="E3" s="10" t="s">
        <v>323</v>
      </c>
      <c r="F3" s="10">
        <v>2</v>
      </c>
      <c r="G3" s="10">
        <v>15.6</v>
      </c>
      <c r="H3" s="10" t="s">
        <v>51</v>
      </c>
      <c r="I3" s="10" t="s">
        <v>137</v>
      </c>
      <c r="J3" s="10" t="s">
        <v>137</v>
      </c>
      <c r="K3" s="10" t="s">
        <v>137</v>
      </c>
      <c r="L3" s="10" t="s">
        <v>137</v>
      </c>
      <c r="M3" s="10" t="s">
        <v>137</v>
      </c>
      <c r="N3" s="10" t="s">
        <v>137</v>
      </c>
      <c r="O3" s="10" t="s">
        <v>137</v>
      </c>
      <c r="P3" s="10" t="s">
        <v>137</v>
      </c>
      <c r="Q3" s="10" t="s">
        <v>137</v>
      </c>
      <c r="R3" s="10" t="s">
        <v>137</v>
      </c>
      <c r="S3" s="10" t="s">
        <v>137</v>
      </c>
      <c r="T3" s="10" t="s">
        <v>321</v>
      </c>
    </row>
    <row r="4" spans="1:20" ht="15" customHeight="1" x14ac:dyDescent="0.25">
      <c r="A4" s="10" t="s">
        <v>316</v>
      </c>
      <c r="B4" s="10" t="s">
        <v>317</v>
      </c>
      <c r="C4" s="10" t="s">
        <v>318</v>
      </c>
      <c r="D4" s="10" t="s">
        <v>324</v>
      </c>
      <c r="E4" s="10" t="s">
        <v>325</v>
      </c>
      <c r="F4" s="10">
        <v>1</v>
      </c>
      <c r="G4" s="10">
        <v>7.8</v>
      </c>
      <c r="H4" s="10" t="s">
        <v>30</v>
      </c>
      <c r="I4" s="10" t="s">
        <v>137</v>
      </c>
      <c r="J4" s="10" t="s">
        <v>137</v>
      </c>
      <c r="K4" s="10" t="s">
        <v>137</v>
      </c>
      <c r="L4" s="10" t="s">
        <v>137</v>
      </c>
      <c r="M4" s="10" t="s">
        <v>137</v>
      </c>
      <c r="N4" s="10" t="s">
        <v>137</v>
      </c>
      <c r="O4" s="10" t="s">
        <v>137</v>
      </c>
      <c r="P4" s="10" t="s">
        <v>137</v>
      </c>
      <c r="Q4" s="10" t="s">
        <v>137</v>
      </c>
      <c r="R4" s="10" t="s">
        <v>137</v>
      </c>
      <c r="S4" s="10" t="s">
        <v>137</v>
      </c>
      <c r="T4" s="10" t="s">
        <v>321</v>
      </c>
    </row>
    <row r="5" spans="1:20" ht="15" customHeight="1" x14ac:dyDescent="0.25">
      <c r="A5" s="10" t="s">
        <v>316</v>
      </c>
      <c r="B5" s="10" t="s">
        <v>317</v>
      </c>
      <c r="C5" s="10" t="s">
        <v>318</v>
      </c>
      <c r="D5" s="10" t="s">
        <v>326</v>
      </c>
      <c r="E5" s="10" t="s">
        <v>327</v>
      </c>
      <c r="F5" s="10">
        <v>1</v>
      </c>
      <c r="G5" s="10">
        <v>15.6</v>
      </c>
      <c r="H5" s="10" t="s">
        <v>30</v>
      </c>
      <c r="I5" s="10" t="s">
        <v>137</v>
      </c>
      <c r="J5" s="10" t="s">
        <v>137</v>
      </c>
      <c r="K5" s="10" t="s">
        <v>137</v>
      </c>
      <c r="L5" s="10" t="s">
        <v>137</v>
      </c>
      <c r="M5" s="10" t="s">
        <v>137</v>
      </c>
      <c r="N5" s="10" t="s">
        <v>137</v>
      </c>
      <c r="O5" s="10" t="s">
        <v>137</v>
      </c>
      <c r="P5" s="10" t="s">
        <v>137</v>
      </c>
      <c r="Q5" s="10" t="s">
        <v>137</v>
      </c>
      <c r="R5" s="10" t="s">
        <v>137</v>
      </c>
      <c r="S5" s="10" t="s">
        <v>137</v>
      </c>
      <c r="T5" s="10" t="s">
        <v>321</v>
      </c>
    </row>
    <row r="6" spans="1:20" ht="15" customHeight="1" x14ac:dyDescent="0.25">
      <c r="A6" s="10" t="s">
        <v>316</v>
      </c>
      <c r="B6" s="10" t="s">
        <v>317</v>
      </c>
      <c r="C6" s="10" t="s">
        <v>318</v>
      </c>
      <c r="D6" s="10" t="s">
        <v>328</v>
      </c>
      <c r="E6" s="10" t="s">
        <v>329</v>
      </c>
      <c r="F6" s="10">
        <v>5</v>
      </c>
      <c r="G6" s="10">
        <v>65.7</v>
      </c>
      <c r="H6" s="10" t="s">
        <v>37</v>
      </c>
      <c r="I6" s="10" t="s">
        <v>137</v>
      </c>
      <c r="J6" s="10" t="s">
        <v>137</v>
      </c>
      <c r="K6" s="10" t="s">
        <v>137</v>
      </c>
      <c r="L6" s="10" t="s">
        <v>137</v>
      </c>
      <c r="M6" s="10" t="s">
        <v>137</v>
      </c>
      <c r="N6" s="10" t="s">
        <v>137</v>
      </c>
      <c r="O6" s="10" t="s">
        <v>137</v>
      </c>
      <c r="P6" s="10" t="s">
        <v>137</v>
      </c>
      <c r="Q6" s="10" t="s">
        <v>137</v>
      </c>
      <c r="R6" s="10" t="s">
        <v>137</v>
      </c>
      <c r="S6" s="10" t="s">
        <v>137</v>
      </c>
      <c r="T6" s="10" t="s">
        <v>321</v>
      </c>
    </row>
    <row r="7" spans="1:20" ht="15" customHeight="1" x14ac:dyDescent="0.25">
      <c r="A7" s="10" t="s">
        <v>316</v>
      </c>
      <c r="B7" s="10" t="s">
        <v>317</v>
      </c>
      <c r="C7" s="10" t="s">
        <v>318</v>
      </c>
      <c r="D7" s="10" t="s">
        <v>330</v>
      </c>
      <c r="E7" s="10" t="s">
        <v>331</v>
      </c>
      <c r="F7" s="10">
        <v>1</v>
      </c>
      <c r="G7" s="10">
        <v>64.319999999999993</v>
      </c>
      <c r="H7" s="10" t="s">
        <v>23</v>
      </c>
      <c r="I7" s="10" t="s">
        <v>137</v>
      </c>
      <c r="J7" s="10" t="s">
        <v>137</v>
      </c>
      <c r="K7" s="10" t="s">
        <v>137</v>
      </c>
      <c r="L7" s="10" t="s">
        <v>137</v>
      </c>
      <c r="M7" s="10" t="s">
        <v>137</v>
      </c>
      <c r="N7" s="10" t="s">
        <v>137</v>
      </c>
      <c r="O7" s="10" t="s">
        <v>137</v>
      </c>
      <c r="P7" s="10" t="s">
        <v>137</v>
      </c>
      <c r="Q7" s="10" t="s">
        <v>137</v>
      </c>
      <c r="R7" s="10" t="s">
        <v>137</v>
      </c>
      <c r="S7" s="10" t="s">
        <v>137</v>
      </c>
      <c r="T7" s="10" t="s">
        <v>321</v>
      </c>
    </row>
    <row r="8" spans="1:20" ht="15" customHeight="1" x14ac:dyDescent="0.25">
      <c r="A8" s="10" t="s">
        <v>316</v>
      </c>
      <c r="B8" s="10" t="s">
        <v>317</v>
      </c>
      <c r="C8" s="10" t="s">
        <v>318</v>
      </c>
      <c r="D8" s="10" t="s">
        <v>332</v>
      </c>
      <c r="E8" s="10" t="s">
        <v>333</v>
      </c>
      <c r="F8" s="10">
        <v>1</v>
      </c>
      <c r="G8" s="10">
        <v>0.99</v>
      </c>
      <c r="H8" s="10" t="s">
        <v>69</v>
      </c>
      <c r="I8" s="10" t="s">
        <v>137</v>
      </c>
      <c r="J8" s="10" t="s">
        <v>137</v>
      </c>
      <c r="K8" s="10" t="s">
        <v>137</v>
      </c>
      <c r="L8" s="10" t="s">
        <v>137</v>
      </c>
      <c r="M8" s="10" t="s">
        <v>137</v>
      </c>
      <c r="N8" s="10" t="s">
        <v>137</v>
      </c>
      <c r="O8" s="10" t="s">
        <v>137</v>
      </c>
      <c r="P8" s="10" t="s">
        <v>137</v>
      </c>
      <c r="Q8" s="10" t="s">
        <v>137</v>
      </c>
      <c r="R8" s="10" t="s">
        <v>137</v>
      </c>
      <c r="S8" s="10" t="s">
        <v>137</v>
      </c>
      <c r="T8" s="10" t="s">
        <v>321</v>
      </c>
    </row>
    <row r="9" spans="1:20" ht="15" customHeight="1" x14ac:dyDescent="0.25">
      <c r="A9" s="10" t="s">
        <v>316</v>
      </c>
      <c r="B9" s="10" t="s">
        <v>317</v>
      </c>
      <c r="C9" s="10" t="s">
        <v>318</v>
      </c>
      <c r="D9" s="10" t="s">
        <v>334</v>
      </c>
      <c r="E9" s="10" t="s">
        <v>335</v>
      </c>
      <c r="F9" s="10">
        <v>20</v>
      </c>
      <c r="G9" s="10">
        <v>133.482</v>
      </c>
      <c r="H9" s="10" t="s">
        <v>64</v>
      </c>
      <c r="I9" s="10" t="s">
        <v>137</v>
      </c>
      <c r="J9" s="10" t="s">
        <v>137</v>
      </c>
      <c r="K9" s="10" t="s">
        <v>137</v>
      </c>
      <c r="L9" s="10" t="s">
        <v>137</v>
      </c>
      <c r="M9" s="10" t="s">
        <v>137</v>
      </c>
      <c r="N9" s="10" t="s">
        <v>137</v>
      </c>
      <c r="O9" s="10" t="s">
        <v>137</v>
      </c>
      <c r="P9" s="10" t="s">
        <v>137</v>
      </c>
      <c r="Q9" s="10" t="s">
        <v>137</v>
      </c>
      <c r="R9" s="10" t="s">
        <v>137</v>
      </c>
      <c r="S9" s="10" t="s">
        <v>137</v>
      </c>
      <c r="T9" s="10" t="s">
        <v>321</v>
      </c>
    </row>
    <row r="10" spans="1:20" ht="15" customHeight="1" x14ac:dyDescent="0.25">
      <c r="A10" s="10" t="s">
        <v>316</v>
      </c>
      <c r="B10" s="10" t="s">
        <v>317</v>
      </c>
      <c r="C10" s="10" t="s">
        <v>318</v>
      </c>
      <c r="D10" s="10" t="s">
        <v>336</v>
      </c>
      <c r="E10" s="10" t="s">
        <v>337</v>
      </c>
      <c r="F10" s="10">
        <v>22</v>
      </c>
      <c r="G10" s="10">
        <v>143.28700000000001</v>
      </c>
      <c r="H10" s="10" t="s">
        <v>136</v>
      </c>
      <c r="I10" s="10" t="s">
        <v>137</v>
      </c>
      <c r="J10" s="10" t="s">
        <v>137</v>
      </c>
      <c r="K10" s="10" t="s">
        <v>137</v>
      </c>
      <c r="L10" s="10" t="s">
        <v>137</v>
      </c>
      <c r="M10" s="10" t="s">
        <v>137</v>
      </c>
      <c r="N10" s="10" t="s">
        <v>137</v>
      </c>
      <c r="O10" s="10" t="s">
        <v>137</v>
      </c>
      <c r="P10" s="10" t="s">
        <v>137</v>
      </c>
      <c r="Q10" s="10" t="s">
        <v>137</v>
      </c>
      <c r="R10" s="10" t="s">
        <v>137</v>
      </c>
      <c r="S10" s="10" t="s">
        <v>137</v>
      </c>
      <c r="T10" s="10" t="s">
        <v>321</v>
      </c>
    </row>
    <row r="11" spans="1:20" ht="15" customHeight="1" x14ac:dyDescent="0.25">
      <c r="A11" s="10" t="s">
        <v>316</v>
      </c>
      <c r="B11" s="10" t="s">
        <v>317</v>
      </c>
      <c r="C11" s="10" t="s">
        <v>318</v>
      </c>
      <c r="D11" s="10" t="s">
        <v>338</v>
      </c>
      <c r="E11" s="10" t="s">
        <v>339</v>
      </c>
      <c r="F11" s="10">
        <v>9</v>
      </c>
      <c r="G11" s="10">
        <v>18.233000000000001</v>
      </c>
      <c r="H11" s="10" t="s">
        <v>86</v>
      </c>
      <c r="I11" s="10" t="s">
        <v>137</v>
      </c>
      <c r="J11" s="10" t="s">
        <v>137</v>
      </c>
      <c r="K11" s="10" t="s">
        <v>137</v>
      </c>
      <c r="L11" s="10" t="s">
        <v>137</v>
      </c>
      <c r="M11" s="10" t="s">
        <v>137</v>
      </c>
      <c r="N11" s="10" t="s">
        <v>137</v>
      </c>
      <c r="O11" s="10" t="s">
        <v>137</v>
      </c>
      <c r="P11" s="10" t="s">
        <v>137</v>
      </c>
      <c r="Q11" s="10" t="s">
        <v>137</v>
      </c>
      <c r="R11" s="10" t="s">
        <v>137</v>
      </c>
      <c r="S11" s="10" t="s">
        <v>137</v>
      </c>
      <c r="T11" s="10" t="s">
        <v>321</v>
      </c>
    </row>
    <row r="12" spans="1:20" ht="15" customHeight="1" x14ac:dyDescent="0.25">
      <c r="A12" s="10" t="s">
        <v>316</v>
      </c>
      <c r="B12" s="10" t="s">
        <v>317</v>
      </c>
      <c r="C12" s="10" t="s">
        <v>318</v>
      </c>
      <c r="D12" s="10" t="s">
        <v>340</v>
      </c>
      <c r="E12" s="10" t="s">
        <v>341</v>
      </c>
      <c r="F12" s="10">
        <v>65</v>
      </c>
      <c r="G12" s="10">
        <v>383.14699999999999</v>
      </c>
      <c r="H12" s="10" t="s">
        <v>86</v>
      </c>
      <c r="I12" s="10" t="s">
        <v>137</v>
      </c>
      <c r="J12" s="10" t="s">
        <v>137</v>
      </c>
      <c r="K12" s="10" t="s">
        <v>137</v>
      </c>
      <c r="L12" s="10" t="s">
        <v>137</v>
      </c>
      <c r="M12" s="10" t="s">
        <v>137</v>
      </c>
      <c r="N12" s="10" t="s">
        <v>137</v>
      </c>
      <c r="O12" s="10" t="s">
        <v>137</v>
      </c>
      <c r="P12" s="10" t="s">
        <v>137</v>
      </c>
      <c r="Q12" s="10" t="s">
        <v>137</v>
      </c>
      <c r="R12" s="10" t="s">
        <v>137</v>
      </c>
      <c r="S12" s="10" t="s">
        <v>137</v>
      </c>
      <c r="T12" s="10" t="s">
        <v>321</v>
      </c>
    </row>
    <row r="13" spans="1:20" ht="15" customHeight="1" x14ac:dyDescent="0.25">
      <c r="A13" s="10" t="s">
        <v>316</v>
      </c>
      <c r="B13" s="10" t="s">
        <v>317</v>
      </c>
      <c r="C13" s="10" t="s">
        <v>318</v>
      </c>
      <c r="D13" s="10" t="s">
        <v>344</v>
      </c>
      <c r="E13" s="10" t="s">
        <v>345</v>
      </c>
      <c r="F13" s="10">
        <v>2</v>
      </c>
      <c r="G13" s="10">
        <v>4.18</v>
      </c>
      <c r="H13" s="10" t="s">
        <v>18</v>
      </c>
      <c r="I13" s="10" t="s">
        <v>137</v>
      </c>
      <c r="J13" s="10" t="s">
        <v>137</v>
      </c>
      <c r="K13" s="10" t="s">
        <v>137</v>
      </c>
      <c r="L13" s="10" t="s">
        <v>137</v>
      </c>
      <c r="M13" s="10" t="s">
        <v>137</v>
      </c>
      <c r="N13" s="10" t="s">
        <v>137</v>
      </c>
      <c r="O13" s="10" t="s">
        <v>137</v>
      </c>
      <c r="P13" s="10" t="s">
        <v>137</v>
      </c>
      <c r="Q13" s="10" t="s">
        <v>137</v>
      </c>
      <c r="R13" s="10" t="s">
        <v>137</v>
      </c>
      <c r="S13" s="10" t="s">
        <v>137</v>
      </c>
      <c r="T13" s="10" t="s">
        <v>321</v>
      </c>
    </row>
    <row r="14" spans="1:20" ht="15" customHeight="1" x14ac:dyDescent="0.25">
      <c r="A14" s="10" t="s">
        <v>316</v>
      </c>
      <c r="B14" s="10" t="s">
        <v>317</v>
      </c>
      <c r="C14" s="10" t="s">
        <v>318</v>
      </c>
      <c r="D14" s="10" t="s">
        <v>346</v>
      </c>
      <c r="E14" s="10" t="s">
        <v>347</v>
      </c>
      <c r="F14" s="10">
        <v>1</v>
      </c>
      <c r="G14" s="10">
        <v>2.04</v>
      </c>
      <c r="H14" s="10" t="s">
        <v>45</v>
      </c>
      <c r="I14" s="10" t="s">
        <v>137</v>
      </c>
      <c r="J14" s="10" t="s">
        <v>137</v>
      </c>
      <c r="K14" s="10" t="s">
        <v>137</v>
      </c>
      <c r="L14" s="10" t="s">
        <v>137</v>
      </c>
      <c r="M14" s="10" t="s">
        <v>137</v>
      </c>
      <c r="N14" s="10" t="s">
        <v>137</v>
      </c>
      <c r="O14" s="10" t="s">
        <v>137</v>
      </c>
      <c r="P14" s="10" t="s">
        <v>137</v>
      </c>
      <c r="Q14" s="10" t="s">
        <v>137</v>
      </c>
      <c r="R14" s="10" t="s">
        <v>137</v>
      </c>
      <c r="S14" s="10" t="s">
        <v>137</v>
      </c>
      <c r="T14" s="10" t="s">
        <v>321</v>
      </c>
    </row>
    <row r="15" spans="1:20" ht="15" customHeight="1" x14ac:dyDescent="0.25">
      <c r="A15" s="10" t="s">
        <v>316</v>
      </c>
      <c r="B15" s="10" t="s">
        <v>317</v>
      </c>
      <c r="C15" s="10" t="s">
        <v>318</v>
      </c>
      <c r="D15" s="10" t="s">
        <v>348</v>
      </c>
      <c r="E15" s="10" t="s">
        <v>349</v>
      </c>
      <c r="F15" s="10">
        <v>1</v>
      </c>
      <c r="G15" s="10">
        <v>2.14</v>
      </c>
      <c r="H15" s="10" t="s">
        <v>92</v>
      </c>
      <c r="I15" s="10" t="s">
        <v>137</v>
      </c>
      <c r="J15" s="10" t="s">
        <v>137</v>
      </c>
      <c r="K15" s="10" t="s">
        <v>137</v>
      </c>
      <c r="L15" s="10" t="s">
        <v>137</v>
      </c>
      <c r="M15" s="10" t="s">
        <v>137</v>
      </c>
      <c r="N15" s="10" t="s">
        <v>137</v>
      </c>
      <c r="O15" s="10" t="s">
        <v>137</v>
      </c>
      <c r="P15" s="10" t="s">
        <v>137</v>
      </c>
      <c r="Q15" s="10" t="s">
        <v>137</v>
      </c>
      <c r="R15" s="10" t="s">
        <v>137</v>
      </c>
      <c r="S15" s="10" t="s">
        <v>137</v>
      </c>
      <c r="T15" s="10" t="s">
        <v>321</v>
      </c>
    </row>
    <row r="16" spans="1:20" ht="15" customHeight="1" x14ac:dyDescent="0.25">
      <c r="A16" s="10" t="s">
        <v>316</v>
      </c>
      <c r="B16" s="10" t="s">
        <v>317</v>
      </c>
      <c r="C16" s="10" t="s">
        <v>318</v>
      </c>
      <c r="D16" s="10" t="s">
        <v>350</v>
      </c>
      <c r="E16" s="10" t="s">
        <v>351</v>
      </c>
      <c r="F16" s="10">
        <v>1</v>
      </c>
      <c r="G16" s="10">
        <v>2.04</v>
      </c>
      <c r="H16" s="10" t="s">
        <v>92</v>
      </c>
      <c r="I16" s="10" t="s">
        <v>137</v>
      </c>
      <c r="J16" s="10" t="s">
        <v>137</v>
      </c>
      <c r="K16" s="10" t="s">
        <v>137</v>
      </c>
      <c r="L16" s="10" t="s">
        <v>137</v>
      </c>
      <c r="M16" s="10" t="s">
        <v>137</v>
      </c>
      <c r="N16" s="10" t="s">
        <v>137</v>
      </c>
      <c r="O16" s="10" t="s">
        <v>137</v>
      </c>
      <c r="P16" s="10" t="s">
        <v>137</v>
      </c>
      <c r="Q16" s="10" t="s">
        <v>137</v>
      </c>
      <c r="R16" s="10" t="s">
        <v>137</v>
      </c>
      <c r="S16" s="10" t="s">
        <v>137</v>
      </c>
      <c r="T16" s="10" t="s">
        <v>321</v>
      </c>
    </row>
    <row r="17" spans="1:20" ht="15" customHeight="1" x14ac:dyDescent="0.25">
      <c r="A17" s="10" t="s">
        <v>316</v>
      </c>
      <c r="B17" s="10" t="s">
        <v>317</v>
      </c>
      <c r="C17" s="10" t="s">
        <v>318</v>
      </c>
      <c r="D17" s="10" t="s">
        <v>352</v>
      </c>
      <c r="E17" s="10" t="s">
        <v>353</v>
      </c>
      <c r="F17" s="10">
        <v>2</v>
      </c>
      <c r="G17" s="10">
        <v>6.35</v>
      </c>
      <c r="H17" s="10" t="s">
        <v>81</v>
      </c>
      <c r="I17" s="10" t="s">
        <v>137</v>
      </c>
      <c r="J17" s="10" t="s">
        <v>137</v>
      </c>
      <c r="K17" s="10" t="s">
        <v>137</v>
      </c>
      <c r="L17" s="10" t="s">
        <v>137</v>
      </c>
      <c r="M17" s="10" t="s">
        <v>137</v>
      </c>
      <c r="N17" s="10" t="s">
        <v>137</v>
      </c>
      <c r="O17" s="10" t="s">
        <v>137</v>
      </c>
      <c r="P17" s="10" t="s">
        <v>137</v>
      </c>
      <c r="Q17" s="10" t="s">
        <v>137</v>
      </c>
      <c r="R17" s="10" t="s">
        <v>137</v>
      </c>
      <c r="S17" s="10" t="s">
        <v>137</v>
      </c>
      <c r="T17" s="10" t="s">
        <v>321</v>
      </c>
    </row>
    <row r="18" spans="1:20" ht="15" customHeight="1" x14ac:dyDescent="0.25">
      <c r="A18" s="10" t="s">
        <v>316</v>
      </c>
      <c r="B18" s="10" t="s">
        <v>317</v>
      </c>
      <c r="C18" s="10" t="s">
        <v>318</v>
      </c>
      <c r="D18" s="10" t="s">
        <v>354</v>
      </c>
      <c r="E18" s="10" t="s">
        <v>355</v>
      </c>
      <c r="F18" s="10">
        <v>1</v>
      </c>
      <c r="G18" s="10">
        <v>2.04</v>
      </c>
      <c r="H18" s="10" t="s">
        <v>107</v>
      </c>
      <c r="I18" s="10" t="s">
        <v>137</v>
      </c>
      <c r="J18" s="10" t="s">
        <v>137</v>
      </c>
      <c r="K18" s="10" t="s">
        <v>137</v>
      </c>
      <c r="L18" s="10" t="s">
        <v>137</v>
      </c>
      <c r="M18" s="10" t="s">
        <v>137</v>
      </c>
      <c r="N18" s="10" t="s">
        <v>137</v>
      </c>
      <c r="O18" s="10" t="s">
        <v>137</v>
      </c>
      <c r="P18" s="10" t="s">
        <v>137</v>
      </c>
      <c r="Q18" s="10" t="s">
        <v>137</v>
      </c>
      <c r="R18" s="10" t="s">
        <v>137</v>
      </c>
      <c r="S18" s="10" t="s">
        <v>137</v>
      </c>
      <c r="T18" s="10" t="s">
        <v>321</v>
      </c>
    </row>
    <row r="19" spans="1:20" ht="15" customHeight="1" x14ac:dyDescent="0.25">
      <c r="A19" s="10" t="s">
        <v>316</v>
      </c>
      <c r="B19" s="10" t="s">
        <v>317</v>
      </c>
      <c r="C19" s="10" t="s">
        <v>318</v>
      </c>
      <c r="D19" s="10" t="s">
        <v>356</v>
      </c>
      <c r="E19" s="10" t="s">
        <v>357</v>
      </c>
      <c r="F19" s="10">
        <v>1</v>
      </c>
      <c r="G19" s="10">
        <v>2.2400000000000002</v>
      </c>
      <c r="H19" s="10" t="s">
        <v>97</v>
      </c>
      <c r="I19" s="10" t="s">
        <v>137</v>
      </c>
      <c r="J19" s="10" t="s">
        <v>137</v>
      </c>
      <c r="K19" s="10" t="s">
        <v>137</v>
      </c>
      <c r="L19" s="10" t="s">
        <v>137</v>
      </c>
      <c r="M19" s="10" t="s">
        <v>137</v>
      </c>
      <c r="N19" s="10" t="s">
        <v>137</v>
      </c>
      <c r="O19" s="10" t="s">
        <v>137</v>
      </c>
      <c r="P19" s="10" t="s">
        <v>137</v>
      </c>
      <c r="Q19" s="10" t="s">
        <v>137</v>
      </c>
      <c r="R19" s="10" t="s">
        <v>137</v>
      </c>
      <c r="S19" s="10" t="s">
        <v>137</v>
      </c>
      <c r="T19" s="10" t="s">
        <v>321</v>
      </c>
    </row>
    <row r="20" spans="1:20" ht="15" customHeight="1" x14ac:dyDescent="0.25">
      <c r="A20" s="10" t="s">
        <v>316</v>
      </c>
      <c r="B20" s="10" t="s">
        <v>317</v>
      </c>
      <c r="C20" s="10" t="s">
        <v>318</v>
      </c>
      <c r="D20" s="10" t="s">
        <v>358</v>
      </c>
      <c r="E20" s="10" t="s">
        <v>359</v>
      </c>
      <c r="F20" s="10">
        <v>1</v>
      </c>
      <c r="G20" s="10">
        <v>2.04</v>
      </c>
      <c r="H20" s="10" t="s">
        <v>94</v>
      </c>
      <c r="I20" s="10" t="s">
        <v>137</v>
      </c>
      <c r="J20" s="10" t="s">
        <v>137</v>
      </c>
      <c r="K20" s="10" t="s">
        <v>137</v>
      </c>
      <c r="L20" s="10" t="s">
        <v>137</v>
      </c>
      <c r="M20" s="10" t="s">
        <v>137</v>
      </c>
      <c r="N20" s="10" t="s">
        <v>137</v>
      </c>
      <c r="O20" s="10" t="s">
        <v>137</v>
      </c>
      <c r="P20" s="10" t="s">
        <v>137</v>
      </c>
      <c r="Q20" s="10" t="s">
        <v>137</v>
      </c>
      <c r="R20" s="10" t="s">
        <v>137</v>
      </c>
      <c r="S20" s="10" t="s">
        <v>137</v>
      </c>
      <c r="T20" s="10" t="s">
        <v>321</v>
      </c>
    </row>
    <row r="21" spans="1:20" ht="15" customHeight="1" x14ac:dyDescent="0.25">
      <c r="A21" s="10" t="s">
        <v>316</v>
      </c>
      <c r="B21" s="10" t="s">
        <v>317</v>
      </c>
      <c r="C21" s="10" t="s">
        <v>318</v>
      </c>
      <c r="D21" s="10" t="s">
        <v>360</v>
      </c>
      <c r="E21" s="10" t="s">
        <v>361</v>
      </c>
      <c r="F21" s="10">
        <v>4</v>
      </c>
      <c r="G21" s="10">
        <v>40</v>
      </c>
      <c r="H21" s="10" t="s">
        <v>60</v>
      </c>
      <c r="I21" s="10" t="s">
        <v>137</v>
      </c>
      <c r="J21" s="10" t="s">
        <v>137</v>
      </c>
      <c r="K21" s="10" t="s">
        <v>137</v>
      </c>
      <c r="L21" s="10" t="s">
        <v>137</v>
      </c>
      <c r="M21" s="10" t="s">
        <v>137</v>
      </c>
      <c r="N21" s="10" t="s">
        <v>137</v>
      </c>
      <c r="O21" s="10" t="s">
        <v>137</v>
      </c>
      <c r="P21" s="10" t="s">
        <v>137</v>
      </c>
      <c r="Q21" s="10" t="s">
        <v>137</v>
      </c>
      <c r="R21" s="10" t="s">
        <v>137</v>
      </c>
      <c r="S21" s="10" t="s">
        <v>137</v>
      </c>
      <c r="T21" s="10" t="s">
        <v>321</v>
      </c>
    </row>
    <row r="22" spans="1:20" ht="15" customHeight="1" x14ac:dyDescent="0.25">
      <c r="A22" s="10" t="s">
        <v>316</v>
      </c>
      <c r="B22" s="10" t="s">
        <v>317</v>
      </c>
      <c r="C22" s="10" t="s">
        <v>318</v>
      </c>
      <c r="D22" s="10" t="s">
        <v>362</v>
      </c>
      <c r="E22" s="10" t="s">
        <v>363</v>
      </c>
      <c r="F22" s="10">
        <v>2</v>
      </c>
      <c r="G22" s="10">
        <v>8.4499999999999993</v>
      </c>
      <c r="H22" s="10" t="s">
        <v>32</v>
      </c>
      <c r="I22" s="10" t="s">
        <v>137</v>
      </c>
      <c r="J22" s="10" t="s">
        <v>137</v>
      </c>
      <c r="K22" s="10" t="s">
        <v>137</v>
      </c>
      <c r="L22" s="10" t="s">
        <v>137</v>
      </c>
      <c r="M22" s="10" t="s">
        <v>137</v>
      </c>
      <c r="N22" s="10" t="s">
        <v>137</v>
      </c>
      <c r="O22" s="10" t="s">
        <v>137</v>
      </c>
      <c r="P22" s="10" t="s">
        <v>137</v>
      </c>
      <c r="Q22" s="10" t="s">
        <v>137</v>
      </c>
      <c r="R22" s="10" t="s">
        <v>137</v>
      </c>
      <c r="S22" s="10" t="s">
        <v>137</v>
      </c>
      <c r="T22" s="10" t="s">
        <v>321</v>
      </c>
    </row>
    <row r="23" spans="1:20" ht="15" customHeight="1" x14ac:dyDescent="0.25">
      <c r="A23" s="10" t="s">
        <v>316</v>
      </c>
      <c r="B23" s="10" t="s">
        <v>317</v>
      </c>
      <c r="C23" s="10" t="s">
        <v>318</v>
      </c>
      <c r="D23" s="10" t="s">
        <v>364</v>
      </c>
      <c r="E23" s="10" t="s">
        <v>365</v>
      </c>
      <c r="F23" s="10">
        <v>2</v>
      </c>
      <c r="G23" s="10">
        <v>17</v>
      </c>
      <c r="H23" s="10" t="s">
        <v>116</v>
      </c>
      <c r="I23" s="10" t="s">
        <v>137</v>
      </c>
      <c r="J23" s="10" t="s">
        <v>137</v>
      </c>
      <c r="K23" s="10" t="s">
        <v>137</v>
      </c>
      <c r="L23" s="10" t="s">
        <v>137</v>
      </c>
      <c r="M23" s="10" t="s">
        <v>137</v>
      </c>
      <c r="N23" s="10" t="s">
        <v>137</v>
      </c>
      <c r="O23" s="10" t="s">
        <v>137</v>
      </c>
      <c r="P23" s="10" t="s">
        <v>137</v>
      </c>
      <c r="Q23" s="10" t="s">
        <v>137</v>
      </c>
      <c r="R23" s="10" t="s">
        <v>137</v>
      </c>
      <c r="S23" s="10" t="s">
        <v>137</v>
      </c>
      <c r="T23" s="10" t="s">
        <v>321</v>
      </c>
    </row>
    <row r="24" spans="1:20" ht="15" customHeight="1" x14ac:dyDescent="0.25">
      <c r="A24" s="10" t="s">
        <v>316</v>
      </c>
      <c r="B24" s="10" t="s">
        <v>317</v>
      </c>
      <c r="C24" s="10" t="s">
        <v>318</v>
      </c>
      <c r="D24" s="10" t="s">
        <v>366</v>
      </c>
      <c r="E24" s="10" t="s">
        <v>367</v>
      </c>
      <c r="F24" s="10">
        <v>1</v>
      </c>
      <c r="G24" s="10">
        <v>13.5</v>
      </c>
      <c r="H24" s="10" t="s">
        <v>46</v>
      </c>
      <c r="I24" s="10" t="s">
        <v>137</v>
      </c>
      <c r="J24" s="10" t="s">
        <v>137</v>
      </c>
      <c r="K24" s="10" t="s">
        <v>137</v>
      </c>
      <c r="L24" s="10" t="s">
        <v>137</v>
      </c>
      <c r="M24" s="10" t="s">
        <v>137</v>
      </c>
      <c r="N24" s="10" t="s">
        <v>137</v>
      </c>
      <c r="O24" s="10" t="s">
        <v>137</v>
      </c>
      <c r="P24" s="10" t="s">
        <v>137</v>
      </c>
      <c r="Q24" s="10" t="s">
        <v>137</v>
      </c>
      <c r="R24" s="10" t="s">
        <v>137</v>
      </c>
      <c r="S24" s="10" t="s">
        <v>137</v>
      </c>
      <c r="T24" s="10" t="s">
        <v>321</v>
      </c>
    </row>
    <row r="25" spans="1:20" ht="15" customHeight="1" x14ac:dyDescent="0.25">
      <c r="A25" s="10" t="s">
        <v>316</v>
      </c>
      <c r="B25" s="10" t="s">
        <v>317</v>
      </c>
      <c r="C25" s="10" t="s">
        <v>318</v>
      </c>
      <c r="D25" s="10" t="s">
        <v>368</v>
      </c>
      <c r="E25" s="10" t="s">
        <v>369</v>
      </c>
      <c r="F25" s="10">
        <v>2</v>
      </c>
      <c r="G25" s="10">
        <v>11.15</v>
      </c>
      <c r="H25" s="10" t="s">
        <v>102</v>
      </c>
      <c r="I25" s="10" t="s">
        <v>137</v>
      </c>
      <c r="J25" s="10" t="s">
        <v>137</v>
      </c>
      <c r="K25" s="10" t="s">
        <v>137</v>
      </c>
      <c r="L25" s="10" t="s">
        <v>137</v>
      </c>
      <c r="M25" s="10" t="s">
        <v>137</v>
      </c>
      <c r="N25" s="10" t="s">
        <v>137</v>
      </c>
      <c r="O25" s="10" t="s">
        <v>137</v>
      </c>
      <c r="P25" s="10" t="s">
        <v>137</v>
      </c>
      <c r="Q25" s="10" t="s">
        <v>137</v>
      </c>
      <c r="R25" s="10" t="s">
        <v>137</v>
      </c>
      <c r="S25" s="10" t="s">
        <v>137</v>
      </c>
      <c r="T25" s="10" t="s">
        <v>321</v>
      </c>
    </row>
    <row r="26" spans="1:20" ht="15" customHeight="1" x14ac:dyDescent="0.25">
      <c r="A26" s="10" t="s">
        <v>316</v>
      </c>
      <c r="B26" s="10" t="s">
        <v>317</v>
      </c>
      <c r="C26" s="10" t="s">
        <v>318</v>
      </c>
      <c r="D26" s="10" t="s">
        <v>370</v>
      </c>
      <c r="E26" s="10" t="s">
        <v>371</v>
      </c>
      <c r="F26" s="10">
        <v>1</v>
      </c>
      <c r="G26" s="10">
        <v>32.6</v>
      </c>
      <c r="H26" s="10" t="s">
        <v>77</v>
      </c>
      <c r="I26" s="10" t="s">
        <v>137</v>
      </c>
      <c r="J26" s="10" t="s">
        <v>137</v>
      </c>
      <c r="K26" s="10" t="s">
        <v>137</v>
      </c>
      <c r="L26" s="10" t="s">
        <v>137</v>
      </c>
      <c r="M26" s="10" t="s">
        <v>137</v>
      </c>
      <c r="N26" s="10" t="s">
        <v>137</v>
      </c>
      <c r="O26" s="10" t="s">
        <v>137</v>
      </c>
      <c r="P26" s="10" t="s">
        <v>137</v>
      </c>
      <c r="Q26" s="10" t="s">
        <v>137</v>
      </c>
      <c r="R26" s="10" t="s">
        <v>137</v>
      </c>
      <c r="S26" s="10" t="s">
        <v>137</v>
      </c>
      <c r="T26" s="10" t="s">
        <v>321</v>
      </c>
    </row>
    <row r="27" spans="1:20" ht="15" customHeight="1" x14ac:dyDescent="0.25">
      <c r="A27" s="10" t="s">
        <v>316</v>
      </c>
      <c r="B27" s="10" t="s">
        <v>317</v>
      </c>
      <c r="C27" s="10" t="s">
        <v>318</v>
      </c>
      <c r="D27" s="10" t="s">
        <v>372</v>
      </c>
      <c r="E27" s="10" t="s">
        <v>373</v>
      </c>
      <c r="F27" s="10">
        <v>1</v>
      </c>
      <c r="G27" s="10">
        <v>30.09</v>
      </c>
      <c r="H27" s="10" t="s">
        <v>55</v>
      </c>
      <c r="I27" s="10" t="s">
        <v>137</v>
      </c>
      <c r="J27" s="10" t="s">
        <v>137</v>
      </c>
      <c r="K27" s="10" t="s">
        <v>137</v>
      </c>
      <c r="L27" s="10" t="s">
        <v>137</v>
      </c>
      <c r="M27" s="10" t="s">
        <v>137</v>
      </c>
      <c r="N27" s="10" t="s">
        <v>137</v>
      </c>
      <c r="O27" s="10" t="s">
        <v>137</v>
      </c>
      <c r="P27" s="10" t="s">
        <v>137</v>
      </c>
      <c r="Q27" s="10" t="s">
        <v>137</v>
      </c>
      <c r="R27" s="10" t="s">
        <v>137</v>
      </c>
      <c r="S27" s="10" t="s">
        <v>137</v>
      </c>
      <c r="T27" s="10" t="s">
        <v>321</v>
      </c>
    </row>
    <row r="28" spans="1:20" ht="15" customHeight="1" x14ac:dyDescent="0.25">
      <c r="A28" s="10" t="s">
        <v>316</v>
      </c>
      <c r="B28" s="10" t="s">
        <v>317</v>
      </c>
      <c r="C28" s="10" t="s">
        <v>318</v>
      </c>
      <c r="D28" s="10" t="s">
        <v>374</v>
      </c>
      <c r="E28" s="10" t="s">
        <v>375</v>
      </c>
      <c r="F28" s="10">
        <v>1</v>
      </c>
      <c r="G28" s="10">
        <v>30.5</v>
      </c>
      <c r="H28" s="10" t="s">
        <v>46</v>
      </c>
      <c r="I28" s="10" t="s">
        <v>137</v>
      </c>
      <c r="J28" s="10" t="s">
        <v>137</v>
      </c>
      <c r="K28" s="10" t="s">
        <v>137</v>
      </c>
      <c r="L28" s="10" t="s">
        <v>137</v>
      </c>
      <c r="M28" s="10" t="s">
        <v>137</v>
      </c>
      <c r="N28" s="10" t="s">
        <v>137</v>
      </c>
      <c r="O28" s="10" t="s">
        <v>137</v>
      </c>
      <c r="P28" s="10" t="s">
        <v>137</v>
      </c>
      <c r="Q28" s="10" t="s">
        <v>137</v>
      </c>
      <c r="R28" s="10" t="s">
        <v>137</v>
      </c>
      <c r="S28" s="10" t="s">
        <v>137</v>
      </c>
      <c r="T28" s="10" t="s">
        <v>321</v>
      </c>
    </row>
    <row r="29" spans="1:20" ht="15" customHeight="1" x14ac:dyDescent="0.25">
      <c r="A29" s="10" t="s">
        <v>316</v>
      </c>
      <c r="B29" s="10" t="s">
        <v>317</v>
      </c>
      <c r="C29" s="10" t="s">
        <v>318</v>
      </c>
      <c r="D29" s="10" t="s">
        <v>376</v>
      </c>
      <c r="E29" s="10" t="s">
        <v>377</v>
      </c>
      <c r="F29" s="10">
        <v>2</v>
      </c>
      <c r="G29" s="10">
        <v>21</v>
      </c>
      <c r="H29" s="10" t="s">
        <v>111</v>
      </c>
      <c r="I29" s="10" t="s">
        <v>137</v>
      </c>
      <c r="J29" s="10" t="s">
        <v>137</v>
      </c>
      <c r="K29" s="10" t="s">
        <v>137</v>
      </c>
      <c r="L29" s="10" t="s">
        <v>137</v>
      </c>
      <c r="M29" s="10" t="s">
        <v>137</v>
      </c>
      <c r="N29" s="10" t="s">
        <v>137</v>
      </c>
      <c r="O29" s="10" t="s">
        <v>137</v>
      </c>
      <c r="P29" s="10" t="s">
        <v>137</v>
      </c>
      <c r="Q29" s="10" t="s">
        <v>137</v>
      </c>
      <c r="R29" s="10" t="s">
        <v>137</v>
      </c>
      <c r="S29" s="10" t="s">
        <v>137</v>
      </c>
      <c r="T29" s="10" t="s">
        <v>321</v>
      </c>
    </row>
    <row r="30" spans="1:20" ht="15" customHeight="1" x14ac:dyDescent="0.25">
      <c r="A30" s="10" t="s">
        <v>316</v>
      </c>
      <c r="B30" s="10" t="s">
        <v>317</v>
      </c>
      <c r="C30" s="10" t="s">
        <v>318</v>
      </c>
      <c r="D30" s="10" t="s">
        <v>378</v>
      </c>
      <c r="E30" s="10" t="s">
        <v>379</v>
      </c>
      <c r="F30" s="10">
        <v>19</v>
      </c>
      <c r="G30" s="10">
        <v>139.80000000000001</v>
      </c>
      <c r="H30" s="10" t="s">
        <v>73</v>
      </c>
      <c r="I30" s="10" t="s">
        <v>137</v>
      </c>
      <c r="J30" s="10" t="s">
        <v>137</v>
      </c>
      <c r="K30" s="10" t="s">
        <v>137</v>
      </c>
      <c r="L30" s="10" t="s">
        <v>137</v>
      </c>
      <c r="M30" s="10" t="s">
        <v>137</v>
      </c>
      <c r="N30" s="10" t="s">
        <v>137</v>
      </c>
      <c r="O30" s="10" t="s">
        <v>137</v>
      </c>
      <c r="P30" s="10" t="s">
        <v>137</v>
      </c>
      <c r="Q30" s="10" t="s">
        <v>137</v>
      </c>
      <c r="R30" s="10" t="s">
        <v>137</v>
      </c>
      <c r="S30" s="10" t="s">
        <v>137</v>
      </c>
      <c r="T30" s="10" t="s">
        <v>321</v>
      </c>
    </row>
    <row r="31" spans="1:20" ht="15" customHeight="1" x14ac:dyDescent="0.25">
      <c r="A31" s="10" t="s">
        <v>316</v>
      </c>
      <c r="B31" s="10" t="s">
        <v>317</v>
      </c>
      <c r="C31" s="10" t="s">
        <v>318</v>
      </c>
      <c r="D31" s="10" t="s">
        <v>380</v>
      </c>
      <c r="E31" s="10" t="s">
        <v>381</v>
      </c>
      <c r="F31" s="10">
        <v>1</v>
      </c>
      <c r="G31" s="10">
        <v>2.38</v>
      </c>
      <c r="H31" s="10" t="s">
        <v>27</v>
      </c>
      <c r="I31" s="10" t="s">
        <v>137</v>
      </c>
      <c r="J31" s="10" t="s">
        <v>137</v>
      </c>
      <c r="K31" s="10" t="s">
        <v>137</v>
      </c>
      <c r="L31" s="10" t="s">
        <v>137</v>
      </c>
      <c r="M31" s="10" t="s">
        <v>137</v>
      </c>
      <c r="N31" s="10" t="s">
        <v>137</v>
      </c>
      <c r="O31" s="10" t="s">
        <v>137</v>
      </c>
      <c r="P31" s="10" t="s">
        <v>137</v>
      </c>
      <c r="Q31" s="10" t="s">
        <v>137</v>
      </c>
      <c r="R31" s="10" t="s">
        <v>137</v>
      </c>
      <c r="S31" s="10" t="s">
        <v>137</v>
      </c>
      <c r="T31" s="10" t="s">
        <v>321</v>
      </c>
    </row>
    <row r="32" spans="1:20" ht="15" customHeight="1" x14ac:dyDescent="0.25">
      <c r="A32" s="10" t="s">
        <v>316</v>
      </c>
      <c r="B32" s="10" t="s">
        <v>317</v>
      </c>
      <c r="C32" s="10" t="s">
        <v>318</v>
      </c>
      <c r="D32" s="10" t="s">
        <v>382</v>
      </c>
      <c r="E32" s="10" t="s">
        <v>383</v>
      </c>
      <c r="F32" s="10">
        <v>4</v>
      </c>
      <c r="G32" s="10">
        <v>9.375</v>
      </c>
      <c r="H32" s="10" t="s">
        <v>82</v>
      </c>
      <c r="I32" s="10" t="s">
        <v>137</v>
      </c>
      <c r="J32" s="10" t="s">
        <v>137</v>
      </c>
      <c r="K32" s="10" t="s">
        <v>137</v>
      </c>
      <c r="L32" s="10" t="s">
        <v>137</v>
      </c>
      <c r="M32" s="10" t="s">
        <v>137</v>
      </c>
      <c r="N32" s="10" t="s">
        <v>137</v>
      </c>
      <c r="O32" s="10" t="s">
        <v>137</v>
      </c>
      <c r="P32" s="10" t="s">
        <v>137</v>
      </c>
      <c r="Q32" s="10" t="s">
        <v>137</v>
      </c>
      <c r="R32" s="10" t="s">
        <v>137</v>
      </c>
      <c r="S32" s="10" t="s">
        <v>137</v>
      </c>
      <c r="T32" s="10" t="s">
        <v>321</v>
      </c>
    </row>
    <row r="33" spans="1:20" ht="15" customHeight="1" x14ac:dyDescent="0.25">
      <c r="A33" s="10" t="s">
        <v>316</v>
      </c>
      <c r="B33" s="10" t="s">
        <v>317</v>
      </c>
      <c r="C33" s="10" t="s">
        <v>318</v>
      </c>
      <c r="D33" s="10" t="s">
        <v>384</v>
      </c>
      <c r="E33" s="10" t="s">
        <v>385</v>
      </c>
      <c r="F33" s="10">
        <v>1</v>
      </c>
      <c r="G33" s="10">
        <v>2.3149999999999999</v>
      </c>
      <c r="H33" s="10" t="s">
        <v>93</v>
      </c>
      <c r="I33" s="10" t="s">
        <v>137</v>
      </c>
      <c r="J33" s="10" t="s">
        <v>137</v>
      </c>
      <c r="K33" s="10" t="s">
        <v>137</v>
      </c>
      <c r="L33" s="10" t="s">
        <v>137</v>
      </c>
      <c r="M33" s="10" t="s">
        <v>137</v>
      </c>
      <c r="N33" s="10" t="s">
        <v>137</v>
      </c>
      <c r="O33" s="10" t="s">
        <v>137</v>
      </c>
      <c r="P33" s="10" t="s">
        <v>137</v>
      </c>
      <c r="Q33" s="10" t="s">
        <v>137</v>
      </c>
      <c r="R33" s="10" t="s">
        <v>137</v>
      </c>
      <c r="S33" s="10" t="s">
        <v>137</v>
      </c>
      <c r="T33" s="10" t="s">
        <v>321</v>
      </c>
    </row>
    <row r="34" spans="1:20" ht="15" customHeight="1" x14ac:dyDescent="0.25">
      <c r="A34" s="10" t="s">
        <v>316</v>
      </c>
      <c r="B34" s="10" t="s">
        <v>317</v>
      </c>
      <c r="C34" s="10" t="s">
        <v>318</v>
      </c>
      <c r="D34" s="10" t="s">
        <v>386</v>
      </c>
      <c r="E34" s="10" t="s">
        <v>387</v>
      </c>
      <c r="F34" s="10">
        <v>8</v>
      </c>
      <c r="G34" s="10">
        <v>57.95</v>
      </c>
      <c r="H34" s="10" t="s">
        <v>74</v>
      </c>
      <c r="I34" s="10" t="s">
        <v>137</v>
      </c>
      <c r="J34" s="10" t="s">
        <v>137</v>
      </c>
      <c r="K34" s="10" t="s">
        <v>137</v>
      </c>
      <c r="L34" s="10" t="s">
        <v>137</v>
      </c>
      <c r="M34" s="10" t="s">
        <v>137</v>
      </c>
      <c r="N34" s="10" t="s">
        <v>137</v>
      </c>
      <c r="O34" s="10" t="s">
        <v>137</v>
      </c>
      <c r="P34" s="10" t="s">
        <v>137</v>
      </c>
      <c r="Q34" s="10" t="s">
        <v>137</v>
      </c>
      <c r="R34" s="10" t="s">
        <v>137</v>
      </c>
      <c r="S34" s="10" t="s">
        <v>137</v>
      </c>
      <c r="T34" s="10" t="s">
        <v>321</v>
      </c>
    </row>
    <row r="35" spans="1:20" ht="15" customHeight="1" x14ac:dyDescent="0.25">
      <c r="A35" s="10" t="s">
        <v>316</v>
      </c>
      <c r="B35" s="10" t="s">
        <v>317</v>
      </c>
      <c r="C35" s="10" t="s">
        <v>318</v>
      </c>
      <c r="D35" s="10" t="s">
        <v>388</v>
      </c>
      <c r="E35" s="10" t="s">
        <v>389</v>
      </c>
      <c r="F35" s="10">
        <v>2</v>
      </c>
      <c r="G35" s="10">
        <v>11.04</v>
      </c>
      <c r="H35" s="10" t="s">
        <v>22</v>
      </c>
      <c r="I35" s="10" t="s">
        <v>137</v>
      </c>
      <c r="J35" s="10" t="s">
        <v>137</v>
      </c>
      <c r="K35" s="10" t="s">
        <v>137</v>
      </c>
      <c r="L35" s="10" t="s">
        <v>137</v>
      </c>
      <c r="M35" s="10" t="s">
        <v>137</v>
      </c>
      <c r="N35" s="10" t="s">
        <v>137</v>
      </c>
      <c r="O35" s="10" t="s">
        <v>137</v>
      </c>
      <c r="P35" s="10" t="s">
        <v>137</v>
      </c>
      <c r="Q35" s="10" t="s">
        <v>137</v>
      </c>
      <c r="R35" s="10" t="s">
        <v>137</v>
      </c>
      <c r="S35" s="10" t="s">
        <v>137</v>
      </c>
      <c r="T35" s="10" t="s">
        <v>321</v>
      </c>
    </row>
    <row r="36" spans="1:20" ht="15" customHeight="1" x14ac:dyDescent="0.25">
      <c r="A36" s="10" t="s">
        <v>316</v>
      </c>
      <c r="B36" s="10" t="s">
        <v>317</v>
      </c>
      <c r="C36" s="10" t="s">
        <v>318</v>
      </c>
      <c r="D36" s="10" t="s">
        <v>390</v>
      </c>
      <c r="E36" s="10" t="s">
        <v>391</v>
      </c>
      <c r="F36" s="10">
        <v>1</v>
      </c>
      <c r="G36" s="10">
        <v>3.9</v>
      </c>
      <c r="H36" s="10" t="s">
        <v>74</v>
      </c>
      <c r="I36" s="10" t="s">
        <v>137</v>
      </c>
      <c r="J36" s="10" t="s">
        <v>137</v>
      </c>
      <c r="K36" s="10" t="s">
        <v>137</v>
      </c>
      <c r="L36" s="10" t="s">
        <v>137</v>
      </c>
      <c r="M36" s="10" t="s">
        <v>137</v>
      </c>
      <c r="N36" s="10" t="s">
        <v>137</v>
      </c>
      <c r="O36" s="10" t="s">
        <v>137</v>
      </c>
      <c r="P36" s="10" t="s">
        <v>137</v>
      </c>
      <c r="Q36" s="10" t="s">
        <v>137</v>
      </c>
      <c r="R36" s="10" t="s">
        <v>137</v>
      </c>
      <c r="S36" s="10" t="s">
        <v>137</v>
      </c>
      <c r="T36" s="10" t="s">
        <v>321</v>
      </c>
    </row>
    <row r="37" spans="1:20" ht="15" customHeight="1" x14ac:dyDescent="0.25">
      <c r="A37" s="10" t="s">
        <v>316</v>
      </c>
      <c r="B37" s="10" t="s">
        <v>317</v>
      </c>
      <c r="C37" s="10" t="s">
        <v>318</v>
      </c>
      <c r="D37" s="10" t="s">
        <v>392</v>
      </c>
      <c r="E37" s="10" t="s">
        <v>393</v>
      </c>
      <c r="F37" s="10">
        <v>2</v>
      </c>
      <c r="G37" s="10">
        <v>12.59</v>
      </c>
      <c r="H37" s="10" t="s">
        <v>61</v>
      </c>
      <c r="I37" s="10" t="s">
        <v>137</v>
      </c>
      <c r="J37" s="10" t="s">
        <v>137</v>
      </c>
      <c r="K37" s="10" t="s">
        <v>137</v>
      </c>
      <c r="L37" s="10" t="s">
        <v>137</v>
      </c>
      <c r="M37" s="10" t="s">
        <v>137</v>
      </c>
      <c r="N37" s="10" t="s">
        <v>137</v>
      </c>
      <c r="O37" s="10" t="s">
        <v>137</v>
      </c>
      <c r="P37" s="10" t="s">
        <v>137</v>
      </c>
      <c r="Q37" s="10" t="s">
        <v>137</v>
      </c>
      <c r="R37" s="10" t="s">
        <v>137</v>
      </c>
      <c r="S37" s="10" t="s">
        <v>137</v>
      </c>
      <c r="T37" s="10" t="s">
        <v>321</v>
      </c>
    </row>
    <row r="38" spans="1:20" ht="15" customHeight="1" x14ac:dyDescent="0.25">
      <c r="A38" s="10" t="s">
        <v>316</v>
      </c>
      <c r="B38" s="10" t="s">
        <v>317</v>
      </c>
      <c r="C38" s="10" t="s">
        <v>318</v>
      </c>
      <c r="D38" s="10" t="s">
        <v>394</v>
      </c>
      <c r="E38" s="10" t="s">
        <v>395</v>
      </c>
      <c r="F38" s="10">
        <v>1</v>
      </c>
      <c r="G38" s="10">
        <v>14</v>
      </c>
      <c r="H38" s="10" t="s">
        <v>16</v>
      </c>
      <c r="I38" s="10" t="s">
        <v>137</v>
      </c>
      <c r="J38" s="10" t="s">
        <v>137</v>
      </c>
      <c r="K38" s="10" t="s">
        <v>137</v>
      </c>
      <c r="L38" s="10" t="s">
        <v>137</v>
      </c>
      <c r="M38" s="10" t="s">
        <v>137</v>
      </c>
      <c r="N38" s="10" t="s">
        <v>137</v>
      </c>
      <c r="O38" s="10" t="s">
        <v>137</v>
      </c>
      <c r="P38" s="10" t="s">
        <v>137</v>
      </c>
      <c r="Q38" s="10" t="s">
        <v>137</v>
      </c>
      <c r="R38" s="10" t="s">
        <v>137</v>
      </c>
      <c r="S38" s="10" t="s">
        <v>137</v>
      </c>
      <c r="T38" s="10" t="s">
        <v>321</v>
      </c>
    </row>
    <row r="39" spans="1:20" ht="15" customHeight="1" x14ac:dyDescent="0.25">
      <c r="A39" s="10" t="s">
        <v>316</v>
      </c>
      <c r="B39" s="10" t="s">
        <v>317</v>
      </c>
      <c r="C39" s="10" t="s">
        <v>318</v>
      </c>
      <c r="D39" s="10" t="s">
        <v>396</v>
      </c>
      <c r="E39" s="10" t="s">
        <v>397</v>
      </c>
      <c r="F39" s="10">
        <v>4</v>
      </c>
      <c r="G39" s="10">
        <v>42.65</v>
      </c>
      <c r="H39" s="10" t="s">
        <v>47</v>
      </c>
      <c r="I39" s="10" t="s">
        <v>137</v>
      </c>
      <c r="J39" s="10" t="s">
        <v>137</v>
      </c>
      <c r="K39" s="10" t="s">
        <v>137</v>
      </c>
      <c r="L39" s="10" t="s">
        <v>137</v>
      </c>
      <c r="M39" s="10" t="s">
        <v>137</v>
      </c>
      <c r="N39" s="10" t="s">
        <v>137</v>
      </c>
      <c r="O39" s="10" t="s">
        <v>137</v>
      </c>
      <c r="P39" s="10" t="s">
        <v>137</v>
      </c>
      <c r="Q39" s="10" t="s">
        <v>137</v>
      </c>
      <c r="R39" s="10" t="s">
        <v>137</v>
      </c>
      <c r="S39" s="10" t="s">
        <v>137</v>
      </c>
      <c r="T39" s="10" t="s">
        <v>321</v>
      </c>
    </row>
    <row r="40" spans="1:20" ht="15" customHeight="1" x14ac:dyDescent="0.25">
      <c r="A40" s="10" t="s">
        <v>316</v>
      </c>
      <c r="B40" s="10" t="s">
        <v>317</v>
      </c>
      <c r="C40" s="10" t="s">
        <v>318</v>
      </c>
      <c r="D40" s="10" t="s">
        <v>398</v>
      </c>
      <c r="E40" s="10" t="s">
        <v>399</v>
      </c>
      <c r="F40" s="10">
        <v>1</v>
      </c>
      <c r="G40" s="10">
        <v>9.5</v>
      </c>
      <c r="H40" s="10" t="s">
        <v>59</v>
      </c>
      <c r="I40" s="10" t="s">
        <v>137</v>
      </c>
      <c r="J40" s="10" t="s">
        <v>137</v>
      </c>
      <c r="K40" s="10" t="s">
        <v>137</v>
      </c>
      <c r="L40" s="10" t="s">
        <v>137</v>
      </c>
      <c r="M40" s="10" t="s">
        <v>137</v>
      </c>
      <c r="N40" s="10" t="s">
        <v>137</v>
      </c>
      <c r="O40" s="10" t="s">
        <v>137</v>
      </c>
      <c r="P40" s="10" t="s">
        <v>137</v>
      </c>
      <c r="Q40" s="10" t="s">
        <v>137</v>
      </c>
      <c r="R40" s="10" t="s">
        <v>137</v>
      </c>
      <c r="S40" s="10" t="s">
        <v>137</v>
      </c>
      <c r="T40" s="10" t="s">
        <v>321</v>
      </c>
    </row>
    <row r="41" spans="1:20" ht="15" customHeight="1" x14ac:dyDescent="0.25">
      <c r="A41" s="10" t="s">
        <v>316</v>
      </c>
      <c r="B41" s="10" t="s">
        <v>317</v>
      </c>
      <c r="C41" s="10" t="s">
        <v>318</v>
      </c>
      <c r="D41" s="10" t="s">
        <v>400</v>
      </c>
      <c r="E41" s="10" t="s">
        <v>401</v>
      </c>
      <c r="F41" s="10">
        <v>1</v>
      </c>
      <c r="G41" s="10">
        <v>5.4</v>
      </c>
      <c r="H41" s="10" t="s">
        <v>56</v>
      </c>
      <c r="I41" s="10" t="s">
        <v>137</v>
      </c>
      <c r="J41" s="10" t="s">
        <v>137</v>
      </c>
      <c r="K41" s="10" t="s">
        <v>137</v>
      </c>
      <c r="L41" s="10" t="s">
        <v>137</v>
      </c>
      <c r="M41" s="10" t="s">
        <v>137</v>
      </c>
      <c r="N41" s="10" t="s">
        <v>137</v>
      </c>
      <c r="O41" s="10" t="s">
        <v>137</v>
      </c>
      <c r="P41" s="10" t="s">
        <v>137</v>
      </c>
      <c r="Q41" s="10" t="s">
        <v>137</v>
      </c>
      <c r="R41" s="10" t="s">
        <v>137</v>
      </c>
      <c r="S41" s="10" t="s">
        <v>137</v>
      </c>
      <c r="T41" s="10" t="s">
        <v>321</v>
      </c>
    </row>
    <row r="42" spans="1:20" ht="15" customHeight="1" x14ac:dyDescent="0.25">
      <c r="A42" s="10" t="s">
        <v>316</v>
      </c>
      <c r="B42" s="10" t="s">
        <v>317</v>
      </c>
      <c r="C42" s="10" t="s">
        <v>318</v>
      </c>
      <c r="D42" s="10" t="s">
        <v>402</v>
      </c>
      <c r="E42" s="10" t="s">
        <v>403</v>
      </c>
      <c r="F42" s="10">
        <v>1</v>
      </c>
      <c r="G42" s="10">
        <v>12.15</v>
      </c>
      <c r="H42" s="10" t="s">
        <v>68</v>
      </c>
      <c r="I42" s="10" t="s">
        <v>137</v>
      </c>
      <c r="J42" s="10" t="s">
        <v>137</v>
      </c>
      <c r="K42" s="10" t="s">
        <v>137</v>
      </c>
      <c r="L42" s="10" t="s">
        <v>137</v>
      </c>
      <c r="M42" s="10" t="s">
        <v>137</v>
      </c>
      <c r="N42" s="10" t="s">
        <v>137</v>
      </c>
      <c r="O42" s="10" t="s">
        <v>137</v>
      </c>
      <c r="P42" s="10" t="s">
        <v>137</v>
      </c>
      <c r="Q42" s="10" t="s">
        <v>137</v>
      </c>
      <c r="R42" s="10" t="s">
        <v>137</v>
      </c>
      <c r="S42" s="10" t="s">
        <v>137</v>
      </c>
      <c r="T42" s="10" t="s">
        <v>321</v>
      </c>
    </row>
    <row r="43" spans="1:20" ht="15" customHeight="1" x14ac:dyDescent="0.25">
      <c r="A43" s="10" t="s">
        <v>316</v>
      </c>
      <c r="B43" s="10" t="s">
        <v>317</v>
      </c>
      <c r="C43" s="10" t="s">
        <v>318</v>
      </c>
      <c r="D43" s="10" t="s">
        <v>404</v>
      </c>
      <c r="E43" s="10" t="s">
        <v>405</v>
      </c>
      <c r="F43" s="10">
        <v>3</v>
      </c>
      <c r="G43" s="10">
        <v>18.95</v>
      </c>
      <c r="H43" s="10" t="s">
        <v>100</v>
      </c>
      <c r="I43" s="10" t="s">
        <v>137</v>
      </c>
      <c r="J43" s="10" t="s">
        <v>137</v>
      </c>
      <c r="K43" s="10" t="s">
        <v>137</v>
      </c>
      <c r="L43" s="10" t="s">
        <v>137</v>
      </c>
      <c r="M43" s="10" t="s">
        <v>137</v>
      </c>
      <c r="N43" s="10" t="s">
        <v>137</v>
      </c>
      <c r="O43" s="10" t="s">
        <v>137</v>
      </c>
      <c r="P43" s="10" t="s">
        <v>137</v>
      </c>
      <c r="Q43" s="10" t="s">
        <v>137</v>
      </c>
      <c r="R43" s="10" t="s">
        <v>137</v>
      </c>
      <c r="S43" s="10" t="s">
        <v>137</v>
      </c>
      <c r="T43" s="10" t="s">
        <v>321</v>
      </c>
    </row>
    <row r="44" spans="1:20" ht="15" customHeight="1" x14ac:dyDescent="0.25">
      <c r="A44" s="10" t="s">
        <v>316</v>
      </c>
      <c r="B44" s="10" t="s">
        <v>317</v>
      </c>
      <c r="C44" s="10" t="s">
        <v>318</v>
      </c>
      <c r="D44" s="10" t="s">
        <v>406</v>
      </c>
      <c r="E44" s="10" t="s">
        <v>407</v>
      </c>
      <c r="F44" s="10">
        <v>5</v>
      </c>
      <c r="G44" s="10">
        <v>19.943999999999999</v>
      </c>
      <c r="H44" s="10" t="s">
        <v>53</v>
      </c>
      <c r="I44" s="10" t="s">
        <v>137</v>
      </c>
      <c r="J44" s="10" t="s">
        <v>137</v>
      </c>
      <c r="K44" s="10" t="s">
        <v>137</v>
      </c>
      <c r="L44" s="10" t="s">
        <v>137</v>
      </c>
      <c r="M44" s="10" t="s">
        <v>137</v>
      </c>
      <c r="N44" s="10" t="s">
        <v>137</v>
      </c>
      <c r="O44" s="10" t="s">
        <v>137</v>
      </c>
      <c r="P44" s="10" t="s">
        <v>137</v>
      </c>
      <c r="Q44" s="10" t="s">
        <v>137</v>
      </c>
      <c r="R44" s="10" t="s">
        <v>137</v>
      </c>
      <c r="S44" s="10" t="s">
        <v>137</v>
      </c>
      <c r="T44" s="10" t="s">
        <v>321</v>
      </c>
    </row>
    <row r="45" spans="1:20" ht="15" customHeight="1" x14ac:dyDescent="0.25">
      <c r="A45" s="10" t="s">
        <v>316</v>
      </c>
      <c r="B45" s="10" t="s">
        <v>317</v>
      </c>
      <c r="C45" s="10" t="s">
        <v>318</v>
      </c>
      <c r="D45" s="10" t="s">
        <v>408</v>
      </c>
      <c r="E45" s="10" t="s">
        <v>409</v>
      </c>
      <c r="F45" s="10">
        <v>2</v>
      </c>
      <c r="G45" s="10">
        <v>42.3</v>
      </c>
      <c r="H45" s="10" t="s">
        <v>125</v>
      </c>
      <c r="I45" s="10" t="s">
        <v>137</v>
      </c>
      <c r="J45" s="10" t="s">
        <v>137</v>
      </c>
      <c r="K45" s="10" t="s">
        <v>137</v>
      </c>
      <c r="L45" s="10" t="s">
        <v>137</v>
      </c>
      <c r="M45" s="10" t="s">
        <v>137</v>
      </c>
      <c r="N45" s="10" t="s">
        <v>137</v>
      </c>
      <c r="O45" s="10" t="s">
        <v>137</v>
      </c>
      <c r="P45" s="10" t="s">
        <v>137</v>
      </c>
      <c r="Q45" s="10" t="s">
        <v>137</v>
      </c>
      <c r="R45" s="10" t="s">
        <v>137</v>
      </c>
      <c r="S45" s="10" t="s">
        <v>137</v>
      </c>
      <c r="T45" s="10" t="s">
        <v>321</v>
      </c>
    </row>
    <row r="46" spans="1:20" ht="15" customHeight="1" x14ac:dyDescent="0.25">
      <c r="A46" s="10" t="s">
        <v>316</v>
      </c>
      <c r="B46" s="10" t="s">
        <v>317</v>
      </c>
      <c r="C46" s="10" t="s">
        <v>318</v>
      </c>
      <c r="D46" s="10" t="s">
        <v>410</v>
      </c>
      <c r="E46" s="10" t="s">
        <v>411</v>
      </c>
      <c r="F46" s="10">
        <v>6</v>
      </c>
      <c r="G46" s="10">
        <v>59.194000000000003</v>
      </c>
      <c r="H46" s="10" t="s">
        <v>113</v>
      </c>
      <c r="I46" s="10" t="s">
        <v>137</v>
      </c>
      <c r="J46" s="10" t="s">
        <v>137</v>
      </c>
      <c r="K46" s="10" t="s">
        <v>137</v>
      </c>
      <c r="L46" s="10" t="s">
        <v>137</v>
      </c>
      <c r="M46" s="10" t="s">
        <v>137</v>
      </c>
      <c r="N46" s="10" t="s">
        <v>137</v>
      </c>
      <c r="O46" s="10" t="s">
        <v>137</v>
      </c>
      <c r="P46" s="10" t="s">
        <v>137</v>
      </c>
      <c r="Q46" s="10" t="s">
        <v>137</v>
      </c>
      <c r="R46" s="10" t="s">
        <v>137</v>
      </c>
      <c r="S46" s="10" t="s">
        <v>137</v>
      </c>
      <c r="T46" s="10" t="s">
        <v>321</v>
      </c>
    </row>
    <row r="47" spans="1:20" ht="15" customHeight="1" x14ac:dyDescent="0.25">
      <c r="A47" s="10" t="s">
        <v>316</v>
      </c>
      <c r="B47" s="10" t="s">
        <v>317</v>
      </c>
      <c r="C47" s="10" t="s">
        <v>318</v>
      </c>
      <c r="D47" s="10" t="s">
        <v>412</v>
      </c>
      <c r="E47" s="10" t="s">
        <v>413</v>
      </c>
      <c r="F47" s="10">
        <v>4</v>
      </c>
      <c r="G47" s="10">
        <v>17.43</v>
      </c>
      <c r="H47" s="10" t="s">
        <v>54</v>
      </c>
      <c r="I47" s="10" t="s">
        <v>137</v>
      </c>
      <c r="J47" s="10" t="s">
        <v>137</v>
      </c>
      <c r="K47" s="10" t="s">
        <v>137</v>
      </c>
      <c r="L47" s="10" t="s">
        <v>137</v>
      </c>
      <c r="M47" s="10" t="s">
        <v>137</v>
      </c>
      <c r="N47" s="10" t="s">
        <v>137</v>
      </c>
      <c r="O47" s="10" t="s">
        <v>137</v>
      </c>
      <c r="P47" s="10" t="s">
        <v>137</v>
      </c>
      <c r="Q47" s="10" t="s">
        <v>137</v>
      </c>
      <c r="R47" s="10" t="s">
        <v>137</v>
      </c>
      <c r="S47" s="10" t="s">
        <v>137</v>
      </c>
      <c r="T47" s="10" t="s">
        <v>321</v>
      </c>
    </row>
    <row r="48" spans="1:20" ht="15" customHeight="1" x14ac:dyDescent="0.25">
      <c r="A48" s="10" t="s">
        <v>316</v>
      </c>
      <c r="B48" s="10" t="s">
        <v>317</v>
      </c>
      <c r="C48" s="10" t="s">
        <v>318</v>
      </c>
      <c r="D48" s="10" t="s">
        <v>414</v>
      </c>
      <c r="E48" s="10" t="s">
        <v>415</v>
      </c>
      <c r="F48" s="10">
        <v>4</v>
      </c>
      <c r="G48" s="10">
        <v>17.43</v>
      </c>
      <c r="H48" s="10" t="s">
        <v>38</v>
      </c>
      <c r="I48" s="10" t="s">
        <v>137</v>
      </c>
      <c r="J48" s="10" t="s">
        <v>137</v>
      </c>
      <c r="K48" s="10" t="s">
        <v>137</v>
      </c>
      <c r="L48" s="10" t="s">
        <v>137</v>
      </c>
      <c r="M48" s="10" t="s">
        <v>137</v>
      </c>
      <c r="N48" s="10" t="s">
        <v>137</v>
      </c>
      <c r="O48" s="10" t="s">
        <v>137</v>
      </c>
      <c r="P48" s="10" t="s">
        <v>137</v>
      </c>
      <c r="Q48" s="10" t="s">
        <v>137</v>
      </c>
      <c r="R48" s="10" t="s">
        <v>137</v>
      </c>
      <c r="S48" s="10" t="s">
        <v>137</v>
      </c>
      <c r="T48" s="10" t="s">
        <v>321</v>
      </c>
    </row>
    <row r="49" spans="1:20" ht="15" customHeight="1" x14ac:dyDescent="0.25">
      <c r="A49" s="10" t="s">
        <v>316</v>
      </c>
      <c r="B49" s="10" t="s">
        <v>317</v>
      </c>
      <c r="C49" s="10" t="s">
        <v>318</v>
      </c>
      <c r="D49" s="10" t="s">
        <v>416</v>
      </c>
      <c r="E49" s="10" t="s">
        <v>417</v>
      </c>
      <c r="F49" s="10">
        <v>1</v>
      </c>
      <c r="G49" s="10">
        <v>26.3</v>
      </c>
      <c r="H49" s="10" t="s">
        <v>24</v>
      </c>
      <c r="I49" s="10" t="s">
        <v>137</v>
      </c>
      <c r="J49" s="10" t="s">
        <v>137</v>
      </c>
      <c r="K49" s="10" t="s">
        <v>137</v>
      </c>
      <c r="L49" s="10" t="s">
        <v>137</v>
      </c>
      <c r="M49" s="10" t="s">
        <v>137</v>
      </c>
      <c r="N49" s="10" t="s">
        <v>137</v>
      </c>
      <c r="O49" s="10" t="s">
        <v>137</v>
      </c>
      <c r="P49" s="10" t="s">
        <v>137</v>
      </c>
      <c r="Q49" s="10" t="s">
        <v>137</v>
      </c>
      <c r="R49" s="10" t="s">
        <v>137</v>
      </c>
      <c r="S49" s="10" t="s">
        <v>137</v>
      </c>
      <c r="T49" s="10" t="s">
        <v>321</v>
      </c>
    </row>
    <row r="50" spans="1:20" ht="15" customHeight="1" x14ac:dyDescent="0.25">
      <c r="A50" s="10" t="s">
        <v>316</v>
      </c>
      <c r="B50" s="10" t="s">
        <v>317</v>
      </c>
      <c r="C50" s="10" t="s">
        <v>318</v>
      </c>
      <c r="D50" s="10" t="s">
        <v>418</v>
      </c>
      <c r="E50" s="10" t="s">
        <v>419</v>
      </c>
      <c r="F50" s="10">
        <v>3</v>
      </c>
      <c r="G50" s="10">
        <v>17.794</v>
      </c>
      <c r="H50" s="10" t="s">
        <v>77</v>
      </c>
      <c r="I50" s="10" t="s">
        <v>137</v>
      </c>
      <c r="J50" s="10" t="s">
        <v>137</v>
      </c>
      <c r="K50" s="10" t="s">
        <v>137</v>
      </c>
      <c r="L50" s="10" t="s">
        <v>137</v>
      </c>
      <c r="M50" s="10" t="s">
        <v>137</v>
      </c>
      <c r="N50" s="10" t="s">
        <v>137</v>
      </c>
      <c r="O50" s="10" t="s">
        <v>137</v>
      </c>
      <c r="P50" s="10" t="s">
        <v>137</v>
      </c>
      <c r="Q50" s="10" t="s">
        <v>137</v>
      </c>
      <c r="R50" s="10" t="s">
        <v>137</v>
      </c>
      <c r="S50" s="10" t="s">
        <v>137</v>
      </c>
      <c r="T50" s="10" t="s">
        <v>321</v>
      </c>
    </row>
    <row r="51" spans="1:20" ht="15" customHeight="1" x14ac:dyDescent="0.25">
      <c r="A51" s="10" t="s">
        <v>316</v>
      </c>
      <c r="B51" s="10" t="s">
        <v>317</v>
      </c>
      <c r="C51" s="10" t="s">
        <v>318</v>
      </c>
      <c r="D51" s="10" t="s">
        <v>420</v>
      </c>
      <c r="E51" s="10" t="s">
        <v>421</v>
      </c>
      <c r="F51" s="10">
        <v>5</v>
      </c>
      <c r="G51" s="10">
        <v>37.07</v>
      </c>
      <c r="H51" s="10" t="s">
        <v>131</v>
      </c>
      <c r="I51" s="10" t="s">
        <v>137</v>
      </c>
      <c r="J51" s="10" t="s">
        <v>137</v>
      </c>
      <c r="K51" s="10" t="s">
        <v>137</v>
      </c>
      <c r="L51" s="10" t="s">
        <v>137</v>
      </c>
      <c r="M51" s="10" t="s">
        <v>137</v>
      </c>
      <c r="N51" s="10" t="s">
        <v>137</v>
      </c>
      <c r="O51" s="10" t="s">
        <v>137</v>
      </c>
      <c r="P51" s="10" t="s">
        <v>137</v>
      </c>
      <c r="Q51" s="10" t="s">
        <v>137</v>
      </c>
      <c r="R51" s="10" t="s">
        <v>137</v>
      </c>
      <c r="S51" s="10" t="s">
        <v>137</v>
      </c>
      <c r="T51" s="10" t="s">
        <v>321</v>
      </c>
    </row>
    <row r="52" spans="1:20" ht="15" customHeight="1" x14ac:dyDescent="0.25">
      <c r="A52" s="10" t="s">
        <v>316</v>
      </c>
      <c r="B52" s="10" t="s">
        <v>317</v>
      </c>
      <c r="C52" s="10" t="s">
        <v>318</v>
      </c>
      <c r="D52" s="10" t="s">
        <v>422</v>
      </c>
      <c r="E52" s="10" t="s">
        <v>423</v>
      </c>
      <c r="F52" s="10">
        <v>2</v>
      </c>
      <c r="G52" s="10">
        <v>34</v>
      </c>
      <c r="H52" s="10" t="s">
        <v>98</v>
      </c>
      <c r="I52" s="10" t="s">
        <v>137</v>
      </c>
      <c r="J52" s="10" t="s">
        <v>137</v>
      </c>
      <c r="K52" s="10" t="s">
        <v>137</v>
      </c>
      <c r="L52" s="10" t="s">
        <v>137</v>
      </c>
      <c r="M52" s="10" t="s">
        <v>137</v>
      </c>
      <c r="N52" s="10" t="s">
        <v>137</v>
      </c>
      <c r="O52" s="10" t="s">
        <v>137</v>
      </c>
      <c r="P52" s="10" t="s">
        <v>137</v>
      </c>
      <c r="Q52" s="10" t="s">
        <v>137</v>
      </c>
      <c r="R52" s="10" t="s">
        <v>137</v>
      </c>
      <c r="S52" s="10" t="s">
        <v>137</v>
      </c>
      <c r="T52" s="10" t="s">
        <v>321</v>
      </c>
    </row>
    <row r="53" spans="1:20" ht="15" customHeight="1" x14ac:dyDescent="0.25">
      <c r="A53" s="10" t="s">
        <v>316</v>
      </c>
      <c r="B53" s="10" t="s">
        <v>317</v>
      </c>
      <c r="C53" s="10" t="s">
        <v>318</v>
      </c>
      <c r="D53" s="10" t="s">
        <v>424</v>
      </c>
      <c r="E53" s="10" t="s">
        <v>425</v>
      </c>
      <c r="F53" s="10">
        <v>4</v>
      </c>
      <c r="G53" s="10">
        <v>37.200000000000003</v>
      </c>
      <c r="H53" s="10" t="s">
        <v>15</v>
      </c>
      <c r="I53" s="10" t="s">
        <v>137</v>
      </c>
      <c r="J53" s="10" t="s">
        <v>137</v>
      </c>
      <c r="K53" s="10" t="s">
        <v>137</v>
      </c>
      <c r="L53" s="10" t="s">
        <v>137</v>
      </c>
      <c r="M53" s="10" t="s">
        <v>137</v>
      </c>
      <c r="N53" s="10" t="s">
        <v>137</v>
      </c>
      <c r="O53" s="10" t="s">
        <v>137</v>
      </c>
      <c r="P53" s="10" t="s">
        <v>137</v>
      </c>
      <c r="Q53" s="10" t="s">
        <v>137</v>
      </c>
      <c r="R53" s="10" t="s">
        <v>137</v>
      </c>
      <c r="S53" s="10" t="s">
        <v>137</v>
      </c>
      <c r="T53" s="10" t="s">
        <v>321</v>
      </c>
    </row>
    <row r="54" spans="1:20" ht="15" customHeight="1" x14ac:dyDescent="0.25">
      <c r="A54" s="10" t="s">
        <v>316</v>
      </c>
      <c r="B54" s="10" t="s">
        <v>317</v>
      </c>
      <c r="C54" s="10" t="s">
        <v>318</v>
      </c>
      <c r="D54" s="10" t="s">
        <v>426</v>
      </c>
      <c r="E54" s="10" t="s">
        <v>427</v>
      </c>
      <c r="F54" s="10">
        <v>4</v>
      </c>
      <c r="G54" s="10">
        <v>17.768999999999998</v>
      </c>
      <c r="H54" s="10" t="s">
        <v>34</v>
      </c>
      <c r="I54" s="10" t="s">
        <v>137</v>
      </c>
      <c r="J54" s="10" t="s">
        <v>137</v>
      </c>
      <c r="K54" s="10" t="s">
        <v>137</v>
      </c>
      <c r="L54" s="10" t="s">
        <v>137</v>
      </c>
      <c r="M54" s="10" t="s">
        <v>137</v>
      </c>
      <c r="N54" s="10" t="s">
        <v>137</v>
      </c>
      <c r="O54" s="10" t="s">
        <v>137</v>
      </c>
      <c r="P54" s="10" t="s">
        <v>137</v>
      </c>
      <c r="Q54" s="10" t="s">
        <v>137</v>
      </c>
      <c r="R54" s="10" t="s">
        <v>137</v>
      </c>
      <c r="S54" s="10" t="s">
        <v>137</v>
      </c>
      <c r="T54" s="10" t="s">
        <v>321</v>
      </c>
    </row>
    <row r="55" spans="1:20" ht="15" customHeight="1" x14ac:dyDescent="0.25">
      <c r="A55" s="10" t="s">
        <v>316</v>
      </c>
      <c r="B55" s="10" t="s">
        <v>317</v>
      </c>
      <c r="C55" s="10" t="s">
        <v>318</v>
      </c>
      <c r="D55" s="10" t="s">
        <v>428</v>
      </c>
      <c r="E55" s="10" t="s">
        <v>429</v>
      </c>
      <c r="F55" s="10">
        <v>2</v>
      </c>
      <c r="G55" s="10">
        <v>34</v>
      </c>
      <c r="H55" s="10" t="s">
        <v>117</v>
      </c>
      <c r="I55" s="10" t="s">
        <v>137</v>
      </c>
      <c r="J55" s="10" t="s">
        <v>137</v>
      </c>
      <c r="K55" s="10" t="s">
        <v>137</v>
      </c>
      <c r="L55" s="10" t="s">
        <v>137</v>
      </c>
      <c r="M55" s="10" t="s">
        <v>137</v>
      </c>
      <c r="N55" s="10" t="s">
        <v>137</v>
      </c>
      <c r="O55" s="10" t="s">
        <v>137</v>
      </c>
      <c r="P55" s="10" t="s">
        <v>137</v>
      </c>
      <c r="Q55" s="10" t="s">
        <v>137</v>
      </c>
      <c r="R55" s="10" t="s">
        <v>137</v>
      </c>
      <c r="S55" s="10" t="s">
        <v>137</v>
      </c>
      <c r="T55" s="10" t="s">
        <v>321</v>
      </c>
    </row>
    <row r="56" spans="1:20" ht="15" customHeight="1" x14ac:dyDescent="0.25">
      <c r="A56" s="10" t="s">
        <v>316</v>
      </c>
      <c r="B56" s="10" t="s">
        <v>317</v>
      </c>
      <c r="C56" s="10" t="s">
        <v>318</v>
      </c>
      <c r="D56" s="10" t="s">
        <v>430</v>
      </c>
      <c r="E56" s="10" t="s">
        <v>431</v>
      </c>
      <c r="F56" s="10">
        <v>3</v>
      </c>
      <c r="G56" s="10">
        <v>22.26</v>
      </c>
      <c r="H56" s="10" t="s">
        <v>133</v>
      </c>
      <c r="I56" s="10" t="s">
        <v>137</v>
      </c>
      <c r="J56" s="10" t="s">
        <v>137</v>
      </c>
      <c r="K56" s="10" t="s">
        <v>137</v>
      </c>
      <c r="L56" s="10" t="s">
        <v>137</v>
      </c>
      <c r="M56" s="10" t="s">
        <v>137</v>
      </c>
      <c r="N56" s="10" t="s">
        <v>137</v>
      </c>
      <c r="O56" s="10" t="s">
        <v>137</v>
      </c>
      <c r="P56" s="10" t="s">
        <v>137</v>
      </c>
      <c r="Q56" s="10" t="s">
        <v>137</v>
      </c>
      <c r="R56" s="10" t="s">
        <v>137</v>
      </c>
      <c r="S56" s="10" t="s">
        <v>137</v>
      </c>
      <c r="T56" s="10" t="s">
        <v>321</v>
      </c>
    </row>
    <row r="57" spans="1:20" ht="15" customHeight="1" x14ac:dyDescent="0.25">
      <c r="A57" s="10" t="s">
        <v>316</v>
      </c>
      <c r="B57" s="10" t="s">
        <v>317</v>
      </c>
      <c r="C57" s="10" t="s">
        <v>318</v>
      </c>
      <c r="D57" s="10" t="s">
        <v>432</v>
      </c>
      <c r="E57" s="10" t="s">
        <v>433</v>
      </c>
      <c r="F57" s="10">
        <v>1</v>
      </c>
      <c r="G57" s="10">
        <v>18.54</v>
      </c>
      <c r="H57" s="10" t="s">
        <v>104</v>
      </c>
      <c r="I57" s="10" t="s">
        <v>137</v>
      </c>
      <c r="J57" s="10" t="s">
        <v>137</v>
      </c>
      <c r="K57" s="10" t="s">
        <v>137</v>
      </c>
      <c r="L57" s="10" t="s">
        <v>137</v>
      </c>
      <c r="M57" s="10" t="s">
        <v>137</v>
      </c>
      <c r="N57" s="10" t="s">
        <v>137</v>
      </c>
      <c r="O57" s="10" t="s">
        <v>137</v>
      </c>
      <c r="P57" s="10" t="s">
        <v>137</v>
      </c>
      <c r="Q57" s="10" t="s">
        <v>137</v>
      </c>
      <c r="R57" s="10" t="s">
        <v>137</v>
      </c>
      <c r="S57" s="10" t="s">
        <v>137</v>
      </c>
      <c r="T57" s="10" t="s">
        <v>321</v>
      </c>
    </row>
    <row r="58" spans="1:20" ht="15" customHeight="1" x14ac:dyDescent="0.25">
      <c r="A58" s="10" t="s">
        <v>316</v>
      </c>
      <c r="B58" s="10" t="s">
        <v>317</v>
      </c>
      <c r="C58" s="10" t="s">
        <v>318</v>
      </c>
      <c r="D58" s="10" t="s">
        <v>434</v>
      </c>
      <c r="E58" s="10" t="s">
        <v>435</v>
      </c>
      <c r="F58" s="10">
        <v>1</v>
      </c>
      <c r="G58" s="10">
        <v>16</v>
      </c>
      <c r="H58" s="10" t="s">
        <v>127</v>
      </c>
      <c r="I58" s="10" t="s">
        <v>137</v>
      </c>
      <c r="J58" s="10" t="s">
        <v>137</v>
      </c>
      <c r="K58" s="10" t="s">
        <v>137</v>
      </c>
      <c r="L58" s="10" t="s">
        <v>137</v>
      </c>
      <c r="M58" s="10" t="s">
        <v>137</v>
      </c>
      <c r="N58" s="10" t="s">
        <v>137</v>
      </c>
      <c r="O58" s="10" t="s">
        <v>137</v>
      </c>
      <c r="P58" s="10" t="s">
        <v>137</v>
      </c>
      <c r="Q58" s="10" t="s">
        <v>137</v>
      </c>
      <c r="R58" s="10" t="s">
        <v>137</v>
      </c>
      <c r="S58" s="10" t="s">
        <v>137</v>
      </c>
      <c r="T58" s="10" t="s">
        <v>321</v>
      </c>
    </row>
    <row r="59" spans="1:20" ht="15" customHeight="1" x14ac:dyDescent="0.25">
      <c r="A59" s="10" t="s">
        <v>316</v>
      </c>
      <c r="B59" s="10" t="s">
        <v>317</v>
      </c>
      <c r="C59" s="10" t="s">
        <v>318</v>
      </c>
      <c r="D59" s="10" t="s">
        <v>436</v>
      </c>
      <c r="E59" s="10" t="s">
        <v>437</v>
      </c>
      <c r="F59" s="10">
        <v>1</v>
      </c>
      <c r="G59" s="10">
        <v>8</v>
      </c>
      <c r="H59" s="10" t="s">
        <v>41</v>
      </c>
      <c r="I59" s="10" t="s">
        <v>137</v>
      </c>
      <c r="J59" s="10" t="s">
        <v>137</v>
      </c>
      <c r="K59" s="10" t="s">
        <v>137</v>
      </c>
      <c r="L59" s="10" t="s">
        <v>137</v>
      </c>
      <c r="M59" s="10" t="s">
        <v>137</v>
      </c>
      <c r="N59" s="10" t="s">
        <v>137</v>
      </c>
      <c r="O59" s="10" t="s">
        <v>137</v>
      </c>
      <c r="P59" s="10" t="s">
        <v>137</v>
      </c>
      <c r="Q59" s="10" t="s">
        <v>137</v>
      </c>
      <c r="R59" s="10" t="s">
        <v>137</v>
      </c>
      <c r="S59" s="10" t="s">
        <v>137</v>
      </c>
      <c r="T59" s="10" t="s">
        <v>321</v>
      </c>
    </row>
    <row r="60" spans="1:20" ht="15" customHeight="1" x14ac:dyDescent="0.25">
      <c r="A60" s="10" t="s">
        <v>316</v>
      </c>
      <c r="B60" s="10" t="s">
        <v>317</v>
      </c>
      <c r="C60" s="10" t="s">
        <v>318</v>
      </c>
      <c r="D60" s="10" t="s">
        <v>438</v>
      </c>
      <c r="E60" s="10" t="s">
        <v>439</v>
      </c>
      <c r="F60" s="10">
        <v>1</v>
      </c>
      <c r="G60" s="10">
        <v>14</v>
      </c>
      <c r="H60" s="10" t="s">
        <v>134</v>
      </c>
      <c r="I60" s="10" t="s">
        <v>137</v>
      </c>
      <c r="J60" s="10" t="s">
        <v>137</v>
      </c>
      <c r="K60" s="10" t="s">
        <v>137</v>
      </c>
      <c r="L60" s="10" t="s">
        <v>137</v>
      </c>
      <c r="M60" s="10" t="s">
        <v>137</v>
      </c>
      <c r="N60" s="10" t="s">
        <v>137</v>
      </c>
      <c r="O60" s="10" t="s">
        <v>137</v>
      </c>
      <c r="P60" s="10" t="s">
        <v>137</v>
      </c>
      <c r="Q60" s="10" t="s">
        <v>137</v>
      </c>
      <c r="R60" s="10" t="s">
        <v>137</v>
      </c>
      <c r="S60" s="10" t="s">
        <v>137</v>
      </c>
      <c r="T60" s="10" t="s">
        <v>321</v>
      </c>
    </row>
    <row r="61" spans="1:20" ht="15" customHeight="1" x14ac:dyDescent="0.25">
      <c r="A61" s="10" t="s">
        <v>316</v>
      </c>
      <c r="B61" s="10" t="s">
        <v>317</v>
      </c>
      <c r="C61" s="10" t="s">
        <v>318</v>
      </c>
      <c r="D61" s="10" t="s">
        <v>440</v>
      </c>
      <c r="E61" s="10" t="s">
        <v>441</v>
      </c>
      <c r="F61" s="10">
        <v>2</v>
      </c>
      <c r="G61" s="10">
        <v>27</v>
      </c>
      <c r="H61" s="10" t="s">
        <v>76</v>
      </c>
      <c r="I61" s="10" t="s">
        <v>137</v>
      </c>
      <c r="J61" s="10" t="s">
        <v>137</v>
      </c>
      <c r="K61" s="10" t="s">
        <v>137</v>
      </c>
      <c r="L61" s="10" t="s">
        <v>137</v>
      </c>
      <c r="M61" s="10" t="s">
        <v>137</v>
      </c>
      <c r="N61" s="10" t="s">
        <v>137</v>
      </c>
      <c r="O61" s="10" t="s">
        <v>137</v>
      </c>
      <c r="P61" s="10" t="s">
        <v>137</v>
      </c>
      <c r="Q61" s="10" t="s">
        <v>137</v>
      </c>
      <c r="R61" s="10" t="s">
        <v>137</v>
      </c>
      <c r="S61" s="10" t="s">
        <v>137</v>
      </c>
      <c r="T61" s="10" t="s">
        <v>321</v>
      </c>
    </row>
    <row r="62" spans="1:20" ht="15" customHeight="1" x14ac:dyDescent="0.25">
      <c r="A62" s="10" t="s">
        <v>316</v>
      </c>
      <c r="B62" s="10" t="s">
        <v>317</v>
      </c>
      <c r="C62" s="10" t="s">
        <v>318</v>
      </c>
      <c r="D62" s="10" t="s">
        <v>442</v>
      </c>
      <c r="E62" s="10" t="s">
        <v>443</v>
      </c>
      <c r="F62" s="10">
        <v>4</v>
      </c>
      <c r="G62" s="10">
        <v>13.6</v>
      </c>
      <c r="H62" s="10" t="s">
        <v>122</v>
      </c>
      <c r="I62" s="10" t="s">
        <v>137</v>
      </c>
      <c r="J62" s="10" t="s">
        <v>137</v>
      </c>
      <c r="K62" s="10" t="s">
        <v>137</v>
      </c>
      <c r="L62" s="10" t="s">
        <v>137</v>
      </c>
      <c r="M62" s="10" t="s">
        <v>137</v>
      </c>
      <c r="N62" s="10" t="s">
        <v>137</v>
      </c>
      <c r="O62" s="10" t="s">
        <v>137</v>
      </c>
      <c r="P62" s="10" t="s">
        <v>137</v>
      </c>
      <c r="Q62" s="10" t="s">
        <v>137</v>
      </c>
      <c r="R62" s="10" t="s">
        <v>137</v>
      </c>
      <c r="S62" s="10" t="s">
        <v>137</v>
      </c>
      <c r="T62" s="10" t="s">
        <v>321</v>
      </c>
    </row>
    <row r="63" spans="1:20" ht="15" customHeight="1" x14ac:dyDescent="0.25">
      <c r="A63" s="10" t="s">
        <v>316</v>
      </c>
      <c r="B63" s="10" t="s">
        <v>317</v>
      </c>
      <c r="C63" s="10" t="s">
        <v>318</v>
      </c>
      <c r="D63" s="10" t="s">
        <v>444</v>
      </c>
      <c r="E63" s="10" t="s">
        <v>445</v>
      </c>
      <c r="F63" s="10">
        <v>1</v>
      </c>
      <c r="G63" s="10">
        <v>2.95</v>
      </c>
      <c r="H63" s="10" t="s">
        <v>52</v>
      </c>
      <c r="I63" s="10" t="s">
        <v>137</v>
      </c>
      <c r="J63" s="10" t="s">
        <v>137</v>
      </c>
      <c r="K63" s="10" t="s">
        <v>137</v>
      </c>
      <c r="L63" s="10" t="s">
        <v>137</v>
      </c>
      <c r="M63" s="10" t="s">
        <v>137</v>
      </c>
      <c r="N63" s="10" t="s">
        <v>137</v>
      </c>
      <c r="O63" s="10" t="s">
        <v>137</v>
      </c>
      <c r="P63" s="10" t="s">
        <v>137</v>
      </c>
      <c r="Q63" s="10" t="s">
        <v>137</v>
      </c>
      <c r="R63" s="10" t="s">
        <v>137</v>
      </c>
      <c r="S63" s="10" t="s">
        <v>137</v>
      </c>
      <c r="T63" s="10" t="s">
        <v>321</v>
      </c>
    </row>
    <row r="64" spans="1:20" ht="15" customHeight="1" x14ac:dyDescent="0.25">
      <c r="A64" s="10" t="s">
        <v>316</v>
      </c>
      <c r="B64" s="10" t="s">
        <v>317</v>
      </c>
      <c r="C64" s="10" t="s">
        <v>318</v>
      </c>
      <c r="D64" s="10" t="s">
        <v>446</v>
      </c>
      <c r="E64" s="10" t="s">
        <v>447</v>
      </c>
      <c r="F64" s="10">
        <v>2</v>
      </c>
      <c r="G64" s="10">
        <v>5.9</v>
      </c>
      <c r="H64" s="10" t="s">
        <v>79</v>
      </c>
      <c r="I64" s="10" t="s">
        <v>137</v>
      </c>
      <c r="J64" s="10" t="s">
        <v>137</v>
      </c>
      <c r="K64" s="10" t="s">
        <v>137</v>
      </c>
      <c r="L64" s="10" t="s">
        <v>137</v>
      </c>
      <c r="M64" s="10" t="s">
        <v>137</v>
      </c>
      <c r="N64" s="10" t="s">
        <v>137</v>
      </c>
      <c r="O64" s="10" t="s">
        <v>137</v>
      </c>
      <c r="P64" s="10" t="s">
        <v>137</v>
      </c>
      <c r="Q64" s="10" t="s">
        <v>137</v>
      </c>
      <c r="R64" s="10" t="s">
        <v>137</v>
      </c>
      <c r="S64" s="10" t="s">
        <v>137</v>
      </c>
      <c r="T64" s="10" t="s">
        <v>321</v>
      </c>
    </row>
    <row r="65" spans="1:20" ht="15" customHeight="1" x14ac:dyDescent="0.25">
      <c r="A65" s="10" t="s">
        <v>316</v>
      </c>
      <c r="B65" s="10" t="s">
        <v>317</v>
      </c>
      <c r="C65" s="10" t="s">
        <v>318</v>
      </c>
      <c r="D65" s="10" t="s">
        <v>448</v>
      </c>
      <c r="E65" s="10" t="s">
        <v>449</v>
      </c>
      <c r="F65" s="10">
        <v>2</v>
      </c>
      <c r="G65" s="10">
        <v>4.4000000000000004</v>
      </c>
      <c r="H65" s="10" t="s">
        <v>120</v>
      </c>
      <c r="I65" s="10" t="s">
        <v>137</v>
      </c>
      <c r="J65" s="10" t="s">
        <v>137</v>
      </c>
      <c r="K65" s="10" t="s">
        <v>137</v>
      </c>
      <c r="L65" s="10" t="s">
        <v>137</v>
      </c>
      <c r="M65" s="10" t="s">
        <v>137</v>
      </c>
      <c r="N65" s="10" t="s">
        <v>137</v>
      </c>
      <c r="O65" s="10" t="s">
        <v>137</v>
      </c>
      <c r="P65" s="10" t="s">
        <v>137</v>
      </c>
      <c r="Q65" s="10" t="s">
        <v>137</v>
      </c>
      <c r="R65" s="10" t="s">
        <v>137</v>
      </c>
      <c r="S65" s="10" t="s">
        <v>137</v>
      </c>
      <c r="T65" s="10" t="s">
        <v>321</v>
      </c>
    </row>
    <row r="66" spans="1:20" ht="15" customHeight="1" x14ac:dyDescent="0.25">
      <c r="A66" s="10" t="s">
        <v>316</v>
      </c>
      <c r="B66" s="10" t="s">
        <v>317</v>
      </c>
      <c r="C66" s="10" t="s">
        <v>318</v>
      </c>
      <c r="D66" s="10" t="s">
        <v>450</v>
      </c>
      <c r="E66" s="10" t="s">
        <v>451</v>
      </c>
      <c r="F66" s="10">
        <v>3</v>
      </c>
      <c r="G66" s="10">
        <v>25.5</v>
      </c>
      <c r="H66" s="10" t="s">
        <v>65</v>
      </c>
      <c r="I66" s="10" t="s">
        <v>137</v>
      </c>
      <c r="J66" s="10" t="s">
        <v>137</v>
      </c>
      <c r="K66" s="10" t="s">
        <v>137</v>
      </c>
      <c r="L66" s="10" t="s">
        <v>137</v>
      </c>
      <c r="M66" s="10" t="s">
        <v>137</v>
      </c>
      <c r="N66" s="10" t="s">
        <v>137</v>
      </c>
      <c r="O66" s="10" t="s">
        <v>137</v>
      </c>
      <c r="P66" s="10" t="s">
        <v>137</v>
      </c>
      <c r="Q66" s="10" t="s">
        <v>137</v>
      </c>
      <c r="R66" s="10" t="s">
        <v>137</v>
      </c>
      <c r="S66" s="10" t="s">
        <v>137</v>
      </c>
      <c r="T66" s="10" t="s">
        <v>321</v>
      </c>
    </row>
    <row r="67" spans="1:20" ht="15" customHeight="1" x14ac:dyDescent="0.25">
      <c r="A67" s="10" t="s">
        <v>316</v>
      </c>
      <c r="B67" s="10" t="s">
        <v>317</v>
      </c>
      <c r="C67" s="10" t="s">
        <v>318</v>
      </c>
      <c r="D67" s="10" t="s">
        <v>452</v>
      </c>
      <c r="E67" s="10" t="s">
        <v>453</v>
      </c>
      <c r="F67" s="10">
        <v>6</v>
      </c>
      <c r="G67" s="10">
        <v>29.16</v>
      </c>
      <c r="H67" s="10" t="s">
        <v>63</v>
      </c>
      <c r="I67" s="10" t="s">
        <v>137</v>
      </c>
      <c r="J67" s="10" t="s">
        <v>137</v>
      </c>
      <c r="K67" s="10" t="s">
        <v>137</v>
      </c>
      <c r="L67" s="10" t="s">
        <v>137</v>
      </c>
      <c r="M67" s="10" t="s">
        <v>137</v>
      </c>
      <c r="N67" s="10" t="s">
        <v>137</v>
      </c>
      <c r="O67" s="10" t="s">
        <v>137</v>
      </c>
      <c r="P67" s="10" t="s">
        <v>137</v>
      </c>
      <c r="Q67" s="10" t="s">
        <v>137</v>
      </c>
      <c r="R67" s="10" t="s">
        <v>137</v>
      </c>
      <c r="S67" s="10" t="s">
        <v>137</v>
      </c>
      <c r="T67" s="10" t="s">
        <v>321</v>
      </c>
    </row>
    <row r="68" spans="1:20" ht="15" customHeight="1" x14ac:dyDescent="0.25">
      <c r="A68" s="10" t="s">
        <v>316</v>
      </c>
      <c r="B68" s="10" t="s">
        <v>317</v>
      </c>
      <c r="C68" s="10" t="s">
        <v>318</v>
      </c>
      <c r="D68" s="10" t="s">
        <v>454</v>
      </c>
      <c r="E68" s="10" t="s">
        <v>455</v>
      </c>
      <c r="F68" s="10">
        <v>150</v>
      </c>
      <c r="G68" s="10">
        <v>175.261</v>
      </c>
      <c r="H68" s="10" t="s">
        <v>119</v>
      </c>
      <c r="I68" s="10" t="s">
        <v>137</v>
      </c>
      <c r="J68" s="10" t="s">
        <v>137</v>
      </c>
      <c r="K68" s="10" t="s">
        <v>137</v>
      </c>
      <c r="L68" s="10" t="s">
        <v>137</v>
      </c>
      <c r="M68" s="10" t="s">
        <v>137</v>
      </c>
      <c r="N68" s="10" t="s">
        <v>137</v>
      </c>
      <c r="O68" s="10" t="s">
        <v>137</v>
      </c>
      <c r="P68" s="10" t="s">
        <v>137</v>
      </c>
      <c r="Q68" s="10" t="s">
        <v>137</v>
      </c>
      <c r="R68" s="10" t="s">
        <v>137</v>
      </c>
      <c r="S68" s="10" t="s">
        <v>137</v>
      </c>
      <c r="T68" s="10" t="s">
        <v>321</v>
      </c>
    </row>
    <row r="69" spans="1:20" ht="15" customHeight="1" x14ac:dyDescent="0.25">
      <c r="A69" s="10" t="s">
        <v>316</v>
      </c>
      <c r="B69" s="10" t="s">
        <v>317</v>
      </c>
      <c r="C69" s="10" t="s">
        <v>318</v>
      </c>
      <c r="D69" s="10" t="s">
        <v>456</v>
      </c>
      <c r="E69" s="10" t="s">
        <v>457</v>
      </c>
      <c r="F69" s="10">
        <v>80</v>
      </c>
      <c r="G69" s="10">
        <v>113.52500000000001</v>
      </c>
      <c r="H69" s="10" t="s">
        <v>130</v>
      </c>
      <c r="I69" s="10" t="s">
        <v>137</v>
      </c>
      <c r="J69" s="10" t="s">
        <v>137</v>
      </c>
      <c r="K69" s="10" t="s">
        <v>137</v>
      </c>
      <c r="L69" s="10" t="s">
        <v>137</v>
      </c>
      <c r="M69" s="10" t="s">
        <v>137</v>
      </c>
      <c r="N69" s="10" t="s">
        <v>137</v>
      </c>
      <c r="O69" s="10" t="s">
        <v>137</v>
      </c>
      <c r="P69" s="10" t="s">
        <v>137</v>
      </c>
      <c r="Q69" s="10" t="s">
        <v>137</v>
      </c>
      <c r="R69" s="10" t="s">
        <v>137</v>
      </c>
      <c r="S69" s="10" t="s">
        <v>137</v>
      </c>
      <c r="T69" s="10" t="s">
        <v>321</v>
      </c>
    </row>
    <row r="70" spans="1:20" ht="15" customHeight="1" x14ac:dyDescent="0.25">
      <c r="A70" s="10" t="s">
        <v>316</v>
      </c>
      <c r="B70" s="10" t="s">
        <v>317</v>
      </c>
      <c r="C70" s="10" t="s">
        <v>318</v>
      </c>
      <c r="D70" s="10" t="s">
        <v>459</v>
      </c>
      <c r="E70" s="10" t="s">
        <v>460</v>
      </c>
      <c r="F70" s="10">
        <v>235</v>
      </c>
      <c r="G70" s="10">
        <v>305.20089999999999</v>
      </c>
      <c r="H70" s="10" t="s">
        <v>112</v>
      </c>
      <c r="I70" s="10" t="s">
        <v>137</v>
      </c>
      <c r="J70" s="10" t="s">
        <v>137</v>
      </c>
      <c r="K70" s="10" t="s">
        <v>137</v>
      </c>
      <c r="L70" s="10" t="s">
        <v>137</v>
      </c>
      <c r="M70" s="10" t="s">
        <v>137</v>
      </c>
      <c r="N70" s="10" t="s">
        <v>137</v>
      </c>
      <c r="O70" s="10" t="s">
        <v>137</v>
      </c>
      <c r="P70" s="10" t="s">
        <v>137</v>
      </c>
      <c r="Q70" s="10" t="s">
        <v>137</v>
      </c>
      <c r="R70" s="10" t="s">
        <v>137</v>
      </c>
      <c r="S70" s="10" t="s">
        <v>137</v>
      </c>
      <c r="T70" s="10" t="s">
        <v>321</v>
      </c>
    </row>
    <row r="71" spans="1:20" ht="15" customHeight="1" x14ac:dyDescent="0.25">
      <c r="A71" s="10" t="s">
        <v>316</v>
      </c>
      <c r="B71" s="10" t="s">
        <v>317</v>
      </c>
      <c r="C71" s="10" t="s">
        <v>318</v>
      </c>
      <c r="D71" s="10" t="s">
        <v>463</v>
      </c>
      <c r="E71" s="10" t="s">
        <v>464</v>
      </c>
      <c r="F71" s="10">
        <v>306</v>
      </c>
      <c r="G71" s="10">
        <v>456.45</v>
      </c>
      <c r="H71" s="10" t="s">
        <v>128</v>
      </c>
      <c r="I71" s="10" t="s">
        <v>137</v>
      </c>
      <c r="J71" s="10" t="s">
        <v>137</v>
      </c>
      <c r="K71" s="10" t="s">
        <v>137</v>
      </c>
      <c r="L71" s="10" t="s">
        <v>137</v>
      </c>
      <c r="M71" s="10" t="s">
        <v>137</v>
      </c>
      <c r="N71" s="10" t="s">
        <v>137</v>
      </c>
      <c r="O71" s="10" t="s">
        <v>137</v>
      </c>
      <c r="P71" s="10" t="s">
        <v>137</v>
      </c>
      <c r="Q71" s="10" t="s">
        <v>137</v>
      </c>
      <c r="R71" s="10" t="s">
        <v>137</v>
      </c>
      <c r="S71" s="10" t="s">
        <v>137</v>
      </c>
      <c r="T71" s="10" t="s">
        <v>321</v>
      </c>
    </row>
    <row r="72" spans="1:20" ht="15" customHeight="1" x14ac:dyDescent="0.25">
      <c r="A72" s="10" t="s">
        <v>316</v>
      </c>
      <c r="B72" s="10" t="s">
        <v>317</v>
      </c>
      <c r="C72" s="10" t="s">
        <v>318</v>
      </c>
      <c r="D72" s="10" t="s">
        <v>465</v>
      </c>
      <c r="E72" s="10" t="s">
        <v>466</v>
      </c>
      <c r="F72" s="10">
        <v>3</v>
      </c>
      <c r="G72" s="10">
        <v>34</v>
      </c>
      <c r="H72" s="10" t="s">
        <v>20</v>
      </c>
      <c r="I72" s="10" t="s">
        <v>137</v>
      </c>
      <c r="J72" s="10" t="s">
        <v>137</v>
      </c>
      <c r="K72" s="10" t="s">
        <v>137</v>
      </c>
      <c r="L72" s="10" t="s">
        <v>137</v>
      </c>
      <c r="M72" s="10" t="s">
        <v>137</v>
      </c>
      <c r="N72" s="10" t="s">
        <v>137</v>
      </c>
      <c r="O72" s="10" t="s">
        <v>137</v>
      </c>
      <c r="P72" s="10" t="s">
        <v>137</v>
      </c>
      <c r="Q72" s="10" t="s">
        <v>137</v>
      </c>
      <c r="R72" s="10" t="s">
        <v>137</v>
      </c>
      <c r="S72" s="10" t="s">
        <v>137</v>
      </c>
      <c r="T72" s="10" t="s">
        <v>321</v>
      </c>
    </row>
    <row r="73" spans="1:20" ht="15" customHeight="1" x14ac:dyDescent="0.25">
      <c r="A73" s="10" t="s">
        <v>316</v>
      </c>
      <c r="B73" s="10" t="s">
        <v>317</v>
      </c>
      <c r="C73" s="10" t="s">
        <v>318</v>
      </c>
      <c r="D73" s="10" t="s">
        <v>467</v>
      </c>
      <c r="E73" s="10" t="s">
        <v>468</v>
      </c>
      <c r="F73" s="10">
        <v>1</v>
      </c>
      <c r="G73" s="10">
        <v>15.3</v>
      </c>
      <c r="H73" s="10" t="s">
        <v>123</v>
      </c>
      <c r="I73" s="10" t="s">
        <v>137</v>
      </c>
      <c r="J73" s="10" t="s">
        <v>137</v>
      </c>
      <c r="K73" s="10" t="s">
        <v>137</v>
      </c>
      <c r="L73" s="10" t="s">
        <v>137</v>
      </c>
      <c r="M73" s="10" t="s">
        <v>137</v>
      </c>
      <c r="N73" s="10" t="s">
        <v>137</v>
      </c>
      <c r="O73" s="10" t="s">
        <v>137</v>
      </c>
      <c r="P73" s="10" t="s">
        <v>137</v>
      </c>
      <c r="Q73" s="10" t="s">
        <v>137</v>
      </c>
      <c r="R73" s="10" t="s">
        <v>137</v>
      </c>
      <c r="S73" s="10" t="s">
        <v>137</v>
      </c>
      <c r="T73" s="10" t="s">
        <v>321</v>
      </c>
    </row>
    <row r="74" spans="1:20" ht="15" customHeight="1" x14ac:dyDescent="0.25">
      <c r="A74" s="10" t="s">
        <v>316</v>
      </c>
      <c r="B74" s="10" t="s">
        <v>317</v>
      </c>
      <c r="C74" s="10" t="s">
        <v>318</v>
      </c>
      <c r="D74" s="10" t="s">
        <v>469</v>
      </c>
      <c r="E74" s="10" t="s">
        <v>470</v>
      </c>
      <c r="F74" s="10">
        <v>17</v>
      </c>
      <c r="G74" s="10">
        <v>290.39</v>
      </c>
      <c r="H74" s="10" t="s">
        <v>105</v>
      </c>
      <c r="I74" s="10" t="s">
        <v>137</v>
      </c>
      <c r="J74" s="10" t="s">
        <v>137</v>
      </c>
      <c r="K74" s="10" t="s">
        <v>137</v>
      </c>
      <c r="L74" s="10" t="s">
        <v>137</v>
      </c>
      <c r="M74" s="10" t="s">
        <v>137</v>
      </c>
      <c r="N74" s="10" t="s">
        <v>137</v>
      </c>
      <c r="O74" s="10" t="s">
        <v>137</v>
      </c>
      <c r="P74" s="10" t="s">
        <v>137</v>
      </c>
      <c r="Q74" s="10" t="s">
        <v>137</v>
      </c>
      <c r="R74" s="10" t="s">
        <v>137</v>
      </c>
      <c r="S74" s="10" t="s">
        <v>137</v>
      </c>
      <c r="T74" s="10" t="s">
        <v>321</v>
      </c>
    </row>
    <row r="75" spans="1:20" ht="15" customHeight="1" x14ac:dyDescent="0.25">
      <c r="A75" s="10" t="s">
        <v>316</v>
      </c>
      <c r="B75" s="10" t="s">
        <v>317</v>
      </c>
      <c r="C75" s="10" t="s">
        <v>318</v>
      </c>
      <c r="D75" s="10" t="s">
        <v>471</v>
      </c>
      <c r="E75" s="10" t="s">
        <v>472</v>
      </c>
      <c r="F75" s="10">
        <v>1</v>
      </c>
      <c r="G75" s="10">
        <v>25.8</v>
      </c>
      <c r="H75" s="10" t="s">
        <v>19</v>
      </c>
      <c r="I75" s="10" t="s">
        <v>137</v>
      </c>
      <c r="J75" s="10" t="s">
        <v>137</v>
      </c>
      <c r="K75" s="10" t="s">
        <v>137</v>
      </c>
      <c r="L75" s="10" t="s">
        <v>137</v>
      </c>
      <c r="M75" s="10" t="s">
        <v>137</v>
      </c>
      <c r="N75" s="10" t="s">
        <v>137</v>
      </c>
      <c r="O75" s="10" t="s">
        <v>137</v>
      </c>
      <c r="P75" s="10" t="s">
        <v>137</v>
      </c>
      <c r="Q75" s="10" t="s">
        <v>137</v>
      </c>
      <c r="R75" s="10" t="s">
        <v>137</v>
      </c>
      <c r="S75" s="10" t="s">
        <v>137</v>
      </c>
      <c r="T75" s="10" t="s">
        <v>321</v>
      </c>
    </row>
    <row r="76" spans="1:20" ht="15" customHeight="1" x14ac:dyDescent="0.25">
      <c r="A76" s="10" t="s">
        <v>316</v>
      </c>
      <c r="B76" s="10" t="s">
        <v>317</v>
      </c>
      <c r="C76" s="10" t="s">
        <v>318</v>
      </c>
      <c r="D76" s="10" t="s">
        <v>473</v>
      </c>
      <c r="E76" s="10" t="s">
        <v>474</v>
      </c>
      <c r="F76" s="10">
        <v>1</v>
      </c>
      <c r="G76" s="10">
        <v>30.09</v>
      </c>
      <c r="H76" s="10" t="s">
        <v>88</v>
      </c>
      <c r="I76" s="10" t="s">
        <v>137</v>
      </c>
      <c r="J76" s="10" t="s">
        <v>137</v>
      </c>
      <c r="K76" s="10" t="s">
        <v>137</v>
      </c>
      <c r="L76" s="10" t="s">
        <v>137</v>
      </c>
      <c r="M76" s="10" t="s">
        <v>137</v>
      </c>
      <c r="N76" s="10" t="s">
        <v>137</v>
      </c>
      <c r="O76" s="10" t="s">
        <v>137</v>
      </c>
      <c r="P76" s="10" t="s">
        <v>137</v>
      </c>
      <c r="Q76" s="10" t="s">
        <v>137</v>
      </c>
      <c r="R76" s="10" t="s">
        <v>137</v>
      </c>
      <c r="S76" s="10" t="s">
        <v>137</v>
      </c>
      <c r="T76" s="10" t="s">
        <v>321</v>
      </c>
    </row>
    <row r="77" spans="1:20" ht="15" customHeight="1" x14ac:dyDescent="0.25">
      <c r="A77" s="10" t="s">
        <v>316</v>
      </c>
      <c r="B77" s="10" t="s">
        <v>317</v>
      </c>
      <c r="C77" s="10" t="s">
        <v>318</v>
      </c>
      <c r="D77" s="10" t="s">
        <v>475</v>
      </c>
      <c r="E77" s="10" t="s">
        <v>476</v>
      </c>
      <c r="F77" s="10">
        <v>2</v>
      </c>
      <c r="G77" s="10">
        <v>42.37</v>
      </c>
      <c r="H77" s="10" t="s">
        <v>71</v>
      </c>
      <c r="I77" s="10" t="s">
        <v>137</v>
      </c>
      <c r="J77" s="10" t="s">
        <v>137</v>
      </c>
      <c r="K77" s="10" t="s">
        <v>137</v>
      </c>
      <c r="L77" s="10" t="s">
        <v>137</v>
      </c>
      <c r="M77" s="10" t="s">
        <v>137</v>
      </c>
      <c r="N77" s="10" t="s">
        <v>137</v>
      </c>
      <c r="O77" s="10" t="s">
        <v>137</v>
      </c>
      <c r="P77" s="10" t="s">
        <v>137</v>
      </c>
      <c r="Q77" s="10" t="s">
        <v>137</v>
      </c>
      <c r="R77" s="10" t="s">
        <v>137</v>
      </c>
      <c r="S77" s="10" t="s">
        <v>137</v>
      </c>
      <c r="T77" s="10" t="s">
        <v>321</v>
      </c>
    </row>
    <row r="78" spans="1:20" ht="15" customHeight="1" x14ac:dyDescent="0.25">
      <c r="A78" s="10" t="s">
        <v>316</v>
      </c>
      <c r="B78" s="10" t="s">
        <v>317</v>
      </c>
      <c r="C78" s="10" t="s">
        <v>318</v>
      </c>
      <c r="D78" s="10" t="s">
        <v>477</v>
      </c>
      <c r="E78" s="10" t="s">
        <v>478</v>
      </c>
      <c r="F78" s="10">
        <v>2</v>
      </c>
      <c r="G78" s="10">
        <v>66.84</v>
      </c>
      <c r="H78" s="10" t="s">
        <v>49</v>
      </c>
      <c r="I78" s="10" t="s">
        <v>137</v>
      </c>
      <c r="J78" s="10" t="s">
        <v>137</v>
      </c>
      <c r="K78" s="10" t="s">
        <v>137</v>
      </c>
      <c r="L78" s="10" t="s">
        <v>137</v>
      </c>
      <c r="M78" s="10" t="s">
        <v>137</v>
      </c>
      <c r="N78" s="10" t="s">
        <v>137</v>
      </c>
      <c r="O78" s="10" t="s">
        <v>137</v>
      </c>
      <c r="P78" s="10" t="s">
        <v>137</v>
      </c>
      <c r="Q78" s="10" t="s">
        <v>137</v>
      </c>
      <c r="R78" s="10" t="s">
        <v>137</v>
      </c>
      <c r="S78" s="10" t="s">
        <v>137</v>
      </c>
      <c r="T78" s="10" t="s">
        <v>321</v>
      </c>
    </row>
    <row r="79" spans="1:20" ht="15" customHeight="1" x14ac:dyDescent="0.25">
      <c r="A79" s="10" t="s">
        <v>316</v>
      </c>
      <c r="B79" s="10" t="s">
        <v>317</v>
      </c>
      <c r="C79" s="10" t="s">
        <v>318</v>
      </c>
      <c r="D79" s="10" t="s">
        <v>479</v>
      </c>
      <c r="E79" s="10" t="s">
        <v>480</v>
      </c>
      <c r="F79" s="10">
        <v>1</v>
      </c>
      <c r="G79" s="10">
        <v>15</v>
      </c>
      <c r="H79" s="10" t="s">
        <v>114</v>
      </c>
      <c r="I79" s="10" t="s">
        <v>137</v>
      </c>
      <c r="J79" s="10" t="s">
        <v>137</v>
      </c>
      <c r="K79" s="10" t="s">
        <v>137</v>
      </c>
      <c r="L79" s="10" t="s">
        <v>137</v>
      </c>
      <c r="M79" s="10" t="s">
        <v>137</v>
      </c>
      <c r="N79" s="10" t="s">
        <v>137</v>
      </c>
      <c r="O79" s="10" t="s">
        <v>137</v>
      </c>
      <c r="P79" s="10" t="s">
        <v>137</v>
      </c>
      <c r="Q79" s="10" t="s">
        <v>137</v>
      </c>
      <c r="R79" s="10" t="s">
        <v>137</v>
      </c>
      <c r="S79" s="10" t="s">
        <v>137</v>
      </c>
      <c r="T79" s="10" t="s">
        <v>321</v>
      </c>
    </row>
    <row r="80" spans="1:20" ht="15" customHeight="1" x14ac:dyDescent="0.25">
      <c r="A80" s="10" t="s">
        <v>316</v>
      </c>
      <c r="B80" s="10" t="s">
        <v>317</v>
      </c>
      <c r="C80" s="10" t="s">
        <v>318</v>
      </c>
      <c r="D80" s="10" t="s">
        <v>481</v>
      </c>
      <c r="E80" s="10" t="s">
        <v>482</v>
      </c>
      <c r="F80" s="10">
        <v>1</v>
      </c>
      <c r="G80" s="10">
        <v>15</v>
      </c>
      <c r="H80" s="10" t="s">
        <v>47</v>
      </c>
      <c r="I80" s="10" t="s">
        <v>137</v>
      </c>
      <c r="J80" s="10" t="s">
        <v>137</v>
      </c>
      <c r="K80" s="10" t="s">
        <v>137</v>
      </c>
      <c r="L80" s="10" t="s">
        <v>137</v>
      </c>
      <c r="M80" s="10" t="s">
        <v>137</v>
      </c>
      <c r="N80" s="10" t="s">
        <v>137</v>
      </c>
      <c r="O80" s="10" t="s">
        <v>137</v>
      </c>
      <c r="P80" s="10" t="s">
        <v>137</v>
      </c>
      <c r="Q80" s="10" t="s">
        <v>137</v>
      </c>
      <c r="R80" s="10" t="s">
        <v>137</v>
      </c>
      <c r="S80" s="10" t="s">
        <v>137</v>
      </c>
      <c r="T80" s="10" t="s">
        <v>321</v>
      </c>
    </row>
    <row r="81" spans="1:20" ht="15" customHeight="1" x14ac:dyDescent="0.25">
      <c r="A81" s="10" t="s">
        <v>316</v>
      </c>
      <c r="B81" s="10" t="s">
        <v>317</v>
      </c>
      <c r="C81" s="10" t="s">
        <v>318</v>
      </c>
      <c r="D81" s="10" t="s">
        <v>483</v>
      </c>
      <c r="E81" s="10" t="s">
        <v>484</v>
      </c>
      <c r="F81" s="10">
        <v>1</v>
      </c>
      <c r="G81" s="10">
        <v>15</v>
      </c>
      <c r="H81" s="10" t="s">
        <v>83</v>
      </c>
      <c r="I81" s="10" t="s">
        <v>137</v>
      </c>
      <c r="J81" s="10" t="s">
        <v>137</v>
      </c>
      <c r="K81" s="10" t="s">
        <v>137</v>
      </c>
      <c r="L81" s="10" t="s">
        <v>137</v>
      </c>
      <c r="M81" s="10" t="s">
        <v>137</v>
      </c>
      <c r="N81" s="10" t="s">
        <v>137</v>
      </c>
      <c r="O81" s="10" t="s">
        <v>137</v>
      </c>
      <c r="P81" s="10" t="s">
        <v>137</v>
      </c>
      <c r="Q81" s="10" t="s">
        <v>137</v>
      </c>
      <c r="R81" s="10" t="s">
        <v>137</v>
      </c>
      <c r="S81" s="10" t="s">
        <v>137</v>
      </c>
      <c r="T81" s="10" t="s">
        <v>321</v>
      </c>
    </row>
    <row r="82" spans="1:20" ht="15" customHeight="1" x14ac:dyDescent="0.25">
      <c r="A82" s="10" t="s">
        <v>316</v>
      </c>
      <c r="B82" s="10" t="s">
        <v>317</v>
      </c>
      <c r="C82" s="10" t="s">
        <v>318</v>
      </c>
      <c r="D82" s="10" t="s">
        <v>485</v>
      </c>
      <c r="E82" s="10" t="s">
        <v>486</v>
      </c>
      <c r="F82" s="10">
        <v>1</v>
      </c>
      <c r="G82" s="10">
        <v>15</v>
      </c>
      <c r="H82" s="10" t="s">
        <v>89</v>
      </c>
      <c r="I82" s="10" t="s">
        <v>137</v>
      </c>
      <c r="J82" s="10" t="s">
        <v>137</v>
      </c>
      <c r="K82" s="10" t="s">
        <v>137</v>
      </c>
      <c r="L82" s="10" t="s">
        <v>137</v>
      </c>
      <c r="M82" s="10" t="s">
        <v>137</v>
      </c>
      <c r="N82" s="10" t="s">
        <v>137</v>
      </c>
      <c r="O82" s="10" t="s">
        <v>137</v>
      </c>
      <c r="P82" s="10" t="s">
        <v>137</v>
      </c>
      <c r="Q82" s="10" t="s">
        <v>137</v>
      </c>
      <c r="R82" s="10" t="s">
        <v>137</v>
      </c>
      <c r="S82" s="10" t="s">
        <v>137</v>
      </c>
      <c r="T82" s="10" t="s">
        <v>321</v>
      </c>
    </row>
    <row r="83" spans="1:20" ht="15" customHeight="1" x14ac:dyDescent="0.25">
      <c r="A83" s="10" t="s">
        <v>316</v>
      </c>
      <c r="B83" s="10" t="s">
        <v>317</v>
      </c>
      <c r="C83" s="10" t="s">
        <v>318</v>
      </c>
      <c r="D83" s="10" t="s">
        <v>487</v>
      </c>
      <c r="E83" s="10" t="s">
        <v>488</v>
      </c>
      <c r="F83" s="10">
        <v>1</v>
      </c>
      <c r="G83" s="10">
        <v>15</v>
      </c>
      <c r="H83" s="10" t="s">
        <v>84</v>
      </c>
      <c r="I83" s="10" t="s">
        <v>137</v>
      </c>
      <c r="J83" s="10" t="s">
        <v>137</v>
      </c>
      <c r="K83" s="10" t="s">
        <v>137</v>
      </c>
      <c r="L83" s="10" t="s">
        <v>137</v>
      </c>
      <c r="M83" s="10" t="s">
        <v>137</v>
      </c>
      <c r="N83" s="10" t="s">
        <v>137</v>
      </c>
      <c r="O83" s="10" t="s">
        <v>137</v>
      </c>
      <c r="P83" s="10" t="s">
        <v>137</v>
      </c>
      <c r="Q83" s="10" t="s">
        <v>137</v>
      </c>
      <c r="R83" s="10" t="s">
        <v>137</v>
      </c>
      <c r="S83" s="10" t="s">
        <v>137</v>
      </c>
      <c r="T83" s="10" t="s">
        <v>321</v>
      </c>
    </row>
    <row r="84" spans="1:20" ht="15" customHeight="1" x14ac:dyDescent="0.25">
      <c r="A84" s="10" t="s">
        <v>316</v>
      </c>
      <c r="B84" s="10" t="s">
        <v>317</v>
      </c>
      <c r="C84" s="10" t="s">
        <v>318</v>
      </c>
      <c r="D84" s="10" t="s">
        <v>489</v>
      </c>
      <c r="E84" s="10" t="s">
        <v>490</v>
      </c>
      <c r="F84" s="10">
        <v>3</v>
      </c>
      <c r="G84" s="10">
        <v>37.299999999999997</v>
      </c>
      <c r="H84" s="10" t="s">
        <v>126</v>
      </c>
      <c r="I84" s="10" t="s">
        <v>137</v>
      </c>
      <c r="J84" s="10" t="s">
        <v>137</v>
      </c>
      <c r="K84" s="10" t="s">
        <v>137</v>
      </c>
      <c r="L84" s="10" t="s">
        <v>137</v>
      </c>
      <c r="M84" s="10" t="s">
        <v>137</v>
      </c>
      <c r="N84" s="10" t="s">
        <v>137</v>
      </c>
      <c r="O84" s="10" t="s">
        <v>137</v>
      </c>
      <c r="P84" s="10" t="s">
        <v>137</v>
      </c>
      <c r="Q84" s="10" t="s">
        <v>137</v>
      </c>
      <c r="R84" s="10" t="s">
        <v>137</v>
      </c>
      <c r="S84" s="10" t="s">
        <v>137</v>
      </c>
      <c r="T84" s="10" t="s">
        <v>321</v>
      </c>
    </row>
    <row r="85" spans="1:20" ht="15" customHeight="1" x14ac:dyDescent="0.25">
      <c r="A85" s="10" t="s">
        <v>316</v>
      </c>
      <c r="B85" s="10" t="s">
        <v>317</v>
      </c>
      <c r="C85" s="10" t="s">
        <v>318</v>
      </c>
      <c r="D85" s="10" t="s">
        <v>491</v>
      </c>
      <c r="E85" s="10" t="s">
        <v>492</v>
      </c>
      <c r="F85" s="10">
        <v>2</v>
      </c>
      <c r="G85" s="10">
        <v>28.5</v>
      </c>
      <c r="H85" s="10" t="s">
        <v>96</v>
      </c>
      <c r="I85" s="10" t="s">
        <v>137</v>
      </c>
      <c r="J85" s="10" t="s">
        <v>137</v>
      </c>
      <c r="K85" s="10" t="s">
        <v>137</v>
      </c>
      <c r="L85" s="10" t="s">
        <v>137</v>
      </c>
      <c r="M85" s="10" t="s">
        <v>137</v>
      </c>
      <c r="N85" s="10" t="s">
        <v>137</v>
      </c>
      <c r="O85" s="10" t="s">
        <v>137</v>
      </c>
      <c r="P85" s="10" t="s">
        <v>137</v>
      </c>
      <c r="Q85" s="10" t="s">
        <v>137</v>
      </c>
      <c r="R85" s="10" t="s">
        <v>137</v>
      </c>
      <c r="S85" s="10" t="s">
        <v>137</v>
      </c>
      <c r="T85" s="10" t="s">
        <v>321</v>
      </c>
    </row>
    <row r="86" spans="1:20" ht="15" customHeight="1" x14ac:dyDescent="0.25">
      <c r="A86" s="10" t="s">
        <v>316</v>
      </c>
      <c r="B86" s="10" t="s">
        <v>317</v>
      </c>
      <c r="C86" s="10" t="s">
        <v>318</v>
      </c>
      <c r="D86" s="10" t="s">
        <v>493</v>
      </c>
      <c r="E86" s="10" t="s">
        <v>494</v>
      </c>
      <c r="F86" s="10">
        <v>1</v>
      </c>
      <c r="G86" s="10">
        <v>13.5</v>
      </c>
      <c r="H86" s="10" t="s">
        <v>31</v>
      </c>
      <c r="I86" s="10" t="s">
        <v>137</v>
      </c>
      <c r="J86" s="10" t="s">
        <v>137</v>
      </c>
      <c r="K86" s="10" t="s">
        <v>137</v>
      </c>
      <c r="L86" s="10" t="s">
        <v>137</v>
      </c>
      <c r="M86" s="10" t="s">
        <v>137</v>
      </c>
      <c r="N86" s="10" t="s">
        <v>137</v>
      </c>
      <c r="O86" s="10" t="s">
        <v>137</v>
      </c>
      <c r="P86" s="10" t="s">
        <v>137</v>
      </c>
      <c r="Q86" s="10" t="s">
        <v>137</v>
      </c>
      <c r="R86" s="10" t="s">
        <v>137</v>
      </c>
      <c r="S86" s="10" t="s">
        <v>137</v>
      </c>
      <c r="T86" s="10" t="s">
        <v>321</v>
      </c>
    </row>
    <row r="87" spans="1:20" ht="15" customHeight="1" x14ac:dyDescent="0.25">
      <c r="A87" s="10" t="s">
        <v>316</v>
      </c>
      <c r="B87" s="10" t="s">
        <v>317</v>
      </c>
      <c r="C87" s="10" t="s">
        <v>318</v>
      </c>
      <c r="D87" s="10" t="s">
        <v>495</v>
      </c>
      <c r="E87" s="10" t="s">
        <v>496</v>
      </c>
      <c r="F87" s="10">
        <v>1</v>
      </c>
      <c r="G87" s="10">
        <v>1.2</v>
      </c>
      <c r="H87" s="10" t="s">
        <v>106</v>
      </c>
      <c r="I87" s="10" t="s">
        <v>137</v>
      </c>
      <c r="J87" s="10" t="s">
        <v>137</v>
      </c>
      <c r="K87" s="10" t="s">
        <v>137</v>
      </c>
      <c r="L87" s="10" t="s">
        <v>137</v>
      </c>
      <c r="M87" s="10" t="s">
        <v>137</v>
      </c>
      <c r="N87" s="10" t="s">
        <v>137</v>
      </c>
      <c r="O87" s="10" t="s">
        <v>137</v>
      </c>
      <c r="P87" s="10" t="s">
        <v>137</v>
      </c>
      <c r="Q87" s="10" t="s">
        <v>137</v>
      </c>
      <c r="R87" s="10" t="s">
        <v>137</v>
      </c>
      <c r="S87" s="10" t="s">
        <v>137</v>
      </c>
      <c r="T87" s="10" t="s">
        <v>321</v>
      </c>
    </row>
    <row r="88" spans="1:20" ht="15" customHeight="1" x14ac:dyDescent="0.25">
      <c r="A88" s="10" t="s">
        <v>316</v>
      </c>
      <c r="B88" s="10" t="s">
        <v>317</v>
      </c>
      <c r="C88" s="10" t="s">
        <v>318</v>
      </c>
      <c r="D88" s="10" t="s">
        <v>497</v>
      </c>
      <c r="E88" s="10" t="s">
        <v>498</v>
      </c>
      <c r="F88" s="10">
        <v>3</v>
      </c>
      <c r="G88" s="10">
        <v>43.704999999999998</v>
      </c>
      <c r="H88" s="10" t="s">
        <v>33</v>
      </c>
      <c r="I88" s="10" t="s">
        <v>137</v>
      </c>
      <c r="J88" s="10" t="s">
        <v>137</v>
      </c>
      <c r="K88" s="10" t="s">
        <v>137</v>
      </c>
      <c r="L88" s="10" t="s">
        <v>137</v>
      </c>
      <c r="M88" s="10" t="s">
        <v>137</v>
      </c>
      <c r="N88" s="10" t="s">
        <v>137</v>
      </c>
      <c r="O88" s="10" t="s">
        <v>137</v>
      </c>
      <c r="P88" s="10" t="s">
        <v>137</v>
      </c>
      <c r="Q88" s="10" t="s">
        <v>137</v>
      </c>
      <c r="R88" s="10" t="s">
        <v>137</v>
      </c>
      <c r="S88" s="10" t="s">
        <v>137</v>
      </c>
      <c r="T88" s="10" t="s">
        <v>321</v>
      </c>
    </row>
    <row r="89" spans="1:20" ht="15" customHeight="1" x14ac:dyDescent="0.25">
      <c r="A89" s="10" t="s">
        <v>316</v>
      </c>
      <c r="B89" s="10" t="s">
        <v>317</v>
      </c>
      <c r="C89" s="10" t="s">
        <v>318</v>
      </c>
      <c r="D89" s="10" t="s">
        <v>499</v>
      </c>
      <c r="E89" s="10" t="s">
        <v>500</v>
      </c>
      <c r="F89" s="10">
        <v>1</v>
      </c>
      <c r="G89" s="10">
        <v>9</v>
      </c>
      <c r="H89" s="10" t="s">
        <v>129</v>
      </c>
      <c r="I89" s="10" t="s">
        <v>137</v>
      </c>
      <c r="J89" s="10" t="s">
        <v>137</v>
      </c>
      <c r="K89" s="10" t="s">
        <v>137</v>
      </c>
      <c r="L89" s="10" t="s">
        <v>137</v>
      </c>
      <c r="M89" s="10" t="s">
        <v>137</v>
      </c>
      <c r="N89" s="10" t="s">
        <v>137</v>
      </c>
      <c r="O89" s="10" t="s">
        <v>137</v>
      </c>
      <c r="P89" s="10" t="s">
        <v>137</v>
      </c>
      <c r="Q89" s="10" t="s">
        <v>137</v>
      </c>
      <c r="R89" s="10" t="s">
        <v>137</v>
      </c>
      <c r="S89" s="10" t="s">
        <v>137</v>
      </c>
      <c r="T89" s="10" t="s">
        <v>321</v>
      </c>
    </row>
    <row r="90" spans="1:20" ht="15" customHeight="1" x14ac:dyDescent="0.25">
      <c r="A90" s="10" t="s">
        <v>316</v>
      </c>
      <c r="B90" s="10" t="s">
        <v>317</v>
      </c>
      <c r="C90" s="10" t="s">
        <v>318</v>
      </c>
      <c r="D90" s="10" t="s">
        <v>501</v>
      </c>
      <c r="E90" s="10" t="s">
        <v>502</v>
      </c>
      <c r="F90" s="10">
        <v>3</v>
      </c>
      <c r="G90" s="10">
        <v>8.2100000000000009</v>
      </c>
      <c r="H90" s="10" t="s">
        <v>75</v>
      </c>
      <c r="I90" s="10" t="s">
        <v>137</v>
      </c>
      <c r="J90" s="10" t="s">
        <v>137</v>
      </c>
      <c r="K90" s="10" t="s">
        <v>137</v>
      </c>
      <c r="L90" s="10" t="s">
        <v>137</v>
      </c>
      <c r="M90" s="10" t="s">
        <v>137</v>
      </c>
      <c r="N90" s="10" t="s">
        <v>137</v>
      </c>
      <c r="O90" s="10" t="s">
        <v>137</v>
      </c>
      <c r="P90" s="10" t="s">
        <v>137</v>
      </c>
      <c r="Q90" s="10" t="s">
        <v>137</v>
      </c>
      <c r="R90" s="10" t="s">
        <v>137</v>
      </c>
      <c r="S90" s="10" t="s">
        <v>137</v>
      </c>
      <c r="T90" s="10" t="s">
        <v>321</v>
      </c>
    </row>
    <row r="91" spans="1:20" ht="15" customHeight="1" x14ac:dyDescent="0.25">
      <c r="A91" s="10" t="s">
        <v>316</v>
      </c>
      <c r="B91" s="10" t="s">
        <v>317</v>
      </c>
      <c r="C91" s="10" t="s">
        <v>318</v>
      </c>
      <c r="D91" s="10" t="s">
        <v>503</v>
      </c>
      <c r="E91" s="10" t="s">
        <v>504</v>
      </c>
      <c r="F91" s="10">
        <v>6</v>
      </c>
      <c r="G91" s="10">
        <v>17.62</v>
      </c>
      <c r="H91" s="10" t="s">
        <v>33</v>
      </c>
      <c r="I91" s="10" t="s">
        <v>137</v>
      </c>
      <c r="J91" s="10" t="s">
        <v>137</v>
      </c>
      <c r="K91" s="10" t="s">
        <v>137</v>
      </c>
      <c r="L91" s="10" t="s">
        <v>137</v>
      </c>
      <c r="M91" s="10" t="s">
        <v>137</v>
      </c>
      <c r="N91" s="10" t="s">
        <v>137</v>
      </c>
      <c r="O91" s="10" t="s">
        <v>137</v>
      </c>
      <c r="P91" s="10" t="s">
        <v>137</v>
      </c>
      <c r="Q91" s="10" t="s">
        <v>137</v>
      </c>
      <c r="R91" s="10" t="s">
        <v>137</v>
      </c>
      <c r="S91" s="10" t="s">
        <v>137</v>
      </c>
      <c r="T91" s="10" t="s">
        <v>321</v>
      </c>
    </row>
    <row r="92" spans="1:20" ht="15" customHeight="1" x14ac:dyDescent="0.25">
      <c r="A92" s="10" t="s">
        <v>316</v>
      </c>
      <c r="B92" s="10" t="s">
        <v>317</v>
      </c>
      <c r="C92" s="10" t="s">
        <v>318</v>
      </c>
      <c r="D92" s="10" t="s">
        <v>505</v>
      </c>
      <c r="E92" s="10" t="s">
        <v>506</v>
      </c>
      <c r="F92" s="10">
        <v>1</v>
      </c>
      <c r="G92" s="10">
        <v>10.25</v>
      </c>
      <c r="H92" s="10" t="s">
        <v>99</v>
      </c>
      <c r="I92" s="10" t="s">
        <v>137</v>
      </c>
      <c r="J92" s="10" t="s">
        <v>137</v>
      </c>
      <c r="K92" s="10" t="s">
        <v>137</v>
      </c>
      <c r="L92" s="10" t="s">
        <v>137</v>
      </c>
      <c r="M92" s="10" t="s">
        <v>137</v>
      </c>
      <c r="N92" s="10" t="s">
        <v>137</v>
      </c>
      <c r="O92" s="10" t="s">
        <v>137</v>
      </c>
      <c r="P92" s="10" t="s">
        <v>137</v>
      </c>
      <c r="Q92" s="10" t="s">
        <v>137</v>
      </c>
      <c r="R92" s="10" t="s">
        <v>137</v>
      </c>
      <c r="S92" s="10" t="s">
        <v>137</v>
      </c>
      <c r="T92" s="10" t="s">
        <v>321</v>
      </c>
    </row>
    <row r="93" spans="1:20" ht="15" customHeight="1" x14ac:dyDescent="0.25">
      <c r="A93" s="10" t="s">
        <v>316</v>
      </c>
      <c r="B93" s="10" t="s">
        <v>317</v>
      </c>
      <c r="C93" s="10" t="s">
        <v>318</v>
      </c>
      <c r="D93" s="10" t="s">
        <v>507</v>
      </c>
      <c r="E93" s="10" t="s">
        <v>508</v>
      </c>
      <c r="F93" s="10">
        <v>1</v>
      </c>
      <c r="G93" s="10">
        <v>17.399999999999999</v>
      </c>
      <c r="H93" s="10" t="s">
        <v>109</v>
      </c>
      <c r="I93" s="10" t="s">
        <v>137</v>
      </c>
      <c r="J93" s="10" t="s">
        <v>137</v>
      </c>
      <c r="K93" s="10" t="s">
        <v>137</v>
      </c>
      <c r="L93" s="10" t="s">
        <v>137</v>
      </c>
      <c r="M93" s="10" t="s">
        <v>137</v>
      </c>
      <c r="N93" s="10" t="s">
        <v>137</v>
      </c>
      <c r="O93" s="10" t="s">
        <v>137</v>
      </c>
      <c r="P93" s="10" t="s">
        <v>137</v>
      </c>
      <c r="Q93" s="10" t="s">
        <v>137</v>
      </c>
      <c r="R93" s="10" t="s">
        <v>137</v>
      </c>
      <c r="S93" s="10" t="s">
        <v>137</v>
      </c>
      <c r="T93" s="10" t="s">
        <v>321</v>
      </c>
    </row>
    <row r="94" spans="1:20" ht="15" customHeight="1" x14ac:dyDescent="0.25">
      <c r="A94" s="10" t="s">
        <v>316</v>
      </c>
      <c r="B94" s="10" t="s">
        <v>317</v>
      </c>
      <c r="C94" s="10" t="s">
        <v>318</v>
      </c>
      <c r="D94" s="10" t="s">
        <v>509</v>
      </c>
      <c r="E94" s="10" t="s">
        <v>510</v>
      </c>
      <c r="F94" s="10">
        <v>1</v>
      </c>
      <c r="G94" s="10">
        <v>9.5</v>
      </c>
      <c r="H94" s="10" t="s">
        <v>36</v>
      </c>
      <c r="I94" s="10" t="s">
        <v>137</v>
      </c>
      <c r="J94" s="10" t="s">
        <v>137</v>
      </c>
      <c r="K94" s="10" t="s">
        <v>137</v>
      </c>
      <c r="L94" s="10" t="s">
        <v>137</v>
      </c>
      <c r="M94" s="10" t="s">
        <v>137</v>
      </c>
      <c r="N94" s="10" t="s">
        <v>137</v>
      </c>
      <c r="O94" s="10" t="s">
        <v>137</v>
      </c>
      <c r="P94" s="10" t="s">
        <v>137</v>
      </c>
      <c r="Q94" s="10" t="s">
        <v>137</v>
      </c>
      <c r="R94" s="10" t="s">
        <v>137</v>
      </c>
      <c r="S94" s="10" t="s">
        <v>137</v>
      </c>
      <c r="T94" s="10" t="s">
        <v>321</v>
      </c>
    </row>
    <row r="95" spans="1:20" ht="15" customHeight="1" x14ac:dyDescent="0.25">
      <c r="A95" s="10" t="s">
        <v>316</v>
      </c>
      <c r="B95" s="10" t="s">
        <v>317</v>
      </c>
      <c r="C95" s="10" t="s">
        <v>318</v>
      </c>
      <c r="D95" s="10" t="s">
        <v>511</v>
      </c>
      <c r="E95" s="10" t="s">
        <v>512</v>
      </c>
      <c r="F95" s="10">
        <v>1</v>
      </c>
      <c r="G95" s="10">
        <v>16.5</v>
      </c>
      <c r="H95" s="10" t="s">
        <v>114</v>
      </c>
      <c r="I95" s="10" t="s">
        <v>137</v>
      </c>
      <c r="J95" s="10" t="s">
        <v>137</v>
      </c>
      <c r="K95" s="10" t="s">
        <v>137</v>
      </c>
      <c r="L95" s="10" t="s">
        <v>137</v>
      </c>
      <c r="M95" s="10" t="s">
        <v>137</v>
      </c>
      <c r="N95" s="10" t="s">
        <v>137</v>
      </c>
      <c r="O95" s="10" t="s">
        <v>137</v>
      </c>
      <c r="P95" s="10" t="s">
        <v>137</v>
      </c>
      <c r="Q95" s="10" t="s">
        <v>137</v>
      </c>
      <c r="R95" s="10" t="s">
        <v>137</v>
      </c>
      <c r="S95" s="10" t="s">
        <v>137</v>
      </c>
      <c r="T95" s="10" t="s">
        <v>321</v>
      </c>
    </row>
    <row r="96" spans="1:20" ht="15" customHeight="1" x14ac:dyDescent="0.25">
      <c r="A96" s="10" t="s">
        <v>316</v>
      </c>
      <c r="B96" s="10" t="s">
        <v>317</v>
      </c>
      <c r="C96" s="10" t="s">
        <v>318</v>
      </c>
      <c r="D96" s="10" t="s">
        <v>513</v>
      </c>
      <c r="E96" s="10" t="s">
        <v>514</v>
      </c>
      <c r="F96" s="10">
        <v>1</v>
      </c>
      <c r="G96" s="10">
        <v>17.399999999999999</v>
      </c>
      <c r="H96" s="10" t="s">
        <v>95</v>
      </c>
      <c r="I96" s="10" t="s">
        <v>137</v>
      </c>
      <c r="J96" s="10" t="s">
        <v>137</v>
      </c>
      <c r="K96" s="10" t="s">
        <v>137</v>
      </c>
      <c r="L96" s="10" t="s">
        <v>137</v>
      </c>
      <c r="M96" s="10" t="s">
        <v>137</v>
      </c>
      <c r="N96" s="10" t="s">
        <v>137</v>
      </c>
      <c r="O96" s="10" t="s">
        <v>137</v>
      </c>
      <c r="P96" s="10" t="s">
        <v>137</v>
      </c>
      <c r="Q96" s="10" t="s">
        <v>137</v>
      </c>
      <c r="R96" s="10" t="s">
        <v>137</v>
      </c>
      <c r="S96" s="10" t="s">
        <v>137</v>
      </c>
      <c r="T96" s="10" t="s">
        <v>321</v>
      </c>
    </row>
    <row r="97" spans="1:20" ht="15" customHeight="1" x14ac:dyDescent="0.25">
      <c r="A97" s="10" t="s">
        <v>316</v>
      </c>
      <c r="B97" s="10" t="s">
        <v>317</v>
      </c>
      <c r="C97" s="10" t="s">
        <v>318</v>
      </c>
      <c r="D97" s="10" t="s">
        <v>515</v>
      </c>
      <c r="E97" s="10" t="s">
        <v>516</v>
      </c>
      <c r="F97" s="10">
        <v>1</v>
      </c>
      <c r="G97" s="10">
        <v>12.47</v>
      </c>
      <c r="H97" s="10" t="s">
        <v>43</v>
      </c>
      <c r="I97" s="10" t="s">
        <v>137</v>
      </c>
      <c r="J97" s="10" t="s">
        <v>137</v>
      </c>
      <c r="K97" s="10" t="s">
        <v>137</v>
      </c>
      <c r="L97" s="10" t="s">
        <v>137</v>
      </c>
      <c r="M97" s="10" t="s">
        <v>137</v>
      </c>
      <c r="N97" s="10" t="s">
        <v>137</v>
      </c>
      <c r="O97" s="10" t="s">
        <v>137</v>
      </c>
      <c r="P97" s="10" t="s">
        <v>137</v>
      </c>
      <c r="Q97" s="10" t="s">
        <v>137</v>
      </c>
      <c r="R97" s="10" t="s">
        <v>137</v>
      </c>
      <c r="S97" s="10" t="s">
        <v>137</v>
      </c>
      <c r="T97" s="10" t="s">
        <v>321</v>
      </c>
    </row>
    <row r="98" spans="1:20" ht="15" customHeight="1" x14ac:dyDescent="0.25">
      <c r="A98" s="10" t="s">
        <v>316</v>
      </c>
      <c r="B98" s="10" t="s">
        <v>317</v>
      </c>
      <c r="C98" s="10" t="s">
        <v>318</v>
      </c>
      <c r="D98" s="10" t="s">
        <v>517</v>
      </c>
      <c r="E98" s="10" t="s">
        <v>518</v>
      </c>
      <c r="F98" s="10">
        <v>22</v>
      </c>
      <c r="G98" s="10">
        <v>200.88</v>
      </c>
      <c r="H98" s="10" t="s">
        <v>70</v>
      </c>
      <c r="I98" s="10" t="s">
        <v>137</v>
      </c>
      <c r="J98" s="10" t="s">
        <v>137</v>
      </c>
      <c r="K98" s="10" t="s">
        <v>137</v>
      </c>
      <c r="L98" s="10" t="s">
        <v>137</v>
      </c>
      <c r="M98" s="10" t="s">
        <v>137</v>
      </c>
      <c r="N98" s="10" t="s">
        <v>137</v>
      </c>
      <c r="O98" s="10" t="s">
        <v>137</v>
      </c>
      <c r="P98" s="10" t="s">
        <v>137</v>
      </c>
      <c r="Q98" s="10" t="s">
        <v>137</v>
      </c>
      <c r="R98" s="10" t="s">
        <v>137</v>
      </c>
      <c r="S98" s="10" t="s">
        <v>137</v>
      </c>
      <c r="T98" s="10" t="s">
        <v>321</v>
      </c>
    </row>
    <row r="99" spans="1:20" ht="15" customHeight="1" x14ac:dyDescent="0.25">
      <c r="A99" s="10" t="s">
        <v>316</v>
      </c>
      <c r="B99" s="10" t="s">
        <v>317</v>
      </c>
      <c r="C99" s="10" t="s">
        <v>318</v>
      </c>
      <c r="D99" s="10" t="s">
        <v>519</v>
      </c>
      <c r="E99" s="10" t="s">
        <v>520</v>
      </c>
      <c r="F99" s="10">
        <v>17</v>
      </c>
      <c r="G99" s="10">
        <v>152.19</v>
      </c>
      <c r="H99" s="10" t="s">
        <v>26</v>
      </c>
      <c r="I99" s="10" t="s">
        <v>137</v>
      </c>
      <c r="J99" s="10" t="s">
        <v>137</v>
      </c>
      <c r="K99" s="10" t="s">
        <v>137</v>
      </c>
      <c r="L99" s="10" t="s">
        <v>137</v>
      </c>
      <c r="M99" s="10" t="s">
        <v>137</v>
      </c>
      <c r="N99" s="10" t="s">
        <v>137</v>
      </c>
      <c r="O99" s="10" t="s">
        <v>137</v>
      </c>
      <c r="P99" s="10" t="s">
        <v>137</v>
      </c>
      <c r="Q99" s="10" t="s">
        <v>137</v>
      </c>
      <c r="R99" s="10" t="s">
        <v>137</v>
      </c>
      <c r="S99" s="10" t="s">
        <v>137</v>
      </c>
      <c r="T99" s="10" t="s">
        <v>321</v>
      </c>
    </row>
    <row r="100" spans="1:20" ht="15" customHeight="1" x14ac:dyDescent="0.25">
      <c r="A100" s="10" t="s">
        <v>316</v>
      </c>
      <c r="B100" s="10" t="s">
        <v>317</v>
      </c>
      <c r="C100" s="10" t="s">
        <v>318</v>
      </c>
      <c r="D100" s="10" t="s">
        <v>521</v>
      </c>
      <c r="E100" s="10" t="s">
        <v>522</v>
      </c>
      <c r="F100" s="10">
        <v>30</v>
      </c>
      <c r="G100" s="10">
        <v>96.900999999999996</v>
      </c>
      <c r="H100" s="10" t="s">
        <v>85</v>
      </c>
      <c r="I100" s="10" t="s">
        <v>137</v>
      </c>
      <c r="J100" s="10" t="s">
        <v>137</v>
      </c>
      <c r="K100" s="10" t="s">
        <v>137</v>
      </c>
      <c r="L100" s="10" t="s">
        <v>137</v>
      </c>
      <c r="M100" s="10" t="s">
        <v>137</v>
      </c>
      <c r="N100" s="10" t="s">
        <v>137</v>
      </c>
      <c r="O100" s="10" t="s">
        <v>137</v>
      </c>
      <c r="P100" s="10" t="s">
        <v>137</v>
      </c>
      <c r="Q100" s="10" t="s">
        <v>137</v>
      </c>
      <c r="R100" s="10" t="s">
        <v>137</v>
      </c>
      <c r="S100" s="10" t="s">
        <v>137</v>
      </c>
      <c r="T100" s="10" t="s">
        <v>321</v>
      </c>
    </row>
    <row r="101" spans="1:20" ht="15" customHeight="1" x14ac:dyDescent="0.25">
      <c r="A101" s="10" t="s">
        <v>316</v>
      </c>
      <c r="B101" s="10" t="s">
        <v>317</v>
      </c>
      <c r="C101" s="10" t="s">
        <v>318</v>
      </c>
      <c r="D101" s="10" t="s">
        <v>523</v>
      </c>
      <c r="E101" s="10" t="s">
        <v>524</v>
      </c>
      <c r="F101" s="10">
        <v>23</v>
      </c>
      <c r="G101" s="10">
        <v>458.50990999999999</v>
      </c>
      <c r="H101" s="10" t="s">
        <v>85</v>
      </c>
      <c r="I101" s="10" t="s">
        <v>137</v>
      </c>
      <c r="J101" s="10" t="s">
        <v>137</v>
      </c>
      <c r="K101" s="10" t="s">
        <v>137</v>
      </c>
      <c r="L101" s="10" t="s">
        <v>137</v>
      </c>
      <c r="M101" s="10" t="s">
        <v>137</v>
      </c>
      <c r="N101" s="10" t="s">
        <v>137</v>
      </c>
      <c r="O101" s="10" t="s">
        <v>137</v>
      </c>
      <c r="P101" s="10" t="s">
        <v>137</v>
      </c>
      <c r="Q101" s="10" t="s">
        <v>137</v>
      </c>
      <c r="R101" s="10" t="s">
        <v>137</v>
      </c>
      <c r="S101" s="10" t="s">
        <v>137</v>
      </c>
      <c r="T101" s="10" t="s">
        <v>321</v>
      </c>
    </row>
    <row r="102" spans="1:20" ht="15" customHeight="1" x14ac:dyDescent="0.25">
      <c r="A102" s="10" t="s">
        <v>316</v>
      </c>
      <c r="B102" s="10" t="s">
        <v>317</v>
      </c>
      <c r="C102" s="10" t="s">
        <v>318</v>
      </c>
      <c r="D102" s="10" t="s">
        <v>525</v>
      </c>
      <c r="E102" s="10" t="s">
        <v>526</v>
      </c>
      <c r="F102" s="10">
        <v>12</v>
      </c>
      <c r="G102" s="10">
        <v>200.4</v>
      </c>
      <c r="H102" s="10" t="s">
        <v>85</v>
      </c>
      <c r="I102" s="10" t="s">
        <v>137</v>
      </c>
      <c r="J102" s="10" t="s">
        <v>137</v>
      </c>
      <c r="K102" s="10" t="s">
        <v>137</v>
      </c>
      <c r="L102" s="10" t="s">
        <v>137</v>
      </c>
      <c r="M102" s="10" t="s">
        <v>137</v>
      </c>
      <c r="N102" s="10" t="s">
        <v>137</v>
      </c>
      <c r="O102" s="10" t="s">
        <v>137</v>
      </c>
      <c r="P102" s="10" t="s">
        <v>137</v>
      </c>
      <c r="Q102" s="10" t="s">
        <v>137</v>
      </c>
      <c r="R102" s="10" t="s">
        <v>137</v>
      </c>
      <c r="S102" s="10" t="s">
        <v>137</v>
      </c>
      <c r="T102" s="10" t="s">
        <v>321</v>
      </c>
    </row>
    <row r="103" spans="1:20" ht="15" customHeight="1" x14ac:dyDescent="0.25">
      <c r="A103" s="10" t="s">
        <v>316</v>
      </c>
      <c r="B103" s="10" t="s">
        <v>317</v>
      </c>
      <c r="C103" s="10" t="s">
        <v>318</v>
      </c>
      <c r="D103" s="10" t="s">
        <v>527</v>
      </c>
      <c r="E103" s="10" t="s">
        <v>528</v>
      </c>
      <c r="F103" s="10">
        <v>4</v>
      </c>
      <c r="G103" s="10">
        <v>38.505000000000003</v>
      </c>
      <c r="H103" s="10" t="s">
        <v>118</v>
      </c>
      <c r="I103" s="10" t="s">
        <v>137</v>
      </c>
      <c r="J103" s="10" t="s">
        <v>137</v>
      </c>
      <c r="K103" s="10" t="s">
        <v>137</v>
      </c>
      <c r="L103" s="10" t="s">
        <v>137</v>
      </c>
      <c r="M103" s="10" t="s">
        <v>137</v>
      </c>
      <c r="N103" s="10" t="s">
        <v>137</v>
      </c>
      <c r="O103" s="10" t="s">
        <v>137</v>
      </c>
      <c r="P103" s="10" t="s">
        <v>137</v>
      </c>
      <c r="Q103" s="10" t="s">
        <v>137</v>
      </c>
      <c r="R103" s="10" t="s">
        <v>137</v>
      </c>
      <c r="S103" s="10" t="s">
        <v>137</v>
      </c>
      <c r="T103" s="10" t="s">
        <v>321</v>
      </c>
    </row>
    <row r="104" spans="1:20" ht="15" customHeight="1" x14ac:dyDescent="0.25">
      <c r="A104" s="10" t="s">
        <v>316</v>
      </c>
      <c r="B104" s="10" t="s">
        <v>317</v>
      </c>
      <c r="C104" s="10" t="s">
        <v>318</v>
      </c>
      <c r="D104" s="10" t="s">
        <v>529</v>
      </c>
      <c r="E104" s="10" t="s">
        <v>530</v>
      </c>
      <c r="F104" s="10">
        <v>4</v>
      </c>
      <c r="G104" s="10">
        <v>38.505000000000003</v>
      </c>
      <c r="H104" s="10" t="s">
        <v>72</v>
      </c>
      <c r="I104" s="10" t="s">
        <v>137</v>
      </c>
      <c r="J104" s="10" t="s">
        <v>137</v>
      </c>
      <c r="K104" s="10" t="s">
        <v>137</v>
      </c>
      <c r="L104" s="10" t="s">
        <v>137</v>
      </c>
      <c r="M104" s="10" t="s">
        <v>137</v>
      </c>
      <c r="N104" s="10" t="s">
        <v>137</v>
      </c>
      <c r="O104" s="10" t="s">
        <v>137</v>
      </c>
      <c r="P104" s="10" t="s">
        <v>137</v>
      </c>
      <c r="Q104" s="10" t="s">
        <v>137</v>
      </c>
      <c r="R104" s="10" t="s">
        <v>137</v>
      </c>
      <c r="S104" s="10" t="s">
        <v>137</v>
      </c>
      <c r="T104" s="10" t="s">
        <v>321</v>
      </c>
    </row>
    <row r="105" spans="1:20" ht="15" customHeight="1" x14ac:dyDescent="0.25">
      <c r="A105" s="10" t="s">
        <v>316</v>
      </c>
      <c r="B105" s="10" t="s">
        <v>317</v>
      </c>
      <c r="C105" s="10" t="s">
        <v>318</v>
      </c>
      <c r="D105" s="10" t="s">
        <v>531</v>
      </c>
      <c r="E105" s="10" t="s">
        <v>532</v>
      </c>
      <c r="F105" s="10">
        <v>1</v>
      </c>
      <c r="G105" s="10">
        <v>29</v>
      </c>
      <c r="H105" s="10" t="s">
        <v>48</v>
      </c>
      <c r="I105" s="10" t="s">
        <v>137</v>
      </c>
      <c r="J105" s="10" t="s">
        <v>137</v>
      </c>
      <c r="K105" s="10" t="s">
        <v>137</v>
      </c>
      <c r="L105" s="10" t="s">
        <v>137</v>
      </c>
      <c r="M105" s="10" t="s">
        <v>137</v>
      </c>
      <c r="N105" s="10" t="s">
        <v>137</v>
      </c>
      <c r="O105" s="10" t="s">
        <v>137</v>
      </c>
      <c r="P105" s="10" t="s">
        <v>137</v>
      </c>
      <c r="Q105" s="10" t="s">
        <v>137</v>
      </c>
      <c r="R105" s="10" t="s">
        <v>137</v>
      </c>
      <c r="S105" s="10" t="s">
        <v>137</v>
      </c>
      <c r="T105" s="10" t="s">
        <v>321</v>
      </c>
    </row>
    <row r="106" spans="1:20" ht="15" customHeight="1" x14ac:dyDescent="0.25">
      <c r="A106" s="10" t="s">
        <v>316</v>
      </c>
      <c r="B106" s="10" t="s">
        <v>317</v>
      </c>
      <c r="C106" s="10" t="s">
        <v>318</v>
      </c>
      <c r="D106" s="10" t="s">
        <v>533</v>
      </c>
      <c r="E106" s="10" t="s">
        <v>534</v>
      </c>
      <c r="F106" s="10">
        <v>2</v>
      </c>
      <c r="G106" s="10">
        <v>25.29</v>
      </c>
      <c r="H106" s="10" t="s">
        <v>132</v>
      </c>
      <c r="I106" s="10" t="s">
        <v>137</v>
      </c>
      <c r="J106" s="10" t="s">
        <v>137</v>
      </c>
      <c r="K106" s="10" t="s">
        <v>137</v>
      </c>
      <c r="L106" s="10" t="s">
        <v>137</v>
      </c>
      <c r="M106" s="10" t="s">
        <v>137</v>
      </c>
      <c r="N106" s="10" t="s">
        <v>137</v>
      </c>
      <c r="O106" s="10" t="s">
        <v>137</v>
      </c>
      <c r="P106" s="10" t="s">
        <v>137</v>
      </c>
      <c r="Q106" s="10" t="s">
        <v>137</v>
      </c>
      <c r="R106" s="10" t="s">
        <v>137</v>
      </c>
      <c r="S106" s="10" t="s">
        <v>137</v>
      </c>
      <c r="T106" s="10" t="s">
        <v>321</v>
      </c>
    </row>
    <row r="107" spans="1:20" ht="15" customHeight="1" x14ac:dyDescent="0.25">
      <c r="A107" s="10" t="s">
        <v>316</v>
      </c>
      <c r="B107" s="10" t="s">
        <v>317</v>
      </c>
      <c r="C107" s="10" t="s">
        <v>318</v>
      </c>
      <c r="D107" s="10" t="s">
        <v>535</v>
      </c>
      <c r="E107" s="10" t="s">
        <v>536</v>
      </c>
      <c r="F107" s="10">
        <v>200</v>
      </c>
      <c r="G107" s="10">
        <v>200.6</v>
      </c>
      <c r="H107" s="10" t="s">
        <v>115</v>
      </c>
      <c r="I107" s="10" t="s">
        <v>137</v>
      </c>
      <c r="J107" s="10" t="s">
        <v>137</v>
      </c>
      <c r="K107" s="10" t="s">
        <v>137</v>
      </c>
      <c r="L107" s="10" t="s">
        <v>137</v>
      </c>
      <c r="M107" s="10" t="s">
        <v>137</v>
      </c>
      <c r="N107" s="10" t="s">
        <v>137</v>
      </c>
      <c r="O107" s="10" t="s">
        <v>137</v>
      </c>
      <c r="P107" s="10" t="s">
        <v>137</v>
      </c>
      <c r="Q107" s="10" t="s">
        <v>137</v>
      </c>
      <c r="R107" s="10" t="s">
        <v>137</v>
      </c>
      <c r="S107" s="10" t="s">
        <v>137</v>
      </c>
      <c r="T107" s="10" t="s">
        <v>321</v>
      </c>
    </row>
    <row r="108" spans="1:20" ht="15" customHeight="1" x14ac:dyDescent="0.25">
      <c r="A108" s="10" t="s">
        <v>316</v>
      </c>
      <c r="B108" s="10" t="s">
        <v>317</v>
      </c>
      <c r="C108" s="10" t="s">
        <v>318</v>
      </c>
      <c r="D108" s="10" t="s">
        <v>537</v>
      </c>
      <c r="E108" s="10" t="s">
        <v>538</v>
      </c>
      <c r="F108" s="10">
        <v>11</v>
      </c>
      <c r="G108" s="10">
        <v>82.03</v>
      </c>
      <c r="H108" s="10" t="s">
        <v>44</v>
      </c>
      <c r="I108" s="10" t="s">
        <v>137</v>
      </c>
      <c r="J108" s="10" t="s">
        <v>137</v>
      </c>
      <c r="K108" s="10" t="s">
        <v>137</v>
      </c>
      <c r="L108" s="10" t="s">
        <v>137</v>
      </c>
      <c r="M108" s="10" t="s">
        <v>137</v>
      </c>
      <c r="N108" s="10" t="s">
        <v>137</v>
      </c>
      <c r="O108" s="10" t="s">
        <v>137</v>
      </c>
      <c r="P108" s="10" t="s">
        <v>137</v>
      </c>
      <c r="Q108" s="10" t="s">
        <v>137</v>
      </c>
      <c r="R108" s="10" t="s">
        <v>137</v>
      </c>
      <c r="S108" s="10" t="s">
        <v>137</v>
      </c>
      <c r="T108" s="10" t="s">
        <v>321</v>
      </c>
    </row>
    <row r="109" spans="1:20" ht="15" customHeight="1" x14ac:dyDescent="0.25">
      <c r="A109" s="10" t="s">
        <v>316</v>
      </c>
      <c r="B109" s="10" t="s">
        <v>317</v>
      </c>
      <c r="C109" s="10" t="s">
        <v>318</v>
      </c>
      <c r="D109" s="10" t="s">
        <v>539</v>
      </c>
      <c r="E109" s="10" t="s">
        <v>540</v>
      </c>
      <c r="F109" s="10">
        <v>3</v>
      </c>
      <c r="G109" s="10">
        <v>17.844999999999999</v>
      </c>
      <c r="H109" s="10" t="s">
        <v>44</v>
      </c>
      <c r="I109" s="10" t="s">
        <v>137</v>
      </c>
      <c r="J109" s="10" t="s">
        <v>137</v>
      </c>
      <c r="K109" s="10" t="s">
        <v>137</v>
      </c>
      <c r="L109" s="10" t="s">
        <v>137</v>
      </c>
      <c r="M109" s="10" t="s">
        <v>137</v>
      </c>
      <c r="N109" s="10" t="s">
        <v>137</v>
      </c>
      <c r="O109" s="10" t="s">
        <v>137</v>
      </c>
      <c r="P109" s="10" t="s">
        <v>137</v>
      </c>
      <c r="Q109" s="10" t="s">
        <v>137</v>
      </c>
      <c r="R109" s="10" t="s">
        <v>137</v>
      </c>
      <c r="S109" s="10" t="s">
        <v>137</v>
      </c>
      <c r="T109" s="10" t="s">
        <v>321</v>
      </c>
    </row>
    <row r="110" spans="1:20" ht="15" customHeight="1" x14ac:dyDescent="0.25">
      <c r="A110" s="10" t="s">
        <v>316</v>
      </c>
      <c r="B110" s="10" t="s">
        <v>317</v>
      </c>
      <c r="C110" s="10" t="s">
        <v>318</v>
      </c>
      <c r="D110" s="10" t="s">
        <v>541</v>
      </c>
      <c r="E110" s="10" t="s">
        <v>542</v>
      </c>
      <c r="F110" s="10">
        <v>14</v>
      </c>
      <c r="G110" s="10">
        <v>31.365770000000001</v>
      </c>
      <c r="H110" s="10" t="s">
        <v>85</v>
      </c>
      <c r="I110" s="10" t="s">
        <v>137</v>
      </c>
      <c r="J110" s="10" t="s">
        <v>137</v>
      </c>
      <c r="K110" s="10" t="s">
        <v>137</v>
      </c>
      <c r="L110" s="10" t="s">
        <v>137</v>
      </c>
      <c r="M110" s="10" t="s">
        <v>137</v>
      </c>
      <c r="N110" s="10" t="s">
        <v>137</v>
      </c>
      <c r="O110" s="10" t="s">
        <v>137</v>
      </c>
      <c r="P110" s="10" t="s">
        <v>137</v>
      </c>
      <c r="Q110" s="10" t="s">
        <v>137</v>
      </c>
      <c r="R110" s="10" t="s">
        <v>137</v>
      </c>
      <c r="S110" s="10" t="s">
        <v>137</v>
      </c>
      <c r="T110" s="10" t="s">
        <v>321</v>
      </c>
    </row>
    <row r="111" spans="1:20" ht="15" customHeight="1" x14ac:dyDescent="0.25">
      <c r="A111" s="10" t="s">
        <v>316</v>
      </c>
      <c r="B111" s="10" t="s">
        <v>317</v>
      </c>
      <c r="C111" s="10" t="s">
        <v>318</v>
      </c>
      <c r="D111" s="10" t="s">
        <v>545</v>
      </c>
      <c r="E111" s="10" t="s">
        <v>546</v>
      </c>
      <c r="F111" s="10">
        <v>66</v>
      </c>
      <c r="G111" s="10">
        <v>449.87400000000002</v>
      </c>
      <c r="H111" s="10" t="s">
        <v>64</v>
      </c>
      <c r="I111" s="10" t="s">
        <v>137</v>
      </c>
      <c r="J111" s="10" t="s">
        <v>137</v>
      </c>
      <c r="K111" s="10" t="s">
        <v>137</v>
      </c>
      <c r="L111" s="10" t="s">
        <v>137</v>
      </c>
      <c r="M111" s="10" t="s">
        <v>137</v>
      </c>
      <c r="N111" s="10" t="s">
        <v>137</v>
      </c>
      <c r="O111" s="10" t="s">
        <v>137</v>
      </c>
      <c r="P111" s="10" t="s">
        <v>137</v>
      </c>
      <c r="Q111" s="10" t="s">
        <v>137</v>
      </c>
      <c r="R111" s="10" t="s">
        <v>137</v>
      </c>
      <c r="S111" s="10" t="s">
        <v>137</v>
      </c>
      <c r="T111" s="10" t="s">
        <v>321</v>
      </c>
    </row>
    <row r="112" spans="1:20" ht="15" customHeight="1" x14ac:dyDescent="0.25">
      <c r="A112" s="10" t="s">
        <v>316</v>
      </c>
      <c r="B112" s="10" t="s">
        <v>317</v>
      </c>
      <c r="C112" s="10" t="s">
        <v>318</v>
      </c>
      <c r="D112" s="10" t="s">
        <v>549</v>
      </c>
      <c r="E112" s="10" t="s">
        <v>550</v>
      </c>
      <c r="F112" s="10">
        <v>3</v>
      </c>
      <c r="G112" s="10">
        <v>35.411999999999999</v>
      </c>
      <c r="H112" s="10" t="s">
        <v>103</v>
      </c>
      <c r="I112" s="10" t="s">
        <v>137</v>
      </c>
      <c r="J112" s="10" t="s">
        <v>137</v>
      </c>
      <c r="K112" s="10" t="s">
        <v>137</v>
      </c>
      <c r="L112" s="10" t="s">
        <v>137</v>
      </c>
      <c r="M112" s="10" t="s">
        <v>137</v>
      </c>
      <c r="N112" s="10" t="s">
        <v>137</v>
      </c>
      <c r="O112" s="10" t="s">
        <v>137</v>
      </c>
      <c r="P112" s="10" t="s">
        <v>137</v>
      </c>
      <c r="Q112" s="10" t="s">
        <v>137</v>
      </c>
      <c r="R112" s="10" t="s">
        <v>137</v>
      </c>
      <c r="S112" s="10" t="s">
        <v>137</v>
      </c>
      <c r="T112" s="10" t="s">
        <v>321</v>
      </c>
    </row>
    <row r="113" spans="1:20" ht="15" customHeight="1" x14ac:dyDescent="0.25">
      <c r="A113" s="10" t="s">
        <v>316</v>
      </c>
      <c r="B113" s="10" t="s">
        <v>317</v>
      </c>
      <c r="C113" s="10" t="s">
        <v>318</v>
      </c>
      <c r="D113" s="10" t="s">
        <v>551</v>
      </c>
      <c r="E113" s="10" t="s">
        <v>552</v>
      </c>
      <c r="F113" s="10">
        <v>19</v>
      </c>
      <c r="G113" s="10">
        <v>101.881</v>
      </c>
      <c r="H113" s="10" t="s">
        <v>66</v>
      </c>
      <c r="I113" s="10" t="s">
        <v>137</v>
      </c>
      <c r="J113" s="10" t="s">
        <v>137</v>
      </c>
      <c r="K113" s="10" t="s">
        <v>137</v>
      </c>
      <c r="L113" s="10" t="s">
        <v>137</v>
      </c>
      <c r="M113" s="10" t="s">
        <v>137</v>
      </c>
      <c r="N113" s="10" t="s">
        <v>137</v>
      </c>
      <c r="O113" s="10" t="s">
        <v>137</v>
      </c>
      <c r="P113" s="10" t="s">
        <v>137</v>
      </c>
      <c r="Q113" s="10" t="s">
        <v>137</v>
      </c>
      <c r="R113" s="10" t="s">
        <v>137</v>
      </c>
      <c r="S113" s="10" t="s">
        <v>137</v>
      </c>
      <c r="T113" s="10" t="s">
        <v>321</v>
      </c>
    </row>
    <row r="114" spans="1:20" ht="15" customHeight="1" x14ac:dyDescent="0.25">
      <c r="A114" s="10" t="s">
        <v>316</v>
      </c>
      <c r="B114" s="10" t="s">
        <v>317</v>
      </c>
      <c r="C114" s="10" t="s">
        <v>318</v>
      </c>
      <c r="D114" s="10" t="s">
        <v>553</v>
      </c>
      <c r="E114" s="10" t="s">
        <v>554</v>
      </c>
      <c r="F114" s="10">
        <v>1</v>
      </c>
      <c r="G114" s="10">
        <v>25</v>
      </c>
      <c r="H114" s="10" t="s">
        <v>42</v>
      </c>
      <c r="I114" s="10" t="s">
        <v>137</v>
      </c>
      <c r="J114" s="10" t="s">
        <v>137</v>
      </c>
      <c r="K114" s="10" t="s">
        <v>137</v>
      </c>
      <c r="L114" s="10" t="s">
        <v>137</v>
      </c>
      <c r="M114" s="10" t="s">
        <v>137</v>
      </c>
      <c r="N114" s="10" t="s">
        <v>137</v>
      </c>
      <c r="O114" s="10" t="s">
        <v>137</v>
      </c>
      <c r="P114" s="10" t="s">
        <v>137</v>
      </c>
      <c r="Q114" s="10" t="s">
        <v>137</v>
      </c>
      <c r="R114" s="10" t="s">
        <v>137</v>
      </c>
      <c r="S114" s="10" t="s">
        <v>137</v>
      </c>
      <c r="T114" s="10" t="s">
        <v>321</v>
      </c>
    </row>
    <row r="115" spans="1:20" ht="15" customHeight="1" x14ac:dyDescent="0.25">
      <c r="A115" s="10" t="s">
        <v>316</v>
      </c>
      <c r="B115" s="10" t="s">
        <v>317</v>
      </c>
      <c r="C115" s="10" t="s">
        <v>318</v>
      </c>
      <c r="D115" s="10" t="s">
        <v>555</v>
      </c>
      <c r="E115" s="10" t="s">
        <v>556</v>
      </c>
      <c r="F115" s="10">
        <v>8</v>
      </c>
      <c r="G115" s="10">
        <v>53.42</v>
      </c>
      <c r="H115" s="10" t="s">
        <v>62</v>
      </c>
      <c r="I115" s="10" t="s">
        <v>137</v>
      </c>
      <c r="J115" s="10" t="s">
        <v>137</v>
      </c>
      <c r="K115" s="10" t="s">
        <v>137</v>
      </c>
      <c r="L115" s="10" t="s">
        <v>137</v>
      </c>
      <c r="M115" s="10" t="s">
        <v>137</v>
      </c>
      <c r="N115" s="10" t="s">
        <v>137</v>
      </c>
      <c r="O115" s="10" t="s">
        <v>137</v>
      </c>
      <c r="P115" s="10" t="s">
        <v>137</v>
      </c>
      <c r="Q115" s="10" t="s">
        <v>137</v>
      </c>
      <c r="R115" s="10" t="s">
        <v>137</v>
      </c>
      <c r="S115" s="10" t="s">
        <v>137</v>
      </c>
      <c r="T115" s="10" t="s">
        <v>321</v>
      </c>
    </row>
    <row r="116" spans="1:20" ht="15" customHeight="1" x14ac:dyDescent="0.25">
      <c r="A116" s="10" t="s">
        <v>316</v>
      </c>
      <c r="B116" s="10" t="s">
        <v>317</v>
      </c>
      <c r="C116" s="10" t="s">
        <v>318</v>
      </c>
      <c r="D116" s="10" t="s">
        <v>557</v>
      </c>
      <c r="E116" s="10" t="s">
        <v>558</v>
      </c>
      <c r="F116" s="10">
        <v>1</v>
      </c>
      <c r="G116" s="10">
        <v>20</v>
      </c>
      <c r="H116" s="10" t="s">
        <v>62</v>
      </c>
      <c r="I116" s="10" t="s">
        <v>137</v>
      </c>
      <c r="J116" s="10" t="s">
        <v>137</v>
      </c>
      <c r="K116" s="10" t="s">
        <v>137</v>
      </c>
      <c r="L116" s="10" t="s">
        <v>137</v>
      </c>
      <c r="M116" s="10" t="s">
        <v>137</v>
      </c>
      <c r="N116" s="10" t="s">
        <v>137</v>
      </c>
      <c r="O116" s="10" t="s">
        <v>137</v>
      </c>
      <c r="P116" s="10" t="s">
        <v>137</v>
      </c>
      <c r="Q116" s="10" t="s">
        <v>137</v>
      </c>
      <c r="R116" s="10" t="s">
        <v>137</v>
      </c>
      <c r="S116" s="10" t="s">
        <v>137</v>
      </c>
      <c r="T116" s="10" t="s">
        <v>321</v>
      </c>
    </row>
    <row r="117" spans="1:20" ht="15" customHeight="1" x14ac:dyDescent="0.25">
      <c r="A117" s="10" t="s">
        <v>316</v>
      </c>
      <c r="B117" s="10" t="s">
        <v>317</v>
      </c>
      <c r="C117" s="10" t="s">
        <v>318</v>
      </c>
      <c r="D117" s="10" t="s">
        <v>559</v>
      </c>
      <c r="E117" s="10" t="s">
        <v>560</v>
      </c>
      <c r="F117" s="10">
        <v>9</v>
      </c>
      <c r="G117" s="10">
        <v>54.204999999999998</v>
      </c>
      <c r="H117" s="10" t="s">
        <v>42</v>
      </c>
      <c r="I117" s="10" t="s">
        <v>137</v>
      </c>
      <c r="J117" s="10" t="s">
        <v>137</v>
      </c>
      <c r="K117" s="10" t="s">
        <v>137</v>
      </c>
      <c r="L117" s="10" t="s">
        <v>137</v>
      </c>
      <c r="M117" s="10" t="s">
        <v>137</v>
      </c>
      <c r="N117" s="10" t="s">
        <v>137</v>
      </c>
      <c r="O117" s="10" t="s">
        <v>137</v>
      </c>
      <c r="P117" s="10" t="s">
        <v>137</v>
      </c>
      <c r="Q117" s="10" t="s">
        <v>137</v>
      </c>
      <c r="R117" s="10" t="s">
        <v>137</v>
      </c>
      <c r="S117" s="10" t="s">
        <v>137</v>
      </c>
      <c r="T117" s="10" t="s">
        <v>321</v>
      </c>
    </row>
    <row r="118" spans="1:20" ht="15" customHeight="1" x14ac:dyDescent="0.25">
      <c r="A118" s="10" t="s">
        <v>316</v>
      </c>
      <c r="B118" s="10" t="s">
        <v>317</v>
      </c>
      <c r="C118" s="10" t="s">
        <v>318</v>
      </c>
      <c r="D118" s="10" t="s">
        <v>561</v>
      </c>
      <c r="E118" s="10" t="s">
        <v>562</v>
      </c>
      <c r="F118" s="10">
        <v>1</v>
      </c>
      <c r="G118" s="10">
        <v>2.04</v>
      </c>
      <c r="H118" s="10" t="s">
        <v>131</v>
      </c>
      <c r="I118" s="10" t="s">
        <v>137</v>
      </c>
      <c r="J118" s="10" t="s">
        <v>137</v>
      </c>
      <c r="K118" s="10" t="s">
        <v>137</v>
      </c>
      <c r="L118" s="10" t="s">
        <v>137</v>
      </c>
      <c r="M118" s="10" t="s">
        <v>137</v>
      </c>
      <c r="N118" s="10" t="s">
        <v>137</v>
      </c>
      <c r="O118" s="10" t="s">
        <v>137</v>
      </c>
      <c r="P118" s="10" t="s">
        <v>137</v>
      </c>
      <c r="Q118" s="10" t="s">
        <v>137</v>
      </c>
      <c r="R118" s="10" t="s">
        <v>137</v>
      </c>
      <c r="S118" s="10" t="s">
        <v>137</v>
      </c>
      <c r="T118" s="10" t="s">
        <v>321</v>
      </c>
    </row>
    <row r="119" spans="1:20" ht="15" customHeight="1" x14ac:dyDescent="0.25">
      <c r="A119" s="10" t="s">
        <v>316</v>
      </c>
      <c r="B119" s="10" t="s">
        <v>317</v>
      </c>
      <c r="C119" s="10" t="s">
        <v>318</v>
      </c>
      <c r="D119" s="10" t="s">
        <v>563</v>
      </c>
      <c r="E119" s="10" t="s">
        <v>564</v>
      </c>
      <c r="F119" s="10">
        <v>2</v>
      </c>
      <c r="G119" s="10">
        <v>6.3</v>
      </c>
      <c r="H119" s="10" t="s">
        <v>110</v>
      </c>
      <c r="I119" s="10" t="s">
        <v>137</v>
      </c>
      <c r="J119" s="10" t="s">
        <v>137</v>
      </c>
      <c r="K119" s="10" t="s">
        <v>137</v>
      </c>
      <c r="L119" s="10" t="s">
        <v>137</v>
      </c>
      <c r="M119" s="10" t="s">
        <v>137</v>
      </c>
      <c r="N119" s="10" t="s">
        <v>137</v>
      </c>
      <c r="O119" s="10" t="s">
        <v>137</v>
      </c>
      <c r="P119" s="10" t="s">
        <v>137</v>
      </c>
      <c r="Q119" s="10" t="s">
        <v>137</v>
      </c>
      <c r="R119" s="10" t="s">
        <v>137</v>
      </c>
      <c r="S119" s="10" t="s">
        <v>137</v>
      </c>
      <c r="T119" s="10" t="s">
        <v>321</v>
      </c>
    </row>
    <row r="120" spans="1:20" ht="15" customHeight="1" x14ac:dyDescent="0.25">
      <c r="A120" s="10" t="s">
        <v>316</v>
      </c>
      <c r="B120" s="10" t="s">
        <v>317</v>
      </c>
      <c r="C120" s="10" t="s">
        <v>318</v>
      </c>
      <c r="D120" s="10" t="s">
        <v>565</v>
      </c>
      <c r="E120" s="10" t="s">
        <v>566</v>
      </c>
      <c r="F120" s="10">
        <v>1</v>
      </c>
      <c r="G120" s="10">
        <v>2.04</v>
      </c>
      <c r="H120" s="10" t="s">
        <v>78</v>
      </c>
      <c r="I120" s="10" t="s">
        <v>137</v>
      </c>
      <c r="J120" s="10" t="s">
        <v>137</v>
      </c>
      <c r="K120" s="10" t="s">
        <v>137</v>
      </c>
      <c r="L120" s="10" t="s">
        <v>137</v>
      </c>
      <c r="M120" s="10" t="s">
        <v>137</v>
      </c>
      <c r="N120" s="10" t="s">
        <v>137</v>
      </c>
      <c r="O120" s="10" t="s">
        <v>137</v>
      </c>
      <c r="P120" s="10" t="s">
        <v>137</v>
      </c>
      <c r="Q120" s="10" t="s">
        <v>137</v>
      </c>
      <c r="R120" s="10" t="s">
        <v>137</v>
      </c>
      <c r="S120" s="10" t="s">
        <v>137</v>
      </c>
      <c r="T120" s="10" t="s">
        <v>321</v>
      </c>
    </row>
    <row r="121" spans="1:20" ht="15" customHeight="1" x14ac:dyDescent="0.25">
      <c r="A121" s="10" t="s">
        <v>316</v>
      </c>
      <c r="B121" s="10" t="s">
        <v>317</v>
      </c>
      <c r="C121" s="10" t="s">
        <v>318</v>
      </c>
      <c r="D121" s="10" t="s">
        <v>567</v>
      </c>
      <c r="E121" s="10" t="s">
        <v>568</v>
      </c>
      <c r="F121" s="10">
        <v>3</v>
      </c>
      <c r="G121" s="10">
        <v>17.7</v>
      </c>
      <c r="H121" s="10" t="s">
        <v>135</v>
      </c>
      <c r="I121" s="10" t="s">
        <v>137</v>
      </c>
      <c r="J121" s="10" t="s">
        <v>137</v>
      </c>
      <c r="K121" s="10" t="s">
        <v>137</v>
      </c>
      <c r="L121" s="10" t="s">
        <v>137</v>
      </c>
      <c r="M121" s="10" t="s">
        <v>137</v>
      </c>
      <c r="N121" s="10" t="s">
        <v>137</v>
      </c>
      <c r="O121" s="10" t="s">
        <v>137</v>
      </c>
      <c r="P121" s="10" t="s">
        <v>137</v>
      </c>
      <c r="Q121" s="10" t="s">
        <v>137</v>
      </c>
      <c r="R121" s="10" t="s">
        <v>137</v>
      </c>
      <c r="S121" s="10" t="s">
        <v>137</v>
      </c>
      <c r="T121" s="10" t="s">
        <v>321</v>
      </c>
    </row>
    <row r="122" spans="1:20" ht="15" customHeight="1" x14ac:dyDescent="0.25">
      <c r="A122" s="10" t="s">
        <v>316</v>
      </c>
      <c r="B122" s="10" t="s">
        <v>317</v>
      </c>
      <c r="C122" s="10" t="s">
        <v>318</v>
      </c>
      <c r="D122" s="10" t="s">
        <v>569</v>
      </c>
      <c r="E122" s="10" t="s">
        <v>570</v>
      </c>
      <c r="F122" s="10">
        <v>3</v>
      </c>
      <c r="G122" s="10">
        <v>37.1</v>
      </c>
      <c r="H122" s="10" t="s">
        <v>135</v>
      </c>
      <c r="I122" s="10" t="s">
        <v>137</v>
      </c>
      <c r="J122" s="10" t="s">
        <v>137</v>
      </c>
      <c r="K122" s="10" t="s">
        <v>137</v>
      </c>
      <c r="L122" s="10" t="s">
        <v>137</v>
      </c>
      <c r="M122" s="10" t="s">
        <v>137</v>
      </c>
      <c r="N122" s="10" t="s">
        <v>137</v>
      </c>
      <c r="O122" s="10" t="s">
        <v>137</v>
      </c>
      <c r="P122" s="10" t="s">
        <v>137</v>
      </c>
      <c r="Q122" s="10" t="s">
        <v>137</v>
      </c>
      <c r="R122" s="10" t="s">
        <v>137</v>
      </c>
      <c r="S122" s="10" t="s">
        <v>137</v>
      </c>
      <c r="T122" s="10" t="s">
        <v>321</v>
      </c>
    </row>
    <row r="123" spans="1:20" ht="15" customHeight="1" x14ac:dyDescent="0.25">
      <c r="A123" s="10" t="s">
        <v>316</v>
      </c>
      <c r="B123" s="10" t="s">
        <v>317</v>
      </c>
      <c r="C123" s="10" t="s">
        <v>318</v>
      </c>
      <c r="D123" s="10" t="s">
        <v>571</v>
      </c>
      <c r="E123" s="10" t="s">
        <v>572</v>
      </c>
      <c r="F123" s="10">
        <v>210</v>
      </c>
      <c r="G123" s="10">
        <v>1262.894</v>
      </c>
      <c r="H123" s="10" t="s">
        <v>85</v>
      </c>
      <c r="I123" s="10" t="s">
        <v>137</v>
      </c>
      <c r="J123" s="10" t="s">
        <v>137</v>
      </c>
      <c r="K123" s="10" t="s">
        <v>137</v>
      </c>
      <c r="L123" s="10" t="s">
        <v>137</v>
      </c>
      <c r="M123" s="10" t="s">
        <v>137</v>
      </c>
      <c r="N123" s="10" t="s">
        <v>137</v>
      </c>
      <c r="O123" s="10" t="s">
        <v>137</v>
      </c>
      <c r="P123" s="10" t="s">
        <v>137</v>
      </c>
      <c r="Q123" s="10" t="s">
        <v>137</v>
      </c>
      <c r="R123" s="10" t="s">
        <v>137</v>
      </c>
      <c r="S123" s="10" t="s">
        <v>137</v>
      </c>
      <c r="T123" s="10" t="s">
        <v>321</v>
      </c>
    </row>
    <row r="124" spans="1:20" ht="15" customHeight="1" x14ac:dyDescent="0.25">
      <c r="A124" s="10" t="s">
        <v>316</v>
      </c>
      <c r="B124" s="10" t="s">
        <v>317</v>
      </c>
      <c r="C124" s="10" t="s">
        <v>318</v>
      </c>
      <c r="D124" s="10" t="s">
        <v>573</v>
      </c>
      <c r="E124" s="10" t="s">
        <v>574</v>
      </c>
      <c r="F124" s="10">
        <v>5</v>
      </c>
      <c r="G124" s="10">
        <v>144.99</v>
      </c>
      <c r="H124" s="10" t="s">
        <v>85</v>
      </c>
      <c r="I124" s="10" t="s">
        <v>137</v>
      </c>
      <c r="J124" s="10" t="s">
        <v>137</v>
      </c>
      <c r="K124" s="10" t="s">
        <v>137</v>
      </c>
      <c r="L124" s="10" t="s">
        <v>137</v>
      </c>
      <c r="M124" s="10" t="s">
        <v>137</v>
      </c>
      <c r="N124" s="10" t="s">
        <v>137</v>
      </c>
      <c r="O124" s="10" t="s">
        <v>137</v>
      </c>
      <c r="P124" s="10" t="s">
        <v>137</v>
      </c>
      <c r="Q124" s="10" t="s">
        <v>137</v>
      </c>
      <c r="R124" s="10" t="s">
        <v>137</v>
      </c>
      <c r="S124" s="10" t="s">
        <v>137</v>
      </c>
      <c r="T124" s="10" t="s">
        <v>321</v>
      </c>
    </row>
    <row r="125" spans="1:20" ht="15" customHeight="1" x14ac:dyDescent="0.25">
      <c r="A125" s="10" t="s">
        <v>316</v>
      </c>
      <c r="B125" s="10" t="s">
        <v>317</v>
      </c>
      <c r="C125" s="10" t="s">
        <v>318</v>
      </c>
      <c r="D125" s="10" t="s">
        <v>575</v>
      </c>
      <c r="E125" s="10" t="s">
        <v>576</v>
      </c>
      <c r="F125" s="10">
        <v>1</v>
      </c>
      <c r="G125" s="10">
        <v>10.37</v>
      </c>
      <c r="H125" s="10" t="s">
        <v>28</v>
      </c>
      <c r="I125" s="10" t="s">
        <v>137</v>
      </c>
      <c r="J125" s="10" t="s">
        <v>137</v>
      </c>
      <c r="K125" s="10" t="s">
        <v>137</v>
      </c>
      <c r="L125" s="10" t="s">
        <v>137</v>
      </c>
      <c r="M125" s="10" t="s">
        <v>137</v>
      </c>
      <c r="N125" s="10" t="s">
        <v>137</v>
      </c>
      <c r="O125" s="10" t="s">
        <v>137</v>
      </c>
      <c r="P125" s="10" t="s">
        <v>137</v>
      </c>
      <c r="Q125" s="10" t="s">
        <v>137</v>
      </c>
      <c r="R125" s="10" t="s">
        <v>137</v>
      </c>
      <c r="S125" s="10" t="s">
        <v>137</v>
      </c>
      <c r="T125" s="10" t="s">
        <v>321</v>
      </c>
    </row>
    <row r="126" spans="1:20" ht="15" customHeight="1" x14ac:dyDescent="0.25">
      <c r="A126" s="10" t="s">
        <v>316</v>
      </c>
      <c r="B126" s="10" t="s">
        <v>317</v>
      </c>
      <c r="C126" s="10" t="s">
        <v>318</v>
      </c>
      <c r="D126" s="10" t="s">
        <v>577</v>
      </c>
      <c r="E126" s="10" t="s">
        <v>578</v>
      </c>
      <c r="F126" s="10">
        <v>1</v>
      </c>
      <c r="G126" s="10">
        <v>35</v>
      </c>
      <c r="H126" s="10" t="s">
        <v>67</v>
      </c>
      <c r="I126" s="10" t="s">
        <v>137</v>
      </c>
      <c r="J126" s="10" t="s">
        <v>137</v>
      </c>
      <c r="K126" s="10" t="s">
        <v>137</v>
      </c>
      <c r="L126" s="10" t="s">
        <v>137</v>
      </c>
      <c r="M126" s="10" t="s">
        <v>137</v>
      </c>
      <c r="N126" s="10" t="s">
        <v>137</v>
      </c>
      <c r="O126" s="10" t="s">
        <v>137</v>
      </c>
      <c r="P126" s="10" t="s">
        <v>137</v>
      </c>
      <c r="Q126" s="10" t="s">
        <v>137</v>
      </c>
      <c r="R126" s="10" t="s">
        <v>137</v>
      </c>
      <c r="S126" s="10" t="s">
        <v>137</v>
      </c>
      <c r="T126" s="10" t="s">
        <v>321</v>
      </c>
    </row>
    <row r="127" spans="1:20" ht="15" customHeight="1" x14ac:dyDescent="0.25">
      <c r="A127" s="10" t="s">
        <v>316</v>
      </c>
      <c r="B127" s="10" t="s">
        <v>317</v>
      </c>
      <c r="C127" s="10" t="s">
        <v>318</v>
      </c>
      <c r="D127" s="10" t="s">
        <v>581</v>
      </c>
      <c r="E127" s="10" t="s">
        <v>582</v>
      </c>
      <c r="F127" s="10">
        <v>1</v>
      </c>
      <c r="G127" s="10">
        <v>13</v>
      </c>
      <c r="H127" s="10" t="s">
        <v>101</v>
      </c>
      <c r="I127" s="10" t="s">
        <v>137</v>
      </c>
      <c r="J127" s="10" t="s">
        <v>137</v>
      </c>
      <c r="K127" s="10" t="s">
        <v>137</v>
      </c>
      <c r="L127" s="10" t="s">
        <v>137</v>
      </c>
      <c r="M127" s="10" t="s">
        <v>137</v>
      </c>
      <c r="N127" s="10" t="s">
        <v>137</v>
      </c>
      <c r="O127" s="10" t="s">
        <v>137</v>
      </c>
      <c r="P127" s="10" t="s">
        <v>137</v>
      </c>
      <c r="Q127" s="10" t="s">
        <v>137</v>
      </c>
      <c r="R127" s="10" t="s">
        <v>137</v>
      </c>
      <c r="S127" s="10" t="s">
        <v>137</v>
      </c>
      <c r="T127" s="10" t="s">
        <v>321</v>
      </c>
    </row>
    <row r="128" spans="1:20" ht="15" customHeight="1" x14ac:dyDescent="0.25">
      <c r="A128" s="10" t="s">
        <v>316</v>
      </c>
      <c r="B128" s="10" t="s">
        <v>317</v>
      </c>
      <c r="C128" s="10" t="s">
        <v>318</v>
      </c>
      <c r="D128" s="10" t="s">
        <v>583</v>
      </c>
      <c r="E128" s="10" t="s">
        <v>584</v>
      </c>
      <c r="F128" s="10">
        <v>0</v>
      </c>
      <c r="G128" s="10">
        <v>52.89</v>
      </c>
      <c r="H128" s="10" t="s">
        <v>124</v>
      </c>
      <c r="I128" s="10" t="s">
        <v>137</v>
      </c>
      <c r="J128" s="10" t="s">
        <v>137</v>
      </c>
      <c r="K128" s="10" t="s">
        <v>137</v>
      </c>
      <c r="L128" s="10" t="s">
        <v>137</v>
      </c>
      <c r="M128" s="10" t="s">
        <v>137</v>
      </c>
      <c r="N128" s="10" t="s">
        <v>137</v>
      </c>
      <c r="O128" s="10" t="s">
        <v>137</v>
      </c>
      <c r="P128" s="10" t="s">
        <v>137</v>
      </c>
      <c r="Q128" s="10" t="s">
        <v>137</v>
      </c>
      <c r="R128" s="10" t="s">
        <v>137</v>
      </c>
      <c r="S128" s="10" t="s">
        <v>137</v>
      </c>
      <c r="T128" s="10" t="s">
        <v>321</v>
      </c>
    </row>
    <row r="129" spans="1:20" ht="15" customHeight="1" x14ac:dyDescent="0.25">
      <c r="A129" s="10" t="s">
        <v>316</v>
      </c>
      <c r="B129" s="10" t="s">
        <v>317</v>
      </c>
      <c r="C129" s="10" t="s">
        <v>318</v>
      </c>
      <c r="D129" s="10" t="s">
        <v>585</v>
      </c>
      <c r="E129" s="10" t="s">
        <v>586</v>
      </c>
      <c r="F129" s="10">
        <v>42</v>
      </c>
      <c r="G129" s="10">
        <v>1281.18</v>
      </c>
      <c r="H129" s="10" t="s">
        <v>85</v>
      </c>
      <c r="I129" s="10" t="s">
        <v>137</v>
      </c>
      <c r="J129" s="10" t="s">
        <v>137</v>
      </c>
      <c r="K129" s="10" t="s">
        <v>137</v>
      </c>
      <c r="L129" s="10" t="s">
        <v>137</v>
      </c>
      <c r="M129" s="10" t="s">
        <v>137</v>
      </c>
      <c r="N129" s="10" t="s">
        <v>137</v>
      </c>
      <c r="O129" s="10" t="s">
        <v>137</v>
      </c>
      <c r="P129" s="10" t="s">
        <v>137</v>
      </c>
      <c r="Q129" s="10" t="s">
        <v>137</v>
      </c>
      <c r="R129" s="10" t="s">
        <v>137</v>
      </c>
      <c r="S129" s="10" t="s">
        <v>137</v>
      </c>
      <c r="T129" s="10" t="s">
        <v>321</v>
      </c>
    </row>
    <row r="130" spans="1:20" ht="15" customHeight="1" x14ac:dyDescent="0.25">
      <c r="A130" s="10" t="s">
        <v>316</v>
      </c>
      <c r="B130" s="10" t="s">
        <v>317</v>
      </c>
      <c r="C130" s="10" t="s">
        <v>318</v>
      </c>
      <c r="D130" s="10" t="s">
        <v>587</v>
      </c>
      <c r="E130" s="10" t="s">
        <v>588</v>
      </c>
      <c r="F130" s="10">
        <v>0</v>
      </c>
      <c r="G130" s="10">
        <v>45.1</v>
      </c>
      <c r="H130" s="10" t="s">
        <v>25</v>
      </c>
      <c r="I130" s="10" t="s">
        <v>137</v>
      </c>
      <c r="J130" s="10" t="s">
        <v>137</v>
      </c>
      <c r="K130" s="10" t="s">
        <v>137</v>
      </c>
      <c r="L130" s="10" t="s">
        <v>137</v>
      </c>
      <c r="M130" s="10" t="s">
        <v>137</v>
      </c>
      <c r="N130" s="10" t="s">
        <v>137</v>
      </c>
      <c r="O130" s="10" t="s">
        <v>137</v>
      </c>
      <c r="P130" s="10" t="s">
        <v>137</v>
      </c>
      <c r="Q130" s="10" t="s">
        <v>137</v>
      </c>
      <c r="R130" s="10" t="s">
        <v>137</v>
      </c>
      <c r="S130" s="10" t="s">
        <v>137</v>
      </c>
      <c r="T130" s="10" t="s">
        <v>321</v>
      </c>
    </row>
    <row r="131" spans="1:20" ht="15" customHeight="1" x14ac:dyDescent="0.25">
      <c r="A131" s="10" t="s">
        <v>316</v>
      </c>
      <c r="B131" s="10" t="s">
        <v>317</v>
      </c>
      <c r="C131" s="10" t="s">
        <v>318</v>
      </c>
      <c r="D131" s="10" t="s">
        <v>589</v>
      </c>
      <c r="E131" s="10" t="s">
        <v>590</v>
      </c>
      <c r="F131" s="10">
        <v>0</v>
      </c>
      <c r="G131" s="10">
        <v>21.3</v>
      </c>
      <c r="H131" s="10" t="s">
        <v>40</v>
      </c>
      <c r="I131" s="10" t="s">
        <v>137</v>
      </c>
      <c r="J131" s="10" t="s">
        <v>137</v>
      </c>
      <c r="K131" s="10" t="s">
        <v>137</v>
      </c>
      <c r="L131" s="10" t="s">
        <v>137</v>
      </c>
      <c r="M131" s="10" t="s">
        <v>137</v>
      </c>
      <c r="N131" s="10" t="s">
        <v>137</v>
      </c>
      <c r="O131" s="10" t="s">
        <v>137</v>
      </c>
      <c r="P131" s="10" t="s">
        <v>137</v>
      </c>
      <c r="Q131" s="10" t="s">
        <v>137</v>
      </c>
      <c r="R131" s="10" t="s">
        <v>137</v>
      </c>
      <c r="S131" s="10" t="s">
        <v>137</v>
      </c>
      <c r="T131" s="10" t="s">
        <v>321</v>
      </c>
    </row>
    <row r="132" spans="1:20" ht="15" customHeight="1" x14ac:dyDescent="0.25">
      <c r="A132" s="10" t="s">
        <v>316</v>
      </c>
      <c r="B132" s="10" t="s">
        <v>317</v>
      </c>
      <c r="C132" s="10" t="s">
        <v>318</v>
      </c>
      <c r="D132" s="10" t="s">
        <v>591</v>
      </c>
      <c r="E132" s="10" t="s">
        <v>592</v>
      </c>
      <c r="F132" s="10">
        <v>0</v>
      </c>
      <c r="G132" s="10">
        <v>36.299999999999997</v>
      </c>
      <c r="H132" s="10" t="s">
        <v>17</v>
      </c>
      <c r="I132" s="10" t="s">
        <v>137</v>
      </c>
      <c r="J132" s="10" t="s">
        <v>137</v>
      </c>
      <c r="K132" s="10" t="s">
        <v>137</v>
      </c>
      <c r="L132" s="10" t="s">
        <v>137</v>
      </c>
      <c r="M132" s="10" t="s">
        <v>137</v>
      </c>
      <c r="N132" s="10" t="s">
        <v>137</v>
      </c>
      <c r="O132" s="10" t="s">
        <v>137</v>
      </c>
      <c r="P132" s="10" t="s">
        <v>137</v>
      </c>
      <c r="Q132" s="10" t="s">
        <v>137</v>
      </c>
      <c r="R132" s="10" t="s">
        <v>137</v>
      </c>
      <c r="S132" s="10" t="s">
        <v>137</v>
      </c>
      <c r="T132" s="10" t="s">
        <v>321</v>
      </c>
    </row>
    <row r="133" spans="1:20" ht="15" customHeight="1" x14ac:dyDescent="0.25">
      <c r="A133" s="10" t="s">
        <v>316</v>
      </c>
      <c r="B133" s="10" t="s">
        <v>317</v>
      </c>
      <c r="C133" s="10" t="s">
        <v>318</v>
      </c>
      <c r="D133" s="10" t="s">
        <v>593</v>
      </c>
      <c r="E133" s="10" t="s">
        <v>594</v>
      </c>
      <c r="F133" s="10">
        <v>3</v>
      </c>
      <c r="G133" s="10">
        <v>33</v>
      </c>
      <c r="H133" s="10" t="s">
        <v>87</v>
      </c>
      <c r="I133" s="10" t="s">
        <v>137</v>
      </c>
      <c r="J133" s="10" t="s">
        <v>137</v>
      </c>
      <c r="K133" s="10" t="s">
        <v>137</v>
      </c>
      <c r="L133" s="10" t="s">
        <v>137</v>
      </c>
      <c r="M133" s="10" t="s">
        <v>137</v>
      </c>
      <c r="N133" s="10" t="s">
        <v>137</v>
      </c>
      <c r="O133" s="10" t="s">
        <v>137</v>
      </c>
      <c r="P133" s="10" t="s">
        <v>137</v>
      </c>
      <c r="Q133" s="10" t="s">
        <v>137</v>
      </c>
      <c r="R133" s="10" t="s">
        <v>137</v>
      </c>
      <c r="S133" s="10" t="s">
        <v>137</v>
      </c>
      <c r="T133" s="10" t="s">
        <v>321</v>
      </c>
    </row>
    <row r="134" spans="1:20" ht="15" customHeight="1" x14ac:dyDescent="0.25">
      <c r="A134" s="10" t="s">
        <v>316</v>
      </c>
      <c r="B134" s="10" t="s">
        <v>317</v>
      </c>
      <c r="C134" s="10" t="s">
        <v>318</v>
      </c>
      <c r="D134" s="10" t="s">
        <v>595</v>
      </c>
      <c r="E134" s="10" t="s">
        <v>596</v>
      </c>
      <c r="F134" s="10">
        <v>2</v>
      </c>
      <c r="G134" s="10">
        <v>58.424999999999997</v>
      </c>
      <c r="H134" s="10" t="s">
        <v>87</v>
      </c>
      <c r="I134" s="10" t="s">
        <v>137</v>
      </c>
      <c r="J134" s="10" t="s">
        <v>137</v>
      </c>
      <c r="K134" s="10" t="s">
        <v>137</v>
      </c>
      <c r="L134" s="10" t="s">
        <v>137</v>
      </c>
      <c r="M134" s="10" t="s">
        <v>137</v>
      </c>
      <c r="N134" s="10" t="s">
        <v>137</v>
      </c>
      <c r="O134" s="10" t="s">
        <v>137</v>
      </c>
      <c r="P134" s="10" t="s">
        <v>137</v>
      </c>
      <c r="Q134" s="10" t="s">
        <v>137</v>
      </c>
      <c r="R134" s="10" t="s">
        <v>137</v>
      </c>
      <c r="S134" s="10" t="s">
        <v>137</v>
      </c>
      <c r="T134" s="10" t="s">
        <v>321</v>
      </c>
    </row>
    <row r="135" spans="1:20" ht="15" customHeight="1" x14ac:dyDescent="0.25">
      <c r="A135" s="10" t="s">
        <v>316</v>
      </c>
      <c r="B135" s="10" t="s">
        <v>317</v>
      </c>
      <c r="C135" s="10" t="s">
        <v>318</v>
      </c>
      <c r="D135" s="10" t="s">
        <v>597</v>
      </c>
      <c r="E135" s="10" t="s">
        <v>598</v>
      </c>
      <c r="F135" s="10">
        <v>1</v>
      </c>
      <c r="G135" s="10">
        <v>12.33</v>
      </c>
      <c r="H135" s="10" t="s">
        <v>21</v>
      </c>
      <c r="I135" s="10" t="s">
        <v>137</v>
      </c>
      <c r="J135" s="10" t="s">
        <v>137</v>
      </c>
      <c r="K135" s="10" t="s">
        <v>137</v>
      </c>
      <c r="L135" s="10" t="s">
        <v>137</v>
      </c>
      <c r="M135" s="10" t="s">
        <v>137</v>
      </c>
      <c r="N135" s="10" t="s">
        <v>137</v>
      </c>
      <c r="O135" s="10" t="s">
        <v>137</v>
      </c>
      <c r="P135" s="10" t="s">
        <v>137</v>
      </c>
      <c r="Q135" s="10" t="s">
        <v>137</v>
      </c>
      <c r="R135" s="10" t="s">
        <v>137</v>
      </c>
      <c r="S135" s="10" t="s">
        <v>137</v>
      </c>
      <c r="T135" s="10" t="s">
        <v>321</v>
      </c>
    </row>
    <row r="136" spans="1:20" ht="15" customHeight="1" x14ac:dyDescent="0.25">
      <c r="A136" s="10" t="s">
        <v>316</v>
      </c>
      <c r="B136" s="10" t="s">
        <v>317</v>
      </c>
      <c r="C136" s="10" t="s">
        <v>318</v>
      </c>
      <c r="D136" s="10" t="s">
        <v>599</v>
      </c>
      <c r="E136" s="10" t="s">
        <v>600</v>
      </c>
      <c r="F136" s="10">
        <v>2</v>
      </c>
      <c r="G136" s="10">
        <v>10.5</v>
      </c>
      <c r="H136" s="10" t="s">
        <v>108</v>
      </c>
      <c r="I136" s="10" t="s">
        <v>137</v>
      </c>
      <c r="J136" s="10" t="s">
        <v>137</v>
      </c>
      <c r="K136" s="10" t="s">
        <v>137</v>
      </c>
      <c r="L136" s="10" t="s">
        <v>137</v>
      </c>
      <c r="M136" s="10" t="s">
        <v>137</v>
      </c>
      <c r="N136" s="10" t="s">
        <v>137</v>
      </c>
      <c r="O136" s="10" t="s">
        <v>137</v>
      </c>
      <c r="P136" s="10" t="s">
        <v>137</v>
      </c>
      <c r="Q136" s="10" t="s">
        <v>137</v>
      </c>
      <c r="R136" s="10" t="s">
        <v>137</v>
      </c>
      <c r="S136" s="10" t="s">
        <v>137</v>
      </c>
      <c r="T136" s="10" t="s">
        <v>321</v>
      </c>
    </row>
    <row r="137" spans="1:20" ht="15" customHeight="1" x14ac:dyDescent="0.25">
      <c r="A137" s="10" t="s">
        <v>316</v>
      </c>
      <c r="B137" s="10" t="s">
        <v>317</v>
      </c>
      <c r="C137" s="10" t="s">
        <v>318</v>
      </c>
      <c r="D137" s="10" t="s">
        <v>601</v>
      </c>
      <c r="E137" s="10" t="s">
        <v>602</v>
      </c>
      <c r="F137" s="10">
        <v>1</v>
      </c>
      <c r="G137" s="10">
        <v>15.022</v>
      </c>
      <c r="H137" s="10" t="s">
        <v>57</v>
      </c>
      <c r="I137" s="10" t="s">
        <v>137</v>
      </c>
      <c r="J137" s="10" t="s">
        <v>137</v>
      </c>
      <c r="K137" s="10" t="s">
        <v>137</v>
      </c>
      <c r="L137" s="10" t="s">
        <v>137</v>
      </c>
      <c r="M137" s="10" t="s">
        <v>137</v>
      </c>
      <c r="N137" s="10" t="s">
        <v>137</v>
      </c>
      <c r="O137" s="10" t="s">
        <v>137</v>
      </c>
      <c r="P137" s="10" t="s">
        <v>137</v>
      </c>
      <c r="Q137" s="10" t="s">
        <v>137</v>
      </c>
      <c r="R137" s="10" t="s">
        <v>137</v>
      </c>
      <c r="S137" s="10" t="s">
        <v>137</v>
      </c>
      <c r="T137" s="10" t="s">
        <v>321</v>
      </c>
    </row>
    <row r="138" spans="1:20" ht="15" customHeight="1" x14ac:dyDescent="0.25">
      <c r="A138" s="10" t="s">
        <v>316</v>
      </c>
      <c r="B138" s="10" t="s">
        <v>317</v>
      </c>
      <c r="C138" s="10" t="s">
        <v>318</v>
      </c>
      <c r="D138" s="10" t="s">
        <v>603</v>
      </c>
      <c r="E138" s="10" t="s">
        <v>604</v>
      </c>
      <c r="F138" s="10">
        <v>1</v>
      </c>
      <c r="G138" s="10">
        <v>32.5</v>
      </c>
      <c r="H138" s="10" t="s">
        <v>29</v>
      </c>
      <c r="I138" s="10" t="s">
        <v>137</v>
      </c>
      <c r="J138" s="10" t="s">
        <v>137</v>
      </c>
      <c r="K138" s="10" t="s">
        <v>137</v>
      </c>
      <c r="L138" s="10" t="s">
        <v>137</v>
      </c>
      <c r="M138" s="10" t="s">
        <v>137</v>
      </c>
      <c r="N138" s="10" t="s">
        <v>137</v>
      </c>
      <c r="O138" s="10" t="s">
        <v>137</v>
      </c>
      <c r="P138" s="10" t="s">
        <v>137</v>
      </c>
      <c r="Q138" s="10" t="s">
        <v>137</v>
      </c>
      <c r="R138" s="10" t="s">
        <v>137</v>
      </c>
      <c r="S138" s="10" t="s">
        <v>137</v>
      </c>
      <c r="T138" s="10" t="s">
        <v>321</v>
      </c>
    </row>
    <row r="139" spans="1:20" ht="15" customHeight="1" x14ac:dyDescent="0.25">
      <c r="A139" s="10" t="s">
        <v>316</v>
      </c>
      <c r="B139" s="10" t="s">
        <v>317</v>
      </c>
      <c r="C139" s="10" t="s">
        <v>318</v>
      </c>
      <c r="D139" s="10" t="s">
        <v>605</v>
      </c>
      <c r="E139" s="10" t="s">
        <v>606</v>
      </c>
      <c r="F139" s="10">
        <v>273</v>
      </c>
      <c r="G139" s="10">
        <v>686.67100000000005</v>
      </c>
      <c r="H139" s="10" t="s">
        <v>58</v>
      </c>
      <c r="I139" s="10" t="s">
        <v>137</v>
      </c>
      <c r="J139" s="10" t="s">
        <v>137</v>
      </c>
      <c r="K139" s="10" t="s">
        <v>137</v>
      </c>
      <c r="L139" s="10" t="s">
        <v>137</v>
      </c>
      <c r="M139" s="10" t="s">
        <v>137</v>
      </c>
      <c r="N139" s="10" t="s">
        <v>137</v>
      </c>
      <c r="O139" s="10" t="s">
        <v>137</v>
      </c>
      <c r="P139" s="10" t="s">
        <v>137</v>
      </c>
      <c r="Q139" s="10" t="s">
        <v>137</v>
      </c>
      <c r="R139" s="10" t="s">
        <v>137</v>
      </c>
      <c r="S139" s="10" t="s">
        <v>137</v>
      </c>
      <c r="T139" s="10" t="s">
        <v>321</v>
      </c>
    </row>
    <row r="140" spans="1:20" ht="15" customHeight="1" x14ac:dyDescent="0.25">
      <c r="A140" s="10" t="s">
        <v>316</v>
      </c>
      <c r="B140" s="10" t="s">
        <v>317</v>
      </c>
      <c r="C140" s="10" t="s">
        <v>318</v>
      </c>
      <c r="D140" s="10" t="s">
        <v>607</v>
      </c>
      <c r="E140" s="10" t="s">
        <v>608</v>
      </c>
      <c r="F140" s="10">
        <v>400</v>
      </c>
      <c r="G140" s="10">
        <v>500.4</v>
      </c>
      <c r="H140" s="10" t="s">
        <v>136</v>
      </c>
      <c r="I140" s="10" t="s">
        <v>137</v>
      </c>
      <c r="J140" s="10" t="s">
        <v>137</v>
      </c>
      <c r="K140" s="10" t="s">
        <v>137</v>
      </c>
      <c r="L140" s="10" t="s">
        <v>137</v>
      </c>
      <c r="M140" s="10" t="s">
        <v>137</v>
      </c>
      <c r="N140" s="10" t="s">
        <v>137</v>
      </c>
      <c r="O140" s="10" t="s">
        <v>137</v>
      </c>
      <c r="P140" s="10" t="s">
        <v>137</v>
      </c>
      <c r="Q140" s="10" t="s">
        <v>137</v>
      </c>
      <c r="R140" s="10" t="s">
        <v>137</v>
      </c>
      <c r="S140" s="10" t="s">
        <v>137</v>
      </c>
      <c r="T140" s="10" t="s">
        <v>321</v>
      </c>
    </row>
    <row r="141" spans="1:20" ht="15" customHeight="1" x14ac:dyDescent="0.25">
      <c r="A141" s="10" t="s">
        <v>316</v>
      </c>
      <c r="B141" s="10" t="s">
        <v>317</v>
      </c>
      <c r="C141" s="10" t="s">
        <v>318</v>
      </c>
      <c r="D141" s="10" t="s">
        <v>609</v>
      </c>
      <c r="E141" s="10" t="s">
        <v>610</v>
      </c>
      <c r="F141" s="10">
        <v>46</v>
      </c>
      <c r="G141" s="10">
        <v>228.935</v>
      </c>
      <c r="H141" s="10" t="s">
        <v>35</v>
      </c>
      <c r="I141" s="10" t="s">
        <v>137</v>
      </c>
      <c r="J141" s="10" t="s">
        <v>137</v>
      </c>
      <c r="K141" s="10" t="s">
        <v>137</v>
      </c>
      <c r="L141" s="10" t="s">
        <v>137</v>
      </c>
      <c r="M141" s="10" t="s">
        <v>137</v>
      </c>
      <c r="N141" s="10" t="s">
        <v>137</v>
      </c>
      <c r="O141" s="10" t="s">
        <v>137</v>
      </c>
      <c r="P141" s="10" t="s">
        <v>137</v>
      </c>
      <c r="Q141" s="10" t="s">
        <v>137</v>
      </c>
      <c r="R141" s="10" t="s">
        <v>137</v>
      </c>
      <c r="S141" s="10" t="s">
        <v>137</v>
      </c>
      <c r="T141" s="10" t="s">
        <v>321</v>
      </c>
    </row>
    <row r="142" spans="1:20" ht="15" customHeight="1" x14ac:dyDescent="0.25">
      <c r="A142" s="10" t="s">
        <v>316</v>
      </c>
      <c r="B142" s="10" t="s">
        <v>317</v>
      </c>
      <c r="C142" s="10" t="s">
        <v>318</v>
      </c>
      <c r="D142" s="10" t="s">
        <v>615</v>
      </c>
      <c r="E142" s="10" t="s">
        <v>616</v>
      </c>
      <c r="F142" s="10">
        <v>6</v>
      </c>
      <c r="G142" s="10">
        <v>57</v>
      </c>
      <c r="H142" s="10" t="s">
        <v>132</v>
      </c>
      <c r="I142" s="10" t="s">
        <v>137</v>
      </c>
      <c r="J142" s="10" t="s">
        <v>137</v>
      </c>
      <c r="K142" s="10" t="s">
        <v>137</v>
      </c>
      <c r="L142" s="10" t="s">
        <v>137</v>
      </c>
      <c r="M142" s="10" t="s">
        <v>137</v>
      </c>
      <c r="N142" s="10" t="s">
        <v>137</v>
      </c>
      <c r="O142" s="10" t="s">
        <v>137</v>
      </c>
      <c r="P142" s="10" t="s">
        <v>137</v>
      </c>
      <c r="Q142" s="10" t="s">
        <v>137</v>
      </c>
      <c r="R142" s="10" t="s">
        <v>137</v>
      </c>
      <c r="S142" s="10" t="s">
        <v>137</v>
      </c>
      <c r="T142" s="10" t="s">
        <v>321</v>
      </c>
    </row>
    <row r="143" spans="1:20" ht="15" customHeight="1" x14ac:dyDescent="0.25">
      <c r="A143" s="11" t="s">
        <v>316</v>
      </c>
      <c r="B143" s="11" t="s">
        <v>317</v>
      </c>
      <c r="C143" s="11" t="s">
        <v>318</v>
      </c>
      <c r="D143" s="11" t="s">
        <v>342</v>
      </c>
      <c r="E143" s="11" t="s">
        <v>343</v>
      </c>
      <c r="F143" s="11">
        <v>4</v>
      </c>
      <c r="G143" s="11">
        <v>46.404000000000003</v>
      </c>
      <c r="H143" s="11" t="s">
        <v>8</v>
      </c>
      <c r="I143" s="11" t="s">
        <v>137</v>
      </c>
      <c r="J143" s="11" t="s">
        <v>137</v>
      </c>
      <c r="K143" s="11" t="s">
        <v>2</v>
      </c>
      <c r="L143" s="11" t="s">
        <v>137</v>
      </c>
      <c r="M143" s="11" t="s">
        <v>137</v>
      </c>
      <c r="N143" s="11" t="s">
        <v>137</v>
      </c>
      <c r="O143" s="11" t="s">
        <v>137</v>
      </c>
      <c r="P143" s="11" t="s">
        <v>137</v>
      </c>
      <c r="Q143" s="11" t="s">
        <v>137</v>
      </c>
      <c r="R143" s="11" t="s">
        <v>137</v>
      </c>
      <c r="S143" s="11" t="s">
        <v>137</v>
      </c>
      <c r="T143" s="11" t="s">
        <v>321</v>
      </c>
    </row>
    <row r="144" spans="1:20" ht="15" customHeight="1" x14ac:dyDescent="0.25">
      <c r="A144" s="11" t="s">
        <v>316</v>
      </c>
      <c r="B144" s="11" t="s">
        <v>317</v>
      </c>
      <c r="C144" s="11" t="s">
        <v>318</v>
      </c>
      <c r="D144" s="11" t="s">
        <v>611</v>
      </c>
      <c r="E144" s="11" t="s">
        <v>612</v>
      </c>
      <c r="F144" s="11">
        <v>32</v>
      </c>
      <c r="G144" s="11">
        <v>221.876</v>
      </c>
      <c r="H144" s="11" t="s">
        <v>7</v>
      </c>
      <c r="I144" s="11" t="s">
        <v>137</v>
      </c>
      <c r="J144" s="11" t="s">
        <v>137</v>
      </c>
      <c r="K144" s="11" t="s">
        <v>2</v>
      </c>
      <c r="L144" s="11" t="s">
        <v>137</v>
      </c>
      <c r="M144" s="11" t="s">
        <v>137</v>
      </c>
      <c r="N144" s="11" t="s">
        <v>137</v>
      </c>
      <c r="O144" s="11" t="s">
        <v>137</v>
      </c>
      <c r="P144" s="11" t="s">
        <v>137</v>
      </c>
      <c r="Q144" s="11" t="s">
        <v>137</v>
      </c>
      <c r="R144" s="11" t="s">
        <v>137</v>
      </c>
      <c r="S144" s="11" t="s">
        <v>137</v>
      </c>
      <c r="T144" s="11" t="s">
        <v>321</v>
      </c>
    </row>
    <row r="145" spans="1:20" ht="15" customHeight="1" x14ac:dyDescent="0.25">
      <c r="A145" s="10" t="s">
        <v>316</v>
      </c>
      <c r="B145" s="10" t="s">
        <v>317</v>
      </c>
      <c r="C145" s="10" t="s">
        <v>318</v>
      </c>
      <c r="D145" s="10" t="s">
        <v>461</v>
      </c>
      <c r="E145" s="10" t="s">
        <v>462</v>
      </c>
      <c r="F145" s="10">
        <v>797</v>
      </c>
      <c r="G145" s="10">
        <v>942.72</v>
      </c>
      <c r="H145" s="10" t="s">
        <v>6</v>
      </c>
      <c r="I145" s="10" t="s">
        <v>137</v>
      </c>
      <c r="J145" s="10" t="s">
        <v>137</v>
      </c>
      <c r="K145" s="10" t="s">
        <v>1</v>
      </c>
      <c r="L145" s="10" t="s">
        <v>137</v>
      </c>
      <c r="M145" s="10" t="s">
        <v>137</v>
      </c>
      <c r="N145" s="10" t="s">
        <v>137</v>
      </c>
      <c r="O145" s="10" t="s">
        <v>137</v>
      </c>
      <c r="P145" s="10" t="s">
        <v>137</v>
      </c>
      <c r="Q145" s="10" t="s">
        <v>137</v>
      </c>
      <c r="R145" s="10" t="s">
        <v>137</v>
      </c>
      <c r="S145" s="10" t="s">
        <v>137</v>
      </c>
      <c r="T145" s="10" t="s">
        <v>321</v>
      </c>
    </row>
    <row r="146" spans="1:20" ht="15" customHeight="1" x14ac:dyDescent="0.25">
      <c r="A146" s="12" t="s">
        <v>316</v>
      </c>
      <c r="B146" s="12" t="s">
        <v>317</v>
      </c>
      <c r="C146" s="12" t="s">
        <v>318</v>
      </c>
      <c r="D146" s="12" t="s">
        <v>458</v>
      </c>
      <c r="E146" s="12" t="s">
        <v>4</v>
      </c>
      <c r="F146" s="12">
        <v>250</v>
      </c>
      <c r="G146" s="12">
        <v>281.04000000000002</v>
      </c>
      <c r="H146" s="12" t="s">
        <v>13</v>
      </c>
      <c r="I146" s="12" t="s">
        <v>137</v>
      </c>
      <c r="J146" s="12" t="s">
        <v>137</v>
      </c>
      <c r="K146" s="12" t="s">
        <v>4</v>
      </c>
      <c r="L146" s="12" t="s">
        <v>137</v>
      </c>
      <c r="M146" s="12" t="s">
        <v>137</v>
      </c>
      <c r="N146" s="12" t="s">
        <v>137</v>
      </c>
      <c r="O146" s="12" t="s">
        <v>137</v>
      </c>
      <c r="P146" s="12" t="s">
        <v>137</v>
      </c>
      <c r="Q146" s="12" t="s">
        <v>137</v>
      </c>
      <c r="R146" s="12" t="s">
        <v>137</v>
      </c>
      <c r="S146" s="12" t="s">
        <v>137</v>
      </c>
      <c r="T146" s="12" t="s">
        <v>321</v>
      </c>
    </row>
    <row r="147" spans="1:20" ht="15" customHeight="1" x14ac:dyDescent="0.25">
      <c r="A147" s="12" t="s">
        <v>316</v>
      </c>
      <c r="B147" s="12" t="s">
        <v>317</v>
      </c>
      <c r="C147" s="12" t="s">
        <v>318</v>
      </c>
      <c r="D147" s="12" t="s">
        <v>543</v>
      </c>
      <c r="E147" s="12" t="s">
        <v>544</v>
      </c>
      <c r="F147" s="12">
        <v>156</v>
      </c>
      <c r="G147" s="12">
        <v>162.24</v>
      </c>
      <c r="H147" s="12" t="s">
        <v>12</v>
      </c>
      <c r="I147" s="12" t="s">
        <v>137</v>
      </c>
      <c r="J147" s="12" t="s">
        <v>137</v>
      </c>
      <c r="K147" s="12" t="s">
        <v>4</v>
      </c>
      <c r="L147" s="12" t="s">
        <v>137</v>
      </c>
      <c r="M147" s="12" t="s">
        <v>137</v>
      </c>
      <c r="N147" s="12" t="s">
        <v>137</v>
      </c>
      <c r="O147" s="12" t="s">
        <v>137</v>
      </c>
      <c r="P147" s="12" t="s">
        <v>137</v>
      </c>
      <c r="Q147" s="12" t="s">
        <v>137</v>
      </c>
      <c r="R147" s="12" t="s">
        <v>137</v>
      </c>
      <c r="S147" s="12" t="s">
        <v>137</v>
      </c>
      <c r="T147" s="12" t="s">
        <v>321</v>
      </c>
    </row>
    <row r="148" spans="1:20" ht="15" customHeight="1" x14ac:dyDescent="0.25">
      <c r="A148" s="12" t="s">
        <v>316</v>
      </c>
      <c r="B148" s="12" t="s">
        <v>317</v>
      </c>
      <c r="C148" s="12" t="s">
        <v>318</v>
      </c>
      <c r="D148" s="12" t="s">
        <v>547</v>
      </c>
      <c r="E148" s="12" t="s">
        <v>548</v>
      </c>
      <c r="F148" s="12">
        <v>820</v>
      </c>
      <c r="G148" s="12">
        <v>881.9</v>
      </c>
      <c r="H148" s="12" t="s">
        <v>14</v>
      </c>
      <c r="I148" s="12" t="s">
        <v>137</v>
      </c>
      <c r="J148" s="12" t="s">
        <v>137</v>
      </c>
      <c r="K148" s="12" t="s">
        <v>4</v>
      </c>
      <c r="L148" s="12" t="s">
        <v>137</v>
      </c>
      <c r="M148" s="12" t="s">
        <v>137</v>
      </c>
      <c r="N148" s="12" t="s">
        <v>137</v>
      </c>
      <c r="O148" s="12" t="s">
        <v>137</v>
      </c>
      <c r="P148" s="12" t="s">
        <v>137</v>
      </c>
      <c r="Q148" s="12" t="s">
        <v>137</v>
      </c>
      <c r="R148" s="12" t="s">
        <v>137</v>
      </c>
      <c r="S148" s="12" t="s">
        <v>137</v>
      </c>
      <c r="T148" s="12" t="s">
        <v>321</v>
      </c>
    </row>
    <row r="149" spans="1:20" ht="15" customHeight="1" x14ac:dyDescent="0.25">
      <c r="A149" s="13" t="s">
        <v>316</v>
      </c>
      <c r="B149" s="13" t="s">
        <v>317</v>
      </c>
      <c r="C149" s="13" t="s">
        <v>318</v>
      </c>
      <c r="D149" s="13" t="s">
        <v>579</v>
      </c>
      <c r="E149" s="13" t="s">
        <v>580</v>
      </c>
      <c r="F149" s="13">
        <v>364</v>
      </c>
      <c r="G149" s="13">
        <v>1000.478</v>
      </c>
      <c r="H149" s="13" t="s">
        <v>9</v>
      </c>
      <c r="I149" s="13" t="s">
        <v>137</v>
      </c>
      <c r="J149" s="13" t="s">
        <v>137</v>
      </c>
      <c r="K149" s="13" t="s">
        <v>3</v>
      </c>
      <c r="L149" s="13" t="s">
        <v>137</v>
      </c>
      <c r="M149" s="13" t="s">
        <v>137</v>
      </c>
      <c r="N149" s="13" t="s">
        <v>137</v>
      </c>
      <c r="O149" s="13" t="s">
        <v>137</v>
      </c>
      <c r="P149" s="13" t="s">
        <v>137</v>
      </c>
      <c r="Q149" s="13" t="s">
        <v>137</v>
      </c>
      <c r="R149" s="13" t="s">
        <v>137</v>
      </c>
      <c r="S149" s="13" t="s">
        <v>137</v>
      </c>
      <c r="T149" s="13" t="s">
        <v>321</v>
      </c>
    </row>
    <row r="150" spans="1:20" ht="15" customHeight="1" x14ac:dyDescent="0.25">
      <c r="A150" s="13" t="s">
        <v>316</v>
      </c>
      <c r="B150" s="13" t="s">
        <v>317</v>
      </c>
      <c r="C150" s="13" t="s">
        <v>318</v>
      </c>
      <c r="D150" s="13" t="s">
        <v>613</v>
      </c>
      <c r="E150" s="13" t="s">
        <v>614</v>
      </c>
      <c r="F150" s="13">
        <v>38</v>
      </c>
      <c r="G150" s="13">
        <v>50.09</v>
      </c>
      <c r="H150" s="13" t="s">
        <v>10</v>
      </c>
      <c r="I150" s="13" t="s">
        <v>137</v>
      </c>
      <c r="J150" s="13" t="s">
        <v>137</v>
      </c>
      <c r="K150" s="13" t="s">
        <v>3</v>
      </c>
      <c r="L150" s="13" t="s">
        <v>137</v>
      </c>
      <c r="M150" s="13" t="s">
        <v>137</v>
      </c>
      <c r="N150" s="13" t="s">
        <v>137</v>
      </c>
      <c r="O150" s="13" t="s">
        <v>137</v>
      </c>
      <c r="P150" s="13" t="s">
        <v>137</v>
      </c>
      <c r="Q150" s="13" t="s">
        <v>137</v>
      </c>
      <c r="R150" s="13" t="s">
        <v>137</v>
      </c>
      <c r="S150" s="13" t="s">
        <v>137</v>
      </c>
      <c r="T150" s="13" t="s">
        <v>321</v>
      </c>
    </row>
    <row r="151" spans="1:20" ht="15" customHeight="1" x14ac:dyDescent="0.25">
      <c r="A151" s="13" t="s">
        <v>316</v>
      </c>
      <c r="B151" s="13" t="s">
        <v>317</v>
      </c>
      <c r="C151" s="13" t="s">
        <v>318</v>
      </c>
      <c r="D151" s="13" t="s">
        <v>617</v>
      </c>
      <c r="E151" s="13" t="s">
        <v>618</v>
      </c>
      <c r="F151" s="13">
        <v>14</v>
      </c>
      <c r="G151" s="13">
        <v>21.66</v>
      </c>
      <c r="H151" s="13" t="s">
        <v>11</v>
      </c>
      <c r="I151" s="13" t="s">
        <v>137</v>
      </c>
      <c r="J151" s="13" t="s">
        <v>137</v>
      </c>
      <c r="K151" s="13" t="s">
        <v>3</v>
      </c>
      <c r="L151" s="13" t="s">
        <v>137</v>
      </c>
      <c r="M151" s="13" t="s">
        <v>137</v>
      </c>
      <c r="N151" s="13" t="s">
        <v>137</v>
      </c>
      <c r="O151" s="13" t="s">
        <v>137</v>
      </c>
      <c r="P151" s="13" t="s">
        <v>137</v>
      </c>
      <c r="Q151" s="13" t="s">
        <v>137</v>
      </c>
      <c r="R151" s="13" t="s">
        <v>137</v>
      </c>
      <c r="S151" s="13" t="s">
        <v>137</v>
      </c>
      <c r="T151" s="13" t="s">
        <v>321</v>
      </c>
    </row>
    <row r="152" spans="1:20" ht="15" customHeight="1" x14ac:dyDescent="0.25"/>
    <row r="153" spans="1:20" ht="15" customHeight="1" x14ac:dyDescent="0.25"/>
    <row r="154" spans="1:20" ht="15" customHeight="1" x14ac:dyDescent="0.25"/>
    <row r="155" spans="1:20" ht="15" customHeight="1" x14ac:dyDescent="0.25"/>
    <row r="156" spans="1:20" ht="15" customHeight="1" x14ac:dyDescent="0.25"/>
    <row r="157" spans="1:20" ht="15" customHeight="1" x14ac:dyDescent="0.25"/>
    <row r="158" spans="1:20" ht="15" customHeight="1" x14ac:dyDescent="0.25"/>
    <row r="159" spans="1:20" ht="15" customHeight="1" x14ac:dyDescent="0.25"/>
    <row r="160" spans="1:2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BAO NICO</vt:lpstr>
      <vt:lpstr>LIST_BL_BAO NICO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2026-03-19T15:55:21Z</dcterms:created>
  <dcterms:modified xsi:type="dcterms:W3CDTF">2026-04-29T15:25:42Z</dcterms:modified>
</cp:coreProperties>
</file>