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0905" tabRatio="600" firstSheet="0" activeTab="0" autoFilterDateGrouping="1"/>
  </bookViews>
  <sheets>
    <sheet xmlns:r="http://schemas.openxmlformats.org/officeDocument/2006/relationships" name="RST 23-03-26 M" sheetId="1" state="visible" r:id="rId1"/>
  </sheets>
  <definedNames>
    <definedName name="ChronologieNative_DATE">#N/A</definedName>
    <definedName name="_xlnm._FilterDatabase" localSheetId="0" hidden="1">'RST 23-03-26 M'!$A$1:$Z$2064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5">
    <font>
      <name val="Calibri"/>
      <charset val="134"/>
      <color theme="1"/>
      <sz val="11"/>
      <scheme val="minor"/>
    </font>
    <font>
      <name val="Calibri"/>
      <family val="2"/>
      <color rgb="FFFF0000"/>
      <sz val="11"/>
      <scheme val="minor"/>
    </font>
    <font>
      <name val="Times New Roman"/>
      <charset val="134"/>
      <b val="1"/>
      <sz val="8"/>
    </font>
    <font>
      <name val="Times New Roman"/>
      <charset val="134"/>
      <b val="1"/>
      <color rgb="FF7030A0"/>
      <sz val="8"/>
    </font>
    <font>
      <name val="Times New Roman"/>
      <charset val="134"/>
      <b val="1"/>
      <color theme="1"/>
      <sz val="8"/>
    </font>
    <font>
      <name val="Times New Roman"/>
      <charset val="134"/>
      <b val="1"/>
      <color rgb="FF00B0F0"/>
      <sz val="8"/>
    </font>
    <font>
      <name val="Times New Roman"/>
      <charset val="134"/>
      <b val="1"/>
      <color rgb="FFFF0000"/>
      <sz val="8"/>
    </font>
    <font>
      <name val="Times New Roman"/>
      <charset val="134"/>
      <b val="1"/>
      <color rgb="FF0070C0"/>
      <sz val="8"/>
    </font>
    <font>
      <name val="Times New Roman"/>
      <charset val="134"/>
      <color theme="1"/>
      <sz val="12"/>
    </font>
    <font>
      <name val="Times New Roman"/>
      <charset val="134"/>
      <b val="1"/>
      <color rgb="FFFF0000"/>
      <sz val="9"/>
    </font>
    <font>
      <name val="Times New Roman"/>
      <charset val="134"/>
      <b val="1"/>
      <color rgb="FF7030A0"/>
      <sz val="9"/>
    </font>
    <font>
      <name val="Times New Roman"/>
      <charset val="134"/>
      <b val="1"/>
      <color rgb="FF00B0F0"/>
      <sz val="9"/>
    </font>
    <font>
      <name val="Times New Roman"/>
      <charset val="134"/>
      <color theme="1"/>
      <sz val="11"/>
    </font>
    <font>
      <name val="Times New Roman"/>
      <charset val="134"/>
      <sz val="9"/>
    </font>
    <font>
      <name val="Times New Roman"/>
      <charset val="134"/>
      <color rgb="FF7030A0"/>
      <sz val="9"/>
    </font>
    <font>
      <name val="Times New Roman"/>
      <charset val="134"/>
      <color rgb="FF00B0F0"/>
      <sz val="9"/>
    </font>
    <font>
      <name val="Times New Roman"/>
      <charset val="134"/>
      <color rgb="FFFF0000"/>
      <sz val="9"/>
    </font>
    <font>
      <name val="Times New Roman"/>
      <charset val="134"/>
      <color rgb="FF0070C0"/>
      <sz val="9"/>
    </font>
    <font>
      <name val="Times New Roman"/>
      <charset val="134"/>
      <b val="1"/>
      <color rgb="FF0070C0"/>
      <sz val="9"/>
    </font>
    <font>
      <name val="Times New Roman"/>
      <charset val="134"/>
      <color theme="1"/>
      <sz val="9"/>
    </font>
    <font>
      <name val="Times New Roman"/>
      <family val="1"/>
      <color rgb="FFFF0000"/>
      <sz val="9"/>
    </font>
    <font>
      <name val="Times New Roman"/>
      <family val="1"/>
      <b val="1"/>
      <color rgb="FFFF0000"/>
      <sz val="9"/>
    </font>
    <font>
      <name val="Calibri"/>
      <charset val="134"/>
      <color theme="10"/>
      <sz val="11"/>
      <u val="single"/>
      <scheme val="minor"/>
    </font>
    <font>
      <name val="Calibri"/>
      <charset val="134"/>
      <color rgb="FFFF0000"/>
      <sz val="11"/>
      <u val="single"/>
      <scheme val="minor"/>
    </font>
    <font>
      <name val="Times New Roman"/>
      <charset val="134"/>
      <b val="1"/>
      <sz val="9"/>
    </font>
    <font>
      <name val="Times New Roman"/>
      <family val="1"/>
      <sz val="9"/>
    </font>
    <font>
      <name val="Times New Roman"/>
      <family val="1"/>
      <color theme="1"/>
      <sz val="9"/>
    </font>
    <font>
      <name val="Times New Roman"/>
      <family val="1"/>
      <color rgb="FF0070C0"/>
      <sz val="9"/>
    </font>
    <font>
      <name val="Tahoma"/>
      <charset val="1"/>
      <b val="1"/>
      <sz val="9"/>
    </font>
    <font>
      <name val="Tahoma"/>
      <charset val="1"/>
      <sz val="9"/>
    </font>
    <font>
      <name val="Tahoma"/>
      <charset val="134"/>
      <b val="1"/>
      <sz val="9"/>
    </font>
    <font>
      <name val="Tahoma"/>
      <charset val="134"/>
      <sz val="9"/>
    </font>
    <font>
      <name val="Times New Roman"/>
      <color rgb="00FF0000"/>
      <sz val="9"/>
    </font>
    <font>
      <name val="Times New Roman"/>
      <b val="1"/>
      <color rgb="00FF0000"/>
      <sz val="9"/>
    </font>
    <font>
      <b val="1"/>
      <color rgb="00FF0000"/>
    </font>
  </fonts>
  <fills count="2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C00000"/>
        <bgColor theme="5" tint="0.5999938962981048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theme="5" tint="0.5999938962981048"/>
      </patternFill>
    </fill>
    <fill>
      <patternFill patternType="solid">
        <fgColor rgb="FF7030A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3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BDD7EE"/>
        <bgColor rgb="00BDD7EE"/>
      </patternFill>
    </fill>
    <fill>
      <patternFill patternType="solid">
        <fgColor rgb="0040E0D0"/>
        <bgColor rgb="0040E0D0"/>
      </patternFill>
    </fill>
    <fill>
      <patternFill patternType="solid">
        <fgColor rgb="00FFFF00"/>
        <bgColor rgb="00FFFF00"/>
      </patternFill>
    </fill>
  </fills>
  <borders count="4">
    <border>
      <left/>
      <right/>
      <top/>
      <bottom/>
      <diagonal/>
    </border>
    <border>
      <left style="thin">
        <color theme="5" tint="0.3999450666829432"/>
      </left>
      <right style="thin">
        <color theme="5" tint="0.3999450666829432"/>
      </right>
      <top style="thin">
        <color theme="5" tint="0.3999450666829432"/>
      </top>
      <bottom style="thin">
        <color theme="5" tint="0.3999450666829432"/>
      </bottom>
      <diagonal/>
    </border>
    <border>
      <left/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</borders>
  <cellStyleXfs count="2">
    <xf numFmtId="0" fontId="0" fillId="0" borderId="0"/>
    <xf numFmtId="0" fontId="22" fillId="0" borderId="0"/>
  </cellStyleXfs>
  <cellXfs count="32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4" fontId="4" fillId="3" borderId="1" applyAlignment="1" pivotButton="0" quotePrefix="0" xfId="0">
      <alignment horizontal="center" vertical="center" wrapText="1"/>
    </xf>
    <xf numFmtId="14" fontId="4" fillId="4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1" fontId="2" fillId="2" borderId="1" applyAlignment="1" pivotButton="0" quotePrefix="0" xfId="0">
      <alignment horizontal="center" vertical="center" wrapText="1"/>
    </xf>
    <xf numFmtId="1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vertical="center"/>
    </xf>
    <xf numFmtId="14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49" fontId="10" fillId="5" borderId="1" applyAlignment="1" pivotButton="0" quotePrefix="0" xfId="0">
      <alignment horizontal="right" vertical="center"/>
    </xf>
    <xf numFmtId="49" fontId="9" fillId="5" borderId="1" applyAlignment="1" pivotButton="0" quotePrefix="0" xfId="0">
      <alignment horizontal="center" vertical="center"/>
    </xf>
    <xf numFmtId="1" fontId="9" fillId="5" borderId="1" applyAlignment="1" pivotButton="0" quotePrefix="0" xfId="0">
      <alignment horizontal="center" vertical="center"/>
    </xf>
    <xf numFmtId="1" fontId="11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vertical="center"/>
    </xf>
    <xf numFmtId="14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49" fontId="10" fillId="6" borderId="1" applyAlignment="1" pivotButton="0" quotePrefix="0" xfId="0">
      <alignment horizontal="right" vertical="center"/>
    </xf>
    <xf numFmtId="49" fontId="9" fillId="6" borderId="1" applyAlignment="1" pivotButton="0" quotePrefix="0" xfId="0">
      <alignment horizontal="center" vertical="center"/>
    </xf>
    <xf numFmtId="1" fontId="9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14" fontId="13" fillId="0" borderId="1" applyAlignment="1" pivotButton="0" quotePrefix="0" xfId="0">
      <alignment horizontal="center" vertical="center"/>
    </xf>
    <xf numFmtId="1" fontId="13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14" fontId="13" fillId="4" borderId="1" applyAlignment="1" pivotButton="0" quotePrefix="0" xfId="0">
      <alignment horizontal="center" vertical="center"/>
    </xf>
    <xf numFmtId="14" fontId="13" fillId="7" borderId="1" applyAlignment="1" pivotButton="0" quotePrefix="0" xfId="0">
      <alignment horizontal="center" vertical="center"/>
    </xf>
    <xf numFmtId="49" fontId="14" fillId="0" borderId="1" applyAlignment="1" pivotButton="0" quotePrefix="0" xfId="0">
      <alignment horizontal="center" vertical="center"/>
    </xf>
    <xf numFmtId="1" fontId="15" fillId="0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vertical="center"/>
    </xf>
    <xf numFmtId="14" fontId="19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49" fontId="14" fillId="0" borderId="1" applyAlignment="1" pivotButton="0" quotePrefix="0" xfId="0">
      <alignment horizontal="right" vertical="center"/>
    </xf>
    <xf numFmtId="1" fontId="19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vertical="center"/>
    </xf>
    <xf numFmtId="14" fontId="16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center"/>
    </xf>
    <xf numFmtId="14" fontId="16" fillId="10" borderId="1" applyAlignment="1" pivotButton="0" quotePrefix="0" xfId="0">
      <alignment horizontal="center" vertical="center"/>
    </xf>
    <xf numFmtId="49" fontId="16" fillId="3" borderId="1" applyAlignment="1" pivotButton="0" quotePrefix="0" xfId="0">
      <alignment horizontal="right" vertical="center"/>
    </xf>
    <xf numFmtId="1" fontId="16" fillId="3" borderId="1" applyAlignment="1" pivotButton="0" quotePrefix="0" xfId="0">
      <alignment horizontal="center" vertical="center"/>
    </xf>
    <xf numFmtId="164" fontId="16" fillId="3" borderId="1" applyAlignment="1" pivotButton="0" quotePrefix="0" xfId="0">
      <alignment horizontal="center" vertical="center"/>
    </xf>
    <xf numFmtId="1" fontId="15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19" fillId="11" borderId="1" applyAlignment="1" pivotButton="0" quotePrefix="0" xfId="0">
      <alignment vertical="center"/>
    </xf>
    <xf numFmtId="14" fontId="19" fillId="11" borderId="1" applyAlignment="1" pivotButton="0" quotePrefix="0" xfId="0">
      <alignment horizontal="center" vertical="center"/>
    </xf>
    <xf numFmtId="14" fontId="19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left" vertical="center"/>
    </xf>
    <xf numFmtId="0" fontId="19" fillId="8" borderId="1" applyAlignment="1" pivotButton="0" quotePrefix="0" xfId="0">
      <alignment vertical="center"/>
    </xf>
    <xf numFmtId="49" fontId="14" fillId="8" borderId="1" applyAlignment="1" pivotButton="0" quotePrefix="0" xfId="0">
      <alignment horizontal="right" vertical="center"/>
    </xf>
    <xf numFmtId="1" fontId="19" fillId="8" borderId="1" applyAlignment="1" pivotButton="0" quotePrefix="0" xfId="0">
      <alignment horizontal="center" vertical="center"/>
    </xf>
    <xf numFmtId="164" fontId="14" fillId="8" borderId="1" applyAlignment="1" pivotButton="0" quotePrefix="0" xfId="0">
      <alignment horizontal="center" vertical="center"/>
    </xf>
    <xf numFmtId="1" fontId="15" fillId="8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1" fontId="19" fillId="12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center"/>
    </xf>
    <xf numFmtId="49" fontId="14" fillId="3" borderId="1" applyAlignment="1" pivotButton="0" quotePrefix="0" xfId="0">
      <alignment horizontal="right" vertical="center"/>
    </xf>
    <xf numFmtId="14" fontId="13" fillId="3" borderId="1" applyAlignment="1" pivotButton="0" quotePrefix="0" xfId="0">
      <alignment horizontal="center" vertical="center"/>
    </xf>
    <xf numFmtId="14" fontId="13" fillId="10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20" fillId="3" borderId="1" applyAlignment="1" pivotButton="0" quotePrefix="0" xfId="0">
      <alignment vertical="center"/>
    </xf>
    <xf numFmtId="14" fontId="20" fillId="3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left" vertical="center"/>
    </xf>
    <xf numFmtId="14" fontId="20" fillId="10" borderId="1" applyAlignment="1" pivotButton="0" quotePrefix="0" xfId="0">
      <alignment horizontal="center" vertical="center"/>
    </xf>
    <xf numFmtId="49" fontId="20" fillId="3" borderId="1" applyAlignment="1" pivotButton="0" quotePrefix="0" xfId="0">
      <alignment horizontal="right" vertical="center"/>
    </xf>
    <xf numFmtId="1" fontId="20" fillId="3" borderId="1" applyAlignment="1" pivotButton="0" quotePrefix="0" xfId="0">
      <alignment horizontal="center" vertical="center"/>
    </xf>
    <xf numFmtId="164" fontId="20" fillId="3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vertical="center"/>
    </xf>
    <xf numFmtId="14" fontId="19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23" fillId="0" borderId="1" applyAlignment="1" pivotButton="0" quotePrefix="0" xfId="1">
      <alignment horizontal="left" vertical="center"/>
    </xf>
    <xf numFmtId="0" fontId="19" fillId="14" borderId="1" applyAlignment="1" pivotButton="0" quotePrefix="0" xfId="0">
      <alignment horizontal="center" vertical="center"/>
    </xf>
    <xf numFmtId="0" fontId="19" fillId="14" borderId="1" applyAlignment="1" pivotButton="0" quotePrefix="0" xfId="0">
      <alignment vertical="center"/>
    </xf>
    <xf numFmtId="14" fontId="19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left" vertical="center"/>
    </xf>
    <xf numFmtId="14" fontId="13" fillId="14" borderId="1" applyAlignment="1" pivotButton="0" quotePrefix="0" xfId="0">
      <alignment horizontal="center" vertical="center"/>
    </xf>
    <xf numFmtId="49" fontId="14" fillId="14" borderId="1" applyAlignment="1" pivotButton="0" quotePrefix="0" xfId="0">
      <alignment horizontal="right" vertical="center"/>
    </xf>
    <xf numFmtId="1" fontId="19" fillId="14" borderId="1" applyAlignment="1" pivotButton="0" quotePrefix="0" xfId="0">
      <alignment horizontal="center" vertical="center"/>
    </xf>
    <xf numFmtId="164" fontId="14" fillId="14" borderId="1" applyAlignment="1" pivotButton="0" quotePrefix="0" xfId="0">
      <alignment horizontal="center" vertical="center"/>
    </xf>
    <xf numFmtId="1" fontId="15" fillId="14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center" vertical="center"/>
    </xf>
    <xf numFmtId="0" fontId="19" fillId="15" borderId="1" applyAlignment="1" pivotButton="0" quotePrefix="0" xfId="0">
      <alignment vertical="center"/>
    </xf>
    <xf numFmtId="14" fontId="19" fillId="15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left" vertical="center"/>
    </xf>
    <xf numFmtId="14" fontId="13" fillId="15" borderId="1" applyAlignment="1" pivotButton="0" quotePrefix="0" xfId="0">
      <alignment horizontal="center" vertical="center"/>
    </xf>
    <xf numFmtId="49" fontId="14" fillId="15" borderId="1" applyAlignment="1" pivotButton="0" quotePrefix="0" xfId="0">
      <alignment horizontal="right" vertical="center"/>
    </xf>
    <xf numFmtId="1" fontId="19" fillId="15" borderId="1" applyAlignment="1" pivotButton="0" quotePrefix="0" xfId="0">
      <alignment horizontal="center" vertical="center"/>
    </xf>
    <xf numFmtId="164" fontId="14" fillId="15" borderId="1" applyAlignment="1" pivotButton="0" quotePrefix="0" xfId="0">
      <alignment horizontal="center" vertical="center"/>
    </xf>
    <xf numFmtId="1" fontId="15" fillId="15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left" vertical="center"/>
    </xf>
    <xf numFmtId="0" fontId="18" fillId="16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left" vertical="center"/>
    </xf>
    <xf numFmtId="0" fontId="19" fillId="17" borderId="1" applyAlignment="1" pivotButton="0" quotePrefix="0" xfId="0">
      <alignment horizontal="center" vertical="center"/>
    </xf>
    <xf numFmtId="0" fontId="19" fillId="17" borderId="1" applyAlignment="1" pivotButton="0" quotePrefix="0" xfId="0">
      <alignment vertical="center"/>
    </xf>
    <xf numFmtId="14" fontId="19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left" vertical="center"/>
    </xf>
    <xf numFmtId="0" fontId="19" fillId="17" borderId="1" applyAlignment="1" pivotButton="0" quotePrefix="0" xfId="0">
      <alignment horizontal="left" vertical="center"/>
    </xf>
    <xf numFmtId="49" fontId="14" fillId="17" borderId="1" applyAlignment="1" pivotButton="0" quotePrefix="0" xfId="0">
      <alignment horizontal="right" vertical="center"/>
    </xf>
    <xf numFmtId="1" fontId="19" fillId="17" borderId="1" applyAlignment="1" pivotButton="0" quotePrefix="0" xfId="0">
      <alignment horizontal="center" vertical="center"/>
    </xf>
    <xf numFmtId="164" fontId="14" fillId="17" borderId="1" applyAlignment="1" pivotButton="0" quotePrefix="0" xfId="0">
      <alignment horizontal="center" vertical="center"/>
    </xf>
    <xf numFmtId="1" fontId="15" fillId="17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left" vertical="center"/>
    </xf>
    <xf numFmtId="0" fontId="19" fillId="16" borderId="1" applyAlignment="1" pivotButton="0" quotePrefix="0" xfId="0">
      <alignment horizontal="center" vertical="center"/>
    </xf>
    <xf numFmtId="0" fontId="19" fillId="16" borderId="1" applyAlignment="1" pivotButton="0" quotePrefix="0" xfId="0">
      <alignment vertical="center"/>
    </xf>
    <xf numFmtId="14" fontId="19" fillId="1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left" vertical="center"/>
    </xf>
    <xf numFmtId="49" fontId="14" fillId="16" borderId="1" applyAlignment="1" pivotButton="0" quotePrefix="0" xfId="0">
      <alignment horizontal="right" vertical="center"/>
    </xf>
    <xf numFmtId="1" fontId="19" fillId="16" borderId="1" applyAlignment="1" pivotButton="0" quotePrefix="0" xfId="0">
      <alignment horizontal="center" vertical="center"/>
    </xf>
    <xf numFmtId="164" fontId="14" fillId="16" borderId="1" applyAlignment="1" pivotButton="0" quotePrefix="0" xfId="0">
      <alignment horizontal="center" vertical="center"/>
    </xf>
    <xf numFmtId="1" fontId="15" fillId="16" borderId="1" applyAlignment="1" pivotButton="0" quotePrefix="0" xfId="0">
      <alignment horizontal="center" vertical="center"/>
    </xf>
    <xf numFmtId="14" fontId="16" fillId="4" borderId="1" applyAlignment="1" pivotButton="0" quotePrefix="0" xfId="0">
      <alignment horizontal="center" vertical="center"/>
    </xf>
    <xf numFmtId="0" fontId="13" fillId="16" borderId="1" applyAlignment="1" pivotButton="0" quotePrefix="0" xfId="0">
      <alignment vertical="center"/>
    </xf>
    <xf numFmtId="14" fontId="13" fillId="16" borderId="1" applyAlignment="1" pivotButton="0" quotePrefix="0" xfId="0">
      <alignment horizontal="center" vertical="center"/>
    </xf>
    <xf numFmtId="49" fontId="13" fillId="16" borderId="1" applyAlignment="1" pivotButton="0" quotePrefix="0" xfId="0">
      <alignment horizontal="right" vertical="center"/>
    </xf>
    <xf numFmtId="1" fontId="13" fillId="16" borderId="1" applyAlignment="1" pivotButton="0" quotePrefix="0" xfId="0">
      <alignment horizontal="center" vertical="center"/>
    </xf>
    <xf numFmtId="164" fontId="13" fillId="16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1" fontId="12" fillId="16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vertical="center"/>
    </xf>
    <xf numFmtId="14" fontId="13" fillId="11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left" vertical="center" wrapText="1"/>
    </xf>
    <xf numFmtId="0" fontId="19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vertical="center"/>
    </xf>
    <xf numFmtId="14" fontId="19" fillId="20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left" vertical="center"/>
    </xf>
    <xf numFmtId="49" fontId="14" fillId="20" borderId="1" applyAlignment="1" pivotButton="0" quotePrefix="0" xfId="0">
      <alignment horizontal="right" vertical="center"/>
    </xf>
    <xf numFmtId="1" fontId="19" fillId="20" borderId="1" applyAlignment="1" pivotButton="0" quotePrefix="0" xfId="0">
      <alignment horizontal="center" vertical="center"/>
    </xf>
    <xf numFmtId="164" fontId="14" fillId="20" borderId="1" applyAlignment="1" pivotButton="0" quotePrefix="0" xfId="0">
      <alignment horizontal="center" vertical="center"/>
    </xf>
    <xf numFmtId="1" fontId="15" fillId="20" borderId="1" applyAlignment="1" pivotButton="0" quotePrefix="0" xfId="0">
      <alignment horizontal="center" vertical="center"/>
    </xf>
    <xf numFmtId="0" fontId="16" fillId="20" borderId="1" applyAlignment="1" pivotButton="0" quotePrefix="0" xfId="0">
      <alignment horizontal="left" vertical="center"/>
    </xf>
    <xf numFmtId="0" fontId="13" fillId="20" borderId="1" applyAlignment="1" pivotButton="0" quotePrefix="0" xfId="0">
      <alignment horizontal="left" vertical="center"/>
    </xf>
    <xf numFmtId="0" fontId="18" fillId="20" borderId="1" applyAlignment="1" pivotButton="0" quotePrefix="0" xfId="0">
      <alignment horizontal="center" vertical="center"/>
    </xf>
    <xf numFmtId="0" fontId="0" fillId="0" borderId="0" pivotButton="0" quotePrefix="0" xfId="0"/>
    <xf numFmtId="14" fontId="13" fillId="20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left" vertical="center"/>
    </xf>
    <xf numFmtId="0" fontId="16" fillId="0" borderId="1" applyAlignment="1" pivotButton="0" quotePrefix="0" xfId="0">
      <alignment vertical="center"/>
    </xf>
    <xf numFmtId="0" fontId="19" fillId="21" borderId="1" applyAlignment="1" pivotButton="0" quotePrefix="0" xfId="0">
      <alignment horizontal="center" vertical="center"/>
    </xf>
    <xf numFmtId="0" fontId="19" fillId="21" borderId="1" applyAlignment="1" pivotButton="0" quotePrefix="0" xfId="0">
      <alignment vertical="center"/>
    </xf>
    <xf numFmtId="14" fontId="19" fillId="21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center" vertical="center"/>
    </xf>
    <xf numFmtId="0" fontId="14" fillId="21" borderId="1" applyAlignment="1" pivotButton="0" quotePrefix="0" xfId="0">
      <alignment horizontal="center" vertical="center"/>
    </xf>
    <xf numFmtId="0" fontId="15" fillId="21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left" vertical="center"/>
    </xf>
    <xf numFmtId="14" fontId="13" fillId="21" borderId="1" applyAlignment="1" pivotButton="0" quotePrefix="0" xfId="0">
      <alignment horizontal="center" vertical="center"/>
    </xf>
    <xf numFmtId="49" fontId="14" fillId="21" borderId="1" applyAlignment="1" pivotButton="0" quotePrefix="0" xfId="0">
      <alignment horizontal="right" vertical="center"/>
    </xf>
    <xf numFmtId="1" fontId="19" fillId="21" borderId="1" applyAlignment="1" pivotButton="0" quotePrefix="0" xfId="0">
      <alignment horizontal="center" vertical="center"/>
    </xf>
    <xf numFmtId="164" fontId="14" fillId="21" borderId="1" applyAlignment="1" pivotButton="0" quotePrefix="0" xfId="0">
      <alignment horizontal="center" vertical="center"/>
    </xf>
    <xf numFmtId="0" fontId="16" fillId="20" borderId="1" applyAlignment="1" pivotButton="0" quotePrefix="0" xfId="0">
      <alignment vertical="center"/>
    </xf>
    <xf numFmtId="1" fontId="15" fillId="21" borderId="1" applyAlignment="1" pivotButton="0" quotePrefix="0" xfId="0">
      <alignment horizontal="center" vertical="center"/>
    </xf>
    <xf numFmtId="165" fontId="14" fillId="21" borderId="1" applyAlignment="1" pivotButton="0" quotePrefix="0" xfId="0">
      <alignment horizontal="center" vertical="center"/>
    </xf>
    <xf numFmtId="2" fontId="14" fillId="15" borderId="1" applyAlignment="1" pivotButton="0" quotePrefix="0" xfId="0">
      <alignment horizontal="center" vertical="center"/>
    </xf>
    <xf numFmtId="2" fontId="14" fillId="21" borderId="1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2" fontId="14" fillId="2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vertical="center"/>
    </xf>
    <xf numFmtId="14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49" fontId="16" fillId="0" borderId="1" applyAlignment="1" pivotButton="0" quotePrefix="0" xfId="0">
      <alignment horizontal="right" vertical="center"/>
    </xf>
    <xf numFmtId="1" fontId="16" fillId="0" borderId="1" applyAlignment="1" pivotButton="0" quotePrefix="0" xfId="0">
      <alignment horizontal="center" vertical="center"/>
    </xf>
    <xf numFmtId="2" fontId="16" fillId="0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14" fontId="19" fillId="4" borderId="1" applyAlignment="1" pivotButton="0" quotePrefix="0" xfId="0">
      <alignment horizontal="center" vertical="center"/>
    </xf>
    <xf numFmtId="165" fontId="16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19" fillId="20" borderId="1" applyAlignment="1" pivotButton="0" quotePrefix="0" xfId="0">
      <alignment horizontal="right" vertical="center"/>
    </xf>
    <xf numFmtId="164" fontId="19" fillId="2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0" fontId="19" fillId="3" borderId="1" applyAlignment="1" pivotButton="0" quotePrefix="0" xfId="0">
      <alignment vertical="center"/>
    </xf>
    <xf numFmtId="14" fontId="19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left" vertical="center"/>
    </xf>
    <xf numFmtId="0" fontId="19" fillId="3" borderId="1" applyAlignment="1" pivotButton="0" quotePrefix="0" xfId="0">
      <alignment horizontal="left" vertical="center"/>
    </xf>
    <xf numFmtId="1" fontId="19" fillId="3" borderId="1" applyAlignment="1" pivotButton="0" quotePrefix="0" xfId="0">
      <alignment horizontal="center" vertical="center"/>
    </xf>
    <xf numFmtId="164" fontId="1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left" vertical="center"/>
    </xf>
    <xf numFmtId="49" fontId="14" fillId="11" borderId="1" applyAlignment="1" pivotButton="0" quotePrefix="0" xfId="0">
      <alignment horizontal="right" vertical="center"/>
    </xf>
    <xf numFmtId="1" fontId="19" fillId="11" borderId="1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left" vertical="center"/>
    </xf>
    <xf numFmtId="14" fontId="20" fillId="3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14" fontId="19" fillId="20" borderId="1" applyAlignment="1" pivotButton="0" quotePrefix="0" xfId="0">
      <alignment horizontal="left" vertical="center"/>
    </xf>
    <xf numFmtId="49" fontId="19" fillId="21" borderId="1" applyAlignment="1" pivotButton="0" quotePrefix="0" xfId="0">
      <alignment horizontal="right" vertical="center"/>
    </xf>
    <xf numFmtId="164" fontId="19" fillId="21" borderId="1" applyAlignment="1" pivotButton="0" quotePrefix="0" xfId="0">
      <alignment horizontal="center" vertical="center"/>
    </xf>
    <xf numFmtId="0" fontId="14" fillId="21" borderId="1" applyAlignment="1" pivotButton="0" quotePrefix="0" xfId="0">
      <alignment horizontal="left" vertical="center"/>
    </xf>
    <xf numFmtId="0" fontId="13" fillId="21" borderId="1" applyAlignment="1" pivotButton="0" quotePrefix="0" xfId="0">
      <alignment vertical="center"/>
    </xf>
    <xf numFmtId="49" fontId="13" fillId="21" borderId="1" applyAlignment="1" pivotButton="0" quotePrefix="0" xfId="0">
      <alignment horizontal="right" vertical="center"/>
    </xf>
    <xf numFmtId="1" fontId="13" fillId="21" borderId="1" applyAlignment="1" pivotButton="0" quotePrefix="0" xfId="0">
      <alignment horizontal="center" vertical="center"/>
    </xf>
    <xf numFmtId="164" fontId="13" fillId="21" borderId="1" applyAlignment="1" pivotButton="0" quotePrefix="0" xfId="0">
      <alignment horizontal="center" vertical="center"/>
    </xf>
    <xf numFmtId="0" fontId="1" fillId="3" borderId="0" pivotButton="0" quotePrefix="0" xfId="0"/>
    <xf numFmtId="0" fontId="26" fillId="15" borderId="1" applyAlignment="1" pivotButton="0" quotePrefix="0" xfId="0">
      <alignment horizontal="left" vertical="center"/>
    </xf>
    <xf numFmtId="0" fontId="16" fillId="14" borderId="1" applyAlignment="1" pivotButton="0" quotePrefix="0" xfId="0">
      <alignment horizontal="left" vertical="center"/>
    </xf>
    <xf numFmtId="1" fontId="15" fillId="0" borderId="1" applyAlignment="1" pivotButton="0" quotePrefix="0" xfId="0">
      <alignment horizontal="center" vertical="center"/>
    </xf>
    <xf numFmtId="0" fontId="26" fillId="11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14" fontId="19" fillId="22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0" fontId="14" fillId="22" borderId="1" applyAlignment="1" pivotButton="0" quotePrefix="0" xfId="0">
      <alignment horizontal="center" vertical="center"/>
    </xf>
    <xf numFmtId="0" fontId="20" fillId="22" borderId="1" applyAlignment="1" pivotButton="0" quotePrefix="0" xfId="0">
      <alignment horizontal="center" vertical="center"/>
    </xf>
    <xf numFmtId="0" fontId="26" fillId="22" borderId="1" applyAlignment="1" pivotButton="0" quotePrefix="0" xfId="0">
      <alignment vertical="center"/>
    </xf>
    <xf numFmtId="14" fontId="13" fillId="22" borderId="1" applyAlignment="1" pivotButton="0" quotePrefix="0" xfId="0">
      <alignment horizontal="center" vertical="center"/>
    </xf>
    <xf numFmtId="0" fontId="19" fillId="22" borderId="1" applyAlignment="1" pivotButton="0" quotePrefix="0" xfId="0">
      <alignment vertical="center"/>
    </xf>
    <xf numFmtId="1" fontId="20" fillId="22" borderId="1" applyAlignment="1" pivotButton="0" quotePrefix="0" xfId="0">
      <alignment horizontal="center" vertical="center"/>
    </xf>
    <xf numFmtId="0" fontId="16" fillId="22" borderId="1" applyAlignment="1" pivotButton="0" quotePrefix="0" xfId="0">
      <alignment horizontal="left" vertical="center"/>
    </xf>
    <xf numFmtId="0" fontId="25" fillId="22" borderId="1" applyAlignment="1" pivotButton="0" quotePrefix="0" xfId="0">
      <alignment horizontal="left" vertical="center"/>
    </xf>
    <xf numFmtId="0" fontId="18" fillId="22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vertical="center"/>
    </xf>
    <xf numFmtId="1" fontId="26" fillId="21" borderId="1" applyAlignment="1" pivotButton="0" quotePrefix="0" xfId="0">
      <alignment horizontal="center" vertical="center"/>
    </xf>
    <xf numFmtId="0" fontId="15" fillId="21" borderId="1" applyAlignment="1" pivotButton="0" quotePrefix="0" xfId="0">
      <alignment vertical="center"/>
    </xf>
    <xf numFmtId="0" fontId="19" fillId="23" borderId="1" applyAlignment="1" pivotButton="0" quotePrefix="0" xfId="0">
      <alignment horizontal="center" vertical="center"/>
    </xf>
    <xf numFmtId="0" fontId="19" fillId="23" borderId="1" applyAlignment="1" pivotButton="0" quotePrefix="0" xfId="0">
      <alignment vertical="center"/>
    </xf>
    <xf numFmtId="14" fontId="19" fillId="23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 vertical="center"/>
    </xf>
    <xf numFmtId="14" fontId="13" fillId="23" borderId="1" applyAlignment="1" pivotButton="0" quotePrefix="0" xfId="0">
      <alignment horizontal="center" vertical="center"/>
    </xf>
    <xf numFmtId="1" fontId="19" fillId="23" borderId="1" applyAlignment="1" pivotButton="0" quotePrefix="0" xfId="0">
      <alignment horizontal="center" vertical="center"/>
    </xf>
    <xf numFmtId="164" fontId="14" fillId="23" borderId="1" applyAlignment="1" pivotButton="0" quotePrefix="0" xfId="0">
      <alignment horizontal="center" vertical="center"/>
    </xf>
    <xf numFmtId="14" fontId="19" fillId="0" borderId="1" applyAlignment="1" pivotButton="0" quotePrefix="0" xfId="0">
      <alignment vertical="center"/>
    </xf>
    <xf numFmtId="0" fontId="19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vertical="center"/>
    </xf>
    <xf numFmtId="14" fontId="19" fillId="24" borderId="1" applyAlignment="1" pivotButton="0" quotePrefix="0" xfId="0">
      <alignment horizontal="center" vertical="center"/>
    </xf>
    <xf numFmtId="0" fontId="13" fillId="24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center" vertical="center"/>
    </xf>
    <xf numFmtId="0" fontId="15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left" vertical="center"/>
    </xf>
    <xf numFmtId="14" fontId="13" fillId="24" borderId="1" applyAlignment="1" pivotButton="0" quotePrefix="0" xfId="0">
      <alignment horizontal="center" vertical="center"/>
    </xf>
    <xf numFmtId="49" fontId="14" fillId="24" borderId="1" applyAlignment="1" pivotButton="0" quotePrefix="0" xfId="0">
      <alignment horizontal="right" vertical="center"/>
    </xf>
    <xf numFmtId="1" fontId="19" fillId="24" borderId="1" applyAlignment="1" pivotButton="0" quotePrefix="0" xfId="0">
      <alignment horizontal="center" vertical="center"/>
    </xf>
    <xf numFmtId="164" fontId="14" fillId="24" borderId="1" applyAlignment="1" pivotButton="0" quotePrefix="0" xfId="0">
      <alignment horizontal="center" vertical="center"/>
    </xf>
    <xf numFmtId="1" fontId="15" fillId="24" borderId="1" applyAlignment="1" pivotButton="0" quotePrefix="0" xfId="0">
      <alignment horizontal="center" vertical="center"/>
    </xf>
    <xf numFmtId="0" fontId="13" fillId="25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center" vertical="center"/>
    </xf>
    <xf numFmtId="0" fontId="32" fillId="26" borderId="1" applyAlignment="1" pivotButton="0" quotePrefix="0" xfId="0">
      <alignment vertical="center"/>
    </xf>
    <xf numFmtId="14" fontId="32" fillId="26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left" vertical="center"/>
    </xf>
    <xf numFmtId="49" fontId="32" fillId="26" borderId="1" applyAlignment="1" pivotButton="0" quotePrefix="0" xfId="0">
      <alignment horizontal="right" vertical="center"/>
    </xf>
    <xf numFmtId="1" fontId="32" fillId="26" borderId="1" applyAlignment="1" pivotButton="0" quotePrefix="0" xfId="0">
      <alignment horizontal="center" vertical="center"/>
    </xf>
    <xf numFmtId="164" fontId="32" fillId="26" borderId="1" applyAlignment="1" pivotButton="0" quotePrefix="0" xfId="0">
      <alignment horizontal="center" vertical="center"/>
    </xf>
    <xf numFmtId="0" fontId="33" fillId="26" borderId="1" applyAlignment="1" pivotButton="0" quotePrefix="0" xfId="0">
      <alignment horizontal="center" vertical="center"/>
    </xf>
    <xf numFmtId="0" fontId="34" fillId="26" borderId="1" applyAlignment="1" pivotButton="0" quotePrefix="0" xfId="0">
      <alignment horizontal="center" vertical="center"/>
    </xf>
    <xf numFmtId="0" fontId="0" fillId="24" borderId="0" pivotButton="0" quotePrefix="0" xfId="0"/>
  </cellXfs>
  <cellStyles count="2">
    <cellStyle name="Normal" xfId="0" builtinId="0"/>
    <cellStyle name="Hyperlink" xfId="1" builtinId="8"/>
  </cellStyles>
  <dxfs count="10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TPONT HAMLIL</author>
    <author>TPONT ChefMag</author>
    <author>DOPE ZEGHOUANE</author>
  </authors>
  <commentList>
    <comment ref="H14" authorId="0" shapeId="0">
      <text>
        <t>TPONT HAMLIL:
embarquement par dp world</t>
      </text>
    </comment>
    <comment ref="H17" authorId="0" shapeId="0">
      <text>
        <t xml:space="preserve">TPONT HAMLIL:
</t>
      </text>
    </comment>
    <comment ref="Q17" authorId="1" shapeId="0">
      <text>
        <t>TPONT ChefMag:
01 CAISSE</t>
      </text>
    </comment>
    <comment ref="H139" authorId="2" shapeId="0">
      <text>
        <t>DOPE ZEGHOUANE:
TOLES EN PIECES</t>
      </text>
    </comment>
    <comment ref="E363" authorId="0" shapeId="0">
      <text>
        <t>TPONT HAMLIL:
195  fdx</t>
      </text>
    </comment>
    <comment ref="H412" authorId="0" shapeId="0">
      <text>
        <t>TPONT HAMLIL:
BACHAGE</t>
      </text>
    </comment>
    <comment ref="E542" authorId="0" shapeId="0">
      <text>
        <t>TPONT HAMLIL:
4643 pcs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AV2073"/>
  <sheetViews>
    <sheetView tabSelected="1" topLeftCell="D1" zoomScaleNormal="100" workbookViewId="0">
      <pane ySplit="1" topLeftCell="A305" activePane="bottomLeft" state="frozen"/>
      <selection pane="bottomLeft" activeCell="X317" sqref="X317"/>
    </sheetView>
  </sheetViews>
  <sheetFormatPr baseColWidth="8" defaultColWidth="11.42578125" defaultRowHeight="15.75"/>
  <cols>
    <col width="9" customWidth="1" style="116" min="1" max="1"/>
    <col width="13.5703125" customWidth="1" style="117" min="2" max="2"/>
    <col width="9.42578125" customWidth="1" style="118" min="3" max="3"/>
    <col width="8.85546875" customWidth="1" style="118" min="4" max="4"/>
    <col width="5.5703125" customWidth="1" style="116" min="5" max="5"/>
    <col width="6.7109375" customWidth="1" style="119" min="6" max="6"/>
    <col width="5.5703125" customWidth="1" style="120" min="7" max="7"/>
    <col width="15" customWidth="1" style="117" min="8" max="8"/>
    <col width="11" customWidth="1" style="117" min="9" max="9"/>
    <col width="9" customWidth="1" style="117" min="10" max="10"/>
    <col width="8.5703125" customWidth="1" style="299" min="11" max="12"/>
    <col width="6.85546875" customWidth="1" style="117" min="13" max="13"/>
    <col width="6.85546875" customWidth="1" style="116" min="14" max="14"/>
    <col width="6.85546875" customWidth="1" style="117" min="15" max="15"/>
    <col width="5.5703125" customWidth="1" style="288" min="16" max="16"/>
    <col width="7.7109375" customWidth="1" style="224" min="17" max="17"/>
    <col width="6.7109375" customWidth="1" style="117" min="18" max="18"/>
    <col width="17.5703125" customWidth="1" style="117" min="19" max="19"/>
    <col width="7.140625" customWidth="1" style="117" min="20" max="20"/>
    <col width="6.5703125" customWidth="1" style="117" min="21" max="21"/>
    <col width="3.7109375" customWidth="1" style="117" min="22" max="22"/>
    <col width="3.85546875" customWidth="1" style="117" min="23" max="23"/>
    <col width="5.5703125" customWidth="1" style="117" min="24" max="24"/>
    <col width="6" customWidth="1" style="117" min="25" max="25"/>
    <col width="8.7109375" customWidth="1" style="235" min="26" max="27"/>
    <col width="8.7109375" customWidth="1" style="32" min="28" max="28"/>
    <col width="8.7109375" customWidth="1" style="32" min="29" max="29"/>
    <col width="11.42578125" customWidth="1" style="32" min="30" max="32"/>
    <col width="11.42578125" customWidth="1" style="33" min="33" max="33"/>
    <col width="11.42578125" customWidth="1" style="34" min="34" max="48"/>
  </cols>
  <sheetData>
    <row r="1" ht="42" customFormat="1" customHeight="1" s="19">
      <c r="A1" s="3" t="inlineStr">
        <is>
          <t>N° ESCALE</t>
        </is>
      </c>
      <c r="B1" s="3" t="inlineStr">
        <is>
          <t>NAVIRE</t>
        </is>
      </c>
      <c r="C1" s="2" t="inlineStr">
        <is>
          <t>DATE D'ENTREE</t>
        </is>
      </c>
      <c r="D1" s="2" t="inlineStr">
        <is>
          <t>DATE FINITION</t>
        </is>
      </c>
      <c r="E1" s="3" t="inlineStr">
        <is>
          <t>QUANTITE MANIFETE</t>
        </is>
      </c>
      <c r="F1" s="4" t="inlineStr">
        <is>
          <t>TONNAGE MANIFETE</t>
        </is>
      </c>
      <c r="G1" s="5" t="inlineStr">
        <is>
          <t>SURFACE MANIFETE</t>
        </is>
      </c>
      <c r="H1" s="3" t="inlineStr">
        <is>
          <t>CLIENT</t>
        </is>
      </c>
      <c r="I1" s="3" t="inlineStr">
        <is>
          <t>Détails PRODUITS</t>
        </is>
      </c>
      <c r="J1" s="3" t="inlineStr">
        <is>
          <t>PRODUITS</t>
        </is>
      </c>
      <c r="K1" s="6" t="inlineStr">
        <is>
          <t>08 J</t>
        </is>
      </c>
      <c r="L1" s="7" t="inlineStr">
        <is>
          <t>2 M 08 J</t>
        </is>
      </c>
      <c r="M1" s="8" t="inlineStr">
        <is>
          <t>N° GROS / MRN</t>
        </is>
      </c>
      <c r="N1" s="9" t="inlineStr">
        <is>
          <t>RESTE QUANTITE</t>
        </is>
      </c>
      <c r="O1" s="3" t="inlineStr">
        <is>
          <t>RESTE TONNAGE</t>
        </is>
      </c>
      <c r="P1" s="10" t="inlineStr">
        <is>
          <t>RESTE SURFACE</t>
        </is>
      </c>
      <c r="Q1" s="11" t="inlineStr">
        <is>
          <t>OBSV 1</t>
        </is>
      </c>
      <c r="R1" s="12" t="inlineStr">
        <is>
          <t>MARKS</t>
        </is>
      </c>
      <c r="S1" s="11" t="inlineStr">
        <is>
          <t>B/L</t>
        </is>
      </c>
      <c r="T1" s="12" t="inlineStr">
        <is>
          <t>CRN / ART</t>
        </is>
      </c>
      <c r="U1" s="13" t="inlineStr">
        <is>
          <t>DESIGNATION</t>
        </is>
      </c>
      <c r="V1" s="3" t="inlineStr">
        <is>
          <t>LATITUDE</t>
        </is>
      </c>
      <c r="W1" s="3" t="inlineStr">
        <is>
          <t>LONGITUDE</t>
        </is>
      </c>
      <c r="X1" s="14" t="inlineStr">
        <is>
          <t>ETAT</t>
        </is>
      </c>
      <c r="Y1" s="12" t="n"/>
      <c r="Z1" s="15" t="n"/>
      <c r="AA1" s="15" t="n"/>
      <c r="AB1" s="16" t="n"/>
      <c r="AC1" s="16" t="n"/>
      <c r="AD1" s="16" t="n"/>
      <c r="AE1" s="16" t="n"/>
      <c r="AF1" s="16" t="n"/>
      <c r="AG1" s="17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  <c r="AS1" s="18" t="n"/>
      <c r="AT1" s="18" t="n"/>
      <c r="AU1" s="18" t="n"/>
      <c r="AV1" s="18" t="n"/>
    </row>
    <row r="2" ht="15" customHeight="1" s="202">
      <c r="A2" s="35" t="n"/>
      <c r="B2" s="21" t="n"/>
      <c r="C2" s="22" t="n"/>
      <c r="D2" s="22" t="n"/>
      <c r="E2" s="35" t="n"/>
      <c r="F2" s="23" t="n"/>
      <c r="G2" s="24" t="n"/>
      <c r="H2" s="25" t="n"/>
      <c r="I2" s="25" t="n"/>
      <c r="J2" s="21" t="inlineStr">
        <is>
          <t>COLIS</t>
        </is>
      </c>
      <c r="K2" s="22" t="n"/>
      <c r="L2" s="22" t="n"/>
      <c r="M2" s="26" t="n"/>
      <c r="N2" s="27" t="n">
        <v>568</v>
      </c>
      <c r="O2" s="28" t="n">
        <v>2244.912099999999</v>
      </c>
      <c r="P2" s="29" t="n">
        <v>1233</v>
      </c>
      <c r="Q2" s="25" t="n"/>
      <c r="R2" s="25" t="n"/>
      <c r="S2" s="25" t="n"/>
      <c r="T2" s="35" t="n"/>
      <c r="U2" s="25" t="n"/>
      <c r="V2" s="35" t="n"/>
      <c r="W2" s="35" t="n"/>
      <c r="X2" s="35" t="inlineStr">
        <is>
          <t>N-OP</t>
        </is>
      </c>
      <c r="Y2" s="35" t="n"/>
      <c r="Z2" s="30" t="n"/>
      <c r="AA2" s="30" t="n"/>
    </row>
    <row r="3" ht="15" customHeight="1" s="202">
      <c r="A3" s="35" t="n"/>
      <c r="B3" s="21" t="n"/>
      <c r="C3" s="22" t="n"/>
      <c r="D3" s="22" t="n"/>
      <c r="E3" s="35" t="n"/>
      <c r="F3" s="23" t="n"/>
      <c r="G3" s="24" t="n"/>
      <c r="H3" s="25" t="n"/>
      <c r="I3" s="25" t="n"/>
      <c r="J3" s="21" t="inlineStr">
        <is>
          <t>ENGINS</t>
        </is>
      </c>
      <c r="K3" s="22" t="n"/>
      <c r="L3" s="22" t="n"/>
      <c r="M3" s="26" t="n"/>
      <c r="N3" s="27" t="n">
        <v>32</v>
      </c>
      <c r="O3" s="28" t="n">
        <v>1200.237</v>
      </c>
      <c r="P3" s="29" t="n">
        <v>1272</v>
      </c>
      <c r="Q3" s="25" t="n"/>
      <c r="R3" s="25" t="n"/>
      <c r="S3" s="25" t="n"/>
      <c r="T3" s="35" t="n"/>
      <c r="U3" s="25" t="n"/>
      <c r="V3" s="35" t="n"/>
      <c r="W3" s="35" t="n"/>
      <c r="X3" s="35" t="inlineStr">
        <is>
          <t>N-OP</t>
        </is>
      </c>
      <c r="Y3" s="35" t="n"/>
      <c r="Z3" s="30" t="n"/>
      <c r="AA3" s="30" t="n"/>
    </row>
    <row r="4" ht="15" customHeight="1" s="202">
      <c r="A4" s="35" t="n"/>
      <c r="B4" s="21" t="n"/>
      <c r="C4" s="22" t="n"/>
      <c r="D4" s="22" t="n"/>
      <c r="E4" s="35" t="n"/>
      <c r="F4" s="23" t="n"/>
      <c r="G4" s="24" t="n"/>
      <c r="H4" s="25" t="n"/>
      <c r="I4" s="25" t="n"/>
      <c r="J4" s="21" t="inlineStr">
        <is>
          <t>LEGER</t>
        </is>
      </c>
      <c r="K4" s="22" t="n"/>
      <c r="L4" s="22" t="n"/>
      <c r="M4" s="26" t="n"/>
      <c r="N4" s="27" t="n">
        <v>3350</v>
      </c>
      <c r="O4" s="28" t="n">
        <v>4396.77100000003</v>
      </c>
      <c r="P4" s="29" t="n">
        <v>27029.5</v>
      </c>
      <c r="Q4" s="25" t="n"/>
      <c r="R4" s="25" t="n"/>
      <c r="S4" s="25" t="n"/>
      <c r="T4" s="35" t="n"/>
      <c r="U4" s="25" t="n"/>
      <c r="V4" s="35" t="n"/>
      <c r="W4" s="35" t="n"/>
      <c r="X4" s="35" t="inlineStr">
        <is>
          <t>N-OP</t>
        </is>
      </c>
      <c r="Y4" s="35" t="n"/>
      <c r="Z4" s="30" t="n"/>
      <c r="AA4" s="30" t="n"/>
    </row>
    <row r="5" ht="15" customHeight="1" s="202">
      <c r="A5" s="35" t="n"/>
      <c r="B5" s="21" t="n"/>
      <c r="C5" s="22" t="n"/>
      <c r="D5" s="22" t="n"/>
      <c r="E5" s="35" t="n"/>
      <c r="F5" s="23" t="n"/>
      <c r="G5" s="24" t="n"/>
      <c r="H5" s="25" t="n"/>
      <c r="I5" s="25" t="n"/>
      <c r="J5" s="21" t="inlineStr">
        <is>
          <t>LOURD</t>
        </is>
      </c>
      <c r="K5" s="22" t="n"/>
      <c r="L5" s="22" t="n"/>
      <c r="M5" s="26" t="n"/>
      <c r="N5" s="27" t="n">
        <v>70</v>
      </c>
      <c r="O5" s="28" t="n">
        <v>489.088</v>
      </c>
      <c r="P5" s="29" t="n">
        <v>2058</v>
      </c>
      <c r="Q5" s="25" t="n"/>
      <c r="R5" s="25" t="n"/>
      <c r="S5" s="25" t="n"/>
      <c r="T5" s="35" t="n"/>
      <c r="U5" s="25" t="n"/>
      <c r="V5" s="35" t="n"/>
      <c r="W5" s="35" t="n"/>
      <c r="X5" s="35" t="inlineStr">
        <is>
          <t>N-OP</t>
        </is>
      </c>
      <c r="Y5" s="35" t="n"/>
      <c r="Z5" s="30" t="n"/>
      <c r="AA5" s="30" t="n"/>
    </row>
    <row r="6" ht="15" customHeight="1" s="202">
      <c r="A6" s="35" t="n"/>
      <c r="B6" s="21" t="n"/>
      <c r="C6" s="22" t="n"/>
      <c r="D6" s="22" t="n"/>
      <c r="E6" s="35" t="n"/>
      <c r="F6" s="23" t="n"/>
      <c r="G6" s="24" t="n"/>
      <c r="H6" s="25" t="n"/>
      <c r="I6" s="25" t="n"/>
      <c r="J6" s="21" t="inlineStr">
        <is>
          <t>UTILITAIRE</t>
        </is>
      </c>
      <c r="K6" s="22" t="n"/>
      <c r="L6" s="22" t="n"/>
      <c r="M6" s="26" t="n"/>
      <c r="N6" s="27" t="n">
        <v>84</v>
      </c>
      <c r="O6" s="28" t="n">
        <v>198.3200985714286</v>
      </c>
      <c r="P6" s="29" t="n">
        <v>1458</v>
      </c>
      <c r="Q6" s="25" t="n"/>
      <c r="R6" s="25" t="n"/>
      <c r="S6" s="25" t="n"/>
      <c r="T6" s="35" t="n"/>
      <c r="U6" s="25" t="n"/>
      <c r="V6" s="35" t="n"/>
      <c r="W6" s="35" t="n"/>
      <c r="X6" s="35" t="inlineStr">
        <is>
          <t>N-OP</t>
        </is>
      </c>
      <c r="Y6" s="35" t="n"/>
      <c r="Z6" s="30" t="n"/>
      <c r="AA6" s="30" t="n"/>
    </row>
    <row r="7" ht="15" customHeight="1" s="202">
      <c r="A7" s="35" t="n"/>
      <c r="B7" s="21" t="n"/>
      <c r="C7" s="22" t="n"/>
      <c r="D7" s="22" t="n"/>
      <c r="E7" s="35" t="n">
        <v>9838</v>
      </c>
      <c r="F7" s="23" t="n">
        <v>21000</v>
      </c>
      <c r="G7" s="24" t="n">
        <v>3500</v>
      </c>
      <c r="H7" s="25" t="n"/>
      <c r="I7" s="25" t="n"/>
      <c r="J7" s="21" t="inlineStr">
        <is>
          <t>MISE A QUAI</t>
        </is>
      </c>
      <c r="K7" s="22" t="n"/>
      <c r="L7" s="22" t="n"/>
      <c r="M7" s="26" t="n"/>
      <c r="N7" s="35">
        <f>0</f>
        <v/>
      </c>
      <c r="O7" s="28">
        <f>+N7*2.135</f>
        <v/>
      </c>
      <c r="P7" s="29">
        <f>G7/E7*N7</f>
        <v/>
      </c>
      <c r="Q7" s="25" t="n"/>
      <c r="R7" s="25" t="n"/>
      <c r="S7" s="25" t="n"/>
      <c r="T7" s="35" t="n"/>
      <c r="U7" s="25" t="n"/>
      <c r="V7" s="35" t="n"/>
      <c r="W7" s="35" t="n"/>
      <c r="X7" s="35" t="inlineStr">
        <is>
          <t>N-OP</t>
        </is>
      </c>
      <c r="Y7" s="35" t="n"/>
      <c r="Z7" s="30" t="n"/>
      <c r="AA7" s="30" t="n"/>
    </row>
    <row r="8" ht="15" customHeight="1" s="202">
      <c r="A8" s="36" t="n"/>
      <c r="B8" s="37" t="n"/>
      <c r="C8" s="38" t="n"/>
      <c r="D8" s="38" t="n"/>
      <c r="E8" s="36" t="n"/>
      <c r="F8" s="39" t="n"/>
      <c r="G8" s="40" t="n"/>
      <c r="H8" s="41" t="n"/>
      <c r="I8" s="41" t="n"/>
      <c r="J8" s="37" t="inlineStr">
        <is>
          <t>AUTRES</t>
        </is>
      </c>
      <c r="K8" s="38" t="n"/>
      <c r="L8" s="38" t="n"/>
      <c r="M8" s="42" t="n"/>
      <c r="N8" s="43" t="n"/>
      <c r="O8" s="44" t="n"/>
      <c r="P8" s="45" t="n">
        <v>6300</v>
      </c>
      <c r="Q8" s="41" t="n"/>
      <c r="R8" s="41" t="n"/>
      <c r="S8" s="41" t="n"/>
      <c r="T8" s="36" t="n"/>
      <c r="U8" s="41" t="n"/>
      <c r="V8" s="36" t="n"/>
      <c r="W8" s="36" t="n"/>
      <c r="X8" s="36" t="inlineStr">
        <is>
          <t>N-OP</t>
        </is>
      </c>
      <c r="Y8" s="36" t="n"/>
      <c r="Z8" s="30" t="n"/>
      <c r="AA8" s="30" t="n"/>
    </row>
    <row r="9" ht="15" customHeight="1" s="202">
      <c r="A9" s="67" t="n">
        <v>20190174</v>
      </c>
      <c r="B9" s="47" t="inlineStr">
        <is>
          <t>SAOURA</t>
        </is>
      </c>
      <c r="C9" s="48" t="n">
        <v>43602</v>
      </c>
      <c r="D9" s="48" t="n">
        <v>43603</v>
      </c>
      <c r="E9" s="49" t="n">
        <v>1</v>
      </c>
      <c r="F9" s="50" t="n">
        <v>8.683999999999999</v>
      </c>
      <c r="G9" s="51" t="n">
        <v>30</v>
      </c>
      <c r="H9" s="52" t="inlineStr">
        <is>
          <t>KOTAMA AGRII FOOD EX NUTRIS SPA</t>
        </is>
      </c>
      <c r="I9" s="52" t="inlineStr">
        <is>
          <t>40 P</t>
        </is>
      </c>
      <c r="J9" s="52" t="inlineStr">
        <is>
          <t>CONTENEUR</t>
        </is>
      </c>
      <c r="K9" s="53">
        <f>D9+8</f>
        <v/>
      </c>
      <c r="L9" s="54">
        <f>K9+60</f>
        <v/>
      </c>
      <c r="M9" s="55" t="inlineStr">
        <is>
          <t>346/19</t>
        </is>
      </c>
      <c r="N9" s="49" t="n">
        <v>1</v>
      </c>
      <c r="O9" s="50">
        <f>F9/E9*N9</f>
        <v/>
      </c>
      <c r="P9" s="273" t="n">
        <v>30</v>
      </c>
      <c r="Q9" s="57" t="inlineStr">
        <is>
          <t>RORO</t>
        </is>
      </c>
      <c r="R9" s="58" t="n"/>
      <c r="S9" s="52" t="n"/>
      <c r="T9" s="59" t="n"/>
      <c r="U9" s="58" t="n"/>
      <c r="V9" s="60" t="inlineStr">
        <is>
          <t>36.818426</t>
        </is>
      </c>
      <c r="W9" s="61" t="inlineStr">
        <is>
          <t>5.8974467</t>
        </is>
      </c>
      <c r="X9" s="62" t="inlineStr">
        <is>
          <t>N-OP</t>
        </is>
      </c>
      <c r="Y9" s="116">
        <f>O9/N9</f>
        <v/>
      </c>
      <c r="Z9" s="64">
        <f>E9-N9</f>
        <v/>
      </c>
      <c r="AA9" s="64" t="n">
        <v>185</v>
      </c>
    </row>
    <row r="10" ht="15" customHeight="1" s="202">
      <c r="A10" s="116" t="n">
        <v>20240306</v>
      </c>
      <c r="B10" s="117" t="inlineStr">
        <is>
          <t>FU HAI HONG</t>
        </is>
      </c>
      <c r="C10" s="118" t="n">
        <v>45601</v>
      </c>
      <c r="D10" s="118" t="n">
        <v>45654</v>
      </c>
      <c r="E10" s="67" t="n">
        <v>3</v>
      </c>
      <c r="F10" s="119" t="n">
        <v>17.7</v>
      </c>
      <c r="G10" s="120" t="n">
        <v>72</v>
      </c>
      <c r="H10" s="121" t="inlineStr">
        <is>
          <t>MAHOUR PLAST SARL</t>
        </is>
      </c>
      <c r="I10" s="121" t="inlineStr">
        <is>
          <t>CAMIONS</t>
        </is>
      </c>
      <c r="J10" s="117" t="inlineStr">
        <is>
          <t>LOURD</t>
        </is>
      </c>
      <c r="K10" s="53">
        <f>D10+8</f>
        <v/>
      </c>
      <c r="L10" s="54">
        <f>K10+60</f>
        <v/>
      </c>
      <c r="M10" s="71" t="n"/>
      <c r="N10" s="72">
        <f>E10</f>
        <v/>
      </c>
      <c r="O10" s="50">
        <f>F10/E10*N10</f>
        <v/>
      </c>
      <c r="P10" s="273">
        <f>G10/E10*N10</f>
        <v/>
      </c>
      <c r="Q10" s="224" t="n"/>
      <c r="R10" s="58" t="n"/>
      <c r="S10" s="74" t="inlineStr">
        <is>
          <t xml:space="preserve">FH24124LDJD154 + FH24124LDJD155 </t>
        </is>
      </c>
      <c r="T10" s="75" t="inlineStr">
        <is>
          <t>122+123+124</t>
        </is>
      </c>
      <c r="U10" s="58" t="n"/>
      <c r="V10" s="67" t="n"/>
      <c r="W10" s="67" t="n"/>
      <c r="X10" s="62" t="inlineStr">
        <is>
          <t>N-OP</t>
        </is>
      </c>
      <c r="Y10" s="116">
        <f>O10/N10</f>
        <v/>
      </c>
      <c r="Z10" s="64">
        <f>E10-N10</f>
        <v/>
      </c>
      <c r="AA10" s="64" t="n">
        <v>316</v>
      </c>
    </row>
    <row r="11" ht="15" customHeight="1" s="202">
      <c r="A11" s="116" t="n">
        <v>20240306</v>
      </c>
      <c r="B11" s="117" t="inlineStr">
        <is>
          <t>FU HAI HONG</t>
        </is>
      </c>
      <c r="C11" s="118" t="n">
        <v>45601</v>
      </c>
      <c r="D11" s="118" t="n">
        <v>45654</v>
      </c>
      <c r="E11" s="67" t="n">
        <v>31</v>
      </c>
      <c r="F11" s="119" t="n">
        <v>0</v>
      </c>
      <c r="G11" s="120" t="n">
        <v>30</v>
      </c>
      <c r="H11" s="121" t="inlineStr">
        <is>
          <t>MAHOUR PLAST SARL</t>
        </is>
      </c>
      <c r="I11" s="121" t="inlineStr">
        <is>
          <t>COLIS</t>
        </is>
      </c>
      <c r="J11" s="117" t="inlineStr">
        <is>
          <t>COLIS</t>
        </is>
      </c>
      <c r="K11" s="53">
        <f>D11+8</f>
        <v/>
      </c>
      <c r="L11" s="54">
        <f>K11+60</f>
        <v/>
      </c>
      <c r="M11" s="71" t="n"/>
      <c r="N11" s="72">
        <f>E11</f>
        <v/>
      </c>
      <c r="O11" s="50">
        <f>F11/E11*N11</f>
        <v/>
      </c>
      <c r="P11" s="273">
        <f>G11/E11*N11</f>
        <v/>
      </c>
      <c r="Q11" s="224" t="n"/>
      <c r="R11" s="58" t="n"/>
      <c r="S11" s="74" t="inlineStr">
        <is>
          <t>FH24124LDJD156/158</t>
        </is>
      </c>
      <c r="T11" s="75" t="n">
        <v>124</v>
      </c>
      <c r="U11" s="58" t="n"/>
      <c r="V11" s="67" t="n"/>
      <c r="W11" s="67" t="n"/>
      <c r="X11" s="62" t="inlineStr">
        <is>
          <t>N-OP</t>
        </is>
      </c>
      <c r="Y11" s="116">
        <f>O11/N11</f>
        <v/>
      </c>
      <c r="Z11" s="64">
        <f>E11-N11</f>
        <v/>
      </c>
      <c r="AA11" s="64" t="n">
        <v>38</v>
      </c>
    </row>
    <row r="12" ht="18" customHeight="1" s="202">
      <c r="A12" s="116" t="n">
        <v>20240328</v>
      </c>
      <c r="B12" s="117" t="inlineStr">
        <is>
          <t>ONE CHALLENGE</t>
        </is>
      </c>
      <c r="C12" s="118" t="n">
        <v>45617</v>
      </c>
      <c r="D12" s="118" t="n">
        <v>45661</v>
      </c>
      <c r="E12" s="67" t="n">
        <v>2</v>
      </c>
      <c r="F12" s="119" t="n">
        <v>0.977</v>
      </c>
      <c r="G12" s="120" t="n">
        <v>6</v>
      </c>
      <c r="H12" s="121" t="inlineStr">
        <is>
          <t>BILEK ACHOUR ETS</t>
        </is>
      </c>
      <c r="I12" s="121" t="inlineStr">
        <is>
          <t>COLIS</t>
        </is>
      </c>
      <c r="J12" s="117" t="inlineStr">
        <is>
          <t>COLIS</t>
        </is>
      </c>
      <c r="K12" s="53">
        <f>D12+8</f>
        <v/>
      </c>
      <c r="L12" s="54">
        <f>K12+60</f>
        <v/>
      </c>
      <c r="M12" s="71" t="n"/>
      <c r="N12" s="72">
        <f>E12</f>
        <v/>
      </c>
      <c r="O12" s="50">
        <f>F12/E12*N12</f>
        <v/>
      </c>
      <c r="P12" s="273">
        <f>G12/E12*N12</f>
        <v/>
      </c>
      <c r="Q12" s="57" t="inlineStr">
        <is>
          <t>CAP</t>
        </is>
      </c>
      <c r="R12" s="58" t="n"/>
      <c r="S12" s="74" t="inlineStr">
        <is>
          <t>OC24126LDJD116</t>
        </is>
      </c>
      <c r="T12" s="75" t="n">
        <v>107</v>
      </c>
      <c r="U12" s="58" t="n"/>
      <c r="V12" s="67" t="n"/>
      <c r="W12" s="67" t="n"/>
      <c r="X12" s="62" t="inlineStr">
        <is>
          <t>N-OP</t>
        </is>
      </c>
      <c r="Y12" s="116">
        <f>O12/N12</f>
        <v/>
      </c>
      <c r="Z12" s="64">
        <f>E12-N12</f>
        <v/>
      </c>
      <c r="AA12" s="64" t="n">
        <v>1254</v>
      </c>
    </row>
    <row r="13" ht="18" customHeight="1" s="202">
      <c r="A13" s="76" t="n">
        <v>20240350</v>
      </c>
      <c r="B13" s="77" t="inlineStr">
        <is>
          <t>LOYALTY HONG</t>
        </is>
      </c>
      <c r="C13" s="78" t="n">
        <v>45645</v>
      </c>
      <c r="D13" s="78" t="n">
        <v>45666</v>
      </c>
      <c r="E13" s="76" t="n">
        <v>195</v>
      </c>
      <c r="F13" s="79" t="n">
        <v>895.7</v>
      </c>
      <c r="G13" s="76" t="n">
        <v>455</v>
      </c>
      <c r="H13" s="80" t="inlineStr">
        <is>
          <t>GOLD METAL TOUALI SARL</t>
        </is>
      </c>
      <c r="I13" s="80" t="inlineStr">
        <is>
          <t>POUTRELLES</t>
        </is>
      </c>
      <c r="J13" s="77" t="inlineStr">
        <is>
          <t>POUTRELLES</t>
        </is>
      </c>
      <c r="K13" s="78">
        <f>D13+8</f>
        <v/>
      </c>
      <c r="L13" s="81">
        <f>K13+60</f>
        <v/>
      </c>
      <c r="M13" s="82" t="n"/>
      <c r="N13" s="83">
        <f>E13-91-6-30-7-6-14-10-6-15</f>
        <v/>
      </c>
      <c r="O13" s="84">
        <f>F13/E13*N13</f>
        <v/>
      </c>
      <c r="P13" s="85">
        <f>G13/E13*N13</f>
        <v/>
      </c>
      <c r="Q13" s="80" t="inlineStr">
        <is>
          <t>MIXTE+GC1</t>
        </is>
      </c>
      <c r="R13" s="80" t="n"/>
      <c r="S13" s="80" t="inlineStr">
        <is>
          <t>LHMNDJ004</t>
        </is>
      </c>
      <c r="T13" s="86" t="n">
        <v>11</v>
      </c>
      <c r="U13" s="80" t="n"/>
      <c r="V13" s="76" t="n"/>
      <c r="W13" s="76" t="n"/>
      <c r="X13" s="76" t="inlineStr">
        <is>
          <t>SOLDEE</t>
        </is>
      </c>
      <c r="Y13" s="116">
        <f>F13/E13</f>
        <v/>
      </c>
      <c r="Z13" s="64">
        <f>E13-N13</f>
        <v/>
      </c>
      <c r="AA13" s="64" t="n">
        <v>834</v>
      </c>
    </row>
    <row r="14" ht="18" customHeight="1" s="202">
      <c r="A14" s="116" t="n">
        <v>20240354</v>
      </c>
      <c r="B14" s="117" t="inlineStr">
        <is>
          <t>EIHWAZ</t>
        </is>
      </c>
      <c r="C14" s="118" t="n">
        <v>45655</v>
      </c>
      <c r="D14" s="118" t="n">
        <v>45677</v>
      </c>
      <c r="E14" s="67" t="n">
        <v>1</v>
      </c>
      <c r="F14" s="119" t="n">
        <v>27.98</v>
      </c>
      <c r="G14" s="120" t="n">
        <v>24</v>
      </c>
      <c r="H14" s="52" t="inlineStr">
        <is>
          <t>ZOUAOUI EURL</t>
        </is>
      </c>
      <c r="I14" s="52" t="inlineStr">
        <is>
          <t>CAMION POMPE A BETON</t>
        </is>
      </c>
      <c r="J14" s="121" t="inlineStr">
        <is>
          <t>LOURD</t>
        </is>
      </c>
      <c r="K14" s="53">
        <f>D14+8</f>
        <v/>
      </c>
      <c r="L14" s="54">
        <f>K14+60</f>
        <v/>
      </c>
      <c r="M14" s="71" t="inlineStr">
        <is>
          <t>24A0029000101ICS</t>
        </is>
      </c>
      <c r="N14" s="72">
        <f>E14</f>
        <v/>
      </c>
      <c r="O14" s="50">
        <f>F14/E14*N14</f>
        <v/>
      </c>
      <c r="P14" s="273">
        <f>G14/E14*N14</f>
        <v/>
      </c>
      <c r="Q14" s="224" t="n"/>
      <c r="R14" s="58" t="n"/>
      <c r="S14" s="74" t="inlineStr">
        <is>
          <t>EZ24165XDJD126</t>
        </is>
      </c>
      <c r="T14" s="75" t="n">
        <v>78</v>
      </c>
      <c r="U14" s="58" t="n"/>
      <c r="V14" s="67" t="n"/>
      <c r="W14" s="67" t="n"/>
      <c r="X14" s="62" t="inlineStr">
        <is>
          <t>N-OP</t>
        </is>
      </c>
      <c r="Y14" s="116">
        <f>O14/N14</f>
        <v/>
      </c>
      <c r="Z14" s="64">
        <f>E14-N14</f>
        <v/>
      </c>
      <c r="AA14" s="64" t="n">
        <v>1479</v>
      </c>
    </row>
    <row r="15" ht="18" customHeight="1" s="202">
      <c r="A15" s="116" t="n">
        <v>20240397</v>
      </c>
      <c r="B15" s="117" t="inlineStr">
        <is>
          <t>HAO FENG HAI</t>
        </is>
      </c>
      <c r="C15" s="118" t="n">
        <v>45686</v>
      </c>
      <c r="D15" s="118" t="n">
        <v>45686</v>
      </c>
      <c r="E15" s="67" t="n">
        <v>12</v>
      </c>
      <c r="F15" s="119" t="n">
        <v>144.5</v>
      </c>
      <c r="G15" s="120" t="n">
        <v>288</v>
      </c>
      <c r="H15" s="52" t="inlineStr">
        <is>
          <t>CRCC</t>
        </is>
      </c>
      <c r="I15" s="121" t="inlineStr">
        <is>
          <t>REMORQUES</t>
        </is>
      </c>
      <c r="J15" s="117" t="inlineStr">
        <is>
          <t>LOURD</t>
        </is>
      </c>
      <c r="K15" s="53">
        <f>D15+8</f>
        <v/>
      </c>
      <c r="L15" s="54">
        <f>K15+60</f>
        <v/>
      </c>
      <c r="M15" s="71" t="inlineStr">
        <is>
          <t>25A0029000002ICS</t>
        </is>
      </c>
      <c r="N15" s="72">
        <f>E15</f>
        <v/>
      </c>
      <c r="O15" s="50">
        <f>F15/E15*N15</f>
        <v/>
      </c>
      <c r="P15" s="273">
        <f>G15/E15*N15</f>
        <v/>
      </c>
      <c r="Q15" s="224" t="n"/>
      <c r="R15" s="58" t="n"/>
      <c r="S15" s="74" t="inlineStr">
        <is>
          <t xml:space="preserve"> 105277TJ301</t>
        </is>
      </c>
      <c r="T15" s="75" t="n">
        <v>3</v>
      </c>
      <c r="U15" s="58" t="n"/>
      <c r="V15" s="67" t="n"/>
      <c r="W15" s="67" t="n"/>
      <c r="X15" s="62" t="inlineStr">
        <is>
          <t>N-OP</t>
        </is>
      </c>
      <c r="Y15" s="116">
        <f>O15/N15</f>
        <v/>
      </c>
      <c r="Z15" s="64">
        <f>E15-N15</f>
        <v/>
      </c>
      <c r="AA15" s="64" t="n">
        <v>197</v>
      </c>
    </row>
    <row r="16" ht="18" customHeight="1" s="202">
      <c r="A16" s="116" t="n">
        <v>20250004</v>
      </c>
      <c r="B16" s="117" t="inlineStr">
        <is>
          <t>COSCO SHIPPING GRACE</t>
        </is>
      </c>
      <c r="C16" s="118" t="n">
        <v>45677</v>
      </c>
      <c r="D16" s="118" t="n">
        <v>45678</v>
      </c>
      <c r="E16" s="67" t="n">
        <v>1</v>
      </c>
      <c r="F16" s="119" t="n">
        <v>33.792</v>
      </c>
      <c r="G16" s="120" t="n">
        <v>24</v>
      </c>
      <c r="H16" s="121" t="inlineStr">
        <is>
          <t>ZITOUNI YAHIA</t>
        </is>
      </c>
      <c r="I16" s="121" t="inlineStr">
        <is>
          <t>CAMION POMPE A BETON</t>
        </is>
      </c>
      <c r="J16" s="117" t="inlineStr">
        <is>
          <t>LOURD</t>
        </is>
      </c>
      <c r="K16" s="53">
        <f>D16+8</f>
        <v/>
      </c>
      <c r="L16" s="54">
        <f>K16+60</f>
        <v/>
      </c>
      <c r="M16" s="71" t="n"/>
      <c r="N16" s="72">
        <f>E16</f>
        <v/>
      </c>
      <c r="O16" s="50">
        <f>F16/E16*N16</f>
        <v/>
      </c>
      <c r="P16" s="273">
        <f>G16/E16*N16</f>
        <v/>
      </c>
      <c r="Q16" s="224" t="n"/>
      <c r="R16" s="58" t="n"/>
      <c r="S16" s="74" t="inlineStr">
        <is>
          <t>GRAV17TACDJE008</t>
        </is>
      </c>
      <c r="T16" s="75" t="n">
        <v>11</v>
      </c>
      <c r="U16" s="58" t="n"/>
      <c r="V16" s="67" t="n"/>
      <c r="W16" s="67" t="n"/>
      <c r="X16" s="62" t="inlineStr">
        <is>
          <t>N-OP</t>
        </is>
      </c>
      <c r="Y16" s="116">
        <f>O16/N16</f>
        <v/>
      </c>
      <c r="Z16" s="64">
        <f>E16-N16</f>
        <v/>
      </c>
      <c r="AA16" s="64" t="n">
        <v>2</v>
      </c>
    </row>
    <row r="17" ht="18" customHeight="1" s="202">
      <c r="A17" s="116" t="n">
        <v>20250004</v>
      </c>
      <c r="B17" s="117" t="inlineStr">
        <is>
          <t>COSCO SHIPPING GRACE</t>
        </is>
      </c>
      <c r="C17" s="118" t="n">
        <v>45677</v>
      </c>
      <c r="D17" s="118" t="n">
        <v>45678</v>
      </c>
      <c r="E17" s="67" t="n">
        <v>1</v>
      </c>
      <c r="F17" s="119" t="n">
        <v>0</v>
      </c>
      <c r="G17" s="120" t="n">
        <v>3</v>
      </c>
      <c r="H17" s="121" t="inlineStr">
        <is>
          <t>ZITOUNI YAHIA</t>
        </is>
      </c>
      <c r="I17" s="121" t="inlineStr">
        <is>
          <t>COLIS</t>
        </is>
      </c>
      <c r="J17" s="117" t="inlineStr">
        <is>
          <t>COLIS</t>
        </is>
      </c>
      <c r="K17" s="53">
        <f>D17+8</f>
        <v/>
      </c>
      <c r="L17" s="54">
        <f>K17+60</f>
        <v/>
      </c>
      <c r="M17" s="71" t="n"/>
      <c r="N17" s="72">
        <f>E17</f>
        <v/>
      </c>
      <c r="O17" s="50">
        <f>F17/E17*N17</f>
        <v/>
      </c>
      <c r="P17" s="273">
        <f>G17/E17*N17</f>
        <v/>
      </c>
      <c r="Q17" s="57" t="inlineStr">
        <is>
          <t xml:space="preserve">MIXTE </t>
        </is>
      </c>
      <c r="R17" s="58" t="n"/>
      <c r="S17" s="74" t="inlineStr">
        <is>
          <t>GRAV17TACDJE008</t>
        </is>
      </c>
      <c r="T17" s="75" t="n">
        <v>11</v>
      </c>
      <c r="U17" s="58" t="n"/>
      <c r="V17" s="67" t="n"/>
      <c r="W17" s="67" t="n"/>
      <c r="X17" s="62" t="inlineStr">
        <is>
          <t>N-OP</t>
        </is>
      </c>
      <c r="Y17" s="116">
        <f>O17/N17</f>
        <v/>
      </c>
      <c r="Z17" s="64">
        <f>E17-N17</f>
        <v/>
      </c>
      <c r="AA17" s="64" t="n">
        <v>1</v>
      </c>
    </row>
    <row r="18" ht="18" customHeight="1" s="202">
      <c r="A18" s="87" t="n">
        <v>20240382</v>
      </c>
      <c r="B18" s="88" t="inlineStr">
        <is>
          <t>YANGZTZE HARMONY</t>
        </is>
      </c>
      <c r="C18" s="89" t="n">
        <v>45687</v>
      </c>
      <c r="D18" s="90" t="n">
        <v>45703</v>
      </c>
      <c r="E18" s="60" t="n">
        <v>321</v>
      </c>
      <c r="F18" s="91" t="n">
        <v>3769.79</v>
      </c>
      <c r="G18" s="92" t="n">
        <v>234</v>
      </c>
      <c r="H18" s="93" t="inlineStr">
        <is>
          <t>EL GUEDRA SARL</t>
        </is>
      </c>
      <c r="I18" s="93" t="inlineStr">
        <is>
          <t>BOBINES</t>
        </is>
      </c>
      <c r="J18" s="94" t="inlineStr">
        <is>
          <t>BOBINES</t>
        </is>
      </c>
      <c r="K18" s="53">
        <f>D18+8</f>
        <v/>
      </c>
      <c r="L18" s="54">
        <f>K18+60</f>
        <v/>
      </c>
      <c r="M18" s="95" t="inlineStr">
        <is>
          <t>25A0029000007ICS</t>
        </is>
      </c>
      <c r="N18" s="96">
        <f>E18-218-30-11-4-28-25</f>
        <v/>
      </c>
      <c r="O18" s="97">
        <f>F18/E18*N18</f>
        <v/>
      </c>
      <c r="P18" s="98">
        <f>G18/E18*N18</f>
        <v/>
      </c>
      <c r="Q18" s="224" t="n"/>
      <c r="R18" s="58" t="n"/>
      <c r="S18" s="74" t="inlineStr">
        <is>
          <t>YH24186ZDJD017A</t>
        </is>
      </c>
      <c r="T18" s="75" t="inlineStr">
        <is>
          <t>8+9+13+14+15</t>
        </is>
      </c>
      <c r="U18" s="58" t="n"/>
      <c r="V18" s="67" t="n"/>
      <c r="W18" s="67" t="n"/>
      <c r="X18" s="99" t="inlineStr">
        <is>
          <t>OPER</t>
        </is>
      </c>
      <c r="Y18" s="116">
        <f>O18/N18</f>
        <v/>
      </c>
      <c r="Z18" s="64">
        <f>E18-N18</f>
        <v/>
      </c>
      <c r="AA18" s="64" t="n">
        <v>3</v>
      </c>
    </row>
    <row r="19" ht="18" customHeight="1" s="202">
      <c r="A19" s="61" t="n">
        <v>20240382</v>
      </c>
      <c r="B19" s="94" t="inlineStr">
        <is>
          <t>YANGZTZE HARMONY</t>
        </is>
      </c>
      <c r="C19" s="90" t="n">
        <v>45687</v>
      </c>
      <c r="D19" s="90" t="n">
        <v>45703</v>
      </c>
      <c r="E19" s="60" t="n">
        <v>46</v>
      </c>
      <c r="F19" s="91" t="n">
        <v>2016.8</v>
      </c>
      <c r="G19" s="92" t="n">
        <v>63.25</v>
      </c>
      <c r="H19" s="93" t="inlineStr">
        <is>
          <t>BOUKHERBATA EURL</t>
        </is>
      </c>
      <c r="I19" s="93" t="inlineStr">
        <is>
          <t>BOBINES</t>
        </is>
      </c>
      <c r="J19" s="94" t="inlineStr">
        <is>
          <t>BOBINES</t>
        </is>
      </c>
      <c r="K19" s="53">
        <f>D19+8</f>
        <v/>
      </c>
      <c r="L19" s="54">
        <f>K19+60</f>
        <v/>
      </c>
      <c r="M19" s="95" t="inlineStr">
        <is>
          <t>25A0029000007ICS</t>
        </is>
      </c>
      <c r="N19" s="100">
        <f>E19-38</f>
        <v/>
      </c>
      <c r="O19" s="97">
        <f>F19/E19*N19</f>
        <v/>
      </c>
      <c r="P19" s="98">
        <f>G19/E19*N19</f>
        <v/>
      </c>
      <c r="Q19" s="224" t="n"/>
      <c r="R19" s="58" t="n"/>
      <c r="S19" s="74" t="inlineStr">
        <is>
          <t>YH24186ZDJD015</t>
        </is>
      </c>
      <c r="T19" s="75" t="n">
        <v>12</v>
      </c>
      <c r="U19" s="58" t="n"/>
      <c r="V19" s="67" t="n"/>
      <c r="W19" s="67" t="n"/>
      <c r="X19" s="99" t="inlineStr">
        <is>
          <t>OPER</t>
        </is>
      </c>
      <c r="Y19" s="116">
        <f>O19/N19</f>
        <v/>
      </c>
      <c r="Z19" s="64">
        <f>E19-N19</f>
        <v/>
      </c>
      <c r="AA19" s="64" t="n">
        <v>1481</v>
      </c>
    </row>
    <row r="20" ht="18" customHeight="1" s="202">
      <c r="A20" s="87" t="n">
        <v>20240364</v>
      </c>
      <c r="B20" s="88" t="inlineStr">
        <is>
          <t>PRINCESS JOANNA</t>
        </is>
      </c>
      <c r="C20" s="89" t="n">
        <v>45677</v>
      </c>
      <c r="D20" s="118" t="n">
        <v>45708</v>
      </c>
      <c r="E20" s="67" t="n">
        <v>1</v>
      </c>
      <c r="F20" s="119" t="n">
        <v>39.37</v>
      </c>
      <c r="G20" s="120" t="n">
        <v>24</v>
      </c>
      <c r="H20" s="121" t="inlineStr">
        <is>
          <t>BIALCO EURL</t>
        </is>
      </c>
      <c r="I20" s="121" t="inlineStr">
        <is>
          <t>BULLDOZERS</t>
        </is>
      </c>
      <c r="J20" s="117" t="inlineStr">
        <is>
          <t>ENGINS</t>
        </is>
      </c>
      <c r="K20" s="53">
        <f>D20+8</f>
        <v/>
      </c>
      <c r="L20" s="54">
        <f>K20+60</f>
        <v/>
      </c>
      <c r="M20" s="71" t="inlineStr">
        <is>
          <t>25A0029000005ICS</t>
        </is>
      </c>
      <c r="N20" s="72">
        <f>E20</f>
        <v/>
      </c>
      <c r="O20" s="50">
        <f>F20/E20*N20</f>
        <v/>
      </c>
      <c r="P20" s="273">
        <f>G20/E20*N20</f>
        <v/>
      </c>
      <c r="Q20" s="224" t="n"/>
      <c r="R20" s="58" t="n"/>
      <c r="S20" s="74" t="inlineStr">
        <is>
          <t>PJ24157LDJD105</t>
        </is>
      </c>
      <c r="T20" s="75" t="n">
        <v>87</v>
      </c>
      <c r="U20" s="58" t="n"/>
      <c r="V20" s="67" t="n"/>
      <c r="W20" s="67" t="n"/>
      <c r="X20" s="62" t="inlineStr">
        <is>
          <t>N-OP</t>
        </is>
      </c>
      <c r="Y20" s="116">
        <f>O20/N20</f>
        <v/>
      </c>
      <c r="Z20" s="64">
        <f>E20-N20</f>
        <v/>
      </c>
      <c r="AA20" s="64" t="n">
        <v>200</v>
      </c>
    </row>
    <row r="21" ht="18" customHeight="1" s="202">
      <c r="A21" s="116" t="n">
        <v>20240364</v>
      </c>
      <c r="B21" s="117" t="inlineStr">
        <is>
          <t>PRINCESS JOANNA</t>
        </is>
      </c>
      <c r="C21" s="118" t="n">
        <v>45677</v>
      </c>
      <c r="D21" s="118" t="n">
        <v>45708</v>
      </c>
      <c r="E21" s="67" t="n">
        <v>3</v>
      </c>
      <c r="F21" s="119" t="n">
        <v>0</v>
      </c>
      <c r="G21" s="120" t="n">
        <v>6</v>
      </c>
      <c r="H21" s="121" t="inlineStr">
        <is>
          <t>BIALCO EURL</t>
        </is>
      </c>
      <c r="I21" s="121" t="inlineStr">
        <is>
          <t>COLIS</t>
        </is>
      </c>
      <c r="J21" s="117" t="inlineStr">
        <is>
          <t>COLIS</t>
        </is>
      </c>
      <c r="K21" s="53">
        <f>D21+8</f>
        <v/>
      </c>
      <c r="L21" s="54">
        <f>K21+60</f>
        <v/>
      </c>
      <c r="M21" s="71" t="inlineStr">
        <is>
          <t>25A0029000005ICS</t>
        </is>
      </c>
      <c r="N21" s="72">
        <f>E21</f>
        <v/>
      </c>
      <c r="O21" s="50">
        <f>F21/E21*N21</f>
        <v/>
      </c>
      <c r="P21" s="273">
        <f>G21/E21*N21</f>
        <v/>
      </c>
      <c r="Q21" s="224" t="n"/>
      <c r="R21" s="58" t="n"/>
      <c r="S21" s="74" t="inlineStr">
        <is>
          <t>PJ24157LDJD105</t>
        </is>
      </c>
      <c r="T21" s="75" t="n">
        <v>87</v>
      </c>
      <c r="U21" s="58" t="n"/>
      <c r="V21" s="67" t="n"/>
      <c r="W21" s="67" t="n"/>
      <c r="X21" s="62" t="inlineStr">
        <is>
          <t>N-OP</t>
        </is>
      </c>
      <c r="Y21" s="116">
        <f>O21/N21</f>
        <v/>
      </c>
      <c r="Z21" s="64">
        <f>E21-N21</f>
        <v/>
      </c>
      <c r="AA21" s="64" t="n">
        <v>142</v>
      </c>
    </row>
    <row r="22" ht="18" customHeight="1" s="202">
      <c r="A22" s="61" t="n">
        <v>20240399</v>
      </c>
      <c r="B22" s="94" t="inlineStr">
        <is>
          <t>SPAR CORONA</t>
        </is>
      </c>
      <c r="C22" s="90" t="n">
        <v>45652</v>
      </c>
      <c r="D22" s="90" t="n">
        <v>45711</v>
      </c>
      <c r="E22" s="60" t="n">
        <v>1255</v>
      </c>
      <c r="F22" s="91" t="n">
        <v>2322.72</v>
      </c>
      <c r="G22" s="92" t="n">
        <v>197.021739130435</v>
      </c>
      <c r="H22" s="93" t="inlineStr">
        <is>
          <t>BERKINE GROUPEMENT</t>
        </is>
      </c>
      <c r="I22" s="74" t="inlineStr">
        <is>
          <t>TUBES</t>
        </is>
      </c>
      <c r="J22" s="94" t="inlineStr">
        <is>
          <t>TUBES</t>
        </is>
      </c>
      <c r="K22" s="53">
        <f>D22+8</f>
        <v/>
      </c>
      <c r="L22" s="54">
        <f>K22+60</f>
        <v/>
      </c>
      <c r="M22" s="95" t="inlineStr">
        <is>
          <t>24A0029000097ICS</t>
        </is>
      </c>
      <c r="N22" s="96">
        <f>E22-72-27-72-27-18-27-9-36-63-30-108-72-30-153-72-81-18-39-36-36-45-9-55-7-35-20-7-7-14-6-23</f>
        <v/>
      </c>
      <c r="O22" s="97">
        <f>F22/E22*N22</f>
        <v/>
      </c>
      <c r="P22" s="98">
        <f>G22/E22*N22</f>
        <v/>
      </c>
      <c r="Q22" s="224" t="n"/>
      <c r="R22" s="58" t="n"/>
      <c r="S22" s="74" t="inlineStr">
        <is>
          <t>SC24185ZDJD042</t>
        </is>
      </c>
      <c r="T22" s="75" t="n">
        <v>41</v>
      </c>
      <c r="U22" s="58" t="n"/>
      <c r="V22" s="67" t="n"/>
      <c r="W22" s="67" t="n"/>
      <c r="X22" s="99" t="inlineStr">
        <is>
          <t>OPER</t>
        </is>
      </c>
      <c r="Y22" s="116" t="n"/>
      <c r="Z22" s="64">
        <f>E22-N22</f>
        <v/>
      </c>
      <c r="AA22" s="64" t="n">
        <v>468</v>
      </c>
    </row>
    <row r="23" ht="18" customHeight="1" s="202">
      <c r="A23" s="61" t="n">
        <v>20240393</v>
      </c>
      <c r="B23" s="94" t="inlineStr">
        <is>
          <t>TAI HONOR</t>
        </is>
      </c>
      <c r="C23" s="90" t="n">
        <v>45701</v>
      </c>
      <c r="D23" s="90" t="n">
        <v>45714</v>
      </c>
      <c r="E23" s="60" t="n">
        <v>894</v>
      </c>
      <c r="F23" s="91" t="n">
        <v>1240.748</v>
      </c>
      <c r="G23" s="92" t="n">
        <v>773</v>
      </c>
      <c r="H23" s="93" t="inlineStr">
        <is>
          <t>NBL ALUMINIUM SARL</t>
        </is>
      </c>
      <c r="I23" s="93" t="inlineStr">
        <is>
          <t>PVC RESIN EN BIG BAG</t>
        </is>
      </c>
      <c r="J23" s="74" t="inlineStr">
        <is>
          <t>BIG BAG</t>
        </is>
      </c>
      <c r="K23" s="53">
        <f>D23+8</f>
        <v/>
      </c>
      <c r="L23" s="53">
        <f>K23+60</f>
        <v/>
      </c>
      <c r="M23" s="95" t="inlineStr">
        <is>
          <t>25A0029000009ICS</t>
        </is>
      </c>
      <c r="N23" s="96">
        <f>E23-140-100-40-60-120-20-80-20-20-20-75-10-29-29-30-21-20</f>
        <v/>
      </c>
      <c r="O23" s="97">
        <f>F23/E23*N23</f>
        <v/>
      </c>
      <c r="P23" s="98">
        <f>G23/E23*N23</f>
        <v/>
      </c>
      <c r="Q23" s="224" t="n"/>
      <c r="R23" s="58" t="n"/>
      <c r="S23" s="74" t="inlineStr">
        <is>
          <t>105255TJ112 + 105255TJ113 + 105255TJ114 + 105255TJ115 + 105255TJ116 + 105255TJ117</t>
        </is>
      </c>
      <c r="T23" s="75" t="inlineStr">
        <is>
          <t>10+11+12+13+14+15</t>
        </is>
      </c>
      <c r="U23" s="58" t="n"/>
      <c r="V23" s="67" t="n"/>
      <c r="W23" s="67" t="n"/>
      <c r="X23" s="99" t="inlineStr">
        <is>
          <t>OPER</t>
        </is>
      </c>
      <c r="Y23" s="116" t="n"/>
      <c r="Z23" s="64">
        <f>E23-N23</f>
        <v/>
      </c>
      <c r="AA23" s="64" t="n">
        <v>1251</v>
      </c>
      <c r="AD23" s="32">
        <f>4+10+14+2+30</f>
        <v/>
      </c>
    </row>
    <row r="24" ht="18" customHeight="1" s="202">
      <c r="A24" s="61" t="n">
        <v>20250066</v>
      </c>
      <c r="B24" s="94" t="inlineStr">
        <is>
          <t>YANGZE 6</t>
        </is>
      </c>
      <c r="C24" s="90" t="n">
        <v>45734</v>
      </c>
      <c r="D24" s="90" t="n">
        <v>45754</v>
      </c>
      <c r="E24" s="60" t="n">
        <v>1482</v>
      </c>
      <c r="F24" s="91" t="n">
        <v>10065.763</v>
      </c>
      <c r="G24" s="92" t="n">
        <v>1084</v>
      </c>
      <c r="H24" s="93" t="inlineStr">
        <is>
          <t>LOTUS SAT SARL</t>
        </is>
      </c>
      <c r="I24" s="93" t="inlineStr">
        <is>
          <t>BOBINES</t>
        </is>
      </c>
      <c r="J24" s="94" t="inlineStr">
        <is>
          <t>BOBINES</t>
        </is>
      </c>
      <c r="K24" s="53">
        <f>D24+8</f>
        <v/>
      </c>
      <c r="L24" s="54">
        <f>K24+60</f>
        <v/>
      </c>
      <c r="M24" s="95" t="inlineStr">
        <is>
          <t>25A0029000014ICS</t>
        </is>
      </c>
      <c r="N24" s="96">
        <f>E24-64-31-42-21-6-23-29-42-14-14-35-49-52-21-48-21-7-7-34-16-8-14-8-8-6-14-8-24-7-21-22-30-56-14-8-46-45-35-14-61-7-12-7-15-13-28-56-24-63-8-28-8-16-24-21-16-8-16-6-24-2-10-7-19-16</f>
        <v/>
      </c>
      <c r="O24" s="97">
        <f>F24/E24*N24</f>
        <v/>
      </c>
      <c r="P24" s="98">
        <f>G24/E24*N24</f>
        <v/>
      </c>
      <c r="Q24" s="57" t="inlineStr">
        <is>
          <t>GC</t>
        </is>
      </c>
      <c r="R24" s="101" t="inlineStr">
        <is>
          <t>LO / L / L 1 / L 2 / BLUE F</t>
        </is>
      </c>
      <c r="S24" s="74" t="inlineStr">
        <is>
          <t>YZ25001XDJD007-015 + YZ25001XDJD112 + YZ25001XDJD120A + YZ25001XDJD120B + YZ25001XDJD139-150</t>
        </is>
      </c>
      <c r="T24" s="75" t="inlineStr">
        <is>
          <t>5+37+38+39+44</t>
        </is>
      </c>
      <c r="U24" s="101" t="n"/>
      <c r="V24" s="67" t="n"/>
      <c r="W24" s="67" t="n"/>
      <c r="X24" s="99" t="inlineStr">
        <is>
          <t>OPER</t>
        </is>
      </c>
      <c r="Y24" s="116">
        <f>O24/N24</f>
        <v/>
      </c>
      <c r="Z24" s="64">
        <f>E24-N24</f>
        <v/>
      </c>
      <c r="AA24" s="64" t="n">
        <v>3471</v>
      </c>
    </row>
    <row r="25" ht="18" customHeight="1" s="202">
      <c r="A25" s="61" t="n">
        <v>20250066</v>
      </c>
      <c r="B25" s="94" t="inlineStr">
        <is>
          <t>YANGZE 6</t>
        </is>
      </c>
      <c r="C25" s="90" t="n">
        <v>45734</v>
      </c>
      <c r="D25" s="90" t="n">
        <v>45754</v>
      </c>
      <c r="E25" s="60" t="n">
        <v>200</v>
      </c>
      <c r="F25" s="91" t="n">
        <v>945.67</v>
      </c>
      <c r="G25" s="92" t="n">
        <v>467</v>
      </c>
      <c r="H25" s="93" t="inlineStr">
        <is>
          <t>STEEL TRANS SARL</t>
        </is>
      </c>
      <c r="I25" s="93" t="inlineStr">
        <is>
          <t>POUTRELLES</t>
        </is>
      </c>
      <c r="J25" s="94" t="inlineStr">
        <is>
          <t>POUTRELLES</t>
        </is>
      </c>
      <c r="K25" s="53">
        <f>D25+8</f>
        <v/>
      </c>
      <c r="L25" s="54">
        <f>K25+60</f>
        <v/>
      </c>
      <c r="M25" s="95" t="inlineStr">
        <is>
          <t>25A0029000014ICS</t>
        </is>
      </c>
      <c r="N25" s="96">
        <f>E25-38-21-10-8-12-13-22-12-37-24</f>
        <v/>
      </c>
      <c r="O25" s="97">
        <f>F25/E25*N25</f>
        <v/>
      </c>
      <c r="P25" s="98">
        <f>G25/E25*N25</f>
        <v/>
      </c>
      <c r="Q25" s="57" t="inlineStr">
        <is>
          <t>GC</t>
        </is>
      </c>
      <c r="R25" s="58" t="n"/>
      <c r="S25" s="74" t="inlineStr">
        <is>
          <t>YZ25001XDJD078-080</t>
        </is>
      </c>
      <c r="T25" s="75" t="n">
        <v>22</v>
      </c>
      <c r="U25" s="58" t="n"/>
      <c r="V25" s="67" t="n"/>
      <c r="W25" s="67" t="n"/>
      <c r="X25" s="99" t="inlineStr">
        <is>
          <t>OPER</t>
        </is>
      </c>
      <c r="Y25" s="116">
        <f>O25/N25</f>
        <v/>
      </c>
      <c r="Z25" s="64">
        <f>E25-N25</f>
        <v/>
      </c>
      <c r="AA25" s="64" t="n">
        <v>1</v>
      </c>
    </row>
    <row r="26" ht="18" customHeight="1" s="202">
      <c r="A26" s="76" t="n">
        <v>20250066</v>
      </c>
      <c r="B26" s="77" t="inlineStr">
        <is>
          <t>YANGZE 6</t>
        </is>
      </c>
      <c r="C26" s="78" t="n">
        <v>45734</v>
      </c>
      <c r="D26" s="78" t="n">
        <v>45754</v>
      </c>
      <c r="E26" s="76" t="n">
        <v>2</v>
      </c>
      <c r="F26" s="79" t="n">
        <v>11.7</v>
      </c>
      <c r="G26" s="102" t="n">
        <v>80</v>
      </c>
      <c r="H26" s="80" t="inlineStr">
        <is>
          <t>BEXCAR BENBRAHIM ET CIE SNC</t>
        </is>
      </c>
      <c r="I26" s="80" t="inlineStr">
        <is>
          <t>BUS</t>
        </is>
      </c>
      <c r="J26" s="77" t="inlineStr">
        <is>
          <t>UTILITAIRE</t>
        </is>
      </c>
      <c r="K26" s="53">
        <f>D26+8</f>
        <v/>
      </c>
      <c r="L26" s="54">
        <f>K26+60</f>
        <v/>
      </c>
      <c r="M26" s="103" t="inlineStr">
        <is>
          <t>25A0029000014ICS</t>
        </is>
      </c>
      <c r="N26" s="83">
        <f>E26-2</f>
        <v/>
      </c>
      <c r="O26" s="84">
        <f>F26/E26*N26</f>
        <v/>
      </c>
      <c r="P26" s="85">
        <f>G26/E26*N26</f>
        <v/>
      </c>
      <c r="Q26" s="80" t="n"/>
      <c r="R26" s="80" t="n"/>
      <c r="S26" s="80" t="inlineStr">
        <is>
          <t>YZ25001XDJD170</t>
        </is>
      </c>
      <c r="T26" s="86" t="n">
        <v>47</v>
      </c>
      <c r="U26" s="80" t="n"/>
      <c r="V26" s="76" t="n"/>
      <c r="W26" s="76" t="n"/>
      <c r="X26" s="76" t="inlineStr">
        <is>
          <t>SOLDEE</t>
        </is>
      </c>
      <c r="Y26" s="116">
        <f>O26/N26</f>
        <v/>
      </c>
      <c r="Z26" s="64">
        <f>E26-N26</f>
        <v/>
      </c>
      <c r="AA26" s="64" t="n">
        <v>8</v>
      </c>
    </row>
    <row r="27" ht="18" customHeight="1" s="202">
      <c r="A27" s="61" t="n">
        <v>20250066</v>
      </c>
      <c r="B27" s="94" t="inlineStr">
        <is>
          <t>YANGZE 6</t>
        </is>
      </c>
      <c r="C27" s="90" t="n">
        <v>45734</v>
      </c>
      <c r="D27" s="90" t="n">
        <v>45754</v>
      </c>
      <c r="E27" s="60" t="n">
        <v>104</v>
      </c>
      <c r="F27" s="91" t="n">
        <v>1.124</v>
      </c>
      <c r="G27" s="92" t="n">
        <v>1040</v>
      </c>
      <c r="H27" s="93" t="inlineStr">
        <is>
          <t>BEXCAR BENBRAHIM ET CIE SNC</t>
        </is>
      </c>
      <c r="I27" s="93" t="inlineStr">
        <is>
          <t>COLIS</t>
        </is>
      </c>
      <c r="J27" s="94" t="inlineStr">
        <is>
          <t>COLIS</t>
        </is>
      </c>
      <c r="K27" s="53">
        <f>D27+8</f>
        <v/>
      </c>
      <c r="L27" s="54">
        <f>K27+60</f>
        <v/>
      </c>
      <c r="M27" s="95" t="inlineStr">
        <is>
          <t>25A0029000014ICS</t>
        </is>
      </c>
      <c r="N27" s="96">
        <f>E27</f>
        <v/>
      </c>
      <c r="O27" s="97">
        <f>F27/E27*N27</f>
        <v/>
      </c>
      <c r="P27" s="98">
        <f>G27/E27*N27</f>
        <v/>
      </c>
      <c r="Q27" s="224" t="n"/>
      <c r="R27" s="58" t="n"/>
      <c r="S27" s="74" t="inlineStr">
        <is>
          <t>YZ25001XDJD171</t>
        </is>
      </c>
      <c r="T27" s="75" t="n">
        <v>48</v>
      </c>
      <c r="U27" s="58" t="n"/>
      <c r="V27" s="67" t="n"/>
      <c r="W27" s="67" t="n"/>
      <c r="X27" s="99" t="inlineStr">
        <is>
          <t>OPER</t>
        </is>
      </c>
      <c r="Y27" s="116">
        <f>O27/N27</f>
        <v/>
      </c>
      <c r="Z27" s="64">
        <f>E27-N27</f>
        <v/>
      </c>
      <c r="AA27" s="64" t="n">
        <v>1</v>
      </c>
    </row>
    <row r="28" ht="18" customHeight="1" s="202">
      <c r="A28" s="87" t="n">
        <v>20250045</v>
      </c>
      <c r="B28" s="88" t="inlineStr">
        <is>
          <t>SPAR TAURUS</t>
        </is>
      </c>
      <c r="C28" s="89" t="n">
        <v>45761</v>
      </c>
      <c r="D28" s="90" t="n">
        <v>45780</v>
      </c>
      <c r="E28" s="60" t="n">
        <v>1</v>
      </c>
      <c r="F28" s="91" t="n">
        <v>0.21</v>
      </c>
      <c r="G28" s="92" t="n">
        <v>2</v>
      </c>
      <c r="H28" s="93" t="inlineStr">
        <is>
          <t>ZOGHBI AHMED</t>
        </is>
      </c>
      <c r="I28" s="93" t="inlineStr">
        <is>
          <t>COLIS</t>
        </is>
      </c>
      <c r="J28" s="94" t="inlineStr">
        <is>
          <t>COLIS</t>
        </is>
      </c>
      <c r="K28" s="53">
        <f>D28+8</f>
        <v/>
      </c>
      <c r="L28" s="54">
        <f>K28+60</f>
        <v/>
      </c>
      <c r="M28" s="95" t="inlineStr">
        <is>
          <t>25A0029000020ICS</t>
        </is>
      </c>
      <c r="N28" s="96">
        <f>E28</f>
        <v/>
      </c>
      <c r="O28" s="97">
        <f>F28/E28*N28</f>
        <v/>
      </c>
      <c r="P28" s="98">
        <f>G28/E28*N28</f>
        <v/>
      </c>
      <c r="Q28" s="224" t="n"/>
      <c r="R28" s="58" t="n"/>
      <c r="S28" s="74" t="inlineStr">
        <is>
          <t>ST24235XDJD183</t>
        </is>
      </c>
      <c r="T28" s="75" t="n">
        <v>118</v>
      </c>
      <c r="U28" s="58" t="n"/>
      <c r="V28" s="67" t="n"/>
      <c r="W28" s="67" t="n"/>
      <c r="X28" s="99" t="inlineStr">
        <is>
          <t>OPER</t>
        </is>
      </c>
      <c r="Y28" s="116">
        <f>O28/N28</f>
        <v/>
      </c>
      <c r="Z28" s="64">
        <f>E28-N28</f>
        <v/>
      </c>
      <c r="AA28" s="64" t="n">
        <v>2</v>
      </c>
    </row>
    <row r="29" ht="18" customHeight="1" s="202">
      <c r="A29" s="76" t="n">
        <v>20250045</v>
      </c>
      <c r="B29" s="77" t="inlineStr">
        <is>
          <t>SPAR TAURUS</t>
        </is>
      </c>
      <c r="C29" s="78" t="n">
        <v>45761</v>
      </c>
      <c r="D29" s="78" t="n">
        <v>45780</v>
      </c>
      <c r="E29" s="76" t="n">
        <v>1</v>
      </c>
      <c r="F29" s="79" t="n">
        <v>9</v>
      </c>
      <c r="G29" s="102" t="n">
        <v>24</v>
      </c>
      <c r="H29" s="80" t="inlineStr">
        <is>
          <t>ZOGHBI AHMED</t>
        </is>
      </c>
      <c r="I29" s="80" t="inlineStr">
        <is>
          <t>CAMION TRACTEUR</t>
        </is>
      </c>
      <c r="J29" s="77" t="inlineStr">
        <is>
          <t>LOURD</t>
        </is>
      </c>
      <c r="K29" s="104">
        <f>D29+8</f>
        <v/>
      </c>
      <c r="L29" s="105">
        <f>K29+60</f>
        <v/>
      </c>
      <c r="M29" s="103" t="inlineStr">
        <is>
          <t>25A0029000020ICS</t>
        </is>
      </c>
      <c r="N29" s="83">
        <f>E29-1</f>
        <v/>
      </c>
      <c r="O29" s="84">
        <f>F29/E29*N29</f>
        <v/>
      </c>
      <c r="P29" s="85">
        <f>G29/E29*N29</f>
        <v/>
      </c>
      <c r="Q29" s="80" t="n">
        <v>561</v>
      </c>
      <c r="R29" s="80" t="n">
        <v>504</v>
      </c>
      <c r="S29" s="80" t="inlineStr">
        <is>
          <t>ST24235XDJD147</t>
        </is>
      </c>
      <c r="T29" s="86" t="n">
        <v>92</v>
      </c>
      <c r="U29" s="80" t="n"/>
      <c r="V29" s="76" t="n"/>
      <c r="W29" s="76" t="n"/>
      <c r="X29" s="76" t="inlineStr">
        <is>
          <t>SOLDEE</t>
        </is>
      </c>
      <c r="Y29" s="116" t="n"/>
      <c r="Z29" s="64">
        <f>E29-N29</f>
        <v/>
      </c>
      <c r="AA29" s="64" t="n">
        <v>117</v>
      </c>
    </row>
    <row r="30" ht="18" customHeight="1" s="202">
      <c r="A30" s="116" t="n">
        <v>20250117</v>
      </c>
      <c r="B30" s="117" t="inlineStr">
        <is>
          <t>QING YUN SHAN</t>
        </is>
      </c>
      <c r="C30" s="118" t="n">
        <v>45780</v>
      </c>
      <c r="D30" s="118" t="n">
        <v>45782</v>
      </c>
      <c r="E30" s="67" t="n">
        <v>1</v>
      </c>
      <c r="F30" s="119" t="n">
        <v>0.188</v>
      </c>
      <c r="G30" s="120" t="n">
        <v>2</v>
      </c>
      <c r="H30" s="121" t="inlineStr">
        <is>
          <t>BENCHIKH ABDELKADER</t>
        </is>
      </c>
      <c r="I30" s="121" t="inlineStr">
        <is>
          <t>COLIS</t>
        </is>
      </c>
      <c r="J30" s="117" t="inlineStr">
        <is>
          <t>COLIS</t>
        </is>
      </c>
      <c r="K30" s="53">
        <f>D30+8</f>
        <v/>
      </c>
      <c r="L30" s="54">
        <f>K30+60</f>
        <v/>
      </c>
      <c r="M30" s="71" t="inlineStr">
        <is>
          <t>25A0029000024ICS</t>
        </is>
      </c>
      <c r="N30" s="72">
        <f>E30</f>
        <v/>
      </c>
      <c r="O30" s="50">
        <f>F30/E30*N30</f>
        <v/>
      </c>
      <c r="P30" s="273">
        <f>G30/E30*N30</f>
        <v/>
      </c>
      <c r="Q30" s="224" t="n"/>
      <c r="R30" s="58" t="n"/>
      <c r="S30" s="74" t="inlineStr">
        <is>
          <t>QY25041LDJD076</t>
        </is>
      </c>
      <c r="T30" s="75" t="n">
        <v>65</v>
      </c>
      <c r="U30" s="58" t="n"/>
      <c r="V30" s="67" t="n"/>
      <c r="W30" s="67" t="n"/>
      <c r="X30" s="62" t="inlineStr">
        <is>
          <t>N-OP</t>
        </is>
      </c>
      <c r="Y30" s="116">
        <f>O30/N30</f>
        <v/>
      </c>
      <c r="Z30" s="64">
        <f>E30-N30</f>
        <v/>
      </c>
      <c r="AA30" s="64" t="n">
        <v>55</v>
      </c>
    </row>
    <row r="31" ht="18" customHeight="1" s="202">
      <c r="A31" s="106" t="n">
        <v>20250117</v>
      </c>
      <c r="B31" s="107" t="inlineStr">
        <is>
          <t>QING YUN SHAN</t>
        </is>
      </c>
      <c r="C31" s="108" t="n">
        <v>45780</v>
      </c>
      <c r="D31" s="108" t="n">
        <v>45782</v>
      </c>
      <c r="E31" s="106" t="n">
        <v>3</v>
      </c>
      <c r="F31" s="106" t="n">
        <v>1.353</v>
      </c>
      <c r="G31" s="106" t="n">
        <v>6</v>
      </c>
      <c r="H31" s="109" t="inlineStr">
        <is>
          <t>AMICHI ALI</t>
        </is>
      </c>
      <c r="I31" s="109" t="inlineStr">
        <is>
          <t>COLIS</t>
        </is>
      </c>
      <c r="J31" s="107" t="inlineStr">
        <is>
          <t>COLIS</t>
        </is>
      </c>
      <c r="K31" s="108">
        <f>D31+8</f>
        <v/>
      </c>
      <c r="L31" s="110">
        <f>K31+60</f>
        <v/>
      </c>
      <c r="M31" s="111" t="inlineStr">
        <is>
          <t>25A0029000024ICS</t>
        </is>
      </c>
      <c r="N31" s="112">
        <f>E31-3</f>
        <v/>
      </c>
      <c r="O31" s="113">
        <f>F31/E31*N31</f>
        <v/>
      </c>
      <c r="P31" s="112">
        <f>G31/E31*N31</f>
        <v/>
      </c>
      <c r="Q31" s="109" t="n"/>
      <c r="R31" s="109" t="n"/>
      <c r="S31" s="109" t="inlineStr">
        <is>
          <t>QY25041LDJD100</t>
        </is>
      </c>
      <c r="T31" s="114" t="n">
        <v>91</v>
      </c>
      <c r="U31" s="109" t="n"/>
      <c r="V31" s="106" t="n"/>
      <c r="W31" s="106" t="n"/>
      <c r="X31" s="106" t="inlineStr">
        <is>
          <t>SOLDEE</t>
        </is>
      </c>
      <c r="Y31" s="116">
        <f>O31/N31</f>
        <v/>
      </c>
      <c r="Z31" s="64">
        <f>E31-N31</f>
        <v/>
      </c>
      <c r="AA31" s="64" t="n">
        <v>477</v>
      </c>
    </row>
    <row r="32" ht="18" customHeight="1" s="202">
      <c r="A32" s="87" t="n">
        <v>20250039</v>
      </c>
      <c r="B32" s="88" t="inlineStr">
        <is>
          <t>OBSERVATOR</t>
        </is>
      </c>
      <c r="C32" s="89" t="n">
        <v>45756</v>
      </c>
      <c r="D32" s="90" t="n">
        <v>45784</v>
      </c>
      <c r="E32" s="60" t="n">
        <v>1488</v>
      </c>
      <c r="F32" s="91" t="n">
        <v>1252.114</v>
      </c>
      <c r="G32" s="92" t="n">
        <v>1750</v>
      </c>
      <c r="H32" s="93" t="inlineStr">
        <is>
          <t>DJOUDI ET BOUHANAF SARL</t>
        </is>
      </c>
      <c r="I32" s="93" t="inlineStr">
        <is>
          <t>CTP</t>
        </is>
      </c>
      <c r="J32" s="94" t="inlineStr">
        <is>
          <t>CTP</t>
        </is>
      </c>
      <c r="K32" s="53">
        <f>D32+8</f>
        <v/>
      </c>
      <c r="L32" s="54">
        <f>K32+60</f>
        <v/>
      </c>
      <c r="M32" s="95" t="inlineStr">
        <is>
          <t>25A0029000016ICS</t>
        </is>
      </c>
      <c r="N32" s="96">
        <f>E32-88-110-80-104-164-45-110-91-120-234-251-50-12-20-2</f>
        <v/>
      </c>
      <c r="O32" s="97">
        <f>F32/E32*N32</f>
        <v/>
      </c>
      <c r="P32" s="98">
        <f>G32/E32*N32</f>
        <v/>
      </c>
      <c r="Q32" s="224" t="n"/>
      <c r="R32" s="58" t="n"/>
      <c r="S32" s="74" t="inlineStr">
        <is>
          <t>OB24232LDJD089</t>
        </is>
      </c>
      <c r="T32" s="75" t="n">
        <v>86</v>
      </c>
      <c r="U32" s="58" t="n"/>
      <c r="V32" s="67" t="n"/>
      <c r="W32" s="67" t="n"/>
      <c r="X32" s="99" t="inlineStr">
        <is>
          <t>OPER</t>
        </is>
      </c>
      <c r="Y32" s="116" t="n"/>
      <c r="Z32" s="64">
        <f>E32-N32</f>
        <v/>
      </c>
      <c r="AA32" s="64" t="n">
        <v>18</v>
      </c>
    </row>
    <row r="33" ht="18" customHeight="1" s="202">
      <c r="A33" s="116" t="n">
        <v>20250039</v>
      </c>
      <c r="B33" s="117" t="inlineStr">
        <is>
          <t>OBSERVATOR</t>
        </is>
      </c>
      <c r="C33" s="118" t="n">
        <v>45756</v>
      </c>
      <c r="D33" s="118" t="n">
        <v>45784</v>
      </c>
      <c r="E33" s="67" t="n">
        <v>207</v>
      </c>
      <c r="F33" s="119" t="n">
        <v>143.218</v>
      </c>
      <c r="G33" s="120" t="n">
        <v>145</v>
      </c>
      <c r="H33" s="115" t="inlineStr">
        <is>
          <t>TROUVAY ET CAUVIN SPA</t>
        </is>
      </c>
      <c r="I33" s="121" t="inlineStr">
        <is>
          <t>TUBES</t>
        </is>
      </c>
      <c r="J33" s="117" t="inlineStr">
        <is>
          <t>TUBES</t>
        </is>
      </c>
      <c r="K33" s="53">
        <f>D33+8</f>
        <v/>
      </c>
      <c r="L33" s="54">
        <f>K33+60</f>
        <v/>
      </c>
      <c r="M33" s="71" t="inlineStr">
        <is>
          <t>25A0029000016ICS</t>
        </is>
      </c>
      <c r="N33" s="72">
        <f>E33</f>
        <v/>
      </c>
      <c r="O33" s="50">
        <f>F33/E33*N33</f>
        <v/>
      </c>
      <c r="P33" s="273">
        <f>G33/E33*N33</f>
        <v/>
      </c>
      <c r="Q33" s="224" t="n"/>
      <c r="R33" s="58" t="n"/>
      <c r="S33" s="74" t="inlineStr">
        <is>
          <t>OB24232LDJD100</t>
        </is>
      </c>
      <c r="T33" s="75" t="n">
        <v>94</v>
      </c>
      <c r="U33" s="58" t="n"/>
      <c r="V33" s="67" t="n"/>
      <c r="W33" s="67" t="n"/>
      <c r="X33" s="62" t="inlineStr">
        <is>
          <t>N-OP</t>
        </is>
      </c>
      <c r="Y33" s="116">
        <f>O33/N33</f>
        <v/>
      </c>
      <c r="Z33" s="64">
        <f>E33-N33</f>
        <v/>
      </c>
      <c r="AA33" s="64" t="n">
        <v>388</v>
      </c>
    </row>
    <row r="34" ht="18" customHeight="1" s="202">
      <c r="A34" s="61" t="n">
        <v>20250091</v>
      </c>
      <c r="B34" s="94" t="inlineStr">
        <is>
          <t>OPHELIA</t>
        </is>
      </c>
      <c r="C34" s="90" t="n">
        <v>45783</v>
      </c>
      <c r="D34" s="90" t="n">
        <v>45802</v>
      </c>
      <c r="E34" s="60" t="n">
        <v>201</v>
      </c>
      <c r="F34" s="91" t="n">
        <v>234.8</v>
      </c>
      <c r="G34" s="92" t="n">
        <v>99</v>
      </c>
      <c r="H34" s="93" t="inlineStr">
        <is>
          <t>SOUF BOIS SAKER ET CIE SNC</t>
        </is>
      </c>
      <c r="I34" s="93" t="inlineStr">
        <is>
          <t>CTP</t>
        </is>
      </c>
      <c r="J34" s="94" t="inlineStr">
        <is>
          <t>CTP</t>
        </is>
      </c>
      <c r="K34" s="53">
        <f>D34+8</f>
        <v/>
      </c>
      <c r="L34" s="54">
        <f>K34+60</f>
        <v/>
      </c>
      <c r="M34" s="95" t="inlineStr">
        <is>
          <t>25A0029000025ICS</t>
        </is>
      </c>
      <c r="N34" s="96">
        <f>E34-200</f>
        <v/>
      </c>
      <c r="O34" s="97">
        <f>F34/E34*N34</f>
        <v/>
      </c>
      <c r="P34" s="98">
        <f>G34/E34*N34</f>
        <v/>
      </c>
      <c r="Q34" s="224" t="n"/>
      <c r="R34" s="58" t="n"/>
      <c r="S34" s="74" t="inlineStr">
        <is>
          <t>24022LYDJ100/101</t>
        </is>
      </c>
      <c r="T34" s="75" t="n">
        <v>10</v>
      </c>
      <c r="U34" s="58" t="n"/>
      <c r="V34" s="67" t="n"/>
      <c r="W34" s="67" t="n"/>
      <c r="X34" s="99" t="inlineStr">
        <is>
          <t>OPER</t>
        </is>
      </c>
      <c r="Y34" s="116">
        <f>O34/N34</f>
        <v/>
      </c>
      <c r="Z34" s="64">
        <f>E34-N34</f>
        <v/>
      </c>
      <c r="AA34" s="64" t="n">
        <v>132</v>
      </c>
    </row>
    <row r="35" ht="18" customHeight="1" s="202">
      <c r="A35" s="61" t="n">
        <v>20250091</v>
      </c>
      <c r="B35" s="94" t="inlineStr">
        <is>
          <t>OPHELIA</t>
        </is>
      </c>
      <c r="C35" s="90" t="n">
        <v>45783</v>
      </c>
      <c r="D35" s="90" t="n">
        <v>45802</v>
      </c>
      <c r="E35" s="60" t="n">
        <v>158</v>
      </c>
      <c r="F35" s="91" t="n">
        <v>299.5</v>
      </c>
      <c r="G35" s="92" t="n">
        <v>123</v>
      </c>
      <c r="H35" s="93" t="inlineStr">
        <is>
          <t>ELDJORF PRODUCTION INDUSTRIELLE SARL</t>
        </is>
      </c>
      <c r="I35" s="93" t="inlineStr">
        <is>
          <t>CTP</t>
        </is>
      </c>
      <c r="J35" s="94" t="inlineStr">
        <is>
          <t>CTP</t>
        </is>
      </c>
      <c r="K35" s="53">
        <f>D35+8</f>
        <v/>
      </c>
      <c r="L35" s="53">
        <f>K35+60</f>
        <v/>
      </c>
      <c r="M35" s="95" t="inlineStr">
        <is>
          <t>25A0029000025ICS</t>
        </is>
      </c>
      <c r="N35" s="96">
        <f>E35-75-67</f>
        <v/>
      </c>
      <c r="O35" s="97">
        <f>F35/E35*N35</f>
        <v/>
      </c>
      <c r="P35" s="98">
        <f>G35/E35*N35</f>
        <v/>
      </c>
      <c r="Q35" s="224" t="n"/>
      <c r="R35" s="58" t="n"/>
      <c r="S35" s="74" t="inlineStr">
        <is>
          <t>24022LYDJ113</t>
        </is>
      </c>
      <c r="T35" s="75" t="n">
        <v>15</v>
      </c>
      <c r="U35" s="58" t="n"/>
      <c r="V35" s="67" t="n"/>
      <c r="W35" s="67" t="n"/>
      <c r="X35" s="99" t="inlineStr">
        <is>
          <t>OPER</t>
        </is>
      </c>
      <c r="Y35" s="116" t="n"/>
      <c r="Z35" s="64">
        <f>E35-N35</f>
        <v/>
      </c>
      <c r="AA35" s="64" t="n">
        <v>1</v>
      </c>
    </row>
    <row r="36" ht="18" customHeight="1" s="202">
      <c r="A36" s="61" t="n">
        <v>20250091</v>
      </c>
      <c r="B36" s="94" t="inlineStr">
        <is>
          <t>OPHELIA</t>
        </is>
      </c>
      <c r="C36" s="90" t="n">
        <v>45783</v>
      </c>
      <c r="D36" s="90" t="n">
        <v>45802</v>
      </c>
      <c r="E36" s="60" t="n">
        <v>470</v>
      </c>
      <c r="F36" s="91" t="n">
        <v>668.0599999999999</v>
      </c>
      <c r="G36" s="92" t="n">
        <v>408</v>
      </c>
      <c r="H36" s="93" t="inlineStr">
        <is>
          <t>TPI PLASTIC SARL</t>
        </is>
      </c>
      <c r="I36" s="93" t="inlineStr">
        <is>
          <t>PVC RESIN EN BIG BAG</t>
        </is>
      </c>
      <c r="J36" s="94" t="inlineStr">
        <is>
          <t>BIG BAG</t>
        </is>
      </c>
      <c r="K36" s="53">
        <f>D36+8</f>
        <v/>
      </c>
      <c r="L36" s="53">
        <f>K36+60</f>
        <v/>
      </c>
      <c r="M36" s="95" t="inlineStr">
        <is>
          <t>25A0029000025ICS</t>
        </is>
      </c>
      <c r="N36" s="96">
        <f>E36-32-51-19-15-88-35-38-71-50-69</f>
        <v/>
      </c>
      <c r="O36" s="97">
        <f>F36/E36*N36</f>
        <v/>
      </c>
      <c r="P36" s="98">
        <f>G36/E36*N36</f>
        <v/>
      </c>
      <c r="Q36" s="224" t="n"/>
      <c r="R36" s="58" t="n"/>
      <c r="S36" s="74" t="inlineStr">
        <is>
          <t>24022LYDJ03 + 24022LYDJ04 + 24022LYDJ17</t>
        </is>
      </c>
      <c r="T36" s="75" t="inlineStr">
        <is>
          <t>3+4+16</t>
        </is>
      </c>
      <c r="U36" s="58" t="n"/>
      <c r="V36" s="67" t="n"/>
      <c r="W36" s="67" t="n"/>
      <c r="X36" s="99" t="inlineStr">
        <is>
          <t>OPER</t>
        </is>
      </c>
      <c r="Y36" s="116">
        <f>O36/N36</f>
        <v/>
      </c>
      <c r="Z36" s="64">
        <f>E36-N36</f>
        <v/>
      </c>
      <c r="AA36" s="64" t="n">
        <v>1</v>
      </c>
    </row>
    <row r="37" ht="18" customHeight="1" s="202">
      <c r="A37" s="116" t="n">
        <v>20250091</v>
      </c>
      <c r="B37" s="117" t="inlineStr">
        <is>
          <t>OPHELIA</t>
        </is>
      </c>
      <c r="C37" s="118" t="n">
        <v>45783</v>
      </c>
      <c r="D37" s="118" t="n">
        <v>45802</v>
      </c>
      <c r="E37" s="67" t="n">
        <v>2</v>
      </c>
      <c r="F37" s="119" t="n">
        <v>11.6</v>
      </c>
      <c r="G37" s="120" t="n">
        <v>120</v>
      </c>
      <c r="H37" s="121" t="inlineStr">
        <is>
          <t>ABRAJ INJAZ SARL</t>
        </is>
      </c>
      <c r="I37" s="121" t="inlineStr">
        <is>
          <t>CAMION GRUE</t>
        </is>
      </c>
      <c r="J37" s="117" t="inlineStr">
        <is>
          <t>LOURD</t>
        </is>
      </c>
      <c r="K37" s="53">
        <f>D37+8</f>
        <v/>
      </c>
      <c r="L37" s="53">
        <f>K37+60</f>
        <v/>
      </c>
      <c r="M37" s="71" t="inlineStr">
        <is>
          <t>25A0029000025ICS</t>
        </is>
      </c>
      <c r="N37" s="72">
        <f>E37</f>
        <v/>
      </c>
      <c r="O37" s="50">
        <f>F37/E37*N37</f>
        <v/>
      </c>
      <c r="P37" s="273">
        <f>G37/E37*N37</f>
        <v/>
      </c>
      <c r="Q37" s="224" t="n"/>
      <c r="R37" s="58" t="n"/>
      <c r="S37" s="74" t="inlineStr">
        <is>
          <t>24022LYDJ98</t>
        </is>
      </c>
      <c r="T37" s="75" t="n"/>
      <c r="U37" s="58" t="n"/>
      <c r="V37" s="67" t="n"/>
      <c r="W37" s="67" t="n"/>
      <c r="X37" s="62" t="inlineStr">
        <is>
          <t>N-OP</t>
        </is>
      </c>
      <c r="Y37" s="116">
        <f>O37/N37</f>
        <v/>
      </c>
      <c r="Z37" s="64">
        <f>E37-N37</f>
        <v/>
      </c>
      <c r="AA37" s="64" t="n">
        <v>1</v>
      </c>
    </row>
    <row r="38" ht="18" customHeight="1" s="202">
      <c r="A38" s="61" t="n">
        <v>20250083</v>
      </c>
      <c r="B38" s="94" t="inlineStr">
        <is>
          <t>BAO LUCKY</t>
        </is>
      </c>
      <c r="C38" s="90" t="n">
        <v>45765</v>
      </c>
      <c r="D38" s="90" t="n">
        <v>45825</v>
      </c>
      <c r="E38" s="60" t="n">
        <v>1260</v>
      </c>
      <c r="F38" s="91" t="n">
        <v>1777.576</v>
      </c>
      <c r="G38" s="92" t="n">
        <v>620</v>
      </c>
      <c r="H38" s="93" t="inlineStr">
        <is>
          <t>BELHADJ METAL SARL</t>
        </is>
      </c>
      <c r="I38" s="93" t="inlineStr">
        <is>
          <t>CTP</t>
        </is>
      </c>
      <c r="J38" s="94" t="inlineStr">
        <is>
          <t>CTP</t>
        </is>
      </c>
      <c r="K38" s="53">
        <f>D38+8</f>
        <v/>
      </c>
      <c r="L38" s="53">
        <f>K38+60</f>
        <v/>
      </c>
      <c r="M38" s="95" t="inlineStr">
        <is>
          <t>25A0029000021ICS</t>
        </is>
      </c>
      <c r="N38" s="96">
        <f>E38-190-118-20-28-13-68-15-222-180-70-20-38-60-100-16-25-19-25-24</f>
        <v/>
      </c>
      <c r="O38" s="97">
        <f>F38/E38*N38</f>
        <v/>
      </c>
      <c r="P38" s="98">
        <f>G38/E38*N38</f>
        <v/>
      </c>
      <c r="Q38" s="224" t="n"/>
      <c r="R38" s="58" t="n"/>
      <c r="S38" s="74" t="inlineStr">
        <is>
          <t>BL25009YDJD070</t>
        </is>
      </c>
      <c r="T38" s="75" t="n">
        <v>83</v>
      </c>
      <c r="U38" s="58" t="n"/>
      <c r="V38" s="67" t="n"/>
      <c r="W38" s="67" t="n"/>
      <c r="X38" s="99" t="inlineStr">
        <is>
          <t>OPER</t>
        </is>
      </c>
      <c r="Y38" s="116">
        <f>O38/N38</f>
        <v/>
      </c>
      <c r="Z38" s="64">
        <f>E38-N38</f>
        <v/>
      </c>
      <c r="AA38" s="64" t="n">
        <v>1</v>
      </c>
    </row>
    <row r="39" ht="18" customHeight="1" s="202">
      <c r="A39" s="61" t="n">
        <v>20250083</v>
      </c>
      <c r="B39" s="94" t="inlineStr">
        <is>
          <t>BAO LUCKY</t>
        </is>
      </c>
      <c r="C39" s="90" t="n">
        <v>45765</v>
      </c>
      <c r="D39" s="90" t="n">
        <v>45825</v>
      </c>
      <c r="E39" s="60" t="n">
        <v>3640</v>
      </c>
      <c r="F39" s="91" t="n">
        <v>4013.1</v>
      </c>
      <c r="G39" s="92" t="n">
        <v>3160</v>
      </c>
      <c r="H39" s="93" t="inlineStr">
        <is>
          <t>TRANSFORMATION DE PLASTIQUE STP SARL</t>
        </is>
      </c>
      <c r="I39" s="93" t="inlineStr">
        <is>
          <t>PVC RESIN EN BIG BAG</t>
        </is>
      </c>
      <c r="J39" s="94" t="inlineStr">
        <is>
          <t>BIG BAG</t>
        </is>
      </c>
      <c r="K39" s="53">
        <f>D39+8</f>
        <v/>
      </c>
      <c r="L39" s="53">
        <f>K39+60</f>
        <v/>
      </c>
      <c r="M39" s="95" t="inlineStr">
        <is>
          <t>25A0029000021ICS</t>
        </is>
      </c>
      <c r="N39" s="96">
        <f>E39-200-204-200-200-200-200-200-201-200-120-100-120-120-120-120-125-120-120-120-100-100-45-120-80-16-20</f>
        <v/>
      </c>
      <c r="O39" s="97">
        <f>F39/E39*N39</f>
        <v/>
      </c>
      <c r="P39" s="98">
        <f>G39/E39*N39</f>
        <v/>
      </c>
      <c r="Q39" s="224" t="n"/>
      <c r="R39" s="58" t="n"/>
      <c r="S39" s="74" t="inlineStr">
        <is>
          <t>BL25009ZDJD013</t>
        </is>
      </c>
      <c r="T39" s="75" t="n">
        <v>109</v>
      </c>
      <c r="U39" s="58" t="n"/>
      <c r="V39" s="67" t="n"/>
      <c r="W39" s="67" t="n"/>
      <c r="X39" s="99" t="inlineStr">
        <is>
          <t>OPER</t>
        </is>
      </c>
      <c r="Y39" s="116">
        <f>O39/N39</f>
        <v/>
      </c>
      <c r="Z39" s="64">
        <f>E39-N39</f>
        <v/>
      </c>
      <c r="AA39" s="64" t="n">
        <v>41</v>
      </c>
    </row>
    <row r="40" ht="18" customHeight="1" s="202">
      <c r="A40" s="76" t="n">
        <v>20250083</v>
      </c>
      <c r="B40" s="77" t="inlineStr">
        <is>
          <t>BAO LUCKY</t>
        </is>
      </c>
      <c r="C40" s="78" t="n">
        <v>45765</v>
      </c>
      <c r="D40" s="78" t="n">
        <v>45825</v>
      </c>
      <c r="E40" s="76" t="n">
        <v>1</v>
      </c>
      <c r="F40" s="79" t="n">
        <v>24.422</v>
      </c>
      <c r="G40" s="102" t="n">
        <v>24</v>
      </c>
      <c r="H40" s="80" t="inlineStr">
        <is>
          <t>SIFOR SARL</t>
        </is>
      </c>
      <c r="I40" s="80" t="inlineStr">
        <is>
          <t>MACHINE DE FORAGE</t>
        </is>
      </c>
      <c r="J40" s="77" t="inlineStr">
        <is>
          <t>ENGINS</t>
        </is>
      </c>
      <c r="K40" s="78">
        <f>D40+8</f>
        <v/>
      </c>
      <c r="L40" s="78">
        <f>K40+60</f>
        <v/>
      </c>
      <c r="M40" s="82" t="inlineStr">
        <is>
          <t>25A0029000021ICS</t>
        </is>
      </c>
      <c r="N40" s="83">
        <f>E40-1</f>
        <v/>
      </c>
      <c r="O40" s="84">
        <f>F40/E40*N40</f>
        <v/>
      </c>
      <c r="P40" s="85">
        <f>G40/E40*N40</f>
        <v/>
      </c>
      <c r="Q40" s="80" t="n"/>
      <c r="R40" s="80" t="n"/>
      <c r="S40" s="80" t="inlineStr">
        <is>
          <t>BL25009YDJD067</t>
        </is>
      </c>
      <c r="T40" s="86" t="n">
        <v>80</v>
      </c>
      <c r="U40" s="80" t="n"/>
      <c r="V40" s="76" t="n"/>
      <c r="W40" s="76" t="n"/>
      <c r="X40" s="76" t="inlineStr">
        <is>
          <t>SOLDEE</t>
        </is>
      </c>
      <c r="Y40" s="116" t="n"/>
      <c r="Z40" s="64">
        <f>E40-N40</f>
        <v/>
      </c>
      <c r="AA40" s="64" t="n">
        <v>127</v>
      </c>
    </row>
    <row r="41" ht="18" customHeight="1" s="202">
      <c r="A41" s="61" t="n">
        <v>20250083</v>
      </c>
      <c r="B41" s="94" t="inlineStr">
        <is>
          <t>BAO LUCKY</t>
        </is>
      </c>
      <c r="C41" s="90" t="n">
        <v>45765</v>
      </c>
      <c r="D41" s="90" t="n">
        <v>45825</v>
      </c>
      <c r="E41" s="60" t="n">
        <v>9</v>
      </c>
      <c r="F41" s="91" t="n">
        <v>0</v>
      </c>
      <c r="G41" s="92" t="n">
        <v>18</v>
      </c>
      <c r="H41" s="93" t="inlineStr">
        <is>
          <t>SIFOR SARL</t>
        </is>
      </c>
      <c r="I41" s="93" t="inlineStr">
        <is>
          <t>COLIS</t>
        </is>
      </c>
      <c r="J41" s="94" t="inlineStr">
        <is>
          <t>COLIS</t>
        </is>
      </c>
      <c r="K41" s="53">
        <f>D41+8</f>
        <v/>
      </c>
      <c r="L41" s="53">
        <f>K41+60</f>
        <v/>
      </c>
      <c r="M41" s="95" t="inlineStr">
        <is>
          <t>25A0029000021ICS</t>
        </is>
      </c>
      <c r="N41" s="96">
        <f>E41-8</f>
        <v/>
      </c>
      <c r="O41" s="97">
        <f>F41/E41*N41</f>
        <v/>
      </c>
      <c r="P41" s="98">
        <f>G41/E41*N41</f>
        <v/>
      </c>
      <c r="Q41" s="224" t="n"/>
      <c r="R41" s="58" t="n"/>
      <c r="S41" s="74" t="inlineStr">
        <is>
          <t>BL25009YDJD067</t>
        </is>
      </c>
      <c r="T41" s="75" t="n">
        <v>80</v>
      </c>
      <c r="U41" s="58" t="n"/>
      <c r="V41" s="67" t="n"/>
      <c r="W41" s="67" t="n"/>
      <c r="X41" s="99" t="inlineStr">
        <is>
          <t>OPER</t>
        </is>
      </c>
      <c r="Y41" s="116" t="n"/>
      <c r="Z41" s="64">
        <f>E41-N41</f>
        <v/>
      </c>
      <c r="AA41" s="64" t="n">
        <v>1</v>
      </c>
    </row>
    <row r="42" ht="18" customHeight="1" s="202">
      <c r="A42" s="76" t="n">
        <v>20250095</v>
      </c>
      <c r="B42" s="77" t="inlineStr">
        <is>
          <t>KUAI BANG HAI 18</t>
        </is>
      </c>
      <c r="C42" s="78" t="n">
        <v>45802</v>
      </c>
      <c r="D42" s="78" t="n">
        <v>45828</v>
      </c>
      <c r="E42" s="76" t="n">
        <v>1</v>
      </c>
      <c r="F42" s="79" t="n">
        <v>8</v>
      </c>
      <c r="G42" s="102" t="n">
        <v>18</v>
      </c>
      <c r="H42" s="80" t="inlineStr">
        <is>
          <t>TAHOURI RACHID</t>
        </is>
      </c>
      <c r="I42" s="80" t="inlineStr">
        <is>
          <t>CAMION TRACTEUR</t>
        </is>
      </c>
      <c r="J42" s="77" t="inlineStr">
        <is>
          <t>LOURD</t>
        </is>
      </c>
      <c r="K42" s="78">
        <f>D42+8</f>
        <v/>
      </c>
      <c r="L42" s="78">
        <f>K42+60</f>
        <v/>
      </c>
      <c r="M42" s="82" t="inlineStr">
        <is>
          <t>25A029000027ICS</t>
        </is>
      </c>
      <c r="N42" s="83">
        <f>E42-1</f>
        <v/>
      </c>
      <c r="O42" s="84">
        <f>F42/E42*N42</f>
        <v/>
      </c>
      <c r="P42" s="85">
        <f>G42/E42*N42</f>
        <v/>
      </c>
      <c r="Q42" s="80" t="n"/>
      <c r="R42" s="80" t="n"/>
      <c r="S42" s="80" t="inlineStr">
        <is>
          <t>KB25032LDJD045</t>
        </is>
      </c>
      <c r="T42" s="86" t="n">
        <v>43</v>
      </c>
      <c r="U42" s="80" t="n"/>
      <c r="V42" s="76" t="n"/>
      <c r="W42" s="76" t="n"/>
      <c r="X42" s="76" t="inlineStr">
        <is>
          <t>SOLDEE</t>
        </is>
      </c>
      <c r="Y42" s="116" t="n"/>
      <c r="Z42" s="64">
        <f>E42-N42</f>
        <v/>
      </c>
      <c r="AA42" s="64" t="n">
        <v>31</v>
      </c>
    </row>
    <row r="43" ht="18" customHeight="1" s="202">
      <c r="A43" s="116" t="n">
        <v>20250095</v>
      </c>
      <c r="B43" s="117" t="inlineStr">
        <is>
          <t>KUAI BANG HAI 18</t>
        </is>
      </c>
      <c r="C43" s="118" t="n">
        <v>45802</v>
      </c>
      <c r="D43" s="118" t="n">
        <v>45828</v>
      </c>
      <c r="E43" s="67" t="n">
        <v>1</v>
      </c>
      <c r="F43" s="119" t="n">
        <v>0.101</v>
      </c>
      <c r="G43" s="120" t="n">
        <v>3</v>
      </c>
      <c r="H43" s="121" t="inlineStr">
        <is>
          <t>TAHOURI RACHID</t>
        </is>
      </c>
      <c r="I43" s="121" t="inlineStr">
        <is>
          <t>COLIS</t>
        </is>
      </c>
      <c r="J43" s="117" t="inlineStr">
        <is>
          <t>COLIS</t>
        </is>
      </c>
      <c r="K43" s="53">
        <f>D43+8</f>
        <v/>
      </c>
      <c r="L43" s="53">
        <f>K43+60</f>
        <v/>
      </c>
      <c r="M43" s="71" t="inlineStr">
        <is>
          <t>25A029000027ICS</t>
        </is>
      </c>
      <c r="N43" s="72">
        <f>E43</f>
        <v/>
      </c>
      <c r="O43" s="50">
        <f>F43/E43*N43</f>
        <v/>
      </c>
      <c r="P43" s="273">
        <f>G43/E43*N43</f>
        <v/>
      </c>
      <c r="Q43" s="224" t="n"/>
      <c r="R43" s="58" t="n"/>
      <c r="S43" s="74" t="inlineStr">
        <is>
          <t>KB25032LDJD067</t>
        </is>
      </c>
      <c r="T43" s="75" t="n">
        <v>61</v>
      </c>
      <c r="U43" s="58" t="n"/>
      <c r="V43" s="67" t="n"/>
      <c r="W43" s="67" t="n"/>
      <c r="X43" s="62" t="inlineStr">
        <is>
          <t>N-OP</t>
        </is>
      </c>
      <c r="Y43" s="116">
        <f>F43/E43</f>
        <v/>
      </c>
      <c r="Z43" s="64">
        <f>E43-N43</f>
        <v/>
      </c>
      <c r="AA43" s="64" t="n">
        <v>4</v>
      </c>
    </row>
    <row r="44" ht="18" customHeight="1" s="202">
      <c r="A44" s="76" t="n">
        <v>20250095</v>
      </c>
      <c r="B44" s="77" t="inlineStr">
        <is>
          <t>KUAI BANG HAI 18</t>
        </is>
      </c>
      <c r="C44" s="78" t="n">
        <v>45802</v>
      </c>
      <c r="D44" s="78" t="n">
        <v>45828</v>
      </c>
      <c r="E44" s="76" t="n">
        <v>2</v>
      </c>
      <c r="F44" s="79" t="n">
        <v>16</v>
      </c>
      <c r="G44" s="102" t="n">
        <v>36</v>
      </c>
      <c r="H44" s="80" t="inlineStr">
        <is>
          <t>DJERIDANE IBRAHIM EL KHALIL</t>
        </is>
      </c>
      <c r="I44" s="80" t="inlineStr">
        <is>
          <t>CAMION TRACTEUR</t>
        </is>
      </c>
      <c r="J44" s="77" t="inlineStr">
        <is>
          <t>LOURD</t>
        </is>
      </c>
      <c r="K44" s="78">
        <f>D44+8</f>
        <v/>
      </c>
      <c r="L44" s="78">
        <f>K44+60</f>
        <v/>
      </c>
      <c r="M44" s="82" t="inlineStr">
        <is>
          <t>25A029000027ICS</t>
        </is>
      </c>
      <c r="N44" s="83">
        <f>E44-2</f>
        <v/>
      </c>
      <c r="O44" s="84">
        <f>F44/E44*N44</f>
        <v/>
      </c>
      <c r="P44" s="85">
        <f>G44/E44*N44</f>
        <v/>
      </c>
      <c r="Q44" s="80" t="n"/>
      <c r="R44" s="80" t="n"/>
      <c r="S44" s="80" t="inlineStr">
        <is>
          <t>KB25032LDJD039</t>
        </is>
      </c>
      <c r="T44" s="86" t="n">
        <v>39</v>
      </c>
      <c r="U44" s="80" t="n"/>
      <c r="V44" s="76" t="n"/>
      <c r="W44" s="76" t="n"/>
      <c r="X44" s="76" t="inlineStr">
        <is>
          <t>SOLDEE</t>
        </is>
      </c>
      <c r="Y44" s="116" t="n"/>
      <c r="Z44" s="64">
        <f>E44-N44</f>
        <v/>
      </c>
      <c r="AA44" s="64" t="n">
        <v>6</v>
      </c>
    </row>
    <row r="45" ht="18" customHeight="1" s="202">
      <c r="A45" s="116" t="n">
        <v>20250095</v>
      </c>
      <c r="B45" s="117" t="inlineStr">
        <is>
          <t>KUAI BANG HAI 18</t>
        </is>
      </c>
      <c r="C45" s="118" t="n">
        <v>45802</v>
      </c>
      <c r="D45" s="118" t="n">
        <v>45828</v>
      </c>
      <c r="E45" s="67" t="n">
        <v>1</v>
      </c>
      <c r="F45" s="119" t="n">
        <v>0.352</v>
      </c>
      <c r="G45" s="120" t="n">
        <v>3</v>
      </c>
      <c r="H45" s="121" t="inlineStr">
        <is>
          <t>DJERIDANE IBRAHIM EL KHALIL</t>
        </is>
      </c>
      <c r="I45" s="121" t="inlineStr">
        <is>
          <t>COLIS</t>
        </is>
      </c>
      <c r="J45" s="117" t="inlineStr">
        <is>
          <t>COLIS</t>
        </is>
      </c>
      <c r="K45" s="53">
        <f>D45+8</f>
        <v/>
      </c>
      <c r="L45" s="53">
        <f>K45+60</f>
        <v/>
      </c>
      <c r="M45" s="71" t="inlineStr">
        <is>
          <t>25A029000027ICS</t>
        </is>
      </c>
      <c r="N45" s="72">
        <f>E45</f>
        <v/>
      </c>
      <c r="O45" s="50">
        <f>F45/E45*N45</f>
        <v/>
      </c>
      <c r="P45" s="273">
        <f>G45/E45*N45</f>
        <v/>
      </c>
      <c r="Q45" s="224" t="n"/>
      <c r="R45" s="58" t="n"/>
      <c r="S45" s="74" t="inlineStr">
        <is>
          <t>KB25032LDJD068</t>
        </is>
      </c>
      <c r="T45" s="75" t="n">
        <v>62</v>
      </c>
      <c r="U45" s="58" t="n"/>
      <c r="V45" s="67" t="n"/>
      <c r="W45" s="67" t="n"/>
      <c r="X45" s="62" t="inlineStr">
        <is>
          <t>N-OP</t>
        </is>
      </c>
      <c r="Y45" s="116">
        <f>F45/E45</f>
        <v/>
      </c>
      <c r="Z45" s="64">
        <f>E45-N45</f>
        <v/>
      </c>
      <c r="AA45" s="64" t="n">
        <v>3</v>
      </c>
    </row>
    <row r="46" ht="18" customHeight="1" s="202">
      <c r="A46" s="87" t="n">
        <v>20250095</v>
      </c>
      <c r="B46" s="88" t="inlineStr">
        <is>
          <t>KUAI BANG HAI 18</t>
        </is>
      </c>
      <c r="C46" s="89" t="n">
        <v>45802</v>
      </c>
      <c r="D46" s="118" t="n">
        <v>45828</v>
      </c>
      <c r="E46" s="67" t="n">
        <v>5</v>
      </c>
      <c r="F46" s="119" t="n">
        <v>1.986</v>
      </c>
      <c r="G46" s="120" t="n">
        <v>15</v>
      </c>
      <c r="H46" s="121" t="inlineStr">
        <is>
          <t>OUICHER RACHID EGTPH</t>
        </is>
      </c>
      <c r="I46" s="121" t="inlineStr">
        <is>
          <t>COLIS</t>
        </is>
      </c>
      <c r="J46" s="117" t="inlineStr">
        <is>
          <t>COLIS</t>
        </is>
      </c>
      <c r="K46" s="53">
        <f>D46+8</f>
        <v/>
      </c>
      <c r="L46" s="53">
        <f>K46+60</f>
        <v/>
      </c>
      <c r="M46" s="71" t="inlineStr">
        <is>
          <t>25A029000027ICS</t>
        </is>
      </c>
      <c r="N46" s="72">
        <f>E46</f>
        <v/>
      </c>
      <c r="O46" s="50">
        <f>F46/E46*N46</f>
        <v/>
      </c>
      <c r="P46" s="273">
        <f>G46/E46*N46</f>
        <v/>
      </c>
      <c r="Q46" s="224" t="n"/>
      <c r="R46" s="58" t="n"/>
      <c r="S46" s="74" t="inlineStr">
        <is>
          <t>KB25032LDJD063</t>
        </is>
      </c>
      <c r="T46" s="75" t="n">
        <v>59</v>
      </c>
      <c r="U46" s="58" t="n"/>
      <c r="V46" s="67" t="n"/>
      <c r="W46" s="67" t="n"/>
      <c r="X46" s="62" t="inlineStr">
        <is>
          <t>N-OP</t>
        </is>
      </c>
      <c r="Y46" s="116">
        <f>F46/E46</f>
        <v/>
      </c>
      <c r="Z46" s="64">
        <f>E46-N46</f>
        <v/>
      </c>
      <c r="AA46" s="64" t="n">
        <v>1</v>
      </c>
    </row>
    <row r="47" ht="18" customHeight="1" s="202">
      <c r="A47" s="87" t="n">
        <v>20250095</v>
      </c>
      <c r="B47" s="88" t="inlineStr">
        <is>
          <t>KUAI BANG HAI 18</t>
        </is>
      </c>
      <c r="C47" s="89" t="n">
        <v>45802</v>
      </c>
      <c r="D47" s="90" t="n">
        <v>45828</v>
      </c>
      <c r="E47" s="60" t="n">
        <v>119</v>
      </c>
      <c r="F47" s="91" t="n">
        <v>581.76</v>
      </c>
      <c r="G47" s="92" t="n">
        <v>262</v>
      </c>
      <c r="H47" s="93" t="inlineStr">
        <is>
          <t>BAGNO PLUS SARL</t>
        </is>
      </c>
      <c r="I47" s="93" t="inlineStr">
        <is>
          <t>POUTRELLES</t>
        </is>
      </c>
      <c r="J47" s="94" t="inlineStr">
        <is>
          <t>POUTRELLES</t>
        </is>
      </c>
      <c r="K47" s="53">
        <f>D47+8</f>
        <v/>
      </c>
      <c r="L47" s="53">
        <f>K47+60</f>
        <v/>
      </c>
      <c r="M47" s="95" t="inlineStr">
        <is>
          <t>25A029000027ICS</t>
        </is>
      </c>
      <c r="N47" s="96">
        <f>E47-117</f>
        <v/>
      </c>
      <c r="O47" s="97">
        <f>F47/E47*N47</f>
        <v/>
      </c>
      <c r="P47" s="98">
        <f>G47/E47*N47</f>
        <v/>
      </c>
      <c r="Q47" s="224" t="n"/>
      <c r="R47" s="58" t="n"/>
      <c r="S47" s="74" t="inlineStr">
        <is>
          <t>KB25032XDJD083</t>
        </is>
      </c>
      <c r="T47" s="75" t="n">
        <v>100</v>
      </c>
      <c r="U47" s="58" t="n"/>
      <c r="V47" s="67" t="n"/>
      <c r="W47" s="67" t="n"/>
      <c r="X47" s="99" t="inlineStr">
        <is>
          <t>OPER</t>
        </is>
      </c>
      <c r="Y47" s="116" t="n"/>
      <c r="Z47" s="64">
        <f>E47-N47</f>
        <v/>
      </c>
      <c r="AA47" s="64" t="n">
        <v>32</v>
      </c>
    </row>
    <row r="48" ht="18" customHeight="1" s="202">
      <c r="A48" s="61" t="n">
        <v>20250095</v>
      </c>
      <c r="B48" s="94" t="inlineStr">
        <is>
          <t>KUAI BANG HAI 18</t>
        </is>
      </c>
      <c r="C48" s="90" t="n">
        <v>45802</v>
      </c>
      <c r="D48" s="90" t="n">
        <v>45828</v>
      </c>
      <c r="E48" s="60" t="n">
        <v>58</v>
      </c>
      <c r="F48" s="91" t="n">
        <v>1572.819</v>
      </c>
      <c r="G48" s="92" t="n">
        <v>46</v>
      </c>
      <c r="H48" s="93" t="inlineStr">
        <is>
          <t>MASSINISSA STEEL SARL</t>
        </is>
      </c>
      <c r="I48" s="93" t="inlineStr">
        <is>
          <t>BOBINES</t>
        </is>
      </c>
      <c r="J48" s="94" t="inlineStr">
        <is>
          <t>BOBINES</t>
        </is>
      </c>
      <c r="K48" s="53">
        <f>D48+8</f>
        <v/>
      </c>
      <c r="L48" s="53">
        <f>K48+60</f>
        <v/>
      </c>
      <c r="M48" s="95" t="inlineStr">
        <is>
          <t>25A029000027ICS</t>
        </is>
      </c>
      <c r="N48" s="96">
        <f>E48-10-16-16-10-3</f>
        <v/>
      </c>
      <c r="O48" s="97">
        <f>F48/E48*N48</f>
        <v/>
      </c>
      <c r="P48" s="98">
        <f>G48/E48*N48</f>
        <v/>
      </c>
      <c r="Q48" s="224" t="n"/>
      <c r="R48" s="58" t="n"/>
      <c r="S48" s="74" t="inlineStr">
        <is>
          <t>KB25032XDJD014</t>
        </is>
      </c>
      <c r="T48" s="75" t="n">
        <v>73</v>
      </c>
      <c r="U48" s="58" t="n"/>
      <c r="V48" s="67" t="n"/>
      <c r="W48" s="67" t="n"/>
      <c r="X48" s="99" t="inlineStr">
        <is>
          <t>OPER</t>
        </is>
      </c>
      <c r="Y48" s="116" t="n"/>
      <c r="Z48" s="64">
        <f>E48-N48</f>
        <v/>
      </c>
      <c r="AA48" s="64" t="n">
        <v>1</v>
      </c>
    </row>
    <row r="49" ht="18" customHeight="1" s="202">
      <c r="A49" s="61" t="n">
        <v>20250129</v>
      </c>
      <c r="B49" s="94" t="inlineStr">
        <is>
          <t>BROAD GLORY</t>
        </is>
      </c>
      <c r="C49" s="90" t="n">
        <v>45794</v>
      </c>
      <c r="D49" s="90" t="n">
        <v>45830</v>
      </c>
      <c r="E49" s="60" t="n">
        <v>483</v>
      </c>
      <c r="F49" s="91" t="n">
        <v>518.112</v>
      </c>
      <c r="G49" s="92" t="n">
        <v>237</v>
      </c>
      <c r="H49" s="93" t="inlineStr">
        <is>
          <t>PRIMINIUM WOOD SARL</t>
        </is>
      </c>
      <c r="I49" s="93" t="inlineStr">
        <is>
          <t>CTP</t>
        </is>
      </c>
      <c r="J49" s="94" t="inlineStr">
        <is>
          <t>CTP</t>
        </is>
      </c>
      <c r="K49" s="53">
        <f>D49+8</f>
        <v/>
      </c>
      <c r="L49" s="53">
        <f>K49+60</f>
        <v/>
      </c>
      <c r="M49" s="95" t="inlineStr">
        <is>
          <t>25A0122000005ICS</t>
        </is>
      </c>
      <c r="N49" s="96">
        <f>E49-160-30-85-30-30-60-30-30-22</f>
        <v/>
      </c>
      <c r="O49" s="97">
        <f>F49/E49*N49</f>
        <v/>
      </c>
      <c r="P49" s="98">
        <f>G49/E49*N49</f>
        <v/>
      </c>
      <c r="Q49" s="122" t="n"/>
      <c r="R49" s="58" t="n"/>
      <c r="S49" s="74" t="inlineStr">
        <is>
          <t>BG25059LDJD075</t>
        </is>
      </c>
      <c r="T49" s="75" t="n">
        <v>65</v>
      </c>
      <c r="U49" s="58" t="n"/>
      <c r="V49" s="67" t="n"/>
      <c r="W49" s="67" t="n"/>
      <c r="X49" s="99" t="inlineStr">
        <is>
          <t>OPER</t>
        </is>
      </c>
      <c r="Y49" s="116">
        <f>F49/E49</f>
        <v/>
      </c>
      <c r="Z49" s="64">
        <f>E49-N49</f>
        <v/>
      </c>
      <c r="AA49" s="64" t="n">
        <v>12</v>
      </c>
    </row>
    <row r="50" ht="18" customHeight="1" s="202">
      <c r="A50" s="123" t="n">
        <v>20250120</v>
      </c>
      <c r="B50" s="124" t="inlineStr">
        <is>
          <t>XIN HAI TONG 60</t>
        </is>
      </c>
      <c r="C50" s="125" t="n">
        <v>45806</v>
      </c>
      <c r="D50" s="125" t="n">
        <v>45836</v>
      </c>
      <c r="E50" s="126" t="n">
        <v>286</v>
      </c>
      <c r="F50" s="127" t="n">
        <v>2815.46</v>
      </c>
      <c r="G50" s="128" t="n">
        <v>229</v>
      </c>
      <c r="H50" s="129" t="inlineStr">
        <is>
          <t>ALTUB SARL / SOCIETE ALGERIENNE DE FABRICATION DE TUBES</t>
        </is>
      </c>
      <c r="I50" s="129" t="inlineStr">
        <is>
          <t>BOBINES</t>
        </is>
      </c>
      <c r="J50" s="124" t="inlineStr">
        <is>
          <t>BOBINES</t>
        </is>
      </c>
      <c r="K50" s="130">
        <f>D50+8</f>
        <v/>
      </c>
      <c r="L50" s="130">
        <f>K50+60</f>
        <v/>
      </c>
      <c r="M50" s="131" t="inlineStr">
        <is>
          <t>25A029000028ICS</t>
        </is>
      </c>
      <c r="N50" s="132">
        <f>E50-10-8</f>
        <v/>
      </c>
      <c r="O50" s="133">
        <f>F50/E50*N50</f>
        <v/>
      </c>
      <c r="P50" s="134">
        <f>G50/E50*N50</f>
        <v/>
      </c>
      <c r="Q50" s="224" t="inlineStr">
        <is>
          <t>T BOIS + GC 0 + EN FACE surveillent + EN FACE PONT PASCUL EPJ</t>
        </is>
      </c>
      <c r="R50" s="58" t="inlineStr">
        <is>
          <t>COLOUR PURPLE</t>
        </is>
      </c>
      <c r="S50" s="52" t="inlineStr">
        <is>
          <t>XHT25012ZJGDJ05</t>
        </is>
      </c>
      <c r="T50" s="59" t="n">
        <v>39</v>
      </c>
      <c r="U50" s="58" t="n"/>
      <c r="V50" s="67" t="n"/>
      <c r="W50" s="67" t="n"/>
      <c r="X50" s="99" t="inlineStr">
        <is>
          <t>OPER</t>
        </is>
      </c>
      <c r="Y50" s="116">
        <f>F50/E50</f>
        <v/>
      </c>
      <c r="Z50" s="64">
        <f>E50-N50</f>
        <v/>
      </c>
      <c r="AA50" s="64" t="n">
        <v>146</v>
      </c>
    </row>
    <row r="51" ht="18" customHeight="1" s="202">
      <c r="A51" s="135" t="n">
        <v>20250146</v>
      </c>
      <c r="B51" s="136" t="inlineStr">
        <is>
          <t>BAO RUN</t>
        </is>
      </c>
      <c r="C51" s="137" t="n">
        <v>45825</v>
      </c>
      <c r="D51" s="137" t="n">
        <v>45845</v>
      </c>
      <c r="E51" s="138" t="n">
        <v>402</v>
      </c>
      <c r="F51" s="139" t="n">
        <v>3836.76</v>
      </c>
      <c r="G51" s="140" t="n">
        <v>370</v>
      </c>
      <c r="H51" s="141" t="inlineStr">
        <is>
          <t>CAPROMET SARL</t>
        </is>
      </c>
      <c r="I51" s="141" t="inlineStr">
        <is>
          <t>BOBINES</t>
        </is>
      </c>
      <c r="J51" s="136" t="inlineStr">
        <is>
          <t>BOBINES</t>
        </is>
      </c>
      <c r="K51" s="142">
        <f>D51+8</f>
        <v/>
      </c>
      <c r="L51" s="142">
        <f>K51+60</f>
        <v/>
      </c>
      <c r="M51" s="143" t="inlineStr">
        <is>
          <t>25A0122000006ICS</t>
        </is>
      </c>
      <c r="N51" s="144">
        <f>E51-40-9-39-62-102-130-6</f>
        <v/>
      </c>
      <c r="O51" s="145">
        <f>F51/E51*N51</f>
        <v/>
      </c>
      <c r="P51" s="146">
        <f>G51/E51*N51</f>
        <v/>
      </c>
      <c r="Q51" s="224" t="inlineStr">
        <is>
          <t>A FOND DE T BOIS + GC AVANT L RAIL + GC  A COTE SHIPLOADER EPJ + GC COTE TOILLET + A COTE PONT BASCULR G CARGO</t>
        </is>
      </c>
      <c r="R51" s="58" t="inlineStr">
        <is>
          <t>J6 YELLOW</t>
        </is>
      </c>
      <c r="S51" s="147" t="inlineStr">
        <is>
          <t>BR25069XDJD026</t>
        </is>
      </c>
      <c r="T51" s="148" t="n">
        <v>14</v>
      </c>
      <c r="U51" s="149" t="n"/>
      <c r="V51" s="67" t="n"/>
      <c r="W51" s="67" t="n"/>
      <c r="X51" s="99" t="inlineStr">
        <is>
          <t>OPER</t>
        </is>
      </c>
      <c r="Y51" s="116">
        <f>F51/E51</f>
        <v/>
      </c>
      <c r="Z51" s="64">
        <f>E51-N51</f>
        <v/>
      </c>
      <c r="AA51" s="64" t="n">
        <v>4</v>
      </c>
    </row>
    <row r="52" ht="18" customHeight="1" s="202">
      <c r="A52" s="150" t="n">
        <v>20250146</v>
      </c>
      <c r="B52" s="151" t="inlineStr">
        <is>
          <t>BAO RUN</t>
        </is>
      </c>
      <c r="C52" s="152" t="n">
        <v>45825</v>
      </c>
      <c r="D52" s="152" t="n">
        <v>45845</v>
      </c>
      <c r="E52" s="153" t="n">
        <v>165</v>
      </c>
      <c r="F52" s="154" t="n">
        <v>1720.425</v>
      </c>
      <c r="G52" s="155" t="n">
        <v>34</v>
      </c>
      <c r="H52" s="156" t="inlineStr">
        <is>
          <t>CAPROMET SARL</t>
        </is>
      </c>
      <c r="I52" s="157" t="inlineStr">
        <is>
          <t>BOBINES</t>
        </is>
      </c>
      <c r="J52" s="151" t="inlineStr">
        <is>
          <t>BOBINES</t>
        </is>
      </c>
      <c r="K52" s="53">
        <f>D52+8</f>
        <v/>
      </c>
      <c r="L52" s="53">
        <f>K52+60</f>
        <v/>
      </c>
      <c r="M52" s="158" t="inlineStr">
        <is>
          <t>25A0122000006ICS</t>
        </is>
      </c>
      <c r="N52" s="72">
        <f>E52</f>
        <v/>
      </c>
      <c r="O52" s="50">
        <f>F52/E52*N52</f>
        <v/>
      </c>
      <c r="P52" s="273">
        <f>G52/E52*N52</f>
        <v/>
      </c>
      <c r="Q52" s="224" t="inlineStr">
        <is>
          <t>A FOND DE T BOIS + GC AVANT L RAIL + GC  A COTE SHIPLOADER EPJ + GC COTE TOILLET + A COTE PONT BASCULR G CARGO</t>
        </is>
      </c>
      <c r="R52" s="58" t="inlineStr">
        <is>
          <t>J7 YELLOW</t>
        </is>
      </c>
      <c r="S52" s="147" t="inlineStr">
        <is>
          <t>BR25069XDJD067071</t>
        </is>
      </c>
      <c r="T52" s="148" t="n">
        <v>25</v>
      </c>
      <c r="U52" s="149" t="n"/>
      <c r="V52" s="67" t="n"/>
      <c r="W52" s="67" t="n"/>
      <c r="X52" s="62" t="inlineStr">
        <is>
          <t>N-OP</t>
        </is>
      </c>
      <c r="Y52" s="116">
        <f>F52/E52</f>
        <v/>
      </c>
      <c r="Z52" s="64">
        <f>E52-N52</f>
        <v/>
      </c>
      <c r="AA52" s="64" t="n">
        <v>48</v>
      </c>
    </row>
    <row r="53" ht="18" customHeight="1" s="202">
      <c r="A53" s="150" t="n">
        <v>20250146</v>
      </c>
      <c r="B53" s="151" t="inlineStr">
        <is>
          <t>BAO RUN</t>
        </is>
      </c>
      <c r="C53" s="152" t="n">
        <v>45825</v>
      </c>
      <c r="D53" s="152" t="n">
        <v>45845</v>
      </c>
      <c r="E53" s="153" t="n">
        <v>26</v>
      </c>
      <c r="F53" s="154" t="n">
        <v>409.23</v>
      </c>
      <c r="G53" s="155" t="n">
        <v>24</v>
      </c>
      <c r="H53" s="156" t="inlineStr">
        <is>
          <t>CAPROMET SARL</t>
        </is>
      </c>
      <c r="I53" s="157" t="inlineStr">
        <is>
          <t>BOBINES</t>
        </is>
      </c>
      <c r="J53" s="151" t="inlineStr">
        <is>
          <t>BOBINES</t>
        </is>
      </c>
      <c r="K53" s="53">
        <f>D53+8</f>
        <v/>
      </c>
      <c r="L53" s="53">
        <f>K53+60</f>
        <v/>
      </c>
      <c r="M53" s="158" t="inlineStr">
        <is>
          <t>25A0122000006ICS</t>
        </is>
      </c>
      <c r="N53" s="72">
        <f>E53</f>
        <v/>
      </c>
      <c r="O53" s="50">
        <f>F53/E53*N53</f>
        <v/>
      </c>
      <c r="P53" s="273">
        <f>G53/E53*N53</f>
        <v/>
      </c>
      <c r="Q53" s="224" t="inlineStr">
        <is>
          <t>A FOND DE T BOIS + GC AVANT L RAIL + GC  A COTE SHIPLOADER EPJ + GC COTE TOILLET + A COTE PONT BASCULR G CARGO</t>
        </is>
      </c>
      <c r="R53" s="58" t="inlineStr">
        <is>
          <t>J4 YELLOW</t>
        </is>
      </c>
      <c r="S53" s="147" t="inlineStr">
        <is>
          <t>BR25069XDJD072</t>
        </is>
      </c>
      <c r="T53" s="148" t="n">
        <v>30</v>
      </c>
      <c r="U53" s="149" t="n"/>
      <c r="V53" s="67" t="n"/>
      <c r="W53" s="67" t="n"/>
      <c r="X53" s="62" t="inlineStr">
        <is>
          <t>N-OP</t>
        </is>
      </c>
      <c r="Y53" s="116">
        <f>F53/E53</f>
        <v/>
      </c>
      <c r="Z53" s="64">
        <f>E53-N53</f>
        <v/>
      </c>
      <c r="AA53" s="64" t="n">
        <v>60</v>
      </c>
    </row>
    <row r="54" ht="18" customHeight="1" s="202">
      <c r="A54" s="150" t="n">
        <v>20250146</v>
      </c>
      <c r="B54" s="151" t="inlineStr">
        <is>
          <t>BAO RUN</t>
        </is>
      </c>
      <c r="C54" s="152" t="n">
        <v>45825</v>
      </c>
      <c r="D54" s="152" t="n">
        <v>45845</v>
      </c>
      <c r="E54" s="153" t="n">
        <v>87</v>
      </c>
      <c r="F54" s="154" t="n">
        <v>753.833</v>
      </c>
      <c r="G54" s="155" t="n">
        <v>80</v>
      </c>
      <c r="H54" s="156" t="inlineStr">
        <is>
          <t>CAPROMET SARL</t>
        </is>
      </c>
      <c r="I54" s="157" t="inlineStr">
        <is>
          <t>BOBINES</t>
        </is>
      </c>
      <c r="J54" s="151" t="inlineStr">
        <is>
          <t>BOBINES</t>
        </is>
      </c>
      <c r="K54" s="53">
        <f>D54+8</f>
        <v/>
      </c>
      <c r="L54" s="53">
        <f>K54+60</f>
        <v/>
      </c>
      <c r="M54" s="158" t="inlineStr">
        <is>
          <t>25A0122000006ICS</t>
        </is>
      </c>
      <c r="N54" s="159">
        <f>E54</f>
        <v/>
      </c>
      <c r="O54" s="160">
        <f>F54/E54*N54</f>
        <v/>
      </c>
      <c r="P54" s="161">
        <f>G54/E54*N54</f>
        <v/>
      </c>
      <c r="Q54" s="162" t="inlineStr">
        <is>
          <t>A FOND DE T BOIS + GC AVANT L RAIL + GC  A COTE SHIPLOADER EPJ + GC COTE TOILLET + A COTE PONT BASCULR G CARGO</t>
        </is>
      </c>
      <c r="R54" s="149" t="inlineStr">
        <is>
          <t>T7 GREEN</t>
        </is>
      </c>
      <c r="S54" s="147" t="inlineStr">
        <is>
          <t>BR25069XDJD196/197</t>
        </is>
      </c>
      <c r="T54" s="148" t="n">
        <v>93</v>
      </c>
      <c r="U54" s="149" t="n"/>
      <c r="V54" s="67" t="n"/>
      <c r="W54" s="67" t="n"/>
      <c r="X54" s="62" t="inlineStr">
        <is>
          <t>N-OP</t>
        </is>
      </c>
      <c r="Y54" s="116">
        <f>F54/E54</f>
        <v/>
      </c>
      <c r="Z54" s="64">
        <f>E54-N54</f>
        <v/>
      </c>
      <c r="AA54" s="64" t="n">
        <v>60</v>
      </c>
    </row>
    <row r="55" ht="18" customHeight="1" s="202">
      <c r="A55" s="163" t="n">
        <v>20250146</v>
      </c>
      <c r="B55" s="164" t="inlineStr">
        <is>
          <t>BAO RUN</t>
        </is>
      </c>
      <c r="C55" s="165" t="n">
        <v>45825</v>
      </c>
      <c r="D55" s="165" t="n">
        <v>45845</v>
      </c>
      <c r="E55" s="166" t="n">
        <v>134</v>
      </c>
      <c r="F55" s="167" t="n">
        <v>1828.28</v>
      </c>
      <c r="G55" s="168" t="n">
        <v>123</v>
      </c>
      <c r="H55" s="169" t="inlineStr">
        <is>
          <t>UNION METALLURGIQUE ALGERIENNE</t>
        </is>
      </c>
      <c r="I55" s="169" t="inlineStr">
        <is>
          <t>BOBINES</t>
        </is>
      </c>
      <c r="J55" s="164" t="inlineStr">
        <is>
          <t>BOBINES</t>
        </is>
      </c>
      <c r="K55" s="53">
        <f>D55+8</f>
        <v/>
      </c>
      <c r="L55" s="53">
        <f>K55+60</f>
        <v/>
      </c>
      <c r="M55" s="170" t="inlineStr">
        <is>
          <t>25A0122000006ICS</t>
        </is>
      </c>
      <c r="N55" s="171">
        <f>E55-17-31-18-9-16-9-9-9-10-4</f>
        <v/>
      </c>
      <c r="O55" s="172">
        <f>F55/E55*N55</f>
        <v/>
      </c>
      <c r="P55" s="173">
        <f>G55/E55*N55</f>
        <v/>
      </c>
      <c r="Q55" s="162" t="inlineStr">
        <is>
          <t>A FOND DE T BOIS + GC AVANT L RAIL + GC  A COTE SHIPLOADER EPJ + GC COTE TOILLET + A COTE PONT BASCULR G CARGO</t>
        </is>
      </c>
      <c r="R55" s="149" t="inlineStr">
        <is>
          <t>D8 RED</t>
        </is>
      </c>
      <c r="S55" s="147" t="inlineStr">
        <is>
          <t>BR25069XDJD073-077</t>
        </is>
      </c>
      <c r="T55" s="148" t="n">
        <v>31</v>
      </c>
      <c r="U55" s="149" t="n"/>
      <c r="V55" s="67" t="n"/>
      <c r="W55" s="67" t="n"/>
      <c r="X55" s="99" t="inlineStr">
        <is>
          <t>OPER</t>
        </is>
      </c>
      <c r="Y55" s="116" t="n"/>
      <c r="Z55" s="64">
        <f>E55-N55</f>
        <v/>
      </c>
      <c r="AA55" s="64" t="n">
        <v>71</v>
      </c>
    </row>
    <row r="56" ht="18" customHeight="1" s="202">
      <c r="A56" s="150" t="n">
        <v>20250146</v>
      </c>
      <c r="B56" s="151" t="inlineStr">
        <is>
          <t>BAO RUN</t>
        </is>
      </c>
      <c r="C56" s="152" t="n">
        <v>45825</v>
      </c>
      <c r="D56" s="152" t="n">
        <v>45845</v>
      </c>
      <c r="E56" s="153" t="n">
        <v>258</v>
      </c>
      <c r="F56" s="154" t="n">
        <v>2004.785</v>
      </c>
      <c r="G56" s="155" t="n">
        <v>237</v>
      </c>
      <c r="H56" s="157" t="inlineStr">
        <is>
          <t>ILOOK SARL</t>
        </is>
      </c>
      <c r="I56" s="157" t="inlineStr">
        <is>
          <t>BOBINES</t>
        </is>
      </c>
      <c r="J56" s="151" t="inlineStr">
        <is>
          <t>BOBINES</t>
        </is>
      </c>
      <c r="K56" s="53">
        <f>D56+8</f>
        <v/>
      </c>
      <c r="L56" s="53">
        <f>K56+60</f>
        <v/>
      </c>
      <c r="M56" s="158" t="inlineStr">
        <is>
          <t>25A0122000006ICS</t>
        </is>
      </c>
      <c r="N56" s="159">
        <f>E56</f>
        <v/>
      </c>
      <c r="O56" s="160">
        <f>F56/E56*N56</f>
        <v/>
      </c>
      <c r="P56" s="273">
        <f>G56/E56*N56</f>
        <v/>
      </c>
      <c r="Q56" s="162" t="inlineStr">
        <is>
          <t>A FOND DE T BOIS + GC AVANT L RAIL + GC  A COTE SHIPLOADER EPJ + GC COTE TOILLET + A COTE PONT BASCULR G CARGO</t>
        </is>
      </c>
      <c r="R56" s="149" t="inlineStr">
        <is>
          <t>E3 RED COLOUR</t>
        </is>
      </c>
      <c r="S56" s="147" t="inlineStr">
        <is>
          <t>BR25069XDJD009-15</t>
        </is>
      </c>
      <c r="T56" s="148" t="n">
        <v>7</v>
      </c>
      <c r="U56" s="149" t="n"/>
      <c r="V56" s="67" t="n"/>
      <c r="W56" s="67" t="n"/>
      <c r="X56" s="62" t="inlineStr">
        <is>
          <t>N-OP</t>
        </is>
      </c>
      <c r="Y56" s="116">
        <f>F56/E56</f>
        <v/>
      </c>
      <c r="Z56" s="64">
        <f>E56-N56</f>
        <v/>
      </c>
      <c r="AA56" s="64" t="n">
        <v>1</v>
      </c>
    </row>
    <row r="57" ht="18" customHeight="1" s="202">
      <c r="A57" s="116" t="n">
        <v>20250146</v>
      </c>
      <c r="B57" s="117" t="inlineStr">
        <is>
          <t>BAO RUN</t>
        </is>
      </c>
      <c r="C57" s="118" t="n">
        <v>45825</v>
      </c>
      <c r="D57" s="118" t="n">
        <v>45845</v>
      </c>
      <c r="E57" s="67" t="n">
        <v>132</v>
      </c>
      <c r="F57" s="119" t="n">
        <v>1479.375</v>
      </c>
      <c r="G57" s="120" t="n">
        <v>121</v>
      </c>
      <c r="H57" s="121" t="inlineStr">
        <is>
          <t>ALTUB SARL / SOCIETE ALGERIENNE DE FABRICATION DE TUBES</t>
        </is>
      </c>
      <c r="I57" s="121" t="inlineStr">
        <is>
          <t>BOBINES</t>
        </is>
      </c>
      <c r="J57" s="117" t="inlineStr">
        <is>
          <t>BOBINES</t>
        </is>
      </c>
      <c r="K57" s="53">
        <f>D57+8</f>
        <v/>
      </c>
      <c r="L57" s="53">
        <f>K57+60</f>
        <v/>
      </c>
      <c r="M57" s="71" t="inlineStr">
        <is>
          <t>25A0122000006ICS</t>
        </is>
      </c>
      <c r="N57" s="72">
        <f>E57</f>
        <v/>
      </c>
      <c r="O57" s="50">
        <f>F57/E57*N57</f>
        <v/>
      </c>
      <c r="P57" s="273">
        <f>G57/E57*N57</f>
        <v/>
      </c>
      <c r="Q57" s="162" t="inlineStr">
        <is>
          <t>A FOND DE T BOIS + GC AVANT L RAIL + GC  A COTE SHIPLOADER EPJ + GC COTE TOILLET + A COTE PONT BASCULR G CARGO</t>
        </is>
      </c>
      <c r="R57" s="149" t="inlineStr">
        <is>
          <t>S5 BLUE</t>
        </is>
      </c>
      <c r="S57" s="147" t="inlineStr">
        <is>
          <t>BR25069XDJD192-195</t>
        </is>
      </c>
      <c r="T57" s="148" t="n">
        <v>92</v>
      </c>
      <c r="U57" s="149" t="n"/>
      <c r="V57" s="67" t="n"/>
      <c r="W57" s="67" t="n"/>
      <c r="X57" s="62" t="inlineStr">
        <is>
          <t>N-OP</t>
        </is>
      </c>
      <c r="Y57" s="116">
        <f>F57/E57</f>
        <v/>
      </c>
      <c r="Z57" s="64">
        <f>E57-N57</f>
        <v/>
      </c>
      <c r="AA57" s="64" t="n">
        <v>1</v>
      </c>
    </row>
    <row r="58" ht="18" customHeight="1" s="202">
      <c r="A58" s="76" t="n">
        <v>20250146</v>
      </c>
      <c r="B58" s="77" t="inlineStr">
        <is>
          <t>BAO RUN</t>
        </is>
      </c>
      <c r="C58" s="78" t="n">
        <v>45825</v>
      </c>
      <c r="D58" s="78" t="n">
        <v>45845</v>
      </c>
      <c r="E58" s="76" t="n">
        <v>1</v>
      </c>
      <c r="F58" s="79" t="n">
        <v>10</v>
      </c>
      <c r="G58" s="102" t="n">
        <v>24</v>
      </c>
      <c r="H58" s="80" t="inlineStr">
        <is>
          <t>ROUABEH MAAMAR</t>
        </is>
      </c>
      <c r="I58" s="80" t="inlineStr">
        <is>
          <t>EXCAVATEURS</t>
        </is>
      </c>
      <c r="J58" s="77" t="inlineStr">
        <is>
          <t>ENGINS</t>
        </is>
      </c>
      <c r="K58" s="174">
        <f>D58+8</f>
        <v/>
      </c>
      <c r="L58" s="174">
        <f>K58+60</f>
        <v/>
      </c>
      <c r="M58" s="82" t="inlineStr">
        <is>
          <t>25A0122000006ICS</t>
        </is>
      </c>
      <c r="N58" s="83">
        <f>E58-1</f>
        <v/>
      </c>
      <c r="O58" s="84">
        <f>F58/E58*N58</f>
        <v/>
      </c>
      <c r="P58" s="85">
        <f>G58/E58*N58</f>
        <v/>
      </c>
      <c r="Q58" s="80" t="inlineStr">
        <is>
          <t>T BOIS A COTE LE MUR GMS</t>
        </is>
      </c>
      <c r="R58" s="80" t="n"/>
      <c r="S58" s="80" t="inlineStr">
        <is>
          <t>BR25069XDJD190</t>
        </is>
      </c>
      <c r="T58" s="86" t="n">
        <v>90</v>
      </c>
      <c r="U58" s="80" t="n"/>
      <c r="V58" s="76" t="n"/>
      <c r="W58" s="76" t="n"/>
      <c r="X58" s="76" t="inlineStr">
        <is>
          <t>SOLDEE</t>
        </is>
      </c>
      <c r="Y58" s="116">
        <f>F58/E58</f>
        <v/>
      </c>
      <c r="Z58" s="64">
        <f>E58-N58</f>
        <v/>
      </c>
      <c r="AA58" s="64" t="n">
        <v>3541</v>
      </c>
    </row>
    <row r="59" ht="18" customHeight="1" s="202">
      <c r="A59" s="76" t="n">
        <v>20250146</v>
      </c>
      <c r="B59" s="77" t="inlineStr">
        <is>
          <t>BAO RUN</t>
        </is>
      </c>
      <c r="C59" s="78" t="n">
        <v>45825</v>
      </c>
      <c r="D59" s="78" t="n">
        <v>45845</v>
      </c>
      <c r="E59" s="76" t="n">
        <v>1</v>
      </c>
      <c r="F59" s="79" t="n">
        <v>4.07</v>
      </c>
      <c r="G59" s="102" t="n">
        <v>24</v>
      </c>
      <c r="H59" s="80" t="inlineStr">
        <is>
          <t>ROUABEH MAAMAR</t>
        </is>
      </c>
      <c r="I59" s="80" t="inlineStr">
        <is>
          <t>AUTO BETONNIERE</t>
        </is>
      </c>
      <c r="J59" s="77" t="inlineStr">
        <is>
          <t>ENGINS</t>
        </is>
      </c>
      <c r="K59" s="174">
        <f>D59+8</f>
        <v/>
      </c>
      <c r="L59" s="174">
        <f>K59+60</f>
        <v/>
      </c>
      <c r="M59" s="82" t="inlineStr">
        <is>
          <t>25A0122000006ICS</t>
        </is>
      </c>
      <c r="N59" s="83">
        <f>E59-1</f>
        <v/>
      </c>
      <c r="O59" s="84">
        <f>F59/E59*N59</f>
        <v/>
      </c>
      <c r="P59" s="85">
        <f>G59/E59*N59</f>
        <v/>
      </c>
      <c r="Q59" s="80" t="inlineStr">
        <is>
          <t>T BOIS A COTE LE MUR GMS</t>
        </is>
      </c>
      <c r="R59" s="80" t="n"/>
      <c r="S59" s="80" t="inlineStr">
        <is>
          <t>BR25069XDJD190</t>
        </is>
      </c>
      <c r="T59" s="86" t="n">
        <v>90</v>
      </c>
      <c r="U59" s="80" t="n"/>
      <c r="V59" s="76" t="n"/>
      <c r="W59" s="76" t="n"/>
      <c r="X59" s="76" t="inlineStr">
        <is>
          <t>SOLDEE</t>
        </is>
      </c>
      <c r="Y59" s="116">
        <f>F59/E59</f>
        <v/>
      </c>
      <c r="Z59" s="64">
        <f>E59-N59</f>
        <v/>
      </c>
      <c r="AA59" s="64" t="n">
        <v>1</v>
      </c>
    </row>
    <row r="60" ht="18" customHeight="1" s="202">
      <c r="A60" s="166" t="n">
        <v>20250146</v>
      </c>
      <c r="B60" s="175" t="inlineStr">
        <is>
          <t>BAO RUN</t>
        </is>
      </c>
      <c r="C60" s="176" t="n">
        <v>45825</v>
      </c>
      <c r="D60" s="176" t="n">
        <v>45845</v>
      </c>
      <c r="E60" s="166" t="n">
        <v>3</v>
      </c>
      <c r="F60" s="167" t="n">
        <v>0</v>
      </c>
      <c r="G60" s="168" t="n">
        <v>9</v>
      </c>
      <c r="H60" s="147" t="inlineStr">
        <is>
          <t>ROUABEH MAAMAR</t>
        </is>
      </c>
      <c r="I60" s="147" t="inlineStr">
        <is>
          <t>COLIS</t>
        </is>
      </c>
      <c r="J60" s="175" t="inlineStr">
        <is>
          <t>COLIS</t>
        </is>
      </c>
      <c r="K60" s="53">
        <f>D60+8</f>
        <v/>
      </c>
      <c r="L60" s="53">
        <f>K60+60</f>
        <v/>
      </c>
      <c r="M60" s="177" t="inlineStr">
        <is>
          <t>25A0122000006ICS</t>
        </is>
      </c>
      <c r="N60" s="178">
        <f>E60-1</f>
        <v/>
      </c>
      <c r="O60" s="179">
        <f>F60/E60*N60</f>
        <v/>
      </c>
      <c r="P60" s="161">
        <f>G60/E60*N60</f>
        <v/>
      </c>
      <c r="Q60" s="162" t="inlineStr">
        <is>
          <t>MIXTE COTE RAIL + MIXTE COTE SAISIE DOUANE</t>
        </is>
      </c>
      <c r="R60" s="52" t="n"/>
      <c r="S60" s="147" t="inlineStr">
        <is>
          <t>BR25069XDJD190</t>
        </is>
      </c>
      <c r="T60" s="180" t="n">
        <v>90</v>
      </c>
      <c r="U60" s="52" t="n"/>
      <c r="V60" s="67" t="n"/>
      <c r="W60" s="67" t="n"/>
      <c r="X60" s="99" t="inlineStr">
        <is>
          <t>OPER</t>
        </is>
      </c>
      <c r="Y60" s="116">
        <f>F60/E60</f>
        <v/>
      </c>
      <c r="Z60" s="64">
        <f>E60-N60</f>
        <v/>
      </c>
      <c r="AA60" s="64" t="n">
        <v>1</v>
      </c>
    </row>
    <row r="61" ht="18" customHeight="1" s="202">
      <c r="A61" s="76" t="n">
        <v>20250123</v>
      </c>
      <c r="B61" s="77" t="inlineStr">
        <is>
          <t>SEA CREDENCE</t>
        </is>
      </c>
      <c r="C61" s="78" t="n">
        <v>45836</v>
      </c>
      <c r="D61" s="78" t="n">
        <v>45855</v>
      </c>
      <c r="E61" s="76" t="n">
        <v>1</v>
      </c>
      <c r="F61" s="79" t="n">
        <v>8.56</v>
      </c>
      <c r="G61" s="102" t="n">
        <v>24</v>
      </c>
      <c r="H61" s="80" t="inlineStr">
        <is>
          <t>KOUACHE TADJ ENTREPRISE EURL</t>
        </is>
      </c>
      <c r="I61" s="80" t="inlineStr">
        <is>
          <t>REMORQUES</t>
        </is>
      </c>
      <c r="J61" s="77" t="inlineStr">
        <is>
          <t>LOURD</t>
        </is>
      </c>
      <c r="K61" s="174">
        <f>D61+8</f>
        <v/>
      </c>
      <c r="L61" s="174">
        <f>K61+60</f>
        <v/>
      </c>
      <c r="M61" s="82" t="inlineStr">
        <is>
          <t>25A0122000030ICS</t>
        </is>
      </c>
      <c r="N61" s="83">
        <f>E61-1</f>
        <v/>
      </c>
      <c r="O61" s="84">
        <f>F61/E61*N61</f>
        <v/>
      </c>
      <c r="P61" s="85">
        <f>G61/E61*N61</f>
        <v/>
      </c>
      <c r="Q61" s="80" t="inlineStr">
        <is>
          <t>MIXTE + ZONE CLINKER ( OUEST )</t>
        </is>
      </c>
      <c r="R61" s="80" t="n"/>
      <c r="S61" s="80" t="inlineStr">
        <is>
          <t>SC25048LDJD061</t>
        </is>
      </c>
      <c r="T61" s="86" t="n">
        <v>56</v>
      </c>
      <c r="U61" s="80" t="n"/>
      <c r="V61" s="76" t="n"/>
      <c r="W61" s="76" t="n"/>
      <c r="X61" s="76" t="inlineStr">
        <is>
          <t>SOLDEE</t>
        </is>
      </c>
      <c r="Y61" s="116" t="n"/>
      <c r="Z61" s="64">
        <f>E61-N61</f>
        <v/>
      </c>
      <c r="AA61" s="64" t="n">
        <v>1</v>
      </c>
    </row>
    <row r="62" ht="18" customHeight="1" s="202">
      <c r="A62" s="163" t="n">
        <v>20250123</v>
      </c>
      <c r="B62" s="164" t="inlineStr">
        <is>
          <t>SEA CREDENCE</t>
        </is>
      </c>
      <c r="C62" s="165" t="n">
        <v>45836</v>
      </c>
      <c r="D62" s="165" t="n">
        <v>45855</v>
      </c>
      <c r="E62" s="166" t="n">
        <v>1</v>
      </c>
      <c r="F62" s="167" t="n">
        <v>0</v>
      </c>
      <c r="G62" s="168" t="n">
        <v>3</v>
      </c>
      <c r="H62" s="169" t="inlineStr">
        <is>
          <t>KOUACHE TADJ ENTREPRISE EURL</t>
        </is>
      </c>
      <c r="I62" s="169" t="inlineStr">
        <is>
          <t>COLIS</t>
        </is>
      </c>
      <c r="J62" s="164" t="inlineStr">
        <is>
          <t>COLIS</t>
        </is>
      </c>
      <c r="K62" s="53">
        <f>D62+8</f>
        <v/>
      </c>
      <c r="L62" s="53">
        <f>K62+60</f>
        <v/>
      </c>
      <c r="M62" s="170" t="inlineStr">
        <is>
          <t>25A0122000030ICS</t>
        </is>
      </c>
      <c r="N62" s="171">
        <f>E62</f>
        <v/>
      </c>
      <c r="O62" s="172">
        <f>F62/E62*N62</f>
        <v/>
      </c>
      <c r="P62" s="173">
        <f>G62/E62*N62</f>
        <v/>
      </c>
      <c r="Q62" s="162" t="inlineStr">
        <is>
          <t>T BOIS COTE GMS + EN FACE RESTAURANT + HANGAR</t>
        </is>
      </c>
      <c r="R62" s="58" t="n"/>
      <c r="S62" s="147" t="inlineStr">
        <is>
          <t>SC25048LDJD061</t>
        </is>
      </c>
      <c r="T62" s="148" t="n">
        <v>56</v>
      </c>
      <c r="U62" s="58" t="n"/>
      <c r="V62" s="67" t="n"/>
      <c r="W62" s="67" t="n"/>
      <c r="X62" s="99" t="inlineStr">
        <is>
          <t>OPER</t>
        </is>
      </c>
      <c r="Y62" s="116">
        <f>F62/E62</f>
        <v/>
      </c>
      <c r="Z62" s="64">
        <f>E62-N62</f>
        <v/>
      </c>
      <c r="AA62" s="64" t="n">
        <v>980</v>
      </c>
    </row>
    <row r="63" ht="18" customHeight="1" s="202">
      <c r="A63" s="116" t="n">
        <v>20250123</v>
      </c>
      <c r="B63" s="117" t="inlineStr">
        <is>
          <t>SEA CREDENCE</t>
        </is>
      </c>
      <c r="C63" s="118" t="n">
        <v>45836</v>
      </c>
      <c r="D63" s="118" t="n">
        <v>45855</v>
      </c>
      <c r="E63" s="67" t="n">
        <v>1</v>
      </c>
      <c r="F63" s="119" t="n">
        <v>17.5</v>
      </c>
      <c r="G63" s="120" t="n">
        <v>40</v>
      </c>
      <c r="H63" s="121" t="inlineStr">
        <is>
          <t>SALDAE BUILDING EURL</t>
        </is>
      </c>
      <c r="I63" s="121" t="inlineStr">
        <is>
          <t>NIVELEUSES</t>
        </is>
      </c>
      <c r="J63" s="117" t="inlineStr">
        <is>
          <t>ENGINS</t>
        </is>
      </c>
      <c r="K63" s="53">
        <f>D63+8</f>
        <v/>
      </c>
      <c r="L63" s="53">
        <f>K63+60</f>
        <v/>
      </c>
      <c r="M63" s="71" t="inlineStr">
        <is>
          <t>25A0122000030ICS</t>
        </is>
      </c>
      <c r="N63" s="72">
        <f>E63</f>
        <v/>
      </c>
      <c r="O63" s="50">
        <f>F63/E63*N63</f>
        <v/>
      </c>
      <c r="P63" s="273">
        <f>G63/E63*N63</f>
        <v/>
      </c>
      <c r="Q63" s="162" t="inlineStr">
        <is>
          <t>MIXTE + ZONE CLINKER ( OUEST )</t>
        </is>
      </c>
      <c r="R63" s="58" t="n"/>
      <c r="S63" s="147" t="inlineStr">
        <is>
          <t>SC25048LDJD057</t>
        </is>
      </c>
      <c r="T63" s="148" t="n">
        <v>52</v>
      </c>
      <c r="U63" s="58" t="n"/>
      <c r="V63" s="67" t="n"/>
      <c r="W63" s="67" t="n"/>
      <c r="X63" s="62" t="inlineStr">
        <is>
          <t>N-OP</t>
        </is>
      </c>
      <c r="Y63" s="116">
        <f>F63/E63</f>
        <v/>
      </c>
      <c r="Z63" s="64">
        <f>E63-N63</f>
        <v/>
      </c>
      <c r="AA63" s="64" t="n">
        <v>1549</v>
      </c>
    </row>
    <row r="64" ht="18" customHeight="1" s="202">
      <c r="A64" s="116" t="n">
        <v>20250123</v>
      </c>
      <c r="B64" s="117" t="inlineStr">
        <is>
          <t>SEA CREDENCE</t>
        </is>
      </c>
      <c r="C64" s="118" t="n">
        <v>45836</v>
      </c>
      <c r="D64" s="118" t="n">
        <v>45855</v>
      </c>
      <c r="E64" s="67" t="n">
        <v>1</v>
      </c>
      <c r="F64" s="119" t="n">
        <v>17.5</v>
      </c>
      <c r="G64" s="120" t="n">
        <v>24</v>
      </c>
      <c r="H64" s="121" t="inlineStr">
        <is>
          <t>SALDAE BUILDING EURL</t>
        </is>
      </c>
      <c r="I64" s="121" t="inlineStr">
        <is>
          <t>COMPACTEURS</t>
        </is>
      </c>
      <c r="J64" s="117" t="inlineStr">
        <is>
          <t>ENGINS</t>
        </is>
      </c>
      <c r="K64" s="53">
        <f>D64+8</f>
        <v/>
      </c>
      <c r="L64" s="53">
        <f>K64+60</f>
        <v/>
      </c>
      <c r="M64" s="71" t="inlineStr">
        <is>
          <t>25A0122000030ICS</t>
        </is>
      </c>
      <c r="N64" s="72">
        <f>E64</f>
        <v/>
      </c>
      <c r="O64" s="50">
        <f>F64/E64*N64</f>
        <v/>
      </c>
      <c r="P64" s="273">
        <f>G64/E64*N64</f>
        <v/>
      </c>
      <c r="Q64" s="162" t="inlineStr">
        <is>
          <t>MIXTE + ZONE CLINKER ( OUEST )</t>
        </is>
      </c>
      <c r="R64" s="58" t="n"/>
      <c r="S64" s="147" t="inlineStr">
        <is>
          <t>SC25048LDJD057</t>
        </is>
      </c>
      <c r="T64" s="148" t="n">
        <v>52</v>
      </c>
      <c r="U64" s="58" t="n"/>
      <c r="V64" s="67" t="n"/>
      <c r="W64" s="67" t="n"/>
      <c r="X64" s="62" t="inlineStr">
        <is>
          <t>N-OP</t>
        </is>
      </c>
      <c r="Y64" s="116">
        <f>F64/E64</f>
        <v/>
      </c>
      <c r="Z64" s="64">
        <f>E64-N64</f>
        <v/>
      </c>
      <c r="AA64" s="64" t="n">
        <v>67</v>
      </c>
    </row>
    <row r="65" ht="18" customHeight="1" s="202">
      <c r="A65" s="116" t="n">
        <v>20250123</v>
      </c>
      <c r="B65" s="117" t="inlineStr">
        <is>
          <t>SEA CREDENCE</t>
        </is>
      </c>
      <c r="C65" s="118" t="n">
        <v>45836</v>
      </c>
      <c r="D65" s="118" t="n">
        <v>45855</v>
      </c>
      <c r="E65" s="67" t="n">
        <v>2</v>
      </c>
      <c r="F65" s="119" t="n">
        <v>12.87</v>
      </c>
      <c r="G65" s="120" t="n">
        <v>30</v>
      </c>
      <c r="H65" s="121" t="inlineStr">
        <is>
          <t>KERROUCHE SARL</t>
        </is>
      </c>
      <c r="I65" s="121" t="inlineStr">
        <is>
          <t>COLIS</t>
        </is>
      </c>
      <c r="J65" s="117" t="inlineStr">
        <is>
          <t>COLIS</t>
        </is>
      </c>
      <c r="K65" s="53">
        <f>D65+8</f>
        <v/>
      </c>
      <c r="L65" s="53">
        <f>K65+60</f>
        <v/>
      </c>
      <c r="M65" s="71" t="inlineStr">
        <is>
          <t>25A0122000030ICS</t>
        </is>
      </c>
      <c r="N65" s="72">
        <f>E65</f>
        <v/>
      </c>
      <c r="O65" s="50">
        <f>F65/E65*N65</f>
        <v/>
      </c>
      <c r="P65" s="273">
        <f>G65/E65*N65</f>
        <v/>
      </c>
      <c r="Q65" s="162" t="inlineStr">
        <is>
          <t>MIXTE + ZONE CLINKER ( OUEST )</t>
        </is>
      </c>
      <c r="R65" s="58" t="n"/>
      <c r="S65" s="147" t="inlineStr">
        <is>
          <t>SC25048LDJD140</t>
        </is>
      </c>
      <c r="T65" s="148" t="n">
        <v>110</v>
      </c>
      <c r="U65" s="58" t="n"/>
      <c r="V65" s="67" t="n"/>
      <c r="W65" s="67" t="n"/>
      <c r="X65" s="62" t="inlineStr">
        <is>
          <t>N-OP</t>
        </is>
      </c>
      <c r="Y65" s="116">
        <f>F65/E65</f>
        <v/>
      </c>
      <c r="Z65" s="64">
        <f>E65-N65</f>
        <v/>
      </c>
      <c r="AA65" s="64" t="n">
        <v>436</v>
      </c>
    </row>
    <row r="66" ht="18" customHeight="1" s="202">
      <c r="A66" s="76" t="n">
        <v>20250123</v>
      </c>
      <c r="B66" s="77" t="inlineStr">
        <is>
          <t>SEA CREDENCE</t>
        </is>
      </c>
      <c r="C66" s="78" t="n">
        <v>45836</v>
      </c>
      <c r="D66" s="78" t="n">
        <v>45855</v>
      </c>
      <c r="E66" s="76" t="n">
        <v>680</v>
      </c>
      <c r="F66" s="76" t="n">
        <v>1548.16</v>
      </c>
      <c r="G66" s="76" t="n">
        <v>381</v>
      </c>
      <c r="H66" s="80" t="inlineStr">
        <is>
          <t>BELHADJ METAL SARL</t>
        </is>
      </c>
      <c r="I66" s="80" t="inlineStr">
        <is>
          <t>CTP</t>
        </is>
      </c>
      <c r="J66" s="77" t="inlineStr">
        <is>
          <t>CTP</t>
        </is>
      </c>
      <c r="K66" s="78">
        <f>D66+8</f>
        <v/>
      </c>
      <c r="L66" s="78">
        <f>K66+60</f>
        <v/>
      </c>
      <c r="M66" s="82" t="inlineStr">
        <is>
          <t>25A0122000030ICS</t>
        </is>
      </c>
      <c r="N66" s="83">
        <f>E66-41-97-89-14-42-71-33-89-38-80-27-14-14-14-9-8</f>
        <v/>
      </c>
      <c r="O66" s="84">
        <f>F66/E66*N66</f>
        <v/>
      </c>
      <c r="P66" s="83">
        <f>G66/E66*N66</f>
        <v/>
      </c>
      <c r="Q66" s="80" t="inlineStr">
        <is>
          <t>HANGAR  + EN FACE HANGAR</t>
        </is>
      </c>
      <c r="R66" s="80" t="n"/>
      <c r="S66" s="80" t="inlineStr">
        <is>
          <t>SC25048LDJD133</t>
        </is>
      </c>
      <c r="T66" s="86" t="n">
        <v>104</v>
      </c>
      <c r="U66" s="80" t="n"/>
      <c r="V66" s="76" t="n"/>
      <c r="W66" s="76" t="n"/>
      <c r="X66" s="76" t="inlineStr">
        <is>
          <t>SOLDEE</t>
        </is>
      </c>
      <c r="Y66" s="116">
        <f>F66/E66</f>
        <v/>
      </c>
      <c r="Z66" s="181">
        <f>E66-N66</f>
        <v/>
      </c>
      <c r="AA66" s="64" t="n">
        <v>454</v>
      </c>
    </row>
    <row r="67" ht="18" customHeight="1" s="202">
      <c r="A67" s="87" t="n">
        <v>20250199</v>
      </c>
      <c r="B67" s="88" t="inlineStr">
        <is>
          <t>EEMSLIFT NADINE</t>
        </is>
      </c>
      <c r="C67" s="89" t="n">
        <v>45860</v>
      </c>
      <c r="D67" s="165" t="n">
        <v>45860</v>
      </c>
      <c r="E67" s="166" t="n">
        <v>42</v>
      </c>
      <c r="F67" s="167" t="n">
        <v>296.391</v>
      </c>
      <c r="G67" s="168" t="n">
        <v>350</v>
      </c>
      <c r="H67" s="169" t="inlineStr">
        <is>
          <t>GENERAL ELECTRIC GLOBAL SERVICES GMBH</t>
        </is>
      </c>
      <c r="I67" s="169" t="inlineStr">
        <is>
          <t>COLIS</t>
        </is>
      </c>
      <c r="J67" s="164" t="inlineStr">
        <is>
          <t>COLIS</t>
        </is>
      </c>
      <c r="K67" s="53">
        <f>D67+8</f>
        <v/>
      </c>
      <c r="L67" s="53">
        <f>K67+60</f>
        <v/>
      </c>
      <c r="M67" s="170" t="n"/>
      <c r="N67" s="171">
        <f>E67-12-10-19</f>
        <v/>
      </c>
      <c r="O67" s="172">
        <f>F67/E67*N67</f>
        <v/>
      </c>
      <c r="P67" s="173">
        <f>G67/E67*N67</f>
        <v/>
      </c>
      <c r="Q67" s="224" t="n"/>
      <c r="R67" s="58" t="n"/>
      <c r="S67" s="147" t="inlineStr">
        <is>
          <t>NAD-DER-DJE-001</t>
        </is>
      </c>
      <c r="T67" s="148" t="n">
        <v>1</v>
      </c>
      <c r="U67" s="58" t="n"/>
      <c r="V67" s="67" t="n"/>
      <c r="W67" s="67" t="n"/>
      <c r="X67" s="99" t="inlineStr">
        <is>
          <t>OPER</t>
        </is>
      </c>
      <c r="Y67" s="116" t="n"/>
      <c r="Z67" s="64">
        <f>E67-N67</f>
        <v/>
      </c>
      <c r="AA67" s="64" t="n">
        <v>191</v>
      </c>
    </row>
    <row r="68" ht="18" customHeight="1" s="202">
      <c r="A68" s="116" t="n">
        <v>20250163</v>
      </c>
      <c r="B68" s="117" t="inlineStr">
        <is>
          <t>CAMELLIA 8</t>
        </is>
      </c>
      <c r="C68" s="118" t="n">
        <v>45810</v>
      </c>
      <c r="D68" s="118" t="n">
        <v>45867</v>
      </c>
      <c r="E68" s="67" t="n">
        <v>13</v>
      </c>
      <c r="F68" s="119" t="n">
        <v>177.18</v>
      </c>
      <c r="G68" s="120" t="n">
        <v>10</v>
      </c>
      <c r="H68" s="121" t="inlineStr">
        <is>
          <t>TCHEIR LISSINAA EURL</t>
        </is>
      </c>
      <c r="I68" s="121" t="inlineStr">
        <is>
          <t>BOBINES</t>
        </is>
      </c>
      <c r="J68" s="117" t="inlineStr">
        <is>
          <t>BOBINES</t>
        </is>
      </c>
      <c r="K68" s="53">
        <f>D68+8</f>
        <v/>
      </c>
      <c r="L68" s="53">
        <f>K68+60</f>
        <v/>
      </c>
      <c r="M68" s="71" t="inlineStr">
        <is>
          <t>25A0029000029ICS</t>
        </is>
      </c>
      <c r="N68" s="72">
        <f>E68</f>
        <v/>
      </c>
      <c r="O68" s="50">
        <f>F68/E68*N68</f>
        <v/>
      </c>
      <c r="P68" s="273">
        <f>G68/E68*N68</f>
        <v/>
      </c>
      <c r="Q68" s="224" t="n"/>
      <c r="R68" s="149" t="inlineStr">
        <is>
          <t>TCHEIR</t>
        </is>
      </c>
      <c r="S68" s="147" t="inlineStr">
        <is>
          <t>CA25003TJDJ62</t>
        </is>
      </c>
      <c r="T68" s="148" t="n">
        <v>131</v>
      </c>
      <c r="U68" s="149" t="n"/>
      <c r="V68" s="67" t="n"/>
      <c r="W68" s="67" t="n"/>
      <c r="X68" s="62" t="inlineStr">
        <is>
          <t>N-OP</t>
        </is>
      </c>
      <c r="Y68" s="116">
        <f>F68/E68</f>
        <v/>
      </c>
      <c r="Z68" s="64">
        <f>E68-N68</f>
        <v/>
      </c>
      <c r="AA68" s="64" t="n">
        <v>145</v>
      </c>
    </row>
    <row r="69" ht="18" customHeight="1" s="202">
      <c r="A69" s="163" t="n">
        <v>20250163</v>
      </c>
      <c r="B69" s="164" t="inlineStr">
        <is>
          <t>CAMELLIA 8</t>
        </is>
      </c>
      <c r="C69" s="165" t="n">
        <v>45810</v>
      </c>
      <c r="D69" s="165" t="n">
        <v>45867</v>
      </c>
      <c r="E69" s="166" t="n">
        <v>250</v>
      </c>
      <c r="F69" s="167" t="n">
        <v>251</v>
      </c>
      <c r="G69" s="168" t="n">
        <v>217</v>
      </c>
      <c r="H69" s="169" t="inlineStr">
        <is>
          <t>HIGH CONCEPT SARL</t>
        </is>
      </c>
      <c r="I69" s="169" t="inlineStr">
        <is>
          <t>PVC RESIN EN BIG BAG</t>
        </is>
      </c>
      <c r="J69" s="164" t="inlineStr">
        <is>
          <t>BIG BAG</t>
        </is>
      </c>
      <c r="K69" s="53">
        <f>D69+8</f>
        <v/>
      </c>
      <c r="L69" s="53">
        <f>K69+60</f>
        <v/>
      </c>
      <c r="M69" s="170" t="inlineStr">
        <is>
          <t>25A0029000029ICS</t>
        </is>
      </c>
      <c r="N69" s="171">
        <f>E69-90-18-19</f>
        <v/>
      </c>
      <c r="O69" s="172">
        <f>F69/E69*N69</f>
        <v/>
      </c>
      <c r="P69" s="173">
        <f>G69/E69*N69</f>
        <v/>
      </c>
      <c r="Q69" s="162" t="n"/>
      <c r="R69" s="58" t="n"/>
      <c r="S69" s="147" t="inlineStr">
        <is>
          <t>CA25003TJDJ25</t>
        </is>
      </c>
      <c r="T69" s="148" t="n">
        <v>115</v>
      </c>
      <c r="U69" s="58" t="n"/>
      <c r="V69" s="67" t="n"/>
      <c r="W69" s="67" t="n"/>
      <c r="X69" s="99" t="inlineStr">
        <is>
          <t>OPER</t>
        </is>
      </c>
      <c r="Y69" s="116">
        <f>F69/E69</f>
        <v/>
      </c>
      <c r="Z69" s="64">
        <f>E69-N69</f>
        <v/>
      </c>
      <c r="AA69" s="64" t="n">
        <v>180</v>
      </c>
    </row>
    <row r="70" ht="18" customHeight="1" s="202">
      <c r="A70" s="76" t="n">
        <v>20250163</v>
      </c>
      <c r="B70" s="77" t="inlineStr">
        <is>
          <t>CAMELLIA 8</t>
        </is>
      </c>
      <c r="C70" s="78" t="n">
        <v>45810</v>
      </c>
      <c r="D70" s="78" t="n">
        <v>45867</v>
      </c>
      <c r="E70" s="76" t="n">
        <v>1</v>
      </c>
      <c r="F70" s="79" t="n">
        <v>50</v>
      </c>
      <c r="G70" s="102" t="n">
        <v>40</v>
      </c>
      <c r="H70" s="80" t="inlineStr">
        <is>
          <t>ENGIN PLUS EURL</t>
        </is>
      </c>
      <c r="I70" s="80" t="inlineStr">
        <is>
          <t>COLIS</t>
        </is>
      </c>
      <c r="J70" s="77" t="inlineStr">
        <is>
          <t>COLIS</t>
        </is>
      </c>
      <c r="K70" s="174">
        <f>D70+8</f>
        <v/>
      </c>
      <c r="L70" s="174">
        <f>K70+60</f>
        <v/>
      </c>
      <c r="M70" s="82" t="inlineStr">
        <is>
          <t>25A0029000029ICS</t>
        </is>
      </c>
      <c r="N70" s="83">
        <f>E70-1</f>
        <v/>
      </c>
      <c r="O70" s="84">
        <f>F70/E70*N70</f>
        <v/>
      </c>
      <c r="P70" s="85">
        <f>G70/E70*N70</f>
        <v/>
      </c>
      <c r="Q70" s="80" t="inlineStr">
        <is>
          <t>EN FACE RESTAURANT + A COTE MUR GMS + EN FACE NAVIRE POSTE 6 GC + N FACE NAVIRE POSTE 5 GC</t>
        </is>
      </c>
      <c r="R70" s="80" t="n"/>
      <c r="S70" s="80" t="inlineStr">
        <is>
          <t>CA25003LYD1001</t>
        </is>
      </c>
      <c r="T70" s="86" t="n">
        <v>32</v>
      </c>
      <c r="U70" s="80" t="n"/>
      <c r="V70" s="76" t="n"/>
      <c r="W70" s="76" t="n"/>
      <c r="X70" s="76" t="inlineStr">
        <is>
          <t>SOLDEE</t>
        </is>
      </c>
      <c r="Y70" s="116">
        <f>F70/E70</f>
        <v/>
      </c>
      <c r="Z70" s="64">
        <f>E70-N70</f>
        <v/>
      </c>
      <c r="AA70" s="64" t="n">
        <v>200</v>
      </c>
    </row>
    <row r="71" ht="18" customHeight="1" s="202">
      <c r="A71" s="163" t="n">
        <v>20250163</v>
      </c>
      <c r="B71" s="164" t="inlineStr">
        <is>
          <t>CAMELLIA 8</t>
        </is>
      </c>
      <c r="C71" s="165" t="n">
        <v>45810</v>
      </c>
      <c r="D71" s="165" t="n">
        <v>45867</v>
      </c>
      <c r="E71" s="166" t="n">
        <v>36</v>
      </c>
      <c r="F71" s="167" t="n">
        <v>156.931</v>
      </c>
      <c r="G71" s="168" t="n">
        <v>108</v>
      </c>
      <c r="H71" s="169" t="inlineStr">
        <is>
          <t>ENGIN PLUS EURL</t>
        </is>
      </c>
      <c r="I71" s="169" t="inlineStr">
        <is>
          <t>COLIS</t>
        </is>
      </c>
      <c r="J71" s="164" t="inlineStr">
        <is>
          <t>COLIS</t>
        </is>
      </c>
      <c r="K71" s="53">
        <f>D71+8</f>
        <v/>
      </c>
      <c r="L71" s="53">
        <f>K71+60</f>
        <v/>
      </c>
      <c r="M71" s="170" t="inlineStr">
        <is>
          <t>25A0029000029ICS</t>
        </is>
      </c>
      <c r="N71" s="171">
        <f>E71-1-18-2-9-1</f>
        <v/>
      </c>
      <c r="O71" s="172">
        <f>F71/E71*N71</f>
        <v/>
      </c>
      <c r="P71" s="173">
        <f>G71/E71*N71</f>
        <v/>
      </c>
      <c r="Q71" s="162" t="inlineStr">
        <is>
          <t>EN FACE RESTAURANT + A COTE MUR GMS + EN FACE NAVIRE POSTE 6 GC + N FACE NAVIRE POSTE 5 GC</t>
        </is>
      </c>
      <c r="R71" s="58" t="n"/>
      <c r="S71" s="147" t="inlineStr">
        <is>
          <t>CA25003LYD1001</t>
        </is>
      </c>
      <c r="T71" s="148" t="n">
        <v>32</v>
      </c>
      <c r="U71" s="58" t="n"/>
      <c r="V71" s="67" t="n"/>
      <c r="W71" s="67" t="n"/>
      <c r="X71" s="99" t="inlineStr">
        <is>
          <t>OPER</t>
        </is>
      </c>
      <c r="Y71" s="116">
        <f>F71/E71</f>
        <v/>
      </c>
      <c r="Z71" s="64">
        <f>E71-N71</f>
        <v/>
      </c>
      <c r="AA71" s="64" t="n">
        <v>185</v>
      </c>
    </row>
    <row r="72" ht="18" customHeight="1" s="202">
      <c r="A72" s="76" t="n">
        <v>20250163</v>
      </c>
      <c r="B72" s="77" t="inlineStr">
        <is>
          <t>CAMELLIA 8</t>
        </is>
      </c>
      <c r="C72" s="78" t="n">
        <v>45810</v>
      </c>
      <c r="D72" s="78" t="n">
        <v>45867</v>
      </c>
      <c r="E72" s="76" t="n">
        <v>4</v>
      </c>
      <c r="F72" s="79" t="n">
        <v>144</v>
      </c>
      <c r="G72" s="102" t="n">
        <v>96</v>
      </c>
      <c r="H72" s="80" t="inlineStr">
        <is>
          <t>TIGBA EURL</t>
        </is>
      </c>
      <c r="I72" s="80" t="inlineStr">
        <is>
          <t>EXCAVATEURS</t>
        </is>
      </c>
      <c r="J72" s="77" t="inlineStr">
        <is>
          <t>ENGINS</t>
        </is>
      </c>
      <c r="K72" s="174">
        <f>D72+8</f>
        <v/>
      </c>
      <c r="L72" s="174">
        <f>K72+60</f>
        <v/>
      </c>
      <c r="M72" s="82" t="inlineStr">
        <is>
          <t>25A0029000029ICS</t>
        </is>
      </c>
      <c r="N72" s="83">
        <f>E72-4</f>
        <v/>
      </c>
      <c r="O72" s="84">
        <f>F72/E72*N72</f>
        <v/>
      </c>
      <c r="P72" s="85">
        <f>G72/E72*N72</f>
        <v/>
      </c>
      <c r="Q72" s="80" t="inlineStr">
        <is>
          <t>MIXTE + EN FACE POSTE 5 G CARGO</t>
        </is>
      </c>
      <c r="R72" s="80" t="n"/>
      <c r="S72" s="80" t="inlineStr">
        <is>
          <t>CA25003LYD0703</t>
        </is>
      </c>
      <c r="T72" s="86" t="n">
        <v>17</v>
      </c>
      <c r="U72" s="80" t="n"/>
      <c r="V72" s="76" t="n"/>
      <c r="W72" s="76" t="n"/>
      <c r="X72" s="76" t="inlineStr">
        <is>
          <t>SOLDEE</t>
        </is>
      </c>
      <c r="Y72" s="116">
        <f>F72/E72</f>
        <v/>
      </c>
      <c r="Z72" s="64">
        <f>E72-N72</f>
        <v/>
      </c>
      <c r="AA72" s="64" t="n">
        <v>76</v>
      </c>
    </row>
    <row r="73" ht="18" customHeight="1" s="202">
      <c r="A73" s="163" t="n">
        <v>20250163</v>
      </c>
      <c r="B73" s="164" t="inlineStr">
        <is>
          <t>CAMELLIA 8</t>
        </is>
      </c>
      <c r="C73" s="165" t="n">
        <v>45810</v>
      </c>
      <c r="D73" s="165" t="n">
        <v>45867</v>
      </c>
      <c r="E73" s="166" t="n">
        <v>8</v>
      </c>
      <c r="F73" s="167" t="n">
        <v>0</v>
      </c>
      <c r="G73" s="168" t="n">
        <v>24</v>
      </c>
      <c r="H73" s="169" t="inlineStr">
        <is>
          <t>TIGBA EURL</t>
        </is>
      </c>
      <c r="I73" s="169" t="inlineStr">
        <is>
          <t>COLIS</t>
        </is>
      </c>
      <c r="J73" s="164" t="inlineStr">
        <is>
          <t>COLIS</t>
        </is>
      </c>
      <c r="K73" s="176">
        <f>D73+8</f>
        <v/>
      </c>
      <c r="L73" s="176">
        <f>K73+60</f>
        <v/>
      </c>
      <c r="M73" s="170" t="inlineStr">
        <is>
          <t>25A0029000029ICS</t>
        </is>
      </c>
      <c r="N73" s="171">
        <f>E73-6</f>
        <v/>
      </c>
      <c r="O73" s="172">
        <f>F73/E73*N73</f>
        <v/>
      </c>
      <c r="P73" s="173">
        <f>G73/E73*N73</f>
        <v/>
      </c>
      <c r="Q73" s="162" t="inlineStr">
        <is>
          <t>EN FACE RESTAURANT + A COTE MUR GMS + EN FACE NAVIRE POSTE 6 GC + N FACE NAVIRE POSTE 5 GC</t>
        </is>
      </c>
      <c r="R73" s="58" t="n"/>
      <c r="S73" s="147" t="inlineStr">
        <is>
          <t>CA25003LYD0703</t>
        </is>
      </c>
      <c r="T73" s="148" t="n">
        <v>17</v>
      </c>
      <c r="U73" s="58" t="n"/>
      <c r="V73" s="67" t="n"/>
      <c r="W73" s="67" t="n"/>
      <c r="X73" s="182" t="inlineStr">
        <is>
          <t>OPER</t>
        </is>
      </c>
      <c r="Y73" s="116">
        <f>F73/E73</f>
        <v/>
      </c>
      <c r="Z73" s="64">
        <f>E73-N73</f>
        <v/>
      </c>
      <c r="AA73" s="64" t="n">
        <v>158</v>
      </c>
    </row>
    <row r="74" ht="18" customHeight="1" s="202">
      <c r="A74" s="76" t="n">
        <v>20250163</v>
      </c>
      <c r="B74" s="77" t="inlineStr">
        <is>
          <t>CAMELLIA 8</t>
        </is>
      </c>
      <c r="C74" s="78" t="n">
        <v>45810</v>
      </c>
      <c r="D74" s="78" t="n">
        <v>45867</v>
      </c>
      <c r="E74" s="76" t="n">
        <v>3</v>
      </c>
      <c r="F74" s="79" t="n">
        <v>57.6</v>
      </c>
      <c r="G74" s="102" t="n">
        <v>72</v>
      </c>
      <c r="H74" s="80" t="inlineStr">
        <is>
          <t>DATA CONSTRUCTION EURL</t>
        </is>
      </c>
      <c r="I74" s="80" t="inlineStr">
        <is>
          <t>CAMIONS</t>
        </is>
      </c>
      <c r="J74" s="77" t="inlineStr">
        <is>
          <t>LOURD</t>
        </is>
      </c>
      <c r="K74" s="174">
        <f>D74+8</f>
        <v/>
      </c>
      <c r="L74" s="174">
        <f>K74+60</f>
        <v/>
      </c>
      <c r="M74" s="82" t="inlineStr">
        <is>
          <t>25A0029000029ICS</t>
        </is>
      </c>
      <c r="N74" s="83">
        <f>E74-3</f>
        <v/>
      </c>
      <c r="O74" s="84">
        <f>F74/E74*N74</f>
        <v/>
      </c>
      <c r="P74" s="85">
        <f>G74/E74*N74</f>
        <v/>
      </c>
      <c r="Q74" s="80" t="inlineStr">
        <is>
          <t>MIXTE + EN FACE POSTE 5 G CARGO</t>
        </is>
      </c>
      <c r="R74" s="80" t="n"/>
      <c r="S74" s="80" t="inlineStr">
        <is>
          <t>CA25003LYD2505</t>
        </is>
      </c>
      <c r="T74" s="86" t="n">
        <v>60</v>
      </c>
      <c r="U74" s="80" t="n"/>
      <c r="V74" s="76" t="n"/>
      <c r="W74" s="76" t="n"/>
      <c r="X74" s="76" t="inlineStr">
        <is>
          <t>SOLDEE</t>
        </is>
      </c>
      <c r="Y74" s="116">
        <f>F74/E74</f>
        <v/>
      </c>
      <c r="Z74" s="64">
        <f>E74-N74</f>
        <v/>
      </c>
      <c r="AA74" s="64" t="n">
        <v>1</v>
      </c>
    </row>
    <row r="75" ht="18" customHeight="1" s="202">
      <c r="A75" s="76" t="n">
        <v>20250163</v>
      </c>
      <c r="B75" s="77" t="inlineStr">
        <is>
          <t>CAMELLIA 8</t>
        </is>
      </c>
      <c r="C75" s="78" t="n">
        <v>45810</v>
      </c>
      <c r="D75" s="78" t="n">
        <v>45867</v>
      </c>
      <c r="E75" s="76" t="n">
        <v>1</v>
      </c>
      <c r="F75" s="79" t="n">
        <v>0</v>
      </c>
      <c r="G75" s="102" t="n">
        <v>3</v>
      </c>
      <c r="H75" s="80" t="inlineStr">
        <is>
          <t>DATA CONSTRUCTION EURL</t>
        </is>
      </c>
      <c r="I75" s="80" t="inlineStr">
        <is>
          <t>COLIS</t>
        </is>
      </c>
      <c r="J75" s="77" t="inlineStr">
        <is>
          <t>COLIS</t>
        </is>
      </c>
      <c r="K75" s="174">
        <f>D75+8</f>
        <v/>
      </c>
      <c r="L75" s="174">
        <f>K75+60</f>
        <v/>
      </c>
      <c r="M75" s="82" t="inlineStr">
        <is>
          <t>25A0029000029ICS</t>
        </is>
      </c>
      <c r="N75" s="83">
        <f>E75-1</f>
        <v/>
      </c>
      <c r="O75" s="84">
        <f>F75/E75*N75</f>
        <v/>
      </c>
      <c r="P75" s="85">
        <f>G75/E75*N75</f>
        <v/>
      </c>
      <c r="Q75" s="80" t="inlineStr">
        <is>
          <t>EN FACE RESTAURANT + A COTE MUR GMS + EN FACE NAVIRE POSTE 6 GC + N FACE NAVIRE POSTE 5 GC</t>
        </is>
      </c>
      <c r="R75" s="80" t="n"/>
      <c r="S75" s="80" t="inlineStr">
        <is>
          <t>CA25003LYD2505</t>
        </is>
      </c>
      <c r="T75" s="86" t="n">
        <v>60</v>
      </c>
      <c r="U75" s="80" t="n"/>
      <c r="V75" s="76" t="n"/>
      <c r="W75" s="76" t="n"/>
      <c r="X75" s="76" t="inlineStr">
        <is>
          <t>SOLDEE</t>
        </is>
      </c>
      <c r="Y75" s="116">
        <f>F75/E75</f>
        <v/>
      </c>
      <c r="Z75" s="64">
        <f>E75-N75</f>
        <v/>
      </c>
      <c r="AA75" s="64" t="n">
        <v>2</v>
      </c>
    </row>
    <row r="76" ht="18" customHeight="1" s="202">
      <c r="A76" s="116" t="n">
        <v>20250163</v>
      </c>
      <c r="B76" s="117" t="inlineStr">
        <is>
          <t>CAMELLIA 8</t>
        </is>
      </c>
      <c r="C76" s="118" t="n">
        <v>45810</v>
      </c>
      <c r="D76" s="118" t="n">
        <v>45867</v>
      </c>
      <c r="E76" s="67" t="n">
        <v>1</v>
      </c>
      <c r="F76" s="119" t="n">
        <v>0.403</v>
      </c>
      <c r="G76" s="120" t="n">
        <v>3</v>
      </c>
      <c r="H76" s="121" t="inlineStr">
        <is>
          <t>DATA CONSTRUCTION EURL</t>
        </is>
      </c>
      <c r="I76" s="121" t="inlineStr">
        <is>
          <t>COLIS</t>
        </is>
      </c>
      <c r="J76" s="117" t="inlineStr">
        <is>
          <t>COLIS</t>
        </is>
      </c>
      <c r="K76" s="53">
        <f>D76+8</f>
        <v/>
      </c>
      <c r="L76" s="53">
        <f>K76+60</f>
        <v/>
      </c>
      <c r="M76" s="71" t="inlineStr">
        <is>
          <t>25A0029000029ICS</t>
        </is>
      </c>
      <c r="N76" s="72">
        <f>E76</f>
        <v/>
      </c>
      <c r="O76" s="50">
        <f>F76/E76*N76</f>
        <v/>
      </c>
      <c r="P76" s="273">
        <f>G76/E76*N76</f>
        <v/>
      </c>
      <c r="Q76" s="162" t="inlineStr">
        <is>
          <t>EN FACE RESTAURANT + A COTE MUR GMS + EN FACE NAVIRE POSTE 6 GC + N FACE NAVIRE POSTE 5 GC</t>
        </is>
      </c>
      <c r="R76" s="58" t="n"/>
      <c r="S76" s="147" t="inlineStr">
        <is>
          <t>CA25003LYD2510</t>
        </is>
      </c>
      <c r="T76" s="148" t="n">
        <v>65</v>
      </c>
      <c r="U76" s="58" t="n"/>
      <c r="V76" s="67" t="n"/>
      <c r="W76" s="67" t="n"/>
      <c r="X76" s="62" t="inlineStr">
        <is>
          <t>N-OP</t>
        </is>
      </c>
      <c r="Y76" s="116">
        <f>F76/E76</f>
        <v/>
      </c>
      <c r="Z76" s="64">
        <f>E76-N76</f>
        <v/>
      </c>
      <c r="AA76" s="64" t="n">
        <v>1</v>
      </c>
    </row>
    <row r="77" ht="18" customHeight="1" s="202">
      <c r="A77" s="163" t="n">
        <v>20250163</v>
      </c>
      <c r="B77" s="164" t="inlineStr">
        <is>
          <t>CAMELLIA 8</t>
        </is>
      </c>
      <c r="C77" s="165" t="n">
        <v>45810</v>
      </c>
      <c r="D77" s="165" t="n">
        <v>45867</v>
      </c>
      <c r="E77" s="166" t="n">
        <v>35</v>
      </c>
      <c r="F77" s="167" t="n">
        <v>180.05</v>
      </c>
      <c r="G77" s="168" t="n">
        <v>80</v>
      </c>
      <c r="H77" s="169" t="inlineStr">
        <is>
          <t>SOCIETE AL DJOUNAID SARL</t>
        </is>
      </c>
      <c r="I77" s="169" t="inlineStr">
        <is>
          <t>TIGE DE FORAGE</t>
        </is>
      </c>
      <c r="J77" s="164" t="inlineStr">
        <is>
          <t>COLIS</t>
        </is>
      </c>
      <c r="K77" s="53">
        <f>D77+8</f>
        <v/>
      </c>
      <c r="L77" s="53">
        <f>K77+60</f>
        <v/>
      </c>
      <c r="M77" s="170" t="inlineStr">
        <is>
          <t>25A0029000029ICS</t>
        </is>
      </c>
      <c r="N77" s="171">
        <f>E77-16-15-1</f>
        <v/>
      </c>
      <c r="O77" s="172">
        <f>F77/E77*N77</f>
        <v/>
      </c>
      <c r="P77" s="173">
        <f>G77/E77*N77</f>
        <v/>
      </c>
      <c r="Q77" s="162" t="inlineStr">
        <is>
          <t>EN FACE RESTAURANT + A COTE MUR GMS + EN FACE NAVIRE POSTE 6 GC + N FACE NAVIRE POSTE 5 GC</t>
        </is>
      </c>
      <c r="R77" s="58" t="n"/>
      <c r="S77" s="147" t="inlineStr">
        <is>
          <t>CA25003TJDJ34</t>
        </is>
      </c>
      <c r="T77" s="148" t="n">
        <v>118</v>
      </c>
      <c r="U77" s="58" t="n"/>
      <c r="V77" s="67" t="n"/>
      <c r="W77" s="67" t="n"/>
      <c r="X77" s="99" t="inlineStr">
        <is>
          <t>OPER</t>
        </is>
      </c>
      <c r="Y77" s="116">
        <f>F77/E77</f>
        <v/>
      </c>
      <c r="Z77" s="64">
        <f>E77-N77</f>
        <v/>
      </c>
      <c r="AA77" s="64" t="n">
        <v>2</v>
      </c>
    </row>
    <row r="78" ht="18" customHeight="1" s="202">
      <c r="A78" s="116" t="n">
        <v>20250163</v>
      </c>
      <c r="B78" s="117" t="inlineStr">
        <is>
          <t>CAMELLIA 8</t>
        </is>
      </c>
      <c r="C78" s="118" t="n">
        <v>45810</v>
      </c>
      <c r="D78" s="118" t="n">
        <v>45867</v>
      </c>
      <c r="E78" s="67" t="n">
        <v>71</v>
      </c>
      <c r="F78" s="119" t="n">
        <v>211.308</v>
      </c>
      <c r="G78" s="183" t="n">
        <v>120</v>
      </c>
      <c r="H78" s="121" t="inlineStr">
        <is>
          <t>TCHEIR LISSINAA EURL</t>
        </is>
      </c>
      <c r="I78" s="121" t="inlineStr">
        <is>
          <t>TIGE DE FORAGE</t>
        </is>
      </c>
      <c r="J78" s="117" t="inlineStr">
        <is>
          <t>COLIS</t>
        </is>
      </c>
      <c r="K78" s="53">
        <f>D78+8</f>
        <v/>
      </c>
      <c r="L78" s="53">
        <f>K78+60</f>
        <v/>
      </c>
      <c r="M78" s="71" t="inlineStr">
        <is>
          <t>25A0029000029ICS</t>
        </is>
      </c>
      <c r="N78" s="72">
        <f>E78</f>
        <v/>
      </c>
      <c r="O78" s="50">
        <f>F78/E78*N78</f>
        <v/>
      </c>
      <c r="P78" s="273">
        <f>G78/E78*N78</f>
        <v/>
      </c>
      <c r="Q78" s="162" t="inlineStr">
        <is>
          <t>EN FACE RESTAURANT + A COTE MUR GMS + EN FACE NAVIRE POSTE 6 GC + N FACE NAVIRE POSTE 5 GC</t>
        </is>
      </c>
      <c r="R78" s="58" t="n"/>
      <c r="S78" s="147" t="inlineStr">
        <is>
          <t>CA25003TJDJ61/71</t>
        </is>
      </c>
      <c r="T78" s="148" t="n">
        <v>130</v>
      </c>
      <c r="U78" s="58" t="n"/>
      <c r="V78" s="67" t="n"/>
      <c r="W78" s="67" t="n"/>
      <c r="X78" s="62" t="inlineStr">
        <is>
          <t>N-OP</t>
        </is>
      </c>
      <c r="Y78" s="116">
        <f>F78/E78</f>
        <v/>
      </c>
      <c r="Z78" s="64">
        <f>E78-N78</f>
        <v/>
      </c>
      <c r="AA78" s="64" t="n">
        <v>1</v>
      </c>
    </row>
    <row r="79" ht="18" customHeight="1" s="202">
      <c r="A79" s="76" t="n">
        <v>20250163</v>
      </c>
      <c r="B79" s="77" t="inlineStr">
        <is>
          <t>CAMELLIA 8</t>
        </is>
      </c>
      <c r="C79" s="78" t="n">
        <v>45810</v>
      </c>
      <c r="D79" s="78" t="n">
        <v>45867</v>
      </c>
      <c r="E79" s="76" t="n">
        <v>1</v>
      </c>
      <c r="F79" s="79" t="n">
        <v>22.47</v>
      </c>
      <c r="G79" s="76" t="n">
        <v>40</v>
      </c>
      <c r="H79" s="80" t="inlineStr">
        <is>
          <t>CHENGTEN SARL</t>
        </is>
      </c>
      <c r="I79" s="80" t="inlineStr">
        <is>
          <t>MACHINE DE FORAGE</t>
        </is>
      </c>
      <c r="J79" s="77" t="inlineStr">
        <is>
          <t>ENGINS</t>
        </is>
      </c>
      <c r="K79" s="174">
        <f>D79+8</f>
        <v/>
      </c>
      <c r="L79" s="174">
        <f>K79+60</f>
        <v/>
      </c>
      <c r="M79" s="82" t="inlineStr">
        <is>
          <t>25A0029000029ICS</t>
        </is>
      </c>
      <c r="N79" s="83">
        <f>E79-1</f>
        <v/>
      </c>
      <c r="O79" s="84">
        <f>F79/E79*N79</f>
        <v/>
      </c>
      <c r="P79" s="85">
        <f>G79/E79*N79</f>
        <v/>
      </c>
      <c r="Q79" s="80" t="inlineStr">
        <is>
          <t>MIXTE + EN FACE POSTE 5 G CARGO</t>
        </is>
      </c>
      <c r="R79" s="80" t="n"/>
      <c r="S79" s="80" t="inlineStr">
        <is>
          <t>CA25003LYD0301</t>
        </is>
      </c>
      <c r="T79" s="86" t="n">
        <v>7</v>
      </c>
      <c r="U79" s="80" t="n"/>
      <c r="V79" s="76" t="n"/>
      <c r="W79" s="76" t="n"/>
      <c r="X79" s="76" t="inlineStr">
        <is>
          <t>SOLDEE</t>
        </is>
      </c>
      <c r="Y79" s="116">
        <f>F79/E79</f>
        <v/>
      </c>
      <c r="Z79" s="64">
        <f>E79-N79</f>
        <v/>
      </c>
      <c r="AA79" s="64" t="n">
        <v>2</v>
      </c>
    </row>
    <row r="80" ht="18" customHeight="1" s="202">
      <c r="A80" s="166" t="n">
        <v>20250163</v>
      </c>
      <c r="B80" s="175" t="inlineStr">
        <is>
          <t>CAMELLIA 8</t>
        </is>
      </c>
      <c r="C80" s="176" t="n">
        <v>45810</v>
      </c>
      <c r="D80" s="176" t="n">
        <v>45867</v>
      </c>
      <c r="E80" s="166" t="n">
        <v>13</v>
      </c>
      <c r="F80" s="167" t="n">
        <v>100</v>
      </c>
      <c r="G80" s="166" t="n">
        <v>42</v>
      </c>
      <c r="H80" s="147" t="inlineStr">
        <is>
          <t>CHENGTEN SARL</t>
        </is>
      </c>
      <c r="I80" s="147" t="inlineStr">
        <is>
          <t>COLIS</t>
        </is>
      </c>
      <c r="J80" s="175" t="inlineStr">
        <is>
          <t>COLIS</t>
        </is>
      </c>
      <c r="K80" s="53">
        <f>D80+8</f>
        <v/>
      </c>
      <c r="L80" s="53">
        <f>K80+60</f>
        <v/>
      </c>
      <c r="M80" s="170" t="inlineStr">
        <is>
          <t>25A0029000029ICS</t>
        </is>
      </c>
      <c r="N80" s="178">
        <f>E80-6-6</f>
        <v/>
      </c>
      <c r="O80" s="179">
        <f>F80/E80*N80</f>
        <v/>
      </c>
      <c r="P80" s="173">
        <f>G80/E80*N80</f>
        <v/>
      </c>
      <c r="Q80" s="147" t="inlineStr">
        <is>
          <t>EN FACE RESTAURANT + A COTE MUR GMS + EN FACE NAVIRE POSTE 6 GC + N FACE NAVIRE POSTE 5 GC</t>
        </is>
      </c>
      <c r="R80" s="147" t="n"/>
      <c r="S80" s="147" t="inlineStr">
        <is>
          <t>CA25003LYD0301</t>
        </is>
      </c>
      <c r="T80" s="148" t="n">
        <v>7</v>
      </c>
      <c r="U80" s="58" t="n"/>
      <c r="V80" s="67" t="n"/>
      <c r="W80" s="67" t="n"/>
      <c r="X80" s="99" t="inlineStr">
        <is>
          <t>OPER</t>
        </is>
      </c>
      <c r="Y80" s="116">
        <f>F80/E80</f>
        <v/>
      </c>
      <c r="Z80" s="64">
        <f>E80-N80</f>
        <v/>
      </c>
      <c r="AA80" s="64" t="n">
        <v>1</v>
      </c>
    </row>
    <row r="81" ht="18" customHeight="1" s="202">
      <c r="A81" s="184" t="n">
        <v>20250134</v>
      </c>
      <c r="B81" s="185" t="inlineStr">
        <is>
          <t>WARISA NAREE</t>
        </is>
      </c>
      <c r="C81" s="186" t="n">
        <v>45838</v>
      </c>
      <c r="D81" s="118" t="n">
        <v>45874</v>
      </c>
      <c r="E81" s="67" t="n">
        <v>25</v>
      </c>
      <c r="F81" s="119" t="n">
        <v>72.7</v>
      </c>
      <c r="G81" s="120" t="n">
        <v>18</v>
      </c>
      <c r="H81" s="121" t="inlineStr">
        <is>
          <t>COMPLEXE SIDERURGIQUE EPE SIDER EL-HADJAR</t>
        </is>
      </c>
      <c r="I81" s="121" t="inlineStr">
        <is>
          <t>TUBES</t>
        </is>
      </c>
      <c r="J81" s="117" t="inlineStr">
        <is>
          <t>TUBES</t>
        </is>
      </c>
      <c r="K81" s="53">
        <f>D81+8</f>
        <v/>
      </c>
      <c r="L81" s="53">
        <f>K81+60</f>
        <v/>
      </c>
      <c r="M81" s="71" t="inlineStr">
        <is>
          <t>25A0029000031ICS</t>
        </is>
      </c>
      <c r="N81" s="72">
        <f>E81</f>
        <v/>
      </c>
      <c r="O81" s="50">
        <f>F81/E81*N81</f>
        <v/>
      </c>
      <c r="P81" s="273">
        <f>G81/E81*N81</f>
        <v/>
      </c>
      <c r="Q81" s="162" t="inlineStr">
        <is>
          <t>EN FACE PONT BASCULE OAIC</t>
        </is>
      </c>
      <c r="R81" s="58" t="n"/>
      <c r="S81" s="147" t="inlineStr">
        <is>
          <t>WN25022LDJD076</t>
        </is>
      </c>
      <c r="T81" s="148" t="n">
        <v>67</v>
      </c>
      <c r="U81" s="58" t="n"/>
      <c r="V81" s="67" t="n"/>
      <c r="W81" s="67" t="n"/>
      <c r="X81" s="62" t="inlineStr">
        <is>
          <t>N-OP</t>
        </is>
      </c>
      <c r="Y81" s="116">
        <f>F81/E81</f>
        <v/>
      </c>
      <c r="Z81" s="64">
        <f>E81-N81</f>
        <v/>
      </c>
      <c r="AA81" s="64" t="n">
        <v>1</v>
      </c>
    </row>
    <row r="82" ht="18" customHeight="1" s="202">
      <c r="A82" s="163" t="n">
        <v>20250134</v>
      </c>
      <c r="B82" s="164" t="inlineStr">
        <is>
          <t>WARISA NAREE</t>
        </is>
      </c>
      <c r="C82" s="165" t="n">
        <v>45838</v>
      </c>
      <c r="D82" s="165" t="n">
        <v>45874</v>
      </c>
      <c r="E82" s="166" t="n">
        <v>147</v>
      </c>
      <c r="F82" s="167" t="n">
        <v>1461</v>
      </c>
      <c r="G82" s="168" t="n">
        <v>118</v>
      </c>
      <c r="H82" s="169" t="inlineStr">
        <is>
          <t>CAPROMET SARL</t>
        </is>
      </c>
      <c r="I82" s="169" t="inlineStr">
        <is>
          <t>BOBINES</t>
        </is>
      </c>
      <c r="J82" s="164" t="inlineStr">
        <is>
          <t>BOBINES</t>
        </is>
      </c>
      <c r="K82" s="53">
        <f>D82+8</f>
        <v/>
      </c>
      <c r="L82" s="53">
        <f>K82+60</f>
        <v/>
      </c>
      <c r="M82" s="170" t="inlineStr">
        <is>
          <t>25A0029000031ICS</t>
        </is>
      </c>
      <c r="N82" s="171">
        <f>E82-87-59</f>
        <v/>
      </c>
      <c r="O82" s="172">
        <f>F82/E82*N82</f>
        <v/>
      </c>
      <c r="P82" s="173">
        <f>G82/E82*N82</f>
        <v/>
      </c>
      <c r="Q82" s="162" t="inlineStr">
        <is>
          <t>W3</t>
        </is>
      </c>
      <c r="R82" s="149" t="inlineStr">
        <is>
          <t>GREEN</t>
        </is>
      </c>
      <c r="S82" s="147" t="inlineStr">
        <is>
          <t>WN25022ZDJD003B</t>
        </is>
      </c>
      <c r="T82" s="148" t="n">
        <v>104</v>
      </c>
      <c r="U82" s="149" t="n"/>
      <c r="V82" s="67" t="n"/>
      <c r="W82" s="67" t="n"/>
      <c r="X82" s="99" t="inlineStr">
        <is>
          <t>OPER</t>
        </is>
      </c>
      <c r="Y82" s="116" t="n"/>
      <c r="Z82" s="64">
        <f>E82-N82</f>
        <v/>
      </c>
      <c r="AA82" s="64" t="n">
        <v>1</v>
      </c>
    </row>
    <row r="83" ht="18" customHeight="1" s="202">
      <c r="A83" s="116" t="n">
        <v>20250134</v>
      </c>
      <c r="B83" s="117" t="inlineStr">
        <is>
          <t>WARISA NAREE</t>
        </is>
      </c>
      <c r="C83" s="118" t="n">
        <v>45838</v>
      </c>
      <c r="D83" s="118" t="n">
        <v>45874</v>
      </c>
      <c r="E83" s="67" t="n">
        <v>106</v>
      </c>
      <c r="F83" s="119" t="n">
        <v>1114.22</v>
      </c>
      <c r="G83" s="120" t="n">
        <v>85</v>
      </c>
      <c r="H83" s="121" t="inlineStr">
        <is>
          <t>CAPROMET SARL</t>
        </is>
      </c>
      <c r="I83" s="121" t="inlineStr">
        <is>
          <t>BOBINES</t>
        </is>
      </c>
      <c r="J83" s="117" t="inlineStr">
        <is>
          <t>BOBINES</t>
        </is>
      </c>
      <c r="K83" s="53">
        <f>D83+8</f>
        <v/>
      </c>
      <c r="L83" s="53">
        <f>K83+60</f>
        <v/>
      </c>
      <c r="M83" s="71" t="inlineStr">
        <is>
          <t>25A0029000031ICS</t>
        </is>
      </c>
      <c r="N83" s="72">
        <f>E83</f>
        <v/>
      </c>
      <c r="O83" s="50">
        <f>F83/E83*N83</f>
        <v/>
      </c>
      <c r="P83" s="273">
        <f>G83/E83*N83</f>
        <v/>
      </c>
      <c r="Q83" s="162" t="inlineStr">
        <is>
          <t>W3</t>
        </is>
      </c>
      <c r="R83" s="149" t="inlineStr">
        <is>
          <t>GREEN</t>
        </is>
      </c>
      <c r="S83" s="147" t="inlineStr">
        <is>
          <t>WN25022ZDJD007</t>
        </is>
      </c>
      <c r="T83" s="148" t="n">
        <v>109</v>
      </c>
      <c r="U83" s="149" t="n"/>
      <c r="V83" s="67" t="n"/>
      <c r="W83" s="67" t="n"/>
      <c r="X83" s="62" t="inlineStr">
        <is>
          <t>N-OP</t>
        </is>
      </c>
      <c r="Y83" s="116">
        <f>F83/E83</f>
        <v/>
      </c>
      <c r="Z83" s="64">
        <f>E83-N83</f>
        <v/>
      </c>
      <c r="AA83" s="64" t="n">
        <v>1</v>
      </c>
    </row>
    <row r="84" ht="18" customHeight="1" s="202">
      <c r="A84" s="163" t="n">
        <v>20250134</v>
      </c>
      <c r="B84" s="164" t="inlineStr">
        <is>
          <t>WARISA NAREE</t>
        </is>
      </c>
      <c r="C84" s="165" t="n">
        <v>45838</v>
      </c>
      <c r="D84" s="165" t="n">
        <v>45874</v>
      </c>
      <c r="E84" s="166" t="n">
        <v>6</v>
      </c>
      <c r="F84" s="167" t="n">
        <v>77.955</v>
      </c>
      <c r="G84" s="168" t="n">
        <v>5</v>
      </c>
      <c r="H84" s="169" t="inlineStr">
        <is>
          <t>STEEL NORME SARL</t>
        </is>
      </c>
      <c r="I84" s="169" t="inlineStr">
        <is>
          <t>BOBINES</t>
        </is>
      </c>
      <c r="J84" s="164" t="inlineStr">
        <is>
          <t>BOBINES</t>
        </is>
      </c>
      <c r="K84" s="53">
        <f>D84+8</f>
        <v/>
      </c>
      <c r="L84" s="53">
        <f>K84+60</f>
        <v/>
      </c>
      <c r="M84" s="170" t="inlineStr">
        <is>
          <t>25A0029000031ICS</t>
        </is>
      </c>
      <c r="N84" s="171">
        <f>E84-4</f>
        <v/>
      </c>
      <c r="O84" s="172">
        <f>F84/E84*N84</f>
        <v/>
      </c>
      <c r="P84" s="173">
        <f>G84/E84*N84</f>
        <v/>
      </c>
      <c r="Q84" s="162" t="inlineStr">
        <is>
          <t>W3</t>
        </is>
      </c>
      <c r="R84" s="149" t="inlineStr">
        <is>
          <t>DJENDJEN,TATA</t>
        </is>
      </c>
      <c r="S84" s="147" t="inlineStr">
        <is>
          <t>WN25022LDJD502</t>
        </is>
      </c>
      <c r="T84" s="148" t="n">
        <v>99</v>
      </c>
      <c r="U84" s="149" t="n"/>
      <c r="V84" s="67" t="n"/>
      <c r="W84" s="67" t="n"/>
      <c r="X84" s="99" t="inlineStr">
        <is>
          <t>OPER</t>
        </is>
      </c>
      <c r="Y84" s="116">
        <f>F84/E84</f>
        <v/>
      </c>
      <c r="Z84" s="64">
        <f>E84-N84</f>
        <v/>
      </c>
      <c r="AA84" s="64" t="n">
        <v>127</v>
      </c>
    </row>
    <row r="85" ht="18" customHeight="1" s="202">
      <c r="A85" s="163" t="n">
        <v>20250134</v>
      </c>
      <c r="B85" s="164" t="inlineStr">
        <is>
          <t>WARISA NAREE</t>
        </is>
      </c>
      <c r="C85" s="165" t="n">
        <v>45838</v>
      </c>
      <c r="D85" s="165" t="n">
        <v>45874</v>
      </c>
      <c r="E85" s="166" t="n">
        <v>92</v>
      </c>
      <c r="F85" s="167" t="n">
        <v>974.77</v>
      </c>
      <c r="G85" s="168" t="n">
        <v>74</v>
      </c>
      <c r="H85" s="169" t="inlineStr">
        <is>
          <t>METGAV EURL</t>
        </is>
      </c>
      <c r="I85" s="169" t="inlineStr">
        <is>
          <t>BOBINES</t>
        </is>
      </c>
      <c r="J85" s="164" t="inlineStr">
        <is>
          <t>BOBINES</t>
        </is>
      </c>
      <c r="K85" s="53">
        <f>D85+8</f>
        <v/>
      </c>
      <c r="L85" s="53">
        <f>K85+60</f>
        <v/>
      </c>
      <c r="M85" s="170" t="inlineStr">
        <is>
          <t>25A0029000031ICS</t>
        </is>
      </c>
      <c r="N85" s="171">
        <f>E85-16-20-12</f>
        <v/>
      </c>
      <c r="O85" s="172">
        <f>F85/E85*N85</f>
        <v/>
      </c>
      <c r="P85" s="173">
        <f>G85/E85*N85</f>
        <v/>
      </c>
      <c r="Q85" s="162" t="inlineStr">
        <is>
          <t>W3</t>
        </is>
      </c>
      <c r="R85" s="149" t="inlineStr">
        <is>
          <t>PURPLE - 20586/251</t>
        </is>
      </c>
      <c r="S85" s="147" t="inlineStr">
        <is>
          <t>WN25022ZDJD002</t>
        </is>
      </c>
      <c r="T85" s="148" t="n">
        <v>102</v>
      </c>
      <c r="U85" s="149" t="n"/>
      <c r="V85" s="67" t="n"/>
      <c r="W85" s="67" t="n"/>
      <c r="X85" s="99" t="inlineStr">
        <is>
          <t>OPER</t>
        </is>
      </c>
      <c r="Y85" s="116">
        <f>F85/E85</f>
        <v/>
      </c>
      <c r="Z85" s="64">
        <f>E85-N85</f>
        <v/>
      </c>
      <c r="AA85" s="64" t="n">
        <v>44</v>
      </c>
    </row>
    <row r="86" ht="18" customHeight="1" s="202">
      <c r="A86" s="76" t="n">
        <v>20250134</v>
      </c>
      <c r="B86" s="77" t="inlineStr">
        <is>
          <t>WARISA NAREE</t>
        </is>
      </c>
      <c r="C86" s="78" t="n">
        <v>45838</v>
      </c>
      <c r="D86" s="78" t="n">
        <v>45874</v>
      </c>
      <c r="E86" s="76" t="n">
        <v>375</v>
      </c>
      <c r="F86" s="76" t="n">
        <v>382.45</v>
      </c>
      <c r="G86" s="76" t="n">
        <v>188</v>
      </c>
      <c r="H86" s="80" t="inlineStr">
        <is>
          <t>ATLAS BOIS SARL</t>
        </is>
      </c>
      <c r="I86" s="80" t="inlineStr">
        <is>
          <t>CTP</t>
        </is>
      </c>
      <c r="J86" s="77" t="inlineStr">
        <is>
          <t>CTP</t>
        </is>
      </c>
      <c r="K86" s="78">
        <f>D86+8</f>
        <v/>
      </c>
      <c r="L86" s="78">
        <f>K86+60</f>
        <v/>
      </c>
      <c r="M86" s="82" t="inlineStr">
        <is>
          <t>25A0029000031ICS</t>
        </is>
      </c>
      <c r="N86" s="83">
        <f>E86-60-90-75-60-15-29-29-15-2</f>
        <v/>
      </c>
      <c r="O86" s="84">
        <f>F86/E86*N86</f>
        <v/>
      </c>
      <c r="P86" s="83">
        <f>G86/E86*N86</f>
        <v/>
      </c>
      <c r="Q86" s="80" t="inlineStr">
        <is>
          <t>EN FACE PARC+HG6000+HG 10003</t>
        </is>
      </c>
      <c r="R86" s="80" t="n"/>
      <c r="S86" s="80" t="inlineStr">
        <is>
          <t>WN25022LDJD035</t>
        </is>
      </c>
      <c r="T86" s="86" t="n">
        <v>30</v>
      </c>
      <c r="U86" s="80" t="n"/>
      <c r="V86" s="76" t="n"/>
      <c r="W86" s="76" t="n"/>
      <c r="X86" s="76" t="inlineStr">
        <is>
          <t>SOLDEE</t>
        </is>
      </c>
      <c r="Y86" s="116">
        <f>F86/E86</f>
        <v/>
      </c>
      <c r="Z86" s="64">
        <f>E86-N86</f>
        <v/>
      </c>
      <c r="AA86" s="64" t="n">
        <v>940</v>
      </c>
    </row>
    <row r="87" ht="18" customHeight="1" s="202">
      <c r="A87" s="116" t="n">
        <v>20250134</v>
      </c>
      <c r="B87" s="117" t="inlineStr">
        <is>
          <t>WARISA NAREE</t>
        </is>
      </c>
      <c r="C87" s="118" t="n">
        <v>45838</v>
      </c>
      <c r="D87" s="118" t="n">
        <v>45874</v>
      </c>
      <c r="E87" s="67" t="n">
        <v>180</v>
      </c>
      <c r="F87" s="119" t="n">
        <v>172.052</v>
      </c>
      <c r="G87" s="120" t="n">
        <v>90</v>
      </c>
      <c r="H87" s="121" t="inlineStr">
        <is>
          <t>MOURISKA EURL</t>
        </is>
      </c>
      <c r="I87" s="121" t="inlineStr">
        <is>
          <t>CTP</t>
        </is>
      </c>
      <c r="J87" s="117" t="inlineStr">
        <is>
          <t>CTP</t>
        </is>
      </c>
      <c r="K87" s="53">
        <f>D87+8</f>
        <v/>
      </c>
      <c r="L87" s="53">
        <f>K87+60</f>
        <v/>
      </c>
      <c r="M87" s="71" t="inlineStr">
        <is>
          <t>25A0029000031ICS</t>
        </is>
      </c>
      <c r="N87" s="72">
        <f>E87</f>
        <v/>
      </c>
      <c r="O87" s="50">
        <f>F87/E87*N87</f>
        <v/>
      </c>
      <c r="P87" s="273">
        <f>G87/E87*N87</f>
        <v/>
      </c>
      <c r="Q87" s="162" t="inlineStr">
        <is>
          <t>EN FACE PARC+HG6000+HG 10015</t>
        </is>
      </c>
      <c r="R87" s="58" t="n"/>
      <c r="S87" s="147" t="inlineStr">
        <is>
          <t>WN25022LDJD046</t>
        </is>
      </c>
      <c r="T87" s="148" t="n">
        <v>42</v>
      </c>
      <c r="U87" s="58" t="n"/>
      <c r="V87" s="67" t="n"/>
      <c r="W87" s="67" t="n"/>
      <c r="X87" s="62" t="inlineStr">
        <is>
          <t>N-OP</t>
        </is>
      </c>
      <c r="Y87" s="116">
        <f>F87/E87</f>
        <v/>
      </c>
      <c r="Z87" s="64">
        <f>E87-N87</f>
        <v/>
      </c>
      <c r="AA87" s="64" t="n">
        <v>125</v>
      </c>
    </row>
    <row r="88" ht="18" customHeight="1" s="202">
      <c r="A88" s="163" t="n">
        <v>20250134</v>
      </c>
      <c r="B88" s="164" t="inlineStr">
        <is>
          <t>WARISA NAREE</t>
        </is>
      </c>
      <c r="C88" s="165" t="n">
        <v>45838</v>
      </c>
      <c r="D88" s="165" t="n">
        <v>45874</v>
      </c>
      <c r="E88" s="166" t="n">
        <v>150</v>
      </c>
      <c r="F88" s="167" t="n">
        <v>148.667</v>
      </c>
      <c r="G88" s="168" t="n">
        <v>75</v>
      </c>
      <c r="H88" s="169" t="inlineStr">
        <is>
          <t>MOURISKA EURL</t>
        </is>
      </c>
      <c r="I88" s="169" t="inlineStr">
        <is>
          <t>CTP</t>
        </is>
      </c>
      <c r="J88" s="164" t="inlineStr">
        <is>
          <t>CTP</t>
        </is>
      </c>
      <c r="K88" s="53">
        <f>D88+8</f>
        <v/>
      </c>
      <c r="L88" s="53">
        <f>K88+60</f>
        <v/>
      </c>
      <c r="M88" s="170" t="inlineStr">
        <is>
          <t>25A0029000031ICS</t>
        </is>
      </c>
      <c r="N88" s="171">
        <f>E88-60</f>
        <v/>
      </c>
      <c r="O88" s="172">
        <f>F88/E88*N88</f>
        <v/>
      </c>
      <c r="P88" s="173">
        <f>G88/E88*N88</f>
        <v/>
      </c>
      <c r="Q88" s="162" t="inlineStr">
        <is>
          <t>EN FACE PARC+HG6000+HG 10016</t>
        </is>
      </c>
      <c r="R88" s="58" t="n"/>
      <c r="S88" s="147" t="inlineStr">
        <is>
          <t>WN25022LDJD047</t>
        </is>
      </c>
      <c r="T88" s="148" t="n">
        <v>43</v>
      </c>
      <c r="U88" s="58" t="n"/>
      <c r="V88" s="67" t="n"/>
      <c r="W88" s="67" t="n"/>
      <c r="X88" s="182" t="inlineStr">
        <is>
          <t>OPER</t>
        </is>
      </c>
      <c r="Y88" s="116">
        <f>F88/E88</f>
        <v/>
      </c>
      <c r="Z88" s="64">
        <f>E88-N88</f>
        <v/>
      </c>
      <c r="AA88" s="64" t="n">
        <v>81</v>
      </c>
    </row>
    <row r="89" ht="18" customHeight="1" s="202">
      <c r="A89" s="163" t="n">
        <v>20250134</v>
      </c>
      <c r="B89" s="164" t="inlineStr">
        <is>
          <t>WARISA NAREE</t>
        </is>
      </c>
      <c r="C89" s="165" t="n">
        <v>45838</v>
      </c>
      <c r="D89" s="165" t="n">
        <v>45874</v>
      </c>
      <c r="E89" s="166" t="n">
        <v>250</v>
      </c>
      <c r="F89" s="167" t="n">
        <v>276.217</v>
      </c>
      <c r="G89" s="168" t="n">
        <v>125</v>
      </c>
      <c r="H89" s="169" t="inlineStr">
        <is>
          <t>SOUF BOIS SAKER ET CIE SNC</t>
        </is>
      </c>
      <c r="I89" s="169" t="inlineStr">
        <is>
          <t>CTP</t>
        </is>
      </c>
      <c r="J89" s="164" t="inlineStr">
        <is>
          <t>CTP</t>
        </is>
      </c>
      <c r="K89" s="53">
        <f>D89+8</f>
        <v/>
      </c>
      <c r="L89" s="53">
        <f>K89+60</f>
        <v/>
      </c>
      <c r="M89" s="170" t="inlineStr">
        <is>
          <t>25A0029000031ICS</t>
        </is>
      </c>
      <c r="N89" s="171">
        <f>E89-60</f>
        <v/>
      </c>
      <c r="O89" s="172">
        <f>F89/E89*N89</f>
        <v/>
      </c>
      <c r="P89" s="173">
        <f>G89/E89*N89</f>
        <v/>
      </c>
      <c r="Q89" s="162" t="inlineStr">
        <is>
          <t>EN FACE PARC+HG6000+HG 10017</t>
        </is>
      </c>
      <c r="R89" s="58" t="n"/>
      <c r="S89" s="147" t="inlineStr">
        <is>
          <t>WN25022LDJD048</t>
        </is>
      </c>
      <c r="T89" s="148" t="n">
        <v>44</v>
      </c>
      <c r="U89" s="58" t="n"/>
      <c r="V89" s="67" t="n"/>
      <c r="W89" s="67" t="n"/>
      <c r="X89" s="182" t="inlineStr">
        <is>
          <t>OPER</t>
        </is>
      </c>
      <c r="Y89" s="116">
        <f>F89/E89</f>
        <v/>
      </c>
      <c r="Z89" s="64">
        <f>E89-N89</f>
        <v/>
      </c>
      <c r="AA89" s="64" t="n">
        <v>20</v>
      </c>
    </row>
    <row r="90" ht="18" customHeight="1" s="202">
      <c r="A90" s="163" t="n">
        <v>20250134</v>
      </c>
      <c r="B90" s="164" t="inlineStr">
        <is>
          <t>WARISA NAREE</t>
        </is>
      </c>
      <c r="C90" s="165" t="n">
        <v>45838</v>
      </c>
      <c r="D90" s="165" t="n">
        <v>45874</v>
      </c>
      <c r="E90" s="166" t="n">
        <v>81</v>
      </c>
      <c r="F90" s="167" t="n">
        <v>162.653</v>
      </c>
      <c r="G90" s="168" t="n">
        <v>324</v>
      </c>
      <c r="H90" s="169" t="inlineStr">
        <is>
          <t>ENAFOR SPA / ENTREPRISE NATIONALE DE FORAGE SPA</t>
        </is>
      </c>
      <c r="I90" s="169" t="inlineStr">
        <is>
          <t>COLIS</t>
        </is>
      </c>
      <c r="J90" s="164" t="inlineStr">
        <is>
          <t>COLIS</t>
        </is>
      </c>
      <c r="K90" s="53">
        <f>D90+8</f>
        <v/>
      </c>
      <c r="L90" s="53">
        <f>K90+60</f>
        <v/>
      </c>
      <c r="M90" s="170" t="inlineStr">
        <is>
          <t>25A0029000031ICS</t>
        </is>
      </c>
      <c r="N90" s="171">
        <f>E90-66-5</f>
        <v/>
      </c>
      <c r="O90" s="172">
        <f>F90/E90*N90</f>
        <v/>
      </c>
      <c r="P90" s="173">
        <f>G90/E90*N90</f>
        <v/>
      </c>
      <c r="Q90" s="162" t="inlineStr">
        <is>
          <t>RORO + GC POSTE 1</t>
        </is>
      </c>
      <c r="R90" s="58" t="n"/>
      <c r="S90" s="147" t="inlineStr">
        <is>
          <t>WN25022LDJD008</t>
        </is>
      </c>
      <c r="T90" s="148" t="n">
        <v>8</v>
      </c>
      <c r="U90" s="58" t="n"/>
      <c r="V90" s="67" t="n"/>
      <c r="W90" s="67" t="n"/>
      <c r="X90" s="99" t="inlineStr">
        <is>
          <t>OPER</t>
        </is>
      </c>
      <c r="Y90" s="116" t="n"/>
      <c r="Z90" s="64">
        <f>E90-N90</f>
        <v/>
      </c>
      <c r="AA90" s="64" t="n">
        <v>1</v>
      </c>
    </row>
    <row r="91" ht="18" customHeight="1" s="202">
      <c r="A91" s="76" t="n">
        <v>20250134</v>
      </c>
      <c r="B91" s="77" t="inlineStr">
        <is>
          <t>WARISA NAREE</t>
        </is>
      </c>
      <c r="C91" s="78" t="n">
        <v>45838</v>
      </c>
      <c r="D91" s="78" t="n">
        <v>45874</v>
      </c>
      <c r="E91" s="76" t="n">
        <v>1</v>
      </c>
      <c r="F91" s="79" t="n">
        <v>9.243499999999999</v>
      </c>
      <c r="G91" s="102" t="n">
        <v>24</v>
      </c>
      <c r="H91" s="80" t="inlineStr">
        <is>
          <t>SATEREX EURL</t>
        </is>
      </c>
      <c r="I91" s="80" t="inlineStr">
        <is>
          <t>CAMION BALAYEUSE</t>
        </is>
      </c>
      <c r="J91" s="77" t="inlineStr">
        <is>
          <t>LOURD</t>
        </is>
      </c>
      <c r="K91" s="174">
        <f>D91+8</f>
        <v/>
      </c>
      <c r="L91" s="174">
        <f>K91+60</f>
        <v/>
      </c>
      <c r="M91" s="82" t="inlineStr">
        <is>
          <t>25A0029000031ICS</t>
        </is>
      </c>
      <c r="N91" s="83">
        <f>E91-1</f>
        <v/>
      </c>
      <c r="O91" s="84">
        <f>F91/E91*N91</f>
        <v/>
      </c>
      <c r="P91" s="85">
        <f>G91/E91*N91</f>
        <v/>
      </c>
      <c r="Q91" s="80" t="inlineStr">
        <is>
          <t>MIXTE</t>
        </is>
      </c>
      <c r="R91" s="80" t="n"/>
      <c r="S91" s="80" t="inlineStr">
        <is>
          <t>WN25022LDJD014ABC</t>
        </is>
      </c>
      <c r="T91" s="86" t="n">
        <v>13</v>
      </c>
      <c r="U91" s="80" t="n"/>
      <c r="V91" s="76" t="n"/>
      <c r="W91" s="76" t="n"/>
      <c r="X91" s="76" t="inlineStr">
        <is>
          <t>SOLDEE</t>
        </is>
      </c>
      <c r="Y91" s="116">
        <f>F91/E91</f>
        <v/>
      </c>
      <c r="Z91" s="64">
        <f>E91-N91</f>
        <v/>
      </c>
      <c r="AA91" s="30" t="n"/>
    </row>
    <row r="92" ht="18" customHeight="1" s="202">
      <c r="A92" s="76" t="n">
        <v>20250134</v>
      </c>
      <c r="B92" s="77" t="inlineStr">
        <is>
          <t>WARISA NAREE</t>
        </is>
      </c>
      <c r="C92" s="78" t="n">
        <v>45838</v>
      </c>
      <c r="D92" s="78" t="n">
        <v>45874</v>
      </c>
      <c r="E92" s="76" t="n">
        <v>1</v>
      </c>
      <c r="F92" s="79" t="n">
        <v>9.243499999999999</v>
      </c>
      <c r="G92" s="102" t="n">
        <v>24</v>
      </c>
      <c r="H92" s="80" t="inlineStr">
        <is>
          <t>SATEREX EURL</t>
        </is>
      </c>
      <c r="I92" s="80" t="inlineStr">
        <is>
          <t>CAMIONS</t>
        </is>
      </c>
      <c r="J92" s="77" t="inlineStr">
        <is>
          <t>LOURD</t>
        </is>
      </c>
      <c r="K92" s="174">
        <f>D92+8</f>
        <v/>
      </c>
      <c r="L92" s="174">
        <f>K92+60</f>
        <v/>
      </c>
      <c r="M92" s="82" t="inlineStr">
        <is>
          <t>25A0029000031ICS</t>
        </is>
      </c>
      <c r="N92" s="83">
        <f>E92-1</f>
        <v/>
      </c>
      <c r="O92" s="84">
        <f>F92/E92*N92</f>
        <v/>
      </c>
      <c r="P92" s="85">
        <f>G92/E92*N92</f>
        <v/>
      </c>
      <c r="Q92" s="80" t="inlineStr">
        <is>
          <t>MIXTE</t>
        </is>
      </c>
      <c r="R92" s="80" t="n"/>
      <c r="S92" s="80" t="inlineStr">
        <is>
          <t>WN25022LDJD014ABC</t>
        </is>
      </c>
      <c r="T92" s="86" t="n">
        <v>13</v>
      </c>
      <c r="U92" s="80" t="n"/>
      <c r="V92" s="76" t="n"/>
      <c r="W92" s="76" t="n"/>
      <c r="X92" s="76" t="inlineStr">
        <is>
          <t>SOLDEE</t>
        </is>
      </c>
      <c r="Y92" s="116">
        <f>F92/E92</f>
        <v/>
      </c>
      <c r="Z92" s="64">
        <f>E92-N92</f>
        <v/>
      </c>
      <c r="AA92" s="30" t="n"/>
    </row>
    <row r="93" ht="18" customHeight="1" s="202">
      <c r="A93" s="116" t="n">
        <v>20250134</v>
      </c>
      <c r="B93" s="117" t="inlineStr">
        <is>
          <t>WARISA NAREE</t>
        </is>
      </c>
      <c r="C93" s="118" t="n">
        <v>45838</v>
      </c>
      <c r="D93" s="118" t="n">
        <v>45874</v>
      </c>
      <c r="E93" s="67" t="n">
        <v>1</v>
      </c>
      <c r="F93" s="119" t="n">
        <v>0</v>
      </c>
      <c r="G93" s="120" t="n">
        <v>3</v>
      </c>
      <c r="H93" s="121" t="inlineStr">
        <is>
          <t>SATEREX EURL</t>
        </is>
      </c>
      <c r="I93" s="121" t="inlineStr">
        <is>
          <t>COLIS</t>
        </is>
      </c>
      <c r="J93" s="117" t="inlineStr">
        <is>
          <t>COLIS</t>
        </is>
      </c>
      <c r="K93" s="53">
        <f>D93+8</f>
        <v/>
      </c>
      <c r="L93" s="53">
        <f>K93+60</f>
        <v/>
      </c>
      <c r="M93" s="71" t="inlineStr">
        <is>
          <t>25A0029000031ICS</t>
        </is>
      </c>
      <c r="N93" s="72">
        <f>E93</f>
        <v/>
      </c>
      <c r="O93" s="50">
        <f>F93/E93*N93</f>
        <v/>
      </c>
      <c r="P93" s="273">
        <f>G93/E93*N93</f>
        <v/>
      </c>
      <c r="Q93" s="162" t="inlineStr">
        <is>
          <t>RORO + GC POSTE 1</t>
        </is>
      </c>
      <c r="R93" s="58" t="n"/>
      <c r="S93" s="147" t="inlineStr">
        <is>
          <t>WN25022LDJD014ABC</t>
        </is>
      </c>
      <c r="T93" s="148" t="n">
        <v>13</v>
      </c>
      <c r="U93" s="58" t="n"/>
      <c r="V93" s="67" t="n"/>
      <c r="W93" s="67" t="n"/>
      <c r="X93" s="62" t="inlineStr">
        <is>
          <t>N-OP</t>
        </is>
      </c>
      <c r="Y93" s="116">
        <f>F93/E93</f>
        <v/>
      </c>
      <c r="Z93" s="64">
        <f>E93-N93</f>
        <v/>
      </c>
      <c r="AA93" s="30" t="n"/>
    </row>
    <row r="94" ht="18" customHeight="1" s="202">
      <c r="A94" s="163" t="n">
        <v>20250134</v>
      </c>
      <c r="B94" s="164" t="inlineStr">
        <is>
          <t>WARISA NAREE</t>
        </is>
      </c>
      <c r="C94" s="165" t="n">
        <v>45838</v>
      </c>
      <c r="D94" s="165" t="n">
        <v>45874</v>
      </c>
      <c r="E94" s="166" t="n">
        <v>3640</v>
      </c>
      <c r="F94" s="167" t="n">
        <v>4007.64</v>
      </c>
      <c r="G94" s="168" t="n">
        <v>3160</v>
      </c>
      <c r="H94" s="169" t="inlineStr">
        <is>
          <t>FERDJIOUA PLASTIQUE ET SERVICE SARL</t>
        </is>
      </c>
      <c r="I94" s="169" t="inlineStr">
        <is>
          <t>PET RESIN EN BIG BAG</t>
        </is>
      </c>
      <c r="J94" s="164" t="inlineStr">
        <is>
          <t>BIG BAG</t>
        </is>
      </c>
      <c r="K94" s="53">
        <f>D94+8</f>
        <v/>
      </c>
      <c r="L94" s="53">
        <f>K94+60</f>
        <v/>
      </c>
      <c r="M94" s="170" t="inlineStr">
        <is>
          <t>25A0029000031ICS</t>
        </is>
      </c>
      <c r="N94" s="171">
        <f>E94-201-373-58-87-113-174-203-29-87-145-290-87-290-29-143-29-232-280-27-116-58-87-145-58-87-68-29-16</f>
        <v/>
      </c>
      <c r="O94" s="172">
        <f>F94/E94*N94</f>
        <v/>
      </c>
      <c r="P94" s="173">
        <f>G94/E94*N94</f>
        <v/>
      </c>
      <c r="Q94" s="162" t="inlineStr">
        <is>
          <t>A COTE PONT PASCULE OAIC/ cote administration oaic/ cote droit poste police 1 + A COTE RAIL EN FACE DP WORLD + EN FACE CASERNE</t>
        </is>
      </c>
      <c r="R94" s="58" t="n"/>
      <c r="S94" s="147" t="inlineStr">
        <is>
          <t>WN25022ZDJD107</t>
        </is>
      </c>
      <c r="T94" s="148" t="n">
        <v>117</v>
      </c>
      <c r="U94" s="58" t="n"/>
      <c r="V94" s="67" t="n"/>
      <c r="W94" s="67" t="n"/>
      <c r="X94" s="99" t="inlineStr">
        <is>
          <t>OPER</t>
        </is>
      </c>
      <c r="Y94" s="116">
        <f>F94/E94</f>
        <v/>
      </c>
      <c r="Z94" s="64">
        <f>E94-N94</f>
        <v/>
      </c>
      <c r="AA94" s="30" t="n"/>
    </row>
    <row r="95" ht="18" customHeight="1" s="202">
      <c r="A95" s="76" t="n">
        <v>20250174</v>
      </c>
      <c r="B95" s="77" t="inlineStr">
        <is>
          <t>YANGTZE ALPHA</t>
        </is>
      </c>
      <c r="C95" s="78" t="n">
        <v>45847</v>
      </c>
      <c r="D95" s="78" t="n">
        <v>45881</v>
      </c>
      <c r="E95" s="76" t="n">
        <v>1</v>
      </c>
      <c r="F95" s="79" t="n">
        <v>27.9</v>
      </c>
      <c r="G95" s="102" t="n">
        <v>24</v>
      </c>
      <c r="H95" s="80" t="inlineStr">
        <is>
          <t>EWAAN TPH EURL</t>
        </is>
      </c>
      <c r="I95" s="80" t="inlineStr">
        <is>
          <t>CHARGEURS</t>
        </is>
      </c>
      <c r="J95" s="77" t="inlineStr">
        <is>
          <t>ENGINS</t>
        </is>
      </c>
      <c r="K95" s="174">
        <f>D95+8</f>
        <v/>
      </c>
      <c r="L95" s="174">
        <f>K95+60</f>
        <v/>
      </c>
      <c r="M95" s="82" t="n"/>
      <c r="N95" s="83">
        <f>E95-1</f>
        <v/>
      </c>
      <c r="O95" s="84">
        <f>F95/E95*N95</f>
        <v/>
      </c>
      <c r="P95" s="85">
        <f>G95/E95*N95</f>
        <v/>
      </c>
      <c r="Q95" s="80" t="inlineStr">
        <is>
          <t>MIXTE</t>
        </is>
      </c>
      <c r="R95" s="80" t="n"/>
      <c r="S95" s="80" t="inlineStr">
        <is>
          <t>YA25085LDJD038</t>
        </is>
      </c>
      <c r="T95" s="86" t="n">
        <v>34</v>
      </c>
      <c r="U95" s="80" t="n"/>
      <c r="V95" s="76" t="n"/>
      <c r="W95" s="76" t="n"/>
      <c r="X95" s="76" t="inlineStr">
        <is>
          <t>SOLDEE</t>
        </is>
      </c>
      <c r="Y95" s="116" t="n"/>
      <c r="Z95" s="64">
        <f>E95-N95</f>
        <v/>
      </c>
      <c r="AA95" s="30" t="n"/>
    </row>
    <row r="96" ht="18" customHeight="1" s="202">
      <c r="A96" s="76" t="n">
        <v>20250174</v>
      </c>
      <c r="B96" s="77" t="inlineStr">
        <is>
          <t>YANGTZE ALPHA</t>
        </is>
      </c>
      <c r="C96" s="78" t="n">
        <v>45847</v>
      </c>
      <c r="D96" s="78" t="n">
        <v>45881</v>
      </c>
      <c r="E96" s="76" t="n">
        <v>1</v>
      </c>
      <c r="F96" s="79" t="n">
        <v>27.9</v>
      </c>
      <c r="G96" s="102" t="n">
        <v>24</v>
      </c>
      <c r="H96" s="80" t="inlineStr">
        <is>
          <t>EWAAN TPH EURL</t>
        </is>
      </c>
      <c r="I96" s="80" t="inlineStr">
        <is>
          <t>COMPACTEURS</t>
        </is>
      </c>
      <c r="J96" s="77" t="inlineStr">
        <is>
          <t>ENGINS</t>
        </is>
      </c>
      <c r="K96" s="174">
        <f>D96+8</f>
        <v/>
      </c>
      <c r="L96" s="174">
        <f>K96+60</f>
        <v/>
      </c>
      <c r="M96" s="82" t="n"/>
      <c r="N96" s="83">
        <f>E96-1</f>
        <v/>
      </c>
      <c r="O96" s="84">
        <f>F96/E96*N96</f>
        <v/>
      </c>
      <c r="P96" s="85">
        <f>G96/E96*N96</f>
        <v/>
      </c>
      <c r="Q96" s="80" t="inlineStr">
        <is>
          <t>OUEST</t>
        </is>
      </c>
      <c r="R96" s="80" t="n"/>
      <c r="S96" s="80" t="inlineStr">
        <is>
          <t>YA25085LDJD038</t>
        </is>
      </c>
      <c r="T96" s="86" t="n">
        <v>34</v>
      </c>
      <c r="U96" s="80" t="n"/>
      <c r="V96" s="76" t="n"/>
      <c r="W96" s="76" t="n"/>
      <c r="X96" s="76" t="inlineStr">
        <is>
          <t>SOLDEE</t>
        </is>
      </c>
      <c r="Y96" s="116" t="n"/>
      <c r="Z96" s="64">
        <f>E96-N96</f>
        <v/>
      </c>
      <c r="AA96" s="30" t="n"/>
    </row>
    <row r="97" ht="18" customHeight="1" s="202">
      <c r="A97" s="163" t="n">
        <v>20250174</v>
      </c>
      <c r="B97" s="164" t="inlineStr">
        <is>
          <t>YANGTZE ALPHA</t>
        </is>
      </c>
      <c r="C97" s="165" t="n">
        <v>45847</v>
      </c>
      <c r="D97" s="165" t="n">
        <v>45881</v>
      </c>
      <c r="E97" s="166" t="n">
        <v>2</v>
      </c>
      <c r="F97" s="167" t="n">
        <v>52</v>
      </c>
      <c r="G97" s="168" t="n">
        <v>48</v>
      </c>
      <c r="H97" s="169" t="inlineStr">
        <is>
          <t>EWAAN TPH EURL</t>
        </is>
      </c>
      <c r="I97" s="169" t="inlineStr">
        <is>
          <t>COMPACTEURS</t>
        </is>
      </c>
      <c r="J97" s="164" t="inlineStr">
        <is>
          <t>ENGINS</t>
        </is>
      </c>
      <c r="K97" s="53">
        <f>D97+8</f>
        <v/>
      </c>
      <c r="L97" s="53">
        <f>K97+60</f>
        <v/>
      </c>
      <c r="M97" s="170" t="n"/>
      <c r="N97" s="171">
        <f>E97</f>
        <v/>
      </c>
      <c r="O97" s="172">
        <f>F97/E97*N97</f>
        <v/>
      </c>
      <c r="P97" s="173">
        <f>G97/E97*N97</f>
        <v/>
      </c>
      <c r="Q97" s="162" t="inlineStr">
        <is>
          <t>OUEST</t>
        </is>
      </c>
      <c r="R97" s="58" t="n"/>
      <c r="S97" s="147" t="inlineStr">
        <is>
          <t>YA25085LDJD039</t>
        </is>
      </c>
      <c r="T97" s="148" t="n">
        <v>35</v>
      </c>
      <c r="U97" s="58" t="n"/>
      <c r="V97" s="67" t="n"/>
      <c r="W97" s="67" t="n"/>
      <c r="X97" s="62" t="inlineStr">
        <is>
          <t>N-OP</t>
        </is>
      </c>
      <c r="Y97" s="116">
        <f>F97/E97</f>
        <v/>
      </c>
      <c r="Z97" s="64">
        <f>E97-N97</f>
        <v/>
      </c>
      <c r="AA97" s="30" t="n"/>
    </row>
    <row r="98" ht="18" customHeight="1" s="202">
      <c r="A98" s="116" t="n">
        <v>20250174</v>
      </c>
      <c r="B98" s="117" t="inlineStr">
        <is>
          <t>YANGTZE ALPHA</t>
        </is>
      </c>
      <c r="C98" s="118" t="n">
        <v>45847</v>
      </c>
      <c r="D98" s="118" t="n">
        <v>45881</v>
      </c>
      <c r="E98" s="67" t="n">
        <v>2</v>
      </c>
      <c r="F98" s="119" t="n">
        <v>40</v>
      </c>
      <c r="G98" s="120" t="n">
        <v>80</v>
      </c>
      <c r="H98" s="121" t="inlineStr">
        <is>
          <t>HYDRO SM EURL</t>
        </is>
      </c>
      <c r="I98" s="121" t="inlineStr">
        <is>
          <t>COMPACTEURS</t>
        </is>
      </c>
      <c r="J98" s="117" t="inlineStr">
        <is>
          <t>ENGINS</t>
        </is>
      </c>
      <c r="K98" s="53">
        <f>D98+8</f>
        <v/>
      </c>
      <c r="L98" s="53">
        <f>K98+60</f>
        <v/>
      </c>
      <c r="M98" s="71" t="n"/>
      <c r="N98" s="72">
        <f>E98</f>
        <v/>
      </c>
      <c r="O98" s="50">
        <f>F98/E98*N98</f>
        <v/>
      </c>
      <c r="P98" s="273">
        <f>G98/E98*N98</f>
        <v/>
      </c>
      <c r="Q98" s="162" t="inlineStr">
        <is>
          <t>OUEST</t>
        </is>
      </c>
      <c r="R98" s="58" t="n"/>
      <c r="S98" s="147" t="inlineStr">
        <is>
          <t>YA25085LDJD040</t>
        </is>
      </c>
      <c r="T98" s="148" t="n">
        <v>36</v>
      </c>
      <c r="U98" s="58" t="n"/>
      <c r="V98" s="67" t="n"/>
      <c r="W98" s="67" t="n"/>
      <c r="X98" s="62" t="inlineStr">
        <is>
          <t>N-OP</t>
        </is>
      </c>
      <c r="Y98" s="116">
        <f>F98/E98</f>
        <v/>
      </c>
      <c r="Z98" s="64">
        <f>E98-N98</f>
        <v/>
      </c>
      <c r="AA98" s="30" t="n"/>
    </row>
    <row r="99" ht="18" customHeight="1" s="202">
      <c r="A99" s="116" t="n">
        <v>20250174</v>
      </c>
      <c r="B99" s="117" t="inlineStr">
        <is>
          <t>YANGTZE ALPHA</t>
        </is>
      </c>
      <c r="C99" s="118" t="n">
        <v>45847</v>
      </c>
      <c r="D99" s="118" t="n">
        <v>45881</v>
      </c>
      <c r="E99" s="67" t="n">
        <v>2</v>
      </c>
      <c r="F99" s="119" t="n">
        <v>39</v>
      </c>
      <c r="G99" s="120" t="n">
        <v>48</v>
      </c>
      <c r="H99" s="121" t="inlineStr">
        <is>
          <t>HYDRO SM EURL</t>
        </is>
      </c>
      <c r="I99" s="121" t="inlineStr">
        <is>
          <t>NIVELEUSES</t>
        </is>
      </c>
      <c r="J99" s="117" t="inlineStr">
        <is>
          <t>ENGINS</t>
        </is>
      </c>
      <c r="K99" s="53">
        <f>D99+8</f>
        <v/>
      </c>
      <c r="L99" s="53">
        <f>K99+60</f>
        <v/>
      </c>
      <c r="M99" s="71" t="n"/>
      <c r="N99" s="72">
        <f>E99</f>
        <v/>
      </c>
      <c r="O99" s="50">
        <f>F99/E99*N99</f>
        <v/>
      </c>
      <c r="P99" s="273">
        <f>G99/E99*N99</f>
        <v/>
      </c>
      <c r="Q99" s="162" t="inlineStr">
        <is>
          <t>OUEST</t>
        </is>
      </c>
      <c r="R99" s="58" t="n"/>
      <c r="S99" s="147" t="inlineStr">
        <is>
          <t>YA25085LDJD040</t>
        </is>
      </c>
      <c r="T99" s="148" t="n">
        <v>36</v>
      </c>
      <c r="U99" s="58" t="n"/>
      <c r="V99" s="67" t="n"/>
      <c r="W99" s="67" t="n"/>
      <c r="X99" s="62" t="inlineStr">
        <is>
          <t>N-OP</t>
        </is>
      </c>
      <c r="Y99" s="116">
        <f>F99/E99</f>
        <v/>
      </c>
      <c r="Z99" s="64">
        <f>E99-N99</f>
        <v/>
      </c>
      <c r="AA99" s="64" t="n">
        <v>1</v>
      </c>
    </row>
    <row r="100" ht="18" customHeight="1" s="202">
      <c r="A100" s="76" t="n">
        <v>20250174</v>
      </c>
      <c r="B100" s="77" t="inlineStr">
        <is>
          <t>YANGTZE ALPHA</t>
        </is>
      </c>
      <c r="C100" s="78" t="n">
        <v>45847</v>
      </c>
      <c r="D100" s="78" t="n">
        <v>45881</v>
      </c>
      <c r="E100" s="76" t="n">
        <v>1</v>
      </c>
      <c r="F100" s="79" t="n">
        <v>50.735</v>
      </c>
      <c r="G100" s="76" t="n">
        <v>40</v>
      </c>
      <c r="H100" s="80" t="inlineStr">
        <is>
          <t>DJRM</t>
        </is>
      </c>
      <c r="I100" s="80" t="inlineStr">
        <is>
          <t>COLIS</t>
        </is>
      </c>
      <c r="J100" s="77" t="inlineStr">
        <is>
          <t>COLIS</t>
        </is>
      </c>
      <c r="K100" s="174">
        <f>D100+8</f>
        <v/>
      </c>
      <c r="L100" s="174">
        <f>K100+60</f>
        <v/>
      </c>
      <c r="M100" s="82" t="n"/>
      <c r="N100" s="83">
        <f>E100-1</f>
        <v/>
      </c>
      <c r="O100" s="84">
        <f>F100/E100*N100</f>
        <v/>
      </c>
      <c r="P100" s="85">
        <f>G100/E100*N100</f>
        <v/>
      </c>
      <c r="Q100" s="80" t="inlineStr">
        <is>
          <t>A COTE MUR GMS</t>
        </is>
      </c>
      <c r="R100" s="80" t="n"/>
      <c r="S100" s="80" t="inlineStr">
        <is>
          <t>YA25085LDJD102</t>
        </is>
      </c>
      <c r="T100" s="86" t="n">
        <v>93</v>
      </c>
      <c r="U100" s="80" t="n"/>
      <c r="V100" s="76" t="n"/>
      <c r="W100" s="76" t="n"/>
      <c r="X100" s="76" t="inlineStr">
        <is>
          <t>SOLDEE</t>
        </is>
      </c>
      <c r="Y100" s="116">
        <f>F100/E100</f>
        <v/>
      </c>
      <c r="Z100" s="64">
        <f>E100-N100</f>
        <v/>
      </c>
      <c r="AA100" s="30" t="n"/>
    </row>
    <row r="101" ht="18" customHeight="1" s="202">
      <c r="A101" s="116" t="n">
        <v>20250174</v>
      </c>
      <c r="B101" s="117" t="inlineStr">
        <is>
          <t>YANGTZE ALPHA</t>
        </is>
      </c>
      <c r="C101" s="118" t="n">
        <v>45847</v>
      </c>
      <c r="D101" s="118" t="n">
        <v>45881</v>
      </c>
      <c r="E101" s="67" t="n">
        <v>8</v>
      </c>
      <c r="F101" s="119" t="n">
        <v>0</v>
      </c>
      <c r="G101" s="120" t="n">
        <v>24</v>
      </c>
      <c r="H101" s="121" t="inlineStr">
        <is>
          <t>DJRM</t>
        </is>
      </c>
      <c r="I101" s="121" t="inlineStr">
        <is>
          <t>MACHINE DE FORAGE</t>
        </is>
      </c>
      <c r="J101" s="117" t="inlineStr">
        <is>
          <t>ENGINS</t>
        </is>
      </c>
      <c r="K101" s="53">
        <f>D101+8</f>
        <v/>
      </c>
      <c r="L101" s="53">
        <f>K101+60</f>
        <v/>
      </c>
      <c r="M101" s="71" t="n"/>
      <c r="N101" s="72">
        <f>E101</f>
        <v/>
      </c>
      <c r="O101" s="50">
        <f>F101/E101*N101</f>
        <v/>
      </c>
      <c r="P101" s="273">
        <f>G101/E101*N101</f>
        <v/>
      </c>
      <c r="Q101" s="162" t="inlineStr">
        <is>
          <t>OUEST</t>
        </is>
      </c>
      <c r="R101" s="58" t="n"/>
      <c r="S101" s="147" t="inlineStr">
        <is>
          <t>YA25085LDJD102</t>
        </is>
      </c>
      <c r="T101" s="148" t="n">
        <v>93</v>
      </c>
      <c r="U101" s="58" t="n"/>
      <c r="V101" s="67" t="n"/>
      <c r="W101" s="67" t="n"/>
      <c r="X101" s="62" t="inlineStr">
        <is>
          <t>N-OP</t>
        </is>
      </c>
      <c r="Y101" s="116">
        <f>F101/E101</f>
        <v/>
      </c>
      <c r="Z101" s="64">
        <f>E101-N101</f>
        <v/>
      </c>
      <c r="AA101" s="64" t="n">
        <v>273</v>
      </c>
    </row>
    <row r="102" ht="18" customHeight="1" s="202">
      <c r="A102" s="163" t="n">
        <v>20250174</v>
      </c>
      <c r="B102" s="164" t="inlineStr">
        <is>
          <t>YANGTZE ALPHA</t>
        </is>
      </c>
      <c r="C102" s="165" t="n">
        <v>45847</v>
      </c>
      <c r="D102" s="165" t="n">
        <v>45881</v>
      </c>
      <c r="E102" s="166" t="n">
        <v>1000</v>
      </c>
      <c r="F102" s="167" t="n">
        <v>1106.474</v>
      </c>
      <c r="G102" s="168" t="n">
        <v>490</v>
      </c>
      <c r="H102" s="169" t="inlineStr">
        <is>
          <t>GMI PROMAX SARL</t>
        </is>
      </c>
      <c r="I102" s="169" t="inlineStr">
        <is>
          <t>CTP</t>
        </is>
      </c>
      <c r="J102" s="164" t="inlineStr">
        <is>
          <t>CTP</t>
        </is>
      </c>
      <c r="K102" s="53">
        <f>D102+8</f>
        <v/>
      </c>
      <c r="L102" s="53">
        <f>K102+60</f>
        <v/>
      </c>
      <c r="M102" s="170" t="n"/>
      <c r="N102" s="171">
        <f>E102-243-120-280-105-40-60-30-30-30-18-13-11</f>
        <v/>
      </c>
      <c r="O102" s="172">
        <f>F102/E102*N102</f>
        <v/>
      </c>
      <c r="P102" s="173">
        <f>G102/E102*N102</f>
        <v/>
      </c>
      <c r="Q102" s="162" t="inlineStr">
        <is>
          <t>en face pont bascule oaic + EN FACE ACCEES / EST /  DE PORT + FFP W1 OUEST+ HG10001</t>
        </is>
      </c>
      <c r="R102" s="58" t="n"/>
      <c r="S102" s="147" t="inlineStr">
        <is>
          <t>YA25085LDJD076</t>
        </is>
      </c>
      <c r="T102" s="148" t="n">
        <v>70</v>
      </c>
      <c r="U102" s="58" t="n"/>
      <c r="V102" s="67" t="n"/>
      <c r="W102" s="67" t="n"/>
      <c r="X102" s="99" t="inlineStr">
        <is>
          <t>OPER</t>
        </is>
      </c>
      <c r="Y102" s="116">
        <f>F102/E102</f>
        <v/>
      </c>
      <c r="Z102" s="64">
        <f>E102-N102</f>
        <v/>
      </c>
      <c r="AA102" s="64" t="n">
        <v>324</v>
      </c>
    </row>
    <row r="103" ht="18" customHeight="1" s="202">
      <c r="A103" s="76" t="n">
        <v>20250174</v>
      </c>
      <c r="B103" s="77" t="inlineStr">
        <is>
          <t>YANGTZE ALPHA</t>
        </is>
      </c>
      <c r="C103" s="78" t="n">
        <v>45847</v>
      </c>
      <c r="D103" s="78" t="n">
        <v>45881</v>
      </c>
      <c r="E103" s="76" t="n">
        <v>300</v>
      </c>
      <c r="F103" s="76" t="n">
        <v>316.497</v>
      </c>
      <c r="G103" s="76" t="n">
        <v>147</v>
      </c>
      <c r="H103" s="80" t="inlineStr">
        <is>
          <t>TAIBA BOIS SARL</t>
        </is>
      </c>
      <c r="I103" s="80" t="inlineStr">
        <is>
          <t>CTP</t>
        </is>
      </c>
      <c r="J103" s="77" t="inlineStr">
        <is>
          <t>CTP</t>
        </is>
      </c>
      <c r="K103" s="78">
        <f>D103+8</f>
        <v/>
      </c>
      <c r="L103" s="78">
        <f>K103+60</f>
        <v/>
      </c>
      <c r="M103" s="82" t="n"/>
      <c r="N103" s="83">
        <f>E103-150-70-35-25-20</f>
        <v/>
      </c>
      <c r="O103" s="84">
        <f>F103/E103*N103</f>
        <v/>
      </c>
      <c r="P103" s="83">
        <f>G103/E103*N103</f>
        <v/>
      </c>
      <c r="Q103" s="80" t="inlineStr">
        <is>
          <t>en face pont bascule oaic + EN FACE ACCEES / EST /  DE PORT + FFP W1 OUEST+ HG10001</t>
        </is>
      </c>
      <c r="R103" s="80" t="n"/>
      <c r="S103" s="80" t="inlineStr">
        <is>
          <t>YA25085LDJD065</t>
        </is>
      </c>
      <c r="T103" s="86" t="n">
        <v>58</v>
      </c>
      <c r="U103" s="80" t="n"/>
      <c r="V103" s="76" t="n"/>
      <c r="W103" s="76" t="n"/>
      <c r="X103" s="76" t="inlineStr">
        <is>
          <t>SOLDEE</t>
        </is>
      </c>
      <c r="Y103" s="116">
        <f>F103/E103</f>
        <v/>
      </c>
      <c r="Z103" s="181">
        <f>E103-N103</f>
        <v/>
      </c>
      <c r="AA103" s="64" t="n">
        <v>298</v>
      </c>
    </row>
    <row r="104" ht="18" customHeight="1" s="202">
      <c r="A104" s="116" t="n">
        <v>20250174</v>
      </c>
      <c r="B104" s="117" t="inlineStr">
        <is>
          <t>YANGTZE ALPHA</t>
        </is>
      </c>
      <c r="C104" s="118" t="n">
        <v>45847</v>
      </c>
      <c r="D104" s="118" t="n">
        <v>45881</v>
      </c>
      <c r="E104" s="67" t="n">
        <v>200</v>
      </c>
      <c r="F104" s="119" t="n">
        <v>217.2</v>
      </c>
      <c r="G104" s="120" t="n">
        <v>98</v>
      </c>
      <c r="H104" s="121" t="inlineStr">
        <is>
          <t>ATRAPHYD SARL</t>
        </is>
      </c>
      <c r="I104" s="121" t="inlineStr">
        <is>
          <t>CTP</t>
        </is>
      </c>
      <c r="J104" s="117" t="inlineStr">
        <is>
          <t>CTP</t>
        </is>
      </c>
      <c r="K104" s="53">
        <f>D104+8</f>
        <v/>
      </c>
      <c r="L104" s="53">
        <f>K104+60</f>
        <v/>
      </c>
      <c r="M104" s="71" t="n"/>
      <c r="N104" s="72">
        <f>E104</f>
        <v/>
      </c>
      <c r="O104" s="50">
        <f>F104/E104*N104</f>
        <v/>
      </c>
      <c r="P104" s="273">
        <f>G104/E104*N104</f>
        <v/>
      </c>
      <c r="Q104" s="162" t="inlineStr">
        <is>
          <t>en face pont bascule oaic + EN FACE ACCEES / EST /  DE PORT + FFP W1 OUEST+ HG10001</t>
        </is>
      </c>
      <c r="R104" s="58" t="n"/>
      <c r="S104" s="147" t="inlineStr">
        <is>
          <t>YA25085LDJD118</t>
        </is>
      </c>
      <c r="T104" s="148" t="n">
        <v>109</v>
      </c>
      <c r="U104" s="58" t="n"/>
      <c r="V104" s="67" t="n"/>
      <c r="W104" s="67" t="n"/>
      <c r="X104" s="62" t="inlineStr">
        <is>
          <t>N-OP</t>
        </is>
      </c>
      <c r="Y104" s="116">
        <f>F104/E104</f>
        <v/>
      </c>
      <c r="Z104" s="64">
        <f>E104-N104</f>
        <v/>
      </c>
      <c r="AA104" s="64" t="n">
        <v>719</v>
      </c>
    </row>
    <row r="105" ht="18" customHeight="1" s="202">
      <c r="A105" s="163" t="n">
        <v>20250174</v>
      </c>
      <c r="B105" s="164" t="inlineStr">
        <is>
          <t>YANGTZE ALPHA</t>
        </is>
      </c>
      <c r="C105" s="165" t="n">
        <v>45847</v>
      </c>
      <c r="D105" s="165" t="n">
        <v>45881</v>
      </c>
      <c r="E105" s="166" t="n">
        <v>2600</v>
      </c>
      <c r="F105" s="167" t="n">
        <v>2256.932</v>
      </c>
      <c r="G105" s="168" t="n">
        <v>1820</v>
      </c>
      <c r="H105" s="169" t="inlineStr">
        <is>
          <t>SH OURHOUD</t>
        </is>
      </c>
      <c r="I105" s="169" t="inlineStr">
        <is>
          <t>TUBES</t>
        </is>
      </c>
      <c r="J105" s="169" t="inlineStr">
        <is>
          <t>TUBES</t>
        </is>
      </c>
      <c r="K105" s="53">
        <f>D105+8</f>
        <v/>
      </c>
      <c r="L105" s="53">
        <f>K105+60</f>
        <v/>
      </c>
      <c r="M105" s="170" t="n"/>
      <c r="N105" s="171">
        <f>E105-10-10-25-10-20-11-5-5-15-15-10-20-5-50-5-17-16-16-64-156-288-48-160-48-64-64-64-32-16-16-32-40-16-16-16-16-16-48-32-32</f>
        <v/>
      </c>
      <c r="O105" s="172">
        <f>F105/E105*N105</f>
        <v/>
      </c>
      <c r="P105" s="173">
        <f>G105/E105*N105</f>
        <v/>
      </c>
      <c r="Q105" s="162" t="inlineStr">
        <is>
          <t>EN FACE CASERNE + DP WORLD</t>
        </is>
      </c>
      <c r="R105" s="58" t="n"/>
      <c r="S105" s="147" t="inlineStr">
        <is>
          <t>YA25085LDJD087-089</t>
        </is>
      </c>
      <c r="T105" s="148" t="n">
        <v>82</v>
      </c>
      <c r="U105" s="58" t="n"/>
      <c r="V105" s="67" t="n"/>
      <c r="W105" s="67" t="n"/>
      <c r="X105" s="99" t="inlineStr">
        <is>
          <t>OPER</t>
        </is>
      </c>
      <c r="Y105" s="116" t="n"/>
      <c r="Z105" s="64">
        <f>E105-N105</f>
        <v/>
      </c>
      <c r="AA105" s="30" t="n"/>
    </row>
    <row r="106" ht="18" customHeight="1" s="202">
      <c r="A106" s="87" t="n">
        <v>20250195</v>
      </c>
      <c r="B106" s="88" t="inlineStr">
        <is>
          <t>GEMINI HONOR</t>
        </is>
      </c>
      <c r="C106" s="89" t="n">
        <v>45857</v>
      </c>
      <c r="D106" s="89" t="n">
        <v>45888</v>
      </c>
      <c r="E106" s="166" t="n">
        <v>68</v>
      </c>
      <c r="F106" s="167" t="n">
        <v>365.196</v>
      </c>
      <c r="G106" s="168" t="n">
        <v>54</v>
      </c>
      <c r="H106" s="169" t="inlineStr">
        <is>
          <t>HAMEL ALI  GROUPE ENTREPRISE ET INDUSTRIE ET SERVICES EURL</t>
        </is>
      </c>
      <c r="I106" s="169" t="inlineStr">
        <is>
          <t>BOBINES</t>
        </is>
      </c>
      <c r="J106" s="164" t="inlineStr">
        <is>
          <t>BOBINES</t>
        </is>
      </c>
      <c r="K106" s="53">
        <f>D106+8</f>
        <v/>
      </c>
      <c r="L106" s="53">
        <f>K106+60</f>
        <v/>
      </c>
      <c r="M106" s="170" t="n"/>
      <c r="N106" s="171">
        <f>E106-56-11</f>
        <v/>
      </c>
      <c r="O106" s="172">
        <f>F106/E106*N106</f>
        <v/>
      </c>
      <c r="P106" s="173">
        <f>G106/E106*N106</f>
        <v/>
      </c>
      <c r="Q106" s="224" t="n"/>
      <c r="R106" s="187" t="inlineStr">
        <is>
          <t>25011TJD0605 - 25011TJD0606 - 25011TJD0607</t>
        </is>
      </c>
      <c r="S106" s="147" t="inlineStr">
        <is>
          <t>25011TJD0605-0607</t>
        </is>
      </c>
      <c r="T106" s="148" t="n">
        <v>150</v>
      </c>
      <c r="U106" s="149" t="n"/>
      <c r="V106" s="67" t="n"/>
      <c r="W106" s="67" t="n"/>
      <c r="X106" s="99" t="inlineStr">
        <is>
          <t>OPER</t>
        </is>
      </c>
      <c r="Y106" s="116">
        <f>F106/E106</f>
        <v/>
      </c>
      <c r="Z106" s="64">
        <f>E106-N106</f>
        <v/>
      </c>
      <c r="AA106" s="64" t="n">
        <v>1</v>
      </c>
    </row>
    <row r="107" ht="18" customHeight="1" s="202">
      <c r="A107" s="163" t="n">
        <v>20250195</v>
      </c>
      <c r="B107" s="164" t="inlineStr">
        <is>
          <t>GEMINI HONOR</t>
        </is>
      </c>
      <c r="C107" s="165" t="n">
        <v>45857</v>
      </c>
      <c r="D107" s="165" t="n">
        <v>45888</v>
      </c>
      <c r="E107" s="166" t="n">
        <v>467</v>
      </c>
      <c r="F107" s="167" t="n">
        <v>2454.198</v>
      </c>
      <c r="G107" s="168" t="n">
        <v>373</v>
      </c>
      <c r="H107" s="169" t="inlineStr">
        <is>
          <t>EL HADJ TAHAR STEEL SARL</t>
        </is>
      </c>
      <c r="I107" s="169" t="inlineStr">
        <is>
          <t>POUTRELLES</t>
        </is>
      </c>
      <c r="J107" s="164" t="inlineStr">
        <is>
          <t>POUTRELLES</t>
        </is>
      </c>
      <c r="K107" s="53">
        <f>D107+8</f>
        <v/>
      </c>
      <c r="L107" s="53">
        <f>K107+60</f>
        <v/>
      </c>
      <c r="M107" s="170" t="n"/>
      <c r="N107" s="171">
        <f>E107-16-77-112-58-143-30</f>
        <v/>
      </c>
      <c r="O107" s="172">
        <f>F107/E107*N107</f>
        <v/>
      </c>
      <c r="P107" s="173">
        <f>G107/E107*N107</f>
        <v/>
      </c>
      <c r="Q107" s="162" t="inlineStr">
        <is>
          <t>GC 3 A COTE PARCKING + GC ACOTE LIEBHHER EN PANNE</t>
        </is>
      </c>
      <c r="R107" s="58" t="n"/>
      <c r="S107" s="147" t="inlineStr">
        <is>
          <t>25011LYD0204</t>
        </is>
      </c>
      <c r="T107" s="148" t="n">
        <v>148</v>
      </c>
      <c r="U107" s="58" t="n"/>
      <c r="V107" s="67" t="n"/>
      <c r="W107" s="67" t="n"/>
      <c r="X107" s="99" t="inlineStr">
        <is>
          <t>OPER</t>
        </is>
      </c>
      <c r="Y107" s="116">
        <f>F107/E107</f>
        <v/>
      </c>
      <c r="Z107" s="64">
        <f>E107-N107</f>
        <v/>
      </c>
      <c r="AA107" s="64" t="n">
        <v>1</v>
      </c>
    </row>
    <row r="108" ht="18" customHeight="1" s="202">
      <c r="A108" s="163" t="n">
        <v>20250195</v>
      </c>
      <c r="B108" s="164" t="inlineStr">
        <is>
          <t>GEMINI HONOR</t>
        </is>
      </c>
      <c r="C108" s="165" t="n">
        <v>45857</v>
      </c>
      <c r="D108" s="165" t="n">
        <v>45888</v>
      </c>
      <c r="E108" s="166" t="n">
        <v>500</v>
      </c>
      <c r="F108" s="167" t="n">
        <v>550</v>
      </c>
      <c r="G108" s="168" t="n">
        <v>245</v>
      </c>
      <c r="H108" s="169" t="inlineStr">
        <is>
          <t>GHAMOUD MOHAMED EURL</t>
        </is>
      </c>
      <c r="I108" s="169" t="inlineStr">
        <is>
          <t>FFP</t>
        </is>
      </c>
      <c r="J108" s="164" t="inlineStr">
        <is>
          <t>CTP</t>
        </is>
      </c>
      <c r="K108" s="53">
        <f>D108+8</f>
        <v/>
      </c>
      <c r="L108" s="53">
        <f>K108+60</f>
        <v/>
      </c>
      <c r="M108" s="170" t="n"/>
      <c r="N108" s="171">
        <f>E108-120-54-56-75-81-68</f>
        <v/>
      </c>
      <c r="O108" s="172">
        <f>F108/E108*N108</f>
        <v/>
      </c>
      <c r="P108" s="173">
        <f>G108/E108*N108</f>
        <v/>
      </c>
      <c r="Q108" s="162" t="inlineStr">
        <is>
          <t>EN FACE ET COTE  HANGAR6000</t>
        </is>
      </c>
      <c r="R108" s="58" t="n"/>
      <c r="S108" s="147" t="inlineStr">
        <is>
          <t>25011LYD0603</t>
        </is>
      </c>
      <c r="T108" s="148" t="n">
        <v>151</v>
      </c>
      <c r="U108" s="58" t="n"/>
      <c r="V108" s="67" t="n"/>
      <c r="W108" s="67" t="n"/>
      <c r="X108" s="99" t="inlineStr">
        <is>
          <t>OPER</t>
        </is>
      </c>
      <c r="Y108" s="116">
        <f>F108/E108</f>
        <v/>
      </c>
      <c r="Z108" s="64">
        <f>E108-N108</f>
        <v/>
      </c>
      <c r="AA108" s="64" t="n">
        <v>146</v>
      </c>
    </row>
    <row r="109" ht="18" customHeight="1" s="202">
      <c r="A109" s="163" t="n">
        <v>20250195</v>
      </c>
      <c r="B109" s="164" t="inlineStr">
        <is>
          <t>GEMINI HONOR</t>
        </is>
      </c>
      <c r="C109" s="165" t="n">
        <v>45857</v>
      </c>
      <c r="D109" s="165" t="n">
        <v>45888</v>
      </c>
      <c r="E109" s="166" t="n">
        <v>200</v>
      </c>
      <c r="F109" s="167" t="n">
        <v>330</v>
      </c>
      <c r="G109" s="168" t="n">
        <v>174</v>
      </c>
      <c r="H109" s="169" t="inlineStr">
        <is>
          <t>TPI PLASTIC SARL</t>
        </is>
      </c>
      <c r="I109" s="169" t="inlineStr">
        <is>
          <t>PVC RESIN EN BIG BAG</t>
        </is>
      </c>
      <c r="J109" s="164" t="inlineStr">
        <is>
          <t>BIG BAG</t>
        </is>
      </c>
      <c r="K109" s="53">
        <f>D109+8</f>
        <v/>
      </c>
      <c r="L109" s="53">
        <f>K109+60</f>
        <v/>
      </c>
      <c r="M109" s="170" t="n"/>
      <c r="N109" s="171">
        <f>E109-36-125-30</f>
        <v/>
      </c>
      <c r="O109" s="172">
        <f>F109/E109*N109</f>
        <v/>
      </c>
      <c r="P109" s="173">
        <f>G109/E109*N109</f>
        <v/>
      </c>
      <c r="Q109" s="224" t="n"/>
      <c r="R109" s="58" t="n"/>
      <c r="S109" s="147" t="inlineStr">
        <is>
          <t>25011LYD0612</t>
        </is>
      </c>
      <c r="T109" s="148" t="n">
        <v>35</v>
      </c>
      <c r="U109" s="58" t="n"/>
      <c r="V109" s="67" t="n"/>
      <c r="W109" s="67" t="n"/>
      <c r="X109" s="99" t="inlineStr">
        <is>
          <t>OPER</t>
        </is>
      </c>
      <c r="Y109" s="116">
        <f>F109/E109</f>
        <v/>
      </c>
      <c r="Z109" s="64">
        <f>E109-N109</f>
        <v/>
      </c>
      <c r="AA109" s="64" t="n">
        <v>272</v>
      </c>
    </row>
    <row r="110" ht="18" customHeight="1" s="202">
      <c r="A110" s="163" t="n">
        <v>20250195</v>
      </c>
      <c r="B110" s="164" t="inlineStr">
        <is>
          <t>GEMINI HONOR</t>
        </is>
      </c>
      <c r="C110" s="165" t="n">
        <v>45857</v>
      </c>
      <c r="D110" s="165" t="n">
        <v>45888</v>
      </c>
      <c r="E110" s="166" t="n">
        <v>200</v>
      </c>
      <c r="F110" s="167" t="n">
        <v>330</v>
      </c>
      <c r="G110" s="168" t="n">
        <v>174</v>
      </c>
      <c r="H110" s="169" t="inlineStr">
        <is>
          <t>TPI PLASTIC SARL</t>
        </is>
      </c>
      <c r="I110" s="169" t="inlineStr">
        <is>
          <t>PVC RESIN EN BIG BAG</t>
        </is>
      </c>
      <c r="J110" s="164" t="inlineStr">
        <is>
          <t>BIG BAG</t>
        </is>
      </c>
      <c r="K110" s="176">
        <f>D110+8</f>
        <v/>
      </c>
      <c r="L110" s="176">
        <f>K110+60</f>
        <v/>
      </c>
      <c r="M110" s="170" t="n"/>
      <c r="N110" s="171">
        <f>E110-95-50</f>
        <v/>
      </c>
      <c r="O110" s="172">
        <f>F110/E110*N110</f>
        <v/>
      </c>
      <c r="P110" s="173">
        <f>G110/E110*N110</f>
        <v/>
      </c>
      <c r="Q110" s="224" t="n"/>
      <c r="R110" s="58" t="n"/>
      <c r="S110" s="147" t="inlineStr">
        <is>
          <t>25011LYD0613</t>
        </is>
      </c>
      <c r="T110" s="148" t="n">
        <v>34</v>
      </c>
      <c r="U110" s="58" t="n"/>
      <c r="V110" s="67" t="n"/>
      <c r="W110" s="67" t="n"/>
      <c r="X110" s="99" t="inlineStr">
        <is>
          <t>OPER</t>
        </is>
      </c>
      <c r="Y110" s="116">
        <f>F110/E110</f>
        <v/>
      </c>
      <c r="Z110" s="64">
        <f>E110-N110</f>
        <v/>
      </c>
      <c r="AA110" s="64" t="n">
        <v>69</v>
      </c>
    </row>
    <row r="111" ht="18" customHeight="1" s="202">
      <c r="A111" s="163" t="n">
        <v>20250195</v>
      </c>
      <c r="B111" s="164" t="inlineStr">
        <is>
          <t>GEMINI HONOR</t>
        </is>
      </c>
      <c r="C111" s="165" t="n">
        <v>45857</v>
      </c>
      <c r="D111" s="165" t="n">
        <v>45888</v>
      </c>
      <c r="E111" s="166" t="n">
        <v>200</v>
      </c>
      <c r="F111" s="167" t="n">
        <v>330</v>
      </c>
      <c r="G111" s="168" t="n">
        <v>174</v>
      </c>
      <c r="H111" s="169" t="inlineStr">
        <is>
          <t>TPI PLASTIC SARL</t>
        </is>
      </c>
      <c r="I111" s="169" t="inlineStr">
        <is>
          <t>PVC RESIN EN BIG BAG</t>
        </is>
      </c>
      <c r="J111" s="164" t="inlineStr">
        <is>
          <t>BIG BAG</t>
        </is>
      </c>
      <c r="K111" s="176">
        <f>D111+8</f>
        <v/>
      </c>
      <c r="L111" s="176">
        <f>K111+60</f>
        <v/>
      </c>
      <c r="M111" s="170" t="n"/>
      <c r="N111" s="171">
        <f>E111-85-95</f>
        <v/>
      </c>
      <c r="O111" s="172">
        <f>F111/E111*N111</f>
        <v/>
      </c>
      <c r="P111" s="173">
        <f>G111/E111*N111</f>
        <v/>
      </c>
      <c r="Q111" s="224" t="n"/>
      <c r="R111" s="58" t="n"/>
      <c r="S111" s="147" t="inlineStr">
        <is>
          <t>25011LYD0614</t>
        </is>
      </c>
      <c r="T111" s="148" t="n">
        <v>37</v>
      </c>
      <c r="U111" s="58" t="n"/>
      <c r="V111" s="67" t="n"/>
      <c r="W111" s="67" t="n"/>
      <c r="X111" s="99" t="inlineStr">
        <is>
          <t>OPER</t>
        </is>
      </c>
      <c r="Y111" s="116">
        <f>F111/E111</f>
        <v/>
      </c>
      <c r="Z111" s="64">
        <f>E111-N111</f>
        <v/>
      </c>
      <c r="AA111" s="64" t="n">
        <v>95</v>
      </c>
    </row>
    <row r="112" ht="18" customHeight="1" s="202">
      <c r="A112" s="76" t="n">
        <v>20250195</v>
      </c>
      <c r="B112" s="77" t="inlineStr">
        <is>
          <t>GEMINI HONOR</t>
        </is>
      </c>
      <c r="C112" s="78" t="n">
        <v>45857</v>
      </c>
      <c r="D112" s="78" t="n">
        <v>45888</v>
      </c>
      <c r="E112" s="76" t="n">
        <v>200</v>
      </c>
      <c r="F112" s="79" t="n">
        <v>330</v>
      </c>
      <c r="G112" s="76" t="n">
        <v>174</v>
      </c>
      <c r="H112" s="80" t="inlineStr">
        <is>
          <t>NBL ALUMINIUM SARL</t>
        </is>
      </c>
      <c r="I112" s="80" t="inlineStr">
        <is>
          <t>PVC RESIN EN BIG BAG</t>
        </is>
      </c>
      <c r="J112" s="77" t="inlineStr">
        <is>
          <t>BIG BAG</t>
        </is>
      </c>
      <c r="K112" s="78">
        <f>D112+8</f>
        <v/>
      </c>
      <c r="L112" s="78">
        <f>K112+60</f>
        <v/>
      </c>
      <c r="M112" s="82" t="n"/>
      <c r="N112" s="83">
        <f>E112-18-130-52</f>
        <v/>
      </c>
      <c r="O112" s="84">
        <f>F112/E112*N112</f>
        <v/>
      </c>
      <c r="P112" s="83">
        <f>G112/E112*N112</f>
        <v/>
      </c>
      <c r="Q112" s="80" t="n"/>
      <c r="R112" s="80" t="n"/>
      <c r="S112" s="80" t="inlineStr">
        <is>
          <t>25011LYD0615</t>
        </is>
      </c>
      <c r="T112" s="86" t="n">
        <v>38</v>
      </c>
      <c r="U112" s="80" t="n"/>
      <c r="V112" s="76" t="n"/>
      <c r="W112" s="76" t="n"/>
      <c r="X112" s="76" t="inlineStr">
        <is>
          <t>SOLDEE</t>
        </is>
      </c>
      <c r="Y112" s="116">
        <f>F112/E112</f>
        <v/>
      </c>
      <c r="Z112" s="64">
        <f>E112-N112</f>
        <v/>
      </c>
      <c r="AA112" s="64" t="n">
        <v>84</v>
      </c>
    </row>
    <row r="113" ht="18" customHeight="1" s="202">
      <c r="A113" s="163" t="n">
        <v>20250195</v>
      </c>
      <c r="B113" s="164" t="inlineStr">
        <is>
          <t>GEMINI HONOR</t>
        </is>
      </c>
      <c r="C113" s="165" t="n">
        <v>45857</v>
      </c>
      <c r="D113" s="165" t="n">
        <v>45888</v>
      </c>
      <c r="E113" s="166" t="n">
        <v>200</v>
      </c>
      <c r="F113" s="167" t="n">
        <v>330</v>
      </c>
      <c r="G113" s="168" t="n">
        <v>174</v>
      </c>
      <c r="H113" s="169" t="inlineStr">
        <is>
          <t>NBL ALUMINIUM SARL</t>
        </is>
      </c>
      <c r="I113" s="169" t="inlineStr">
        <is>
          <t>PVC RESIN EN BIG BAG</t>
        </is>
      </c>
      <c r="J113" s="164" t="inlineStr">
        <is>
          <t>BIG BAG</t>
        </is>
      </c>
      <c r="K113" s="53">
        <f>D113+8</f>
        <v/>
      </c>
      <c r="L113" s="53">
        <f>K113+60</f>
        <v/>
      </c>
      <c r="M113" s="170" t="n"/>
      <c r="N113" s="171">
        <f>E113-20-90-20-25-30</f>
        <v/>
      </c>
      <c r="O113" s="172">
        <f>F113/E113*N113</f>
        <v/>
      </c>
      <c r="P113" s="173">
        <f>G113/E113*N113</f>
        <v/>
      </c>
      <c r="Q113" s="224" t="n"/>
      <c r="R113" s="58" t="n"/>
      <c r="S113" s="147" t="inlineStr">
        <is>
          <t>25011LYD0616</t>
        </is>
      </c>
      <c r="T113" s="148" t="n">
        <v>39</v>
      </c>
      <c r="U113" s="58" t="n"/>
      <c r="V113" s="67" t="n"/>
      <c r="W113" s="67" t="n"/>
      <c r="X113" s="99" t="inlineStr">
        <is>
          <t>OPER</t>
        </is>
      </c>
      <c r="Y113" s="116">
        <f>F113/E113</f>
        <v/>
      </c>
      <c r="Z113" s="64">
        <f>E113-N113</f>
        <v/>
      </c>
      <c r="AA113" s="64" t="n">
        <v>60</v>
      </c>
    </row>
    <row r="114" ht="18" customHeight="1" s="202">
      <c r="A114" s="163" t="n">
        <v>20250195</v>
      </c>
      <c r="B114" s="164" t="inlineStr">
        <is>
          <t>GEMINI HONOR</t>
        </is>
      </c>
      <c r="C114" s="165" t="n">
        <v>45857</v>
      </c>
      <c r="D114" s="165" t="n">
        <v>45888</v>
      </c>
      <c r="E114" s="166" t="n">
        <v>80</v>
      </c>
      <c r="F114" s="167" t="n">
        <v>132</v>
      </c>
      <c r="G114" s="168" t="n">
        <v>69</v>
      </c>
      <c r="H114" s="169" t="inlineStr">
        <is>
          <t>NBL ALUMINIUM SARL</t>
        </is>
      </c>
      <c r="I114" s="169" t="inlineStr">
        <is>
          <t>PVC RESIN EN BIG BAG</t>
        </is>
      </c>
      <c r="J114" s="164" t="inlineStr">
        <is>
          <t>BIG BAG</t>
        </is>
      </c>
      <c r="K114" s="53">
        <f>D114+8</f>
        <v/>
      </c>
      <c r="L114" s="53">
        <f>K114+60</f>
        <v/>
      </c>
      <c r="M114" s="170" t="n"/>
      <c r="N114" s="171">
        <f>E114-20-56</f>
        <v/>
      </c>
      <c r="O114" s="172">
        <f>F114/E114*N114</f>
        <v/>
      </c>
      <c r="P114" s="173">
        <f>G114/E114*N114</f>
        <v/>
      </c>
      <c r="Q114" s="224" t="n"/>
      <c r="R114" s="58" t="n"/>
      <c r="S114" s="147" t="inlineStr">
        <is>
          <t>25011LYD0617</t>
        </is>
      </c>
      <c r="T114" s="148" t="n">
        <v>40</v>
      </c>
      <c r="U114" s="58" t="n"/>
      <c r="V114" s="67" t="n"/>
      <c r="W114" s="67" t="n"/>
      <c r="X114" s="99" t="inlineStr">
        <is>
          <t>OPER</t>
        </is>
      </c>
      <c r="Y114" s="116">
        <f>F114/E114</f>
        <v/>
      </c>
      <c r="Z114" s="64">
        <f>E114-N114</f>
        <v/>
      </c>
      <c r="AA114" s="64" t="n">
        <v>536</v>
      </c>
    </row>
    <row r="115" ht="18" customHeight="1" s="202">
      <c r="A115" s="163" t="n">
        <v>20250195</v>
      </c>
      <c r="B115" s="164" t="inlineStr">
        <is>
          <t>GEMINI HONOR</t>
        </is>
      </c>
      <c r="C115" s="165" t="n">
        <v>45857</v>
      </c>
      <c r="D115" s="165" t="n">
        <v>45888</v>
      </c>
      <c r="E115" s="166" t="n">
        <v>160</v>
      </c>
      <c r="F115" s="167" t="n">
        <v>264</v>
      </c>
      <c r="G115" s="168" t="n">
        <v>139</v>
      </c>
      <c r="H115" s="169" t="inlineStr">
        <is>
          <t>NBL ALUMINIUM SARL</t>
        </is>
      </c>
      <c r="I115" s="169" t="inlineStr">
        <is>
          <t>PVC RESIN EN BIG BAG</t>
        </is>
      </c>
      <c r="J115" s="164" t="inlineStr">
        <is>
          <t>BIG BAG</t>
        </is>
      </c>
      <c r="K115" s="53">
        <f>D115+8</f>
        <v/>
      </c>
      <c r="L115" s="53">
        <f>K115+60</f>
        <v/>
      </c>
      <c r="M115" s="170" t="n"/>
      <c r="N115" s="171">
        <f>E115-18-68-60-12</f>
        <v/>
      </c>
      <c r="O115" s="172">
        <f>F115/E115*N115</f>
        <v/>
      </c>
      <c r="P115" s="173">
        <f>G115/E115*N115</f>
        <v/>
      </c>
      <c r="Q115" s="224" t="n"/>
      <c r="R115" s="58" t="n"/>
      <c r="S115" s="147" t="inlineStr">
        <is>
          <t>25011LYD0618</t>
        </is>
      </c>
      <c r="T115" s="148" t="n">
        <v>41</v>
      </c>
      <c r="U115" s="58" t="n"/>
      <c r="V115" s="67" t="n"/>
      <c r="W115" s="67" t="n"/>
      <c r="X115" s="99" t="inlineStr">
        <is>
          <t>OPER</t>
        </is>
      </c>
      <c r="Y115" s="116">
        <f>F115/E115</f>
        <v/>
      </c>
      <c r="Z115" s="64">
        <f>E115-N115</f>
        <v/>
      </c>
      <c r="AA115" s="64" t="n">
        <v>1</v>
      </c>
    </row>
    <row r="116" ht="18" customHeight="1" s="202">
      <c r="A116" s="163" t="n">
        <v>20250195</v>
      </c>
      <c r="B116" s="164" t="inlineStr">
        <is>
          <t>GEMINI HONOR</t>
        </is>
      </c>
      <c r="C116" s="165" t="n">
        <v>45857</v>
      </c>
      <c r="D116" s="165" t="n">
        <v>45888</v>
      </c>
      <c r="E116" s="166" t="n">
        <v>2</v>
      </c>
      <c r="F116" s="167" t="n">
        <v>25</v>
      </c>
      <c r="G116" s="168" t="n">
        <v>48</v>
      </c>
      <c r="H116" s="169" t="inlineStr">
        <is>
          <t>EL MANAR SARL</t>
        </is>
      </c>
      <c r="I116" s="169" t="inlineStr">
        <is>
          <t>CAMIONS</t>
        </is>
      </c>
      <c r="J116" s="164" t="inlineStr">
        <is>
          <t>LOURD</t>
        </is>
      </c>
      <c r="K116" s="53">
        <f>D116+8</f>
        <v/>
      </c>
      <c r="L116" s="53">
        <f>K116+60</f>
        <v/>
      </c>
      <c r="M116" s="170" t="n"/>
      <c r="N116" s="171">
        <f>E116-1</f>
        <v/>
      </c>
      <c r="O116" s="172">
        <f>F116/E116*N116</f>
        <v/>
      </c>
      <c r="P116" s="173">
        <f>G116/E116*N116</f>
        <v/>
      </c>
      <c r="Q116" s="162" t="inlineStr">
        <is>
          <t>GC 6 + MIXTE + OUEST /T BOIS</t>
        </is>
      </c>
      <c r="R116" s="58" t="n"/>
      <c r="S116" s="147" t="inlineStr">
        <is>
          <t>25011LYD2425</t>
        </is>
      </c>
      <c r="T116" s="148" t="n">
        <v>103</v>
      </c>
      <c r="U116" s="58" t="n"/>
      <c r="V116" s="67" t="n"/>
      <c r="W116" s="67" t="n"/>
      <c r="X116" s="99" t="inlineStr">
        <is>
          <t>OPER</t>
        </is>
      </c>
      <c r="Y116" s="116" t="n">
        <v>27.5</v>
      </c>
      <c r="Z116" s="64">
        <f>E116-N116</f>
        <v/>
      </c>
      <c r="AA116" s="64" t="n">
        <v>3</v>
      </c>
    </row>
    <row r="117" ht="18" customHeight="1" s="202">
      <c r="A117" s="76" t="n">
        <v>20250195</v>
      </c>
      <c r="B117" s="77" t="inlineStr">
        <is>
          <t>GEMINI HONOR</t>
        </is>
      </c>
      <c r="C117" s="78" t="n">
        <v>45857</v>
      </c>
      <c r="D117" s="78" t="n">
        <v>45888</v>
      </c>
      <c r="E117" s="76" t="n">
        <v>2</v>
      </c>
      <c r="F117" s="79" t="n">
        <v>30</v>
      </c>
      <c r="G117" s="102" t="n">
        <v>48</v>
      </c>
      <c r="H117" s="80" t="inlineStr">
        <is>
          <t>EL MANAR SARL</t>
        </is>
      </c>
      <c r="I117" s="80" t="inlineStr">
        <is>
          <t>CAMIONS</t>
        </is>
      </c>
      <c r="J117" s="77" t="inlineStr">
        <is>
          <t>LOURD</t>
        </is>
      </c>
      <c r="K117" s="174">
        <f>D117+8</f>
        <v/>
      </c>
      <c r="L117" s="174">
        <f>K117+60</f>
        <v/>
      </c>
      <c r="M117" s="82" t="n"/>
      <c r="N117" s="83">
        <f>E117-2</f>
        <v/>
      </c>
      <c r="O117" s="84">
        <f>F117/E117*N117</f>
        <v/>
      </c>
      <c r="P117" s="85">
        <f>G117/E117*N117</f>
        <v/>
      </c>
      <c r="Q117" s="80" t="inlineStr">
        <is>
          <t>GC 6 + MIXTE + OUEST /T BOIS</t>
        </is>
      </c>
      <c r="R117" s="80" t="n"/>
      <c r="S117" s="80" t="inlineStr">
        <is>
          <t>25011LYD2426</t>
        </is>
      </c>
      <c r="T117" s="86" t="n">
        <v>104</v>
      </c>
      <c r="U117" s="80" t="n"/>
      <c r="V117" s="76" t="n"/>
      <c r="W117" s="76" t="n"/>
      <c r="X117" s="76" t="inlineStr">
        <is>
          <t>SOLDEE</t>
        </is>
      </c>
      <c r="Y117" s="116" t="n"/>
      <c r="Z117" s="64">
        <f>E117-N117</f>
        <v/>
      </c>
      <c r="AA117" s="30" t="n"/>
    </row>
    <row r="118" ht="18" customHeight="1" s="202">
      <c r="A118" s="76" t="n">
        <v>20250195</v>
      </c>
      <c r="B118" s="77" t="inlineStr">
        <is>
          <t>GEMINI HONOR</t>
        </is>
      </c>
      <c r="C118" s="78" t="n">
        <v>45857</v>
      </c>
      <c r="D118" s="78" t="n">
        <v>45888</v>
      </c>
      <c r="E118" s="76" t="n">
        <v>1</v>
      </c>
      <c r="F118" s="79" t="n">
        <v>31.47</v>
      </c>
      <c r="G118" s="102" t="n">
        <v>60</v>
      </c>
      <c r="H118" s="80" t="inlineStr">
        <is>
          <t>DAHIM NOUREDDINE (ETB/TCE)</t>
        </is>
      </c>
      <c r="I118" s="80" t="inlineStr">
        <is>
          <t>CAMION GRUE</t>
        </is>
      </c>
      <c r="J118" s="77" t="inlineStr">
        <is>
          <t>ENGINS</t>
        </is>
      </c>
      <c r="K118" s="174">
        <f>D118+8</f>
        <v/>
      </c>
      <c r="L118" s="174">
        <f>K118+60</f>
        <v/>
      </c>
      <c r="M118" s="82" t="n"/>
      <c r="N118" s="83">
        <f>E118-1</f>
        <v/>
      </c>
      <c r="O118" s="84">
        <f>F118/E118*N118</f>
        <v/>
      </c>
      <c r="P118" s="85">
        <f>G118/E118*N118</f>
        <v/>
      </c>
      <c r="Q118" s="80" t="inlineStr">
        <is>
          <t>GC 6 + MIXTE + OUEST /T BOIS</t>
        </is>
      </c>
      <c r="R118" s="80" t="n"/>
      <c r="S118" s="80" t="inlineStr">
        <is>
          <t>25011LYD2451</t>
        </is>
      </c>
      <c r="T118" s="86" t="n">
        <v>127</v>
      </c>
      <c r="U118" s="80" t="n"/>
      <c r="V118" s="76" t="n"/>
      <c r="W118" s="76" t="n"/>
      <c r="X118" s="76" t="inlineStr">
        <is>
          <t>SOLDEE</t>
        </is>
      </c>
      <c r="Y118" s="116">
        <f>F118/E118</f>
        <v/>
      </c>
      <c r="Z118" s="64">
        <f>E118-N118</f>
        <v/>
      </c>
      <c r="AA118" s="30" t="n"/>
    </row>
    <row r="119" ht="18" customHeight="1" s="202">
      <c r="A119" s="163" t="n">
        <v>20250195</v>
      </c>
      <c r="B119" s="164" t="inlineStr">
        <is>
          <t>GEMINI HONOR</t>
        </is>
      </c>
      <c r="C119" s="165" t="n">
        <v>45857</v>
      </c>
      <c r="D119" s="165" t="n">
        <v>45888</v>
      </c>
      <c r="E119" s="166" t="n">
        <v>1</v>
      </c>
      <c r="F119" s="167" t="n">
        <v>0</v>
      </c>
      <c r="G119" s="168" t="n">
        <v>3</v>
      </c>
      <c r="H119" s="169" t="inlineStr">
        <is>
          <t>DAHIM NOUREDDINE (ETB/TCE)</t>
        </is>
      </c>
      <c r="I119" s="169" t="inlineStr">
        <is>
          <t>COLIS</t>
        </is>
      </c>
      <c r="J119" s="164" t="inlineStr">
        <is>
          <t>COLIS</t>
        </is>
      </c>
      <c r="K119" s="53">
        <f>D119+8</f>
        <v/>
      </c>
      <c r="L119" s="53">
        <f>K119+60</f>
        <v/>
      </c>
      <c r="M119" s="170" t="n"/>
      <c r="N119" s="171">
        <f>E119</f>
        <v/>
      </c>
      <c r="O119" s="172">
        <f>F119/E119*N119</f>
        <v/>
      </c>
      <c r="P119" s="173">
        <f>G119/E119*N119</f>
        <v/>
      </c>
      <c r="Q119" s="162" t="inlineStr">
        <is>
          <t>GC 5 + EN FACE RESTAURANT+ A COTE PONT DE PINITRONT + OUEST POSTE 5 + T BOIS A COTE MUR GMS + A BENNE DES CAMIONS</t>
        </is>
      </c>
      <c r="R119" s="58" t="n"/>
      <c r="S119" s="147" t="inlineStr">
        <is>
          <t>25011LYD2451</t>
        </is>
      </c>
      <c r="T119" s="148" t="n">
        <v>127</v>
      </c>
      <c r="U119" s="58" t="n"/>
      <c r="V119" s="67" t="n"/>
      <c r="W119" s="67" t="n"/>
      <c r="X119" s="99" t="inlineStr">
        <is>
          <t>OPER</t>
        </is>
      </c>
      <c r="Y119" s="116">
        <f>F119/E119</f>
        <v/>
      </c>
      <c r="Z119" s="64">
        <f>E119-N119</f>
        <v/>
      </c>
      <c r="AA119" s="64" t="n">
        <v>8</v>
      </c>
    </row>
    <row r="120" ht="18" customHeight="1" s="202">
      <c r="A120" s="76" t="n">
        <v>20250195</v>
      </c>
      <c r="B120" s="77" t="inlineStr">
        <is>
          <t>GEMINI HONOR</t>
        </is>
      </c>
      <c r="C120" s="78" t="n">
        <v>45857</v>
      </c>
      <c r="D120" s="78" t="n">
        <v>45888</v>
      </c>
      <c r="E120" s="76" t="n">
        <v>2</v>
      </c>
      <c r="F120" s="79" t="n">
        <v>30</v>
      </c>
      <c r="G120" s="102" t="n">
        <v>48</v>
      </c>
      <c r="H120" s="80" t="inlineStr">
        <is>
          <t>DAHIM NOUREDDINE (ETB/TCE)</t>
        </is>
      </c>
      <c r="I120" s="80" t="inlineStr">
        <is>
          <t>CAMIONS</t>
        </is>
      </c>
      <c r="J120" s="77" t="inlineStr">
        <is>
          <t>LOURD</t>
        </is>
      </c>
      <c r="K120" s="174">
        <f>D120+8</f>
        <v/>
      </c>
      <c r="L120" s="174">
        <f>K120+60</f>
        <v/>
      </c>
      <c r="M120" s="82" t="n"/>
      <c r="N120" s="83">
        <f>E120-2</f>
        <v/>
      </c>
      <c r="O120" s="84">
        <f>F120/E120*N120</f>
        <v/>
      </c>
      <c r="P120" s="85">
        <f>G120/E120*N120</f>
        <v/>
      </c>
      <c r="Q120" s="80" t="inlineStr">
        <is>
          <t>GC 6 + MIXTE + OUEST /T BOIS</t>
        </is>
      </c>
      <c r="R120" s="80" t="n"/>
      <c r="S120" s="80" t="inlineStr">
        <is>
          <t>25011LYD2452</t>
        </is>
      </c>
      <c r="T120" s="86" t="n">
        <v>128</v>
      </c>
      <c r="U120" s="80" t="n"/>
      <c r="V120" s="76" t="n"/>
      <c r="W120" s="76" t="n"/>
      <c r="X120" s="76" t="inlineStr">
        <is>
          <t>SOLDEE</t>
        </is>
      </c>
      <c r="Y120" s="116" t="n"/>
      <c r="Z120" s="64">
        <f>E120-N120</f>
        <v/>
      </c>
      <c r="AA120" s="64" t="n">
        <v>7436</v>
      </c>
    </row>
    <row r="121" ht="18" customHeight="1" s="202">
      <c r="A121" s="76" t="n">
        <v>20250195</v>
      </c>
      <c r="B121" s="77" t="inlineStr">
        <is>
          <t>GEMINI HONOR</t>
        </is>
      </c>
      <c r="C121" s="78" t="n">
        <v>45857</v>
      </c>
      <c r="D121" s="78" t="n">
        <v>45888</v>
      </c>
      <c r="E121" s="76" t="n">
        <v>1</v>
      </c>
      <c r="F121" s="79" t="n">
        <v>7.19</v>
      </c>
      <c r="G121" s="102" t="n">
        <v>24</v>
      </c>
      <c r="H121" s="80" t="inlineStr">
        <is>
          <t>MEGA MED SYCOMED EURL</t>
        </is>
      </c>
      <c r="I121" s="80" t="inlineStr">
        <is>
          <t>AUTO BETONNIERE</t>
        </is>
      </c>
      <c r="J121" s="77" t="inlineStr">
        <is>
          <t>ENGINS</t>
        </is>
      </c>
      <c r="K121" s="174">
        <f>D121+8</f>
        <v/>
      </c>
      <c r="L121" s="174">
        <f>K121+60</f>
        <v/>
      </c>
      <c r="M121" s="82" t="n"/>
      <c r="N121" s="83">
        <f>E121-1</f>
        <v/>
      </c>
      <c r="O121" s="84">
        <f>F121/E121*N121</f>
        <v/>
      </c>
      <c r="P121" s="85">
        <f>G121/E121*N121</f>
        <v/>
      </c>
      <c r="Q121" s="80" t="inlineStr">
        <is>
          <t>GC 6 + MIXTE + OUEST /T BOIS</t>
        </is>
      </c>
      <c r="R121" s="80" t="n"/>
      <c r="S121" s="80" t="inlineStr">
        <is>
          <t>25011LYD1102</t>
        </is>
      </c>
      <c r="T121" s="86" t="n">
        <v>49</v>
      </c>
      <c r="U121" s="80" t="n"/>
      <c r="V121" s="76" t="n"/>
      <c r="W121" s="76" t="n"/>
      <c r="X121" s="76" t="inlineStr">
        <is>
          <t>SOLDEE</t>
        </is>
      </c>
      <c r="Y121" s="116">
        <f>F121/E121</f>
        <v/>
      </c>
      <c r="Z121" s="64">
        <f>E121-N121</f>
        <v/>
      </c>
      <c r="AA121" s="30" t="n"/>
    </row>
    <row r="122" ht="18" customHeight="1" s="202">
      <c r="A122" s="106" t="n">
        <v>20250195</v>
      </c>
      <c r="B122" s="107" t="inlineStr">
        <is>
          <t>GEMINI HONOR</t>
        </is>
      </c>
      <c r="C122" s="108" t="n">
        <v>45857</v>
      </c>
      <c r="D122" s="108" t="n">
        <v>45888</v>
      </c>
      <c r="E122" s="106" t="n">
        <v>2</v>
      </c>
      <c r="F122" s="106" t="n">
        <v>0</v>
      </c>
      <c r="G122" s="106" t="n">
        <v>6</v>
      </c>
      <c r="H122" s="109" t="inlineStr">
        <is>
          <t>MEGA MED SYCOMED EURL</t>
        </is>
      </c>
      <c r="I122" s="109" t="inlineStr">
        <is>
          <t>COLIS</t>
        </is>
      </c>
      <c r="J122" s="107" t="inlineStr">
        <is>
          <t>COLIS</t>
        </is>
      </c>
      <c r="K122" s="108">
        <f>D122+8</f>
        <v/>
      </c>
      <c r="L122" s="108">
        <f>K122+60</f>
        <v/>
      </c>
      <c r="M122" s="111" t="n"/>
      <c r="N122" s="112">
        <f>E122-2</f>
        <v/>
      </c>
      <c r="O122" s="113">
        <f>F122/E122*N122</f>
        <v/>
      </c>
      <c r="P122" s="112">
        <f>G122/E122*N122</f>
        <v/>
      </c>
      <c r="Q122" s="109" t="inlineStr">
        <is>
          <t>GC 5 + EN FACE RESTAURANT+ A COTE PONT DE PINITRONT + OUEST POSTE 5 + T BOIS A COTE MUR GMS + A BENNE DES CAMIONS</t>
        </is>
      </c>
      <c r="R122" s="109" t="n"/>
      <c r="S122" s="109" t="inlineStr">
        <is>
          <t>25011LYD1102</t>
        </is>
      </c>
      <c r="T122" s="114" t="n">
        <v>49</v>
      </c>
      <c r="U122" s="109" t="n"/>
      <c r="V122" s="106" t="n"/>
      <c r="W122" s="106" t="n"/>
      <c r="X122" s="106" t="inlineStr">
        <is>
          <t>SOLDEE</t>
        </is>
      </c>
      <c r="Y122" s="116">
        <f>F122/E122</f>
        <v/>
      </c>
      <c r="Z122" s="64">
        <f>E122-N122</f>
        <v/>
      </c>
      <c r="AA122" s="30" t="n"/>
    </row>
    <row r="123" ht="18" customHeight="1" s="202">
      <c r="A123" s="116" t="n">
        <v>20250195</v>
      </c>
      <c r="B123" s="117" t="inlineStr">
        <is>
          <t>GEMINI HONOR</t>
        </is>
      </c>
      <c r="C123" s="118" t="n">
        <v>45857</v>
      </c>
      <c r="D123" s="118" t="n">
        <v>45888</v>
      </c>
      <c r="E123" s="67" t="n">
        <v>1</v>
      </c>
      <c r="F123" s="119" t="n">
        <v>10.6</v>
      </c>
      <c r="G123" s="120" t="n">
        <v>24</v>
      </c>
      <c r="H123" s="121" t="inlineStr">
        <is>
          <t>KADDOUR ABDELKRIM</t>
        </is>
      </c>
      <c r="I123" s="121" t="inlineStr">
        <is>
          <t>CHARGEURS</t>
        </is>
      </c>
      <c r="J123" s="117" t="inlineStr">
        <is>
          <t>ENGINS</t>
        </is>
      </c>
      <c r="K123" s="53">
        <f>D123+8</f>
        <v/>
      </c>
      <c r="L123" s="53">
        <f>K123+60</f>
        <v/>
      </c>
      <c r="M123" s="71" t="n"/>
      <c r="N123" s="72">
        <f>E123</f>
        <v/>
      </c>
      <c r="O123" s="50">
        <f>F123/E123*N123</f>
        <v/>
      </c>
      <c r="P123" s="273">
        <f>G123/E123*N123</f>
        <v/>
      </c>
      <c r="Q123" s="162" t="inlineStr">
        <is>
          <t>GC 6 + MIXTE + OUEST /T BOIS</t>
        </is>
      </c>
      <c r="R123" s="58" t="n"/>
      <c r="S123" s="147" t="inlineStr">
        <is>
          <t>25011LYD2428</t>
        </is>
      </c>
      <c r="T123" s="148" t="n">
        <v>105</v>
      </c>
      <c r="U123" s="58" t="n"/>
      <c r="V123" s="67" t="n"/>
      <c r="W123" s="67" t="n"/>
      <c r="X123" s="62" t="inlineStr">
        <is>
          <t>N-OP</t>
        </is>
      </c>
      <c r="Y123" s="116">
        <f>F123/E123</f>
        <v/>
      </c>
      <c r="Z123" s="64">
        <f>E123-N123</f>
        <v/>
      </c>
      <c r="AA123" s="64" t="n">
        <v>367</v>
      </c>
    </row>
    <row r="124" ht="18" customHeight="1" s="202">
      <c r="A124" s="116" t="n">
        <v>20250195</v>
      </c>
      <c r="B124" s="117" t="inlineStr">
        <is>
          <t>GEMINI HONOR</t>
        </is>
      </c>
      <c r="C124" s="118" t="n">
        <v>45857</v>
      </c>
      <c r="D124" s="118" t="n">
        <v>45888</v>
      </c>
      <c r="E124" s="67" t="n">
        <v>1</v>
      </c>
      <c r="F124" s="119" t="n">
        <v>12.5</v>
      </c>
      <c r="G124" s="120" t="n">
        <v>24</v>
      </c>
      <c r="H124" s="121" t="inlineStr">
        <is>
          <t>BACHAR MOHAMED</t>
        </is>
      </c>
      <c r="I124" s="121" t="inlineStr">
        <is>
          <t>CAMIONS</t>
        </is>
      </c>
      <c r="J124" s="117" t="inlineStr">
        <is>
          <t>LOURD</t>
        </is>
      </c>
      <c r="K124" s="53">
        <f>D124+8</f>
        <v/>
      </c>
      <c r="L124" s="53">
        <f>K124+60</f>
        <v/>
      </c>
      <c r="M124" s="71" t="n"/>
      <c r="N124" s="72">
        <f>E124</f>
        <v/>
      </c>
      <c r="O124" s="50">
        <f>F124/E124*N124</f>
        <v/>
      </c>
      <c r="P124" s="273">
        <f>G124/E124*N124</f>
        <v/>
      </c>
      <c r="Q124" s="162" t="inlineStr">
        <is>
          <t>GC 6 + MIXTE + OUEST /T BOIS</t>
        </is>
      </c>
      <c r="R124" s="58" t="n"/>
      <c r="S124" s="147" t="inlineStr">
        <is>
          <t>25011LYD2434</t>
        </is>
      </c>
      <c r="T124" s="148" t="n">
        <v>111</v>
      </c>
      <c r="U124" s="58" t="n"/>
      <c r="V124" s="67" t="n"/>
      <c r="W124" s="67" t="n"/>
      <c r="X124" s="62" t="inlineStr">
        <is>
          <t>N-OP</t>
        </is>
      </c>
      <c r="Y124" s="116">
        <f>F124/E124</f>
        <v/>
      </c>
      <c r="Z124" s="64">
        <f>E124-N124</f>
        <v/>
      </c>
      <c r="AA124" s="30" t="n"/>
    </row>
    <row r="125" ht="18" customHeight="1" s="202">
      <c r="A125" s="116" t="n">
        <v>20250195</v>
      </c>
      <c r="B125" s="117" t="inlineStr">
        <is>
          <t>GEMINI HONOR</t>
        </is>
      </c>
      <c r="C125" s="118" t="n">
        <v>45857</v>
      </c>
      <c r="D125" s="118" t="n">
        <v>45888</v>
      </c>
      <c r="E125" s="67" t="n">
        <v>1</v>
      </c>
      <c r="F125" s="119" t="n">
        <v>4</v>
      </c>
      <c r="G125" s="120" t="n">
        <v>24</v>
      </c>
      <c r="H125" s="121" t="inlineStr">
        <is>
          <t>BENAISSA ABDELLAH</t>
        </is>
      </c>
      <c r="I125" s="121" t="inlineStr">
        <is>
          <t>COMPACTEURS</t>
        </is>
      </c>
      <c r="J125" s="117" t="inlineStr">
        <is>
          <t>ENGINS</t>
        </is>
      </c>
      <c r="K125" s="53">
        <f>D125+8</f>
        <v/>
      </c>
      <c r="L125" s="53">
        <f>K125+60</f>
        <v/>
      </c>
      <c r="M125" s="71" t="n"/>
      <c r="N125" s="72">
        <f>E125</f>
        <v/>
      </c>
      <c r="O125" s="50">
        <f>F125/E125*N125</f>
        <v/>
      </c>
      <c r="P125" s="273">
        <f>G125/E125*N125</f>
        <v/>
      </c>
      <c r="Q125" s="162" t="inlineStr">
        <is>
          <t>GC 6 + MIXTE + OUEST /T BOIS</t>
        </is>
      </c>
      <c r="R125" s="58" t="n"/>
      <c r="S125" s="147" t="inlineStr">
        <is>
          <t>25011LYD2436</t>
        </is>
      </c>
      <c r="T125" s="148" t="n">
        <v>113</v>
      </c>
      <c r="U125" s="58" t="n"/>
      <c r="V125" s="67" t="n"/>
      <c r="W125" s="67" t="n"/>
      <c r="X125" s="62" t="inlineStr">
        <is>
          <t>N-OP</t>
        </is>
      </c>
      <c r="Y125" s="116">
        <f>F125/E125</f>
        <v/>
      </c>
      <c r="Z125" s="64">
        <f>E125-N125</f>
        <v/>
      </c>
      <c r="AA125" s="30" t="n"/>
    </row>
    <row r="126" ht="18" customHeight="1" s="202">
      <c r="A126" s="76" t="n">
        <v>20250189</v>
      </c>
      <c r="B126" s="77" t="inlineStr">
        <is>
          <t>G PACIFIC</t>
        </is>
      </c>
      <c r="C126" s="78" t="n">
        <v>45860</v>
      </c>
      <c r="D126" s="78" t="n">
        <v>45897</v>
      </c>
      <c r="E126" s="76" t="n">
        <v>1</v>
      </c>
      <c r="F126" s="79" t="n">
        <v>2.835</v>
      </c>
      <c r="G126" s="102" t="n">
        <v>24</v>
      </c>
      <c r="H126" s="80" t="inlineStr">
        <is>
          <t>BELMAHI TRANSPORT ET LOGISTICS EURL</t>
        </is>
      </c>
      <c r="I126" s="80" t="inlineStr">
        <is>
          <t>BUS</t>
        </is>
      </c>
      <c r="J126" s="77" t="inlineStr">
        <is>
          <t>UTILITAIRE</t>
        </is>
      </c>
      <c r="K126" s="174">
        <f>D126+8</f>
        <v/>
      </c>
      <c r="L126" s="174">
        <f>K126+60</f>
        <v/>
      </c>
      <c r="M126" s="82" t="n"/>
      <c r="N126" s="83">
        <f>E126-1</f>
        <v/>
      </c>
      <c r="O126" s="84">
        <f>F126/E126*N126</f>
        <v/>
      </c>
      <c r="P126" s="85">
        <f>G126/E126*N126</f>
        <v/>
      </c>
      <c r="Q126" s="80" t="inlineStr">
        <is>
          <t xml:space="preserve">T BOIS A COTE SILO KOTAMA AGRIFOUD + EN FACE PONT BASCULE OUEST + CLINKER </t>
        </is>
      </c>
      <c r="R126" s="80" t="n"/>
      <c r="S126" s="80" t="inlineStr">
        <is>
          <t>GP25120LDJD009</t>
        </is>
      </c>
      <c r="T126" s="86" t="n">
        <v>12</v>
      </c>
      <c r="U126" s="80" t="n"/>
      <c r="V126" s="76" t="n"/>
      <c r="W126" s="76" t="n"/>
      <c r="X126" s="76" t="inlineStr">
        <is>
          <t>SOLDEE</t>
        </is>
      </c>
      <c r="Y126" s="116" t="n"/>
      <c r="Z126" s="64">
        <f>E126-N126</f>
        <v/>
      </c>
      <c r="AA126" s="64" t="n">
        <v>160</v>
      </c>
    </row>
    <row r="127" ht="18" customHeight="1" s="202">
      <c r="A127" s="76" t="n">
        <v>20250189</v>
      </c>
      <c r="B127" s="77" t="inlineStr">
        <is>
          <t>G PACIFIC</t>
        </is>
      </c>
      <c r="C127" s="78" t="n">
        <v>45860</v>
      </c>
      <c r="D127" s="78" t="n">
        <v>45897</v>
      </c>
      <c r="E127" s="76" t="n">
        <v>1</v>
      </c>
      <c r="F127" s="79" t="n">
        <v>8.42</v>
      </c>
      <c r="G127" s="102" t="n">
        <v>40</v>
      </c>
      <c r="H127" s="80" t="inlineStr">
        <is>
          <t>BELMAHI TRANSPORT ET LOGISTICS EURL</t>
        </is>
      </c>
      <c r="I127" s="80" t="inlineStr">
        <is>
          <t>BUS</t>
        </is>
      </c>
      <c r="J127" s="77" t="inlineStr">
        <is>
          <t>UTILITAIRE</t>
        </is>
      </c>
      <c r="K127" s="174">
        <f>D127+8</f>
        <v/>
      </c>
      <c r="L127" s="174">
        <f>K127+60</f>
        <v/>
      </c>
      <c r="M127" s="82" t="n"/>
      <c r="N127" s="83">
        <f>E127-1</f>
        <v/>
      </c>
      <c r="O127" s="84">
        <f>F127/E127*N127</f>
        <v/>
      </c>
      <c r="P127" s="85">
        <f>G127/E127*N127</f>
        <v/>
      </c>
      <c r="Q127" s="80" t="inlineStr">
        <is>
          <t xml:space="preserve">T BOIS A COTE SILO KOTAMA AGRIFOUD + EN FACE PONT BASCULE OUEST + CLINKER </t>
        </is>
      </c>
      <c r="R127" s="80" t="n"/>
      <c r="S127" s="80" t="inlineStr">
        <is>
          <t>GP25120LDJD010</t>
        </is>
      </c>
      <c r="T127" s="86" t="n">
        <v>13</v>
      </c>
      <c r="U127" s="80" t="n"/>
      <c r="V127" s="76" t="n"/>
      <c r="W127" s="76" t="n"/>
      <c r="X127" s="76" t="inlineStr">
        <is>
          <t>SOLDEE</t>
        </is>
      </c>
      <c r="Y127" s="116">
        <f>F127/E127</f>
        <v/>
      </c>
      <c r="Z127" s="64">
        <f>E127-N127</f>
        <v/>
      </c>
      <c r="AA127" s="64" t="n">
        <v>574</v>
      </c>
    </row>
    <row r="128" ht="18" customHeight="1" s="202">
      <c r="A128" s="188" t="n">
        <v>20250189</v>
      </c>
      <c r="B128" s="189" t="inlineStr">
        <is>
          <t>G PACIFIC</t>
        </is>
      </c>
      <c r="C128" s="190" t="n">
        <v>45860</v>
      </c>
      <c r="D128" s="190" t="n">
        <v>45897</v>
      </c>
      <c r="E128" s="191" t="n">
        <v>8</v>
      </c>
      <c r="F128" s="192" t="n">
        <v>0.046</v>
      </c>
      <c r="G128" s="193" t="n">
        <v>0</v>
      </c>
      <c r="H128" s="194" t="inlineStr">
        <is>
          <t>BELMAHI TRANSPORT ET LOGISTICS EURL</t>
        </is>
      </c>
      <c r="I128" s="194" t="inlineStr">
        <is>
          <t>COLIS</t>
        </is>
      </c>
      <c r="J128" s="189" t="inlineStr">
        <is>
          <t>COLIS</t>
        </is>
      </c>
      <c r="K128" s="53">
        <f>D128+8</f>
        <v/>
      </c>
      <c r="L128" s="53">
        <f>K128+60</f>
        <v/>
      </c>
      <c r="M128" s="195" t="n"/>
      <c r="N128" s="196">
        <f>E128</f>
        <v/>
      </c>
      <c r="O128" s="197">
        <f>F128/E128*N128</f>
        <v/>
      </c>
      <c r="P128" s="198">
        <f>G128/E128*N128</f>
        <v/>
      </c>
      <c r="Q128" s="199" t="inlineStr">
        <is>
          <t>EN FACE RESTURANT</t>
        </is>
      </c>
      <c r="R128" s="58" t="n"/>
      <c r="S128" s="200" t="inlineStr">
        <is>
          <t>GP25120LDJD108</t>
        </is>
      </c>
      <c r="T128" s="201" t="n">
        <v>86</v>
      </c>
      <c r="U128" s="58" t="n"/>
      <c r="V128" s="67" t="n"/>
      <c r="W128" s="67" t="n"/>
      <c r="X128" s="62" t="inlineStr">
        <is>
          <t>N-OP</t>
        </is>
      </c>
      <c r="Y128" s="116">
        <f>F128/E128</f>
        <v/>
      </c>
      <c r="Z128" s="64">
        <f>E128-N128</f>
        <v/>
      </c>
      <c r="AA128" s="64" t="n">
        <v>65</v>
      </c>
    </row>
    <row r="129" ht="18" customHeight="1" s="202">
      <c r="A129" s="76" t="n">
        <v>20250189</v>
      </c>
      <c r="B129" s="77" t="inlineStr">
        <is>
          <t>G PACIFIC</t>
        </is>
      </c>
      <c r="C129" s="78" t="n">
        <v>45860</v>
      </c>
      <c r="D129" s="78" t="n">
        <v>45897</v>
      </c>
      <c r="E129" s="76" t="n">
        <v>1</v>
      </c>
      <c r="F129" s="79" t="n">
        <v>14.4</v>
      </c>
      <c r="G129" s="102" t="n">
        <v>40</v>
      </c>
      <c r="H129" s="80" t="inlineStr">
        <is>
          <t>BELMAHI TRANSPORT ET LOGISTICS EURL</t>
        </is>
      </c>
      <c r="I129" s="80" t="inlineStr">
        <is>
          <t>BUS</t>
        </is>
      </c>
      <c r="J129" s="77" t="inlineStr">
        <is>
          <t>UTILITAIRE</t>
        </is>
      </c>
      <c r="K129" s="174">
        <f>D129+8</f>
        <v/>
      </c>
      <c r="L129" s="174">
        <f>K129+60</f>
        <v/>
      </c>
      <c r="M129" s="82" t="n"/>
      <c r="N129" s="83">
        <f>E129-1</f>
        <v/>
      </c>
      <c r="O129" s="84">
        <f>F129/E129*N129</f>
        <v/>
      </c>
      <c r="P129" s="85">
        <f>G129/E129*N129</f>
        <v/>
      </c>
      <c r="Q129" s="80" t="inlineStr">
        <is>
          <t xml:space="preserve">T BOIS A COTE SILO KOTAMA AGRIFOUD + EN FACE PONT BASCULE OUEST + CLINKER </t>
        </is>
      </c>
      <c r="R129" s="80" t="n"/>
      <c r="S129" s="80" t="inlineStr">
        <is>
          <t>GP25120LDJD011</t>
        </is>
      </c>
      <c r="T129" s="86" t="n">
        <v>14</v>
      </c>
      <c r="U129" s="80" t="n"/>
      <c r="V129" s="76" t="n"/>
      <c r="W129" s="76" t="n"/>
      <c r="X129" s="76" t="inlineStr">
        <is>
          <t>SOLDEE</t>
        </is>
      </c>
      <c r="Y129" s="116" t="n"/>
      <c r="Z129" s="64">
        <f>E129-N129</f>
        <v/>
      </c>
      <c r="AA129" s="64" t="n">
        <v>238</v>
      </c>
    </row>
    <row r="130" ht="18" customHeight="1" s="202">
      <c r="A130" s="188" t="n">
        <v>20250189</v>
      </c>
      <c r="B130" s="189" t="inlineStr">
        <is>
          <t>G PACIFIC</t>
        </is>
      </c>
      <c r="C130" s="190" t="n">
        <v>45860</v>
      </c>
      <c r="D130" s="190" t="n">
        <v>45897</v>
      </c>
      <c r="E130" s="191" t="n">
        <v>5</v>
      </c>
      <c r="F130" s="192" t="n">
        <v>0.053</v>
      </c>
      <c r="G130" s="193" t="n">
        <v>0</v>
      </c>
      <c r="H130" s="194" t="inlineStr">
        <is>
          <t>BELMAHI TRANSPORT ET LOGISTICS EURL</t>
        </is>
      </c>
      <c r="I130" s="194" t="inlineStr">
        <is>
          <t>COLIS</t>
        </is>
      </c>
      <c r="J130" s="189" t="inlineStr">
        <is>
          <t>COLIS</t>
        </is>
      </c>
      <c r="K130" s="53">
        <f>D130+8</f>
        <v/>
      </c>
      <c r="L130" s="53">
        <f>K130+60</f>
        <v/>
      </c>
      <c r="M130" s="195" t="n"/>
      <c r="N130" s="196">
        <f>E130</f>
        <v/>
      </c>
      <c r="O130" s="197">
        <f>F130/E130*N130</f>
        <v/>
      </c>
      <c r="P130" s="198">
        <f>G130/E130*N130</f>
        <v/>
      </c>
      <c r="Q130" s="199" t="inlineStr">
        <is>
          <t>EN FACE RESTURANT</t>
        </is>
      </c>
      <c r="R130" s="58" t="n"/>
      <c r="S130" s="200" t="inlineStr">
        <is>
          <t>GP25120LDJD107</t>
        </is>
      </c>
      <c r="T130" s="201" t="n">
        <v>85</v>
      </c>
      <c r="U130" s="58" t="n"/>
      <c r="V130" s="67" t="n"/>
      <c r="W130" s="67" t="n"/>
      <c r="X130" s="62" t="inlineStr">
        <is>
          <t>N-OP</t>
        </is>
      </c>
      <c r="Y130" s="116">
        <f>F130/E130</f>
        <v/>
      </c>
      <c r="Z130" s="64">
        <f>E130-N130</f>
        <v/>
      </c>
      <c r="AA130" s="64" t="n">
        <v>24</v>
      </c>
    </row>
    <row r="131" ht="18" customHeight="1" s="202">
      <c r="A131" s="116" t="n">
        <v>20250189</v>
      </c>
      <c r="B131" s="117" t="inlineStr">
        <is>
          <t>G PACIFIC</t>
        </is>
      </c>
      <c r="C131" s="118" t="n">
        <v>45860</v>
      </c>
      <c r="D131" s="118" t="n">
        <v>45897</v>
      </c>
      <c r="E131" s="67" t="n">
        <v>2</v>
      </c>
      <c r="F131" s="119" t="n">
        <v>5.1</v>
      </c>
      <c r="G131" s="120" t="n">
        <v>80</v>
      </c>
      <c r="H131" s="121" t="inlineStr">
        <is>
          <t>SLC SARL</t>
        </is>
      </c>
      <c r="I131" s="121" t="inlineStr">
        <is>
          <t>BUS</t>
        </is>
      </c>
      <c r="J131" s="117" t="inlineStr">
        <is>
          <t>UTILITAIRE</t>
        </is>
      </c>
      <c r="K131" s="53">
        <f>D131+8</f>
        <v/>
      </c>
      <c r="L131" s="53">
        <f>K131+60</f>
        <v/>
      </c>
      <c r="M131" s="71" t="n"/>
      <c r="N131" s="72">
        <f>E131</f>
        <v/>
      </c>
      <c r="O131" s="50">
        <f>F131/E131*N131</f>
        <v/>
      </c>
      <c r="P131" s="273">
        <f>G131/E131*N131</f>
        <v/>
      </c>
      <c r="Q131" s="199" t="inlineStr">
        <is>
          <t xml:space="preserve">T BOIS A COTE SILO KOTAMA AGRIFOUD + EN FACE PONT BASCULE OUEST + CLINKER </t>
        </is>
      </c>
      <c r="R131" s="58" t="n"/>
      <c r="S131" s="200" t="inlineStr">
        <is>
          <t>GP25120LDJD030</t>
        </is>
      </c>
      <c r="T131" s="201" t="n">
        <v>32</v>
      </c>
      <c r="U131" s="58" t="n"/>
      <c r="V131" s="67" t="n"/>
      <c r="W131" s="67" t="n"/>
      <c r="X131" s="62" t="inlineStr">
        <is>
          <t>N-OP</t>
        </is>
      </c>
      <c r="Y131" s="116">
        <f>F131/E131</f>
        <v/>
      </c>
      <c r="Z131" s="64">
        <f>E131-N131</f>
        <v/>
      </c>
      <c r="AA131" s="64" t="n">
        <v>59</v>
      </c>
    </row>
    <row r="132" ht="18" customHeight="1" s="202">
      <c r="A132" s="76" t="n">
        <v>20250189</v>
      </c>
      <c r="B132" s="77" t="inlineStr">
        <is>
          <t>G PACIFIC</t>
        </is>
      </c>
      <c r="C132" s="78" t="n">
        <v>45860</v>
      </c>
      <c r="D132" s="78" t="n">
        <v>45897</v>
      </c>
      <c r="E132" s="76" t="n">
        <v>1</v>
      </c>
      <c r="F132" s="79" t="n">
        <v>10.3</v>
      </c>
      <c r="G132" s="102" t="n">
        <v>40</v>
      </c>
      <c r="H132" s="80" t="inlineStr">
        <is>
          <t>FALCO CONFISERIE SARL</t>
        </is>
      </c>
      <c r="I132" s="80" t="inlineStr">
        <is>
          <t>BUS</t>
        </is>
      </c>
      <c r="J132" s="77" t="inlineStr">
        <is>
          <t>UTILITAIRE</t>
        </is>
      </c>
      <c r="K132" s="174">
        <f>D132+8</f>
        <v/>
      </c>
      <c r="L132" s="174">
        <f>K132+60</f>
        <v/>
      </c>
      <c r="M132" s="82" t="n"/>
      <c r="N132" s="83">
        <f>E132-1</f>
        <v/>
      </c>
      <c r="O132" s="84">
        <f>F132/E132*N132</f>
        <v/>
      </c>
      <c r="P132" s="85">
        <f>G132/E132*N132</f>
        <v/>
      </c>
      <c r="Q132" s="80" t="inlineStr">
        <is>
          <t xml:space="preserve">T BOIS A COTE SILO KOTAMA AGRIFOUD + EN FACE PONT BASCULE OUEST + CLINKER </t>
        </is>
      </c>
      <c r="R132" s="80" t="n"/>
      <c r="S132" s="80" t="inlineStr">
        <is>
          <t>GP25120LDJD058</t>
        </is>
      </c>
      <c r="T132" s="86" t="n">
        <v>57</v>
      </c>
      <c r="U132" s="80" t="n"/>
      <c r="V132" s="76" t="n"/>
      <c r="W132" s="76" t="n"/>
      <c r="X132" s="76" t="inlineStr">
        <is>
          <t>SOLDEE</t>
        </is>
      </c>
      <c r="Y132" s="116">
        <f>F132/E132</f>
        <v/>
      </c>
      <c r="Z132" s="64">
        <f>E132-N132</f>
        <v/>
      </c>
      <c r="AA132" s="64" t="n">
        <v>3</v>
      </c>
    </row>
    <row r="133" ht="18" customHeight="1" s="202">
      <c r="A133" s="116" t="n">
        <v>20250189</v>
      </c>
      <c r="B133" s="117" t="inlineStr">
        <is>
          <t>G PACIFIC</t>
        </is>
      </c>
      <c r="C133" s="118" t="n">
        <v>45860</v>
      </c>
      <c r="D133" s="118" t="n">
        <v>45897</v>
      </c>
      <c r="E133" s="67" t="n">
        <v>20</v>
      </c>
      <c r="F133" s="119" t="n">
        <v>0.1338</v>
      </c>
      <c r="G133" s="120" t="n">
        <v>0</v>
      </c>
      <c r="H133" s="121" t="inlineStr">
        <is>
          <t>FALCO CONFISERIE SARL</t>
        </is>
      </c>
      <c r="I133" s="121" t="inlineStr">
        <is>
          <t>COLIS</t>
        </is>
      </c>
      <c r="J133" s="117" t="inlineStr">
        <is>
          <t>COLIS</t>
        </is>
      </c>
      <c r="K133" s="53">
        <f>D133+8</f>
        <v/>
      </c>
      <c r="L133" s="53">
        <f>K133+60</f>
        <v/>
      </c>
      <c r="M133" s="71" t="n"/>
      <c r="N133" s="72">
        <f>E133</f>
        <v/>
      </c>
      <c r="O133" s="50">
        <f>F133/E133*N133</f>
        <v/>
      </c>
      <c r="P133" s="273">
        <f>G133/E133*N133</f>
        <v/>
      </c>
      <c r="Q133" s="199" t="inlineStr">
        <is>
          <t>EN FACE RESTURANT</t>
        </is>
      </c>
      <c r="R133" s="58" t="n"/>
      <c r="S133" s="200" t="inlineStr">
        <is>
          <t>GP25120LDJD076</t>
        </is>
      </c>
      <c r="T133" s="201" t="n">
        <v>75</v>
      </c>
      <c r="U133" s="58" t="n"/>
      <c r="V133" s="67" t="n"/>
      <c r="W133" s="67" t="n"/>
      <c r="X133" s="62" t="inlineStr">
        <is>
          <t>N-OP</t>
        </is>
      </c>
      <c r="Y133" s="116">
        <f>F133/E133</f>
        <v/>
      </c>
      <c r="Z133" s="64">
        <f>E133-N133</f>
        <v/>
      </c>
      <c r="AA133" s="64" t="n">
        <v>2</v>
      </c>
    </row>
    <row r="134" ht="18" customHeight="1" s="202">
      <c r="A134" s="76" t="n">
        <v>20250189</v>
      </c>
      <c r="B134" s="77" t="inlineStr">
        <is>
          <t>G PACIFIC</t>
        </is>
      </c>
      <c r="C134" s="78" t="n">
        <v>45860</v>
      </c>
      <c r="D134" s="78" t="n">
        <v>45897</v>
      </c>
      <c r="E134" s="76" t="n">
        <v>1490</v>
      </c>
      <c r="F134" s="76" t="n">
        <v>2458.445</v>
      </c>
      <c r="G134" s="76" t="n">
        <v>727</v>
      </c>
      <c r="H134" s="80" t="inlineStr">
        <is>
          <t>ENAB SPE SPA</t>
        </is>
      </c>
      <c r="I134" s="80" t="inlineStr">
        <is>
          <t>CTP</t>
        </is>
      </c>
      <c r="J134" s="77" t="inlineStr">
        <is>
          <t>CTP</t>
        </is>
      </c>
      <c r="K134" s="78">
        <f>D134+8</f>
        <v/>
      </c>
      <c r="L134" s="78">
        <f>K134+60</f>
        <v/>
      </c>
      <c r="M134" s="82" t="n"/>
      <c r="N134" s="83">
        <f>E134-113-65-50-60-200-180-25-10-90-100-20-80-50-27-60-65-110-50-18-38-44-5-4-6-20</f>
        <v/>
      </c>
      <c r="O134" s="84">
        <f>F134/E134*N134</f>
        <v/>
      </c>
      <c r="P134" s="83">
        <f>G134/E134*N134</f>
        <v/>
      </c>
      <c r="Q134" s="80" t="inlineStr">
        <is>
          <t>T BOIS + HANGAR 10000</t>
        </is>
      </c>
      <c r="R134" s="80" t="n"/>
      <c r="S134" s="80" t="inlineStr">
        <is>
          <t>GP25120LDJD063</t>
        </is>
      </c>
      <c r="T134" s="86" t="n">
        <v>62</v>
      </c>
      <c r="U134" s="80" t="n"/>
      <c r="V134" s="76" t="n"/>
      <c r="W134" s="76" t="n"/>
      <c r="X134" s="76" t="inlineStr">
        <is>
          <t>SOLDEE</t>
        </is>
      </c>
      <c r="Y134" s="116">
        <f>F134/E134</f>
        <v/>
      </c>
      <c r="Z134" s="181">
        <f>E134-N134</f>
        <v/>
      </c>
      <c r="AA134" s="64" t="n">
        <v>7</v>
      </c>
    </row>
    <row r="135" ht="18" customHeight="1" s="202">
      <c r="A135" s="76" t="n">
        <v>20250189</v>
      </c>
      <c r="B135" s="77" t="inlineStr">
        <is>
          <t>G PACIFIC</t>
        </is>
      </c>
      <c r="C135" s="78" t="n">
        <v>45860</v>
      </c>
      <c r="D135" s="78" t="n">
        <v>45897</v>
      </c>
      <c r="E135" s="76" t="n">
        <v>4345</v>
      </c>
      <c r="F135" s="76" t="n">
        <v>4560.323</v>
      </c>
      <c r="G135" s="76" t="n">
        <v>2120</v>
      </c>
      <c r="H135" s="80" t="inlineStr">
        <is>
          <t>ENAB SPE SPA</t>
        </is>
      </c>
      <c r="I135" s="80" t="inlineStr">
        <is>
          <t>CTP</t>
        </is>
      </c>
      <c r="J135" s="77" t="inlineStr">
        <is>
          <t>CTP</t>
        </is>
      </c>
      <c r="K135" s="78">
        <f>D135+8</f>
        <v/>
      </c>
      <c r="L135" s="78">
        <f>K135+60</f>
        <v/>
      </c>
      <c r="M135" s="82" t="n"/>
      <c r="N135" s="83">
        <f>E135-26-182-260-309-234-231-309-231-179-78-153-10-192-52-308-72-205-218-206-156-234-6-56-2-1-17-3-60-2-1-1-26-34-24-6-246-15</f>
        <v/>
      </c>
      <c r="O135" s="84">
        <f>F135/E135*N135</f>
        <v/>
      </c>
      <c r="P135" s="83">
        <f>G135/E135*N135</f>
        <v/>
      </c>
      <c r="Q135" s="80" t="inlineStr">
        <is>
          <t>T BOIS + HANGAR 10000</t>
        </is>
      </c>
      <c r="R135" s="80" t="n"/>
      <c r="S135" s="80" t="inlineStr">
        <is>
          <t>GP25120LDJD065</t>
        </is>
      </c>
      <c r="T135" s="86" t="n">
        <v>64</v>
      </c>
      <c r="U135" s="80" t="n"/>
      <c r="V135" s="76" t="n"/>
      <c r="W135" s="76" t="n"/>
      <c r="X135" s="76" t="inlineStr">
        <is>
          <t>SOLDEE</t>
        </is>
      </c>
      <c r="Y135" s="116">
        <f>F135/E135</f>
        <v/>
      </c>
      <c r="Z135" s="181">
        <f>E135-N135</f>
        <v/>
      </c>
      <c r="AA135" s="64" t="n">
        <v>3995</v>
      </c>
    </row>
    <row r="136" ht="18" customHeight="1" s="202">
      <c r="A136" s="76" t="n">
        <v>20250189</v>
      </c>
      <c r="B136" s="77" t="inlineStr">
        <is>
          <t>G PACIFIC</t>
        </is>
      </c>
      <c r="C136" s="78" t="n">
        <v>45860</v>
      </c>
      <c r="D136" s="78" t="n">
        <v>45897</v>
      </c>
      <c r="E136" s="76" t="n">
        <v>2678</v>
      </c>
      <c r="F136" s="76" t="n">
        <v>2624.993</v>
      </c>
      <c r="G136" s="76" t="n">
        <v>1307</v>
      </c>
      <c r="H136" s="80" t="inlineStr">
        <is>
          <t>ENAB SPE SPA</t>
        </is>
      </c>
      <c r="I136" s="80" t="inlineStr">
        <is>
          <t>CTP</t>
        </is>
      </c>
      <c r="J136" s="77" t="inlineStr">
        <is>
          <t>CTP</t>
        </is>
      </c>
      <c r="K136" s="78">
        <f>D136+8</f>
        <v/>
      </c>
      <c r="L136" s="78">
        <f>K136+60</f>
        <v/>
      </c>
      <c r="M136" s="82" t="n"/>
      <c r="N136" s="83">
        <f>E136-198-78-266-200-165-118-180-99-40-165-205-30-154-52-106-104-103-26-78-3-8-6-2-11-276-5</f>
        <v/>
      </c>
      <c r="O136" s="84">
        <f>F136/E136*N136</f>
        <v/>
      </c>
      <c r="P136" s="83">
        <f>G136/E136*N136</f>
        <v/>
      </c>
      <c r="Q136" s="80" t="inlineStr">
        <is>
          <t>T BOIS + HANGAR 10000</t>
        </is>
      </c>
      <c r="R136" s="80" t="n"/>
      <c r="S136" s="80" t="inlineStr">
        <is>
          <t>GP25120LDJD066</t>
        </is>
      </c>
      <c r="T136" s="86" t="n">
        <v>65</v>
      </c>
      <c r="U136" s="80" t="n"/>
      <c r="V136" s="76" t="n"/>
      <c r="W136" s="76" t="n"/>
      <c r="X136" s="76" t="inlineStr">
        <is>
          <t>SOLDEE</t>
        </is>
      </c>
      <c r="Y136" s="116">
        <f>F136/E136</f>
        <v/>
      </c>
      <c r="Z136" s="181">
        <f>E136-N136</f>
        <v/>
      </c>
      <c r="AA136" s="64" t="n">
        <v>664</v>
      </c>
    </row>
    <row r="137" ht="18" customHeight="1" s="202">
      <c r="A137" s="76" t="n">
        <v>20250189</v>
      </c>
      <c r="B137" s="77" t="inlineStr">
        <is>
          <t>G PACIFIC</t>
        </is>
      </c>
      <c r="C137" s="78" t="n">
        <v>45860</v>
      </c>
      <c r="D137" s="78" t="n">
        <v>45897</v>
      </c>
      <c r="E137" s="76" t="n">
        <v>127</v>
      </c>
      <c r="F137" s="76" t="n">
        <v>1468.515</v>
      </c>
      <c r="G137" s="76" t="n">
        <v>101</v>
      </c>
      <c r="H137" s="80" t="inlineStr">
        <is>
          <t>METGAV EURL</t>
        </is>
      </c>
      <c r="I137" s="80" t="inlineStr">
        <is>
          <t>BOBINES</t>
        </is>
      </c>
      <c r="J137" s="77" t="inlineStr">
        <is>
          <t>BOBINES</t>
        </is>
      </c>
      <c r="K137" s="78">
        <f>D137+8</f>
        <v/>
      </c>
      <c r="L137" s="78">
        <f>K137+60</f>
        <v/>
      </c>
      <c r="M137" s="82" t="n"/>
      <c r="N137" s="83">
        <f>E137-8-12-12-8-8-12-16-12-12-24-3</f>
        <v/>
      </c>
      <c r="O137" s="84">
        <f>F137/E137*N137</f>
        <v/>
      </c>
      <c r="P137" s="83">
        <f>G137/E137*N137</f>
        <v/>
      </c>
      <c r="Q137" s="80" t="n"/>
      <c r="R137" s="80" t="inlineStr">
        <is>
          <t>RED  / 20594 / 252</t>
        </is>
      </c>
      <c r="S137" s="80" t="inlineStr">
        <is>
          <t>GP25120LDJD102</t>
        </is>
      </c>
      <c r="T137" s="86" t="n">
        <v>83</v>
      </c>
      <c r="U137" s="80" t="n"/>
      <c r="V137" s="76" t="n"/>
      <c r="W137" s="76" t="n"/>
      <c r="X137" s="76" t="inlineStr">
        <is>
          <t>SOLDEE</t>
        </is>
      </c>
      <c r="Y137" s="116">
        <f>F137/E137</f>
        <v/>
      </c>
      <c r="Z137" s="64">
        <f>E137-N137</f>
        <v/>
      </c>
      <c r="AA137" s="64" t="n">
        <v>7</v>
      </c>
    </row>
    <row r="138" ht="18" customHeight="1" s="202">
      <c r="A138" s="188" t="n">
        <v>20250189</v>
      </c>
      <c r="B138" s="189" t="inlineStr">
        <is>
          <t>G PACIFIC</t>
        </is>
      </c>
      <c r="C138" s="190" t="n">
        <v>45860</v>
      </c>
      <c r="D138" s="190" t="n">
        <v>45897</v>
      </c>
      <c r="E138" s="191" t="n">
        <v>45</v>
      </c>
      <c r="F138" s="192" t="n">
        <v>520.025</v>
      </c>
      <c r="G138" s="193" t="n">
        <v>36</v>
      </c>
      <c r="H138" s="194" t="inlineStr">
        <is>
          <t>METGAV EURL</t>
        </is>
      </c>
      <c r="I138" s="194" t="inlineStr">
        <is>
          <t>BOBINES</t>
        </is>
      </c>
      <c r="J138" s="189" t="inlineStr">
        <is>
          <t>BOBINES</t>
        </is>
      </c>
      <c r="K138" s="203">
        <f>D138+8</f>
        <v/>
      </c>
      <c r="L138" s="203">
        <f>K138+60</f>
        <v/>
      </c>
      <c r="M138" s="195" t="n"/>
      <c r="N138" s="196">
        <f>E138-24-20</f>
        <v/>
      </c>
      <c r="O138" s="197">
        <f>F138/E138*N138</f>
        <v/>
      </c>
      <c r="P138" s="198">
        <f>G138/E138*N138</f>
        <v/>
      </c>
      <c r="Q138" s="224" t="n"/>
      <c r="R138" s="204" t="inlineStr">
        <is>
          <t>BLUE</t>
        </is>
      </c>
      <c r="S138" s="200" t="inlineStr">
        <is>
          <t>GP25120LDJD103/106</t>
        </is>
      </c>
      <c r="T138" s="201" t="n">
        <v>84</v>
      </c>
      <c r="U138" s="204" t="n"/>
      <c r="V138" s="67" t="n"/>
      <c r="W138" s="67" t="n"/>
      <c r="X138" s="99" t="inlineStr">
        <is>
          <t>OPER</t>
        </is>
      </c>
      <c r="Y138" s="116">
        <f>F138/E138</f>
        <v/>
      </c>
      <c r="Z138" s="64">
        <f>E138-N138</f>
        <v/>
      </c>
      <c r="AA138" s="30" t="n"/>
    </row>
    <row r="139" ht="18" customHeight="1" s="202">
      <c r="A139" s="87" t="n">
        <v>20250194</v>
      </c>
      <c r="B139" s="88" t="inlineStr">
        <is>
          <t>NEMEA</t>
        </is>
      </c>
      <c r="C139" s="89" t="n">
        <v>45868</v>
      </c>
      <c r="D139" s="190" t="n">
        <v>45899</v>
      </c>
      <c r="E139" s="191" t="n">
        <v>947</v>
      </c>
      <c r="F139" s="192" t="n">
        <v>2840.773</v>
      </c>
      <c r="G139" s="193" t="n">
        <v>579</v>
      </c>
      <c r="H139" s="194" t="inlineStr">
        <is>
          <t>SARL TIRSAM</t>
        </is>
      </c>
      <c r="I139" s="189" t="inlineStr">
        <is>
          <t>TOLES EN PLAQUES</t>
        </is>
      </c>
      <c r="J139" s="189" t="inlineStr">
        <is>
          <t>TOLES EN PLAQUES</t>
        </is>
      </c>
      <c r="K139" s="53">
        <f>D139+8</f>
        <v/>
      </c>
      <c r="L139" s="53">
        <f>K139+60</f>
        <v/>
      </c>
      <c r="M139" s="195" t="n"/>
      <c r="N139" s="196">
        <f>E139-297-111-184-178-136-34</f>
        <v/>
      </c>
      <c r="O139" s="197">
        <f>F139/E139*N139</f>
        <v/>
      </c>
      <c r="P139" s="198">
        <f>G139/E139*N139</f>
        <v/>
      </c>
      <c r="Q139" s="199" t="inlineStr">
        <is>
          <t>EN FACE ACCES EST + T BOIS A COTE SILO KOTAMA AGRIFOOD</t>
        </is>
      </c>
      <c r="R139" s="204" t="inlineStr">
        <is>
          <t>RED</t>
        </is>
      </c>
      <c r="S139" s="200" t="inlineStr">
        <is>
          <t>NM25107XDJD045-052</t>
        </is>
      </c>
      <c r="T139" s="201" t="n">
        <v>14</v>
      </c>
      <c r="U139" s="204" t="n"/>
      <c r="V139" s="67" t="n"/>
      <c r="W139" s="67" t="n"/>
      <c r="X139" s="99" t="inlineStr">
        <is>
          <t>OPER</t>
        </is>
      </c>
      <c r="Y139" s="116">
        <f>F139/E139</f>
        <v/>
      </c>
      <c r="Z139" s="64">
        <f>E139-N139</f>
        <v/>
      </c>
      <c r="AA139" s="30" t="n"/>
    </row>
    <row r="140" ht="18" customHeight="1" s="202">
      <c r="A140" s="188" t="n">
        <v>20250194</v>
      </c>
      <c r="B140" s="189" t="inlineStr">
        <is>
          <t>NEMEA</t>
        </is>
      </c>
      <c r="C140" s="190" t="n">
        <v>45868</v>
      </c>
      <c r="D140" s="190" t="n">
        <v>45899</v>
      </c>
      <c r="E140" s="191" t="n">
        <v>127</v>
      </c>
      <c r="F140" s="192" t="n">
        <v>1360.072</v>
      </c>
      <c r="G140" s="193" t="n">
        <v>78</v>
      </c>
      <c r="H140" s="194" t="inlineStr">
        <is>
          <t>EL HADJ TAHAR STEEL SARL</t>
        </is>
      </c>
      <c r="I140" s="189" t="inlineStr">
        <is>
          <t>TOLES EN PLAQUES</t>
        </is>
      </c>
      <c r="J140" s="189" t="inlineStr">
        <is>
          <t>TOLES EN PLAQUES</t>
        </is>
      </c>
      <c r="K140" s="53">
        <f>D140+8</f>
        <v/>
      </c>
      <c r="L140" s="53">
        <f>K140+60</f>
        <v/>
      </c>
      <c r="M140" s="195" t="n"/>
      <c r="N140" s="196">
        <f>E140-32-23-19-5-12-4-17-11-2</f>
        <v/>
      </c>
      <c r="O140" s="197">
        <f>F140/E140*N140</f>
        <v/>
      </c>
      <c r="P140" s="198">
        <f>G140/E140*N140</f>
        <v/>
      </c>
      <c r="Q140" s="199" t="inlineStr">
        <is>
          <t>EN FACE ACCES EST + T BOIS A COTE SILO KOTAMA AGRIFOOD</t>
        </is>
      </c>
      <c r="R140" s="204" t="inlineStr">
        <is>
          <t>WHITE / MST 1726</t>
        </is>
      </c>
      <c r="S140" s="200" t="inlineStr">
        <is>
          <t>NM25107XDJD062/308-3</t>
        </is>
      </c>
      <c r="T140" s="201" t="inlineStr">
        <is>
          <t>16+18</t>
        </is>
      </c>
      <c r="U140" s="204" t="n"/>
      <c r="V140" s="67" t="n"/>
      <c r="W140" s="67" t="n"/>
      <c r="X140" s="99" t="inlineStr">
        <is>
          <t>OPER</t>
        </is>
      </c>
      <c r="Y140" s="116">
        <f>F140/E140</f>
        <v/>
      </c>
      <c r="Z140" s="64">
        <f>E140-N140</f>
        <v/>
      </c>
      <c r="AA140" s="30" t="n"/>
    </row>
    <row r="141" ht="18" customHeight="1" s="202">
      <c r="A141" s="188" t="n">
        <v>20250194</v>
      </c>
      <c r="B141" s="189" t="inlineStr">
        <is>
          <t>NEMEA</t>
        </is>
      </c>
      <c r="C141" s="190" t="n">
        <v>45868</v>
      </c>
      <c r="D141" s="190" t="n">
        <v>45899</v>
      </c>
      <c r="E141" s="191" t="n">
        <v>87</v>
      </c>
      <c r="F141" s="192" t="n">
        <v>492.724</v>
      </c>
      <c r="G141" s="193" t="n">
        <v>70</v>
      </c>
      <c r="H141" s="194" t="inlineStr">
        <is>
          <t>EUROPANNEAUX ALGERIE SARL</t>
        </is>
      </c>
      <c r="I141" s="194" t="inlineStr">
        <is>
          <t>BOBINES</t>
        </is>
      </c>
      <c r="J141" s="189" t="inlineStr">
        <is>
          <t>BOBINES</t>
        </is>
      </c>
      <c r="K141" s="53">
        <f>D141+8</f>
        <v/>
      </c>
      <c r="L141" s="53">
        <f>K141+60</f>
        <v/>
      </c>
      <c r="M141" s="195" t="n"/>
      <c r="N141" s="196">
        <f>E141-10-8-8-8-8-10-2-12-13-2</f>
        <v/>
      </c>
      <c r="O141" s="197">
        <f>F141/E141*N141</f>
        <v/>
      </c>
      <c r="P141" s="198">
        <f>G141/E141*N141</f>
        <v/>
      </c>
      <c r="Q141" s="224" t="n"/>
      <c r="R141" s="204" t="inlineStr">
        <is>
          <t>RED Y1</t>
        </is>
      </c>
      <c r="S141" s="200" t="inlineStr">
        <is>
          <t>NM25107XDJD131-133</t>
        </is>
      </c>
      <c r="T141" s="201" t="inlineStr">
        <is>
          <t>6+7</t>
        </is>
      </c>
      <c r="U141" s="204" t="n"/>
      <c r="V141" s="67" t="n"/>
      <c r="W141" s="67" t="n"/>
      <c r="X141" s="99" t="inlineStr">
        <is>
          <t>OPER</t>
        </is>
      </c>
      <c r="Y141" s="116">
        <f>F141/E141</f>
        <v/>
      </c>
      <c r="Z141" s="64">
        <f>E141-N141</f>
        <v/>
      </c>
      <c r="AA141" s="64" t="n">
        <v>830</v>
      </c>
    </row>
    <row r="142" ht="18" customHeight="1" s="202">
      <c r="A142" s="116" t="n">
        <v>20250194</v>
      </c>
      <c r="B142" s="117" t="inlineStr">
        <is>
          <t>NEMEA</t>
        </is>
      </c>
      <c r="C142" s="118" t="n">
        <v>45868</v>
      </c>
      <c r="D142" s="118" t="n">
        <v>45899</v>
      </c>
      <c r="E142" s="67" t="n">
        <v>238</v>
      </c>
      <c r="F142" s="119" t="n">
        <v>1960.023</v>
      </c>
      <c r="G142" s="120" t="n">
        <v>191</v>
      </c>
      <c r="H142" s="121" t="inlineStr">
        <is>
          <t>CAPROMET SARL</t>
        </is>
      </c>
      <c r="I142" s="121" t="inlineStr">
        <is>
          <t>BOBINES</t>
        </is>
      </c>
      <c r="J142" s="117" t="inlineStr">
        <is>
          <t>BOBINES</t>
        </is>
      </c>
      <c r="K142" s="53">
        <f>D142+8</f>
        <v/>
      </c>
      <c r="L142" s="53">
        <f>K142+60</f>
        <v/>
      </c>
      <c r="M142" s="71" t="n"/>
      <c r="N142" s="72">
        <f>E142</f>
        <v/>
      </c>
      <c r="O142" s="50">
        <f>F142/E142*N142</f>
        <v/>
      </c>
      <c r="P142" s="273">
        <f>G142/E142*N142</f>
        <v/>
      </c>
      <c r="Q142" s="224" t="n"/>
      <c r="R142" s="204" t="inlineStr">
        <is>
          <t>RED2</t>
        </is>
      </c>
      <c r="S142" s="200" t="inlineStr">
        <is>
          <t>NM25107XDJD023-029</t>
        </is>
      </c>
      <c r="T142" s="201" t="n">
        <v>8</v>
      </c>
      <c r="U142" s="204" t="n"/>
      <c r="V142" s="67" t="n"/>
      <c r="W142" s="67" t="n"/>
      <c r="X142" s="62" t="inlineStr">
        <is>
          <t>N-OP</t>
        </is>
      </c>
      <c r="Y142" s="116">
        <f>F142/E142</f>
        <v/>
      </c>
      <c r="Z142" s="64">
        <f>E142-N142</f>
        <v/>
      </c>
      <c r="AA142" s="30" t="n"/>
    </row>
    <row r="143" ht="18" customHeight="1" s="202">
      <c r="A143" s="76" t="n">
        <v>20250194</v>
      </c>
      <c r="B143" s="77" t="inlineStr">
        <is>
          <t>NEMEA</t>
        </is>
      </c>
      <c r="C143" s="78" t="n">
        <v>45868</v>
      </c>
      <c r="D143" s="78" t="n">
        <v>45899</v>
      </c>
      <c r="E143" s="76" t="n">
        <v>98</v>
      </c>
      <c r="F143" s="79" t="n">
        <v>967.54</v>
      </c>
      <c r="G143" s="102" t="n">
        <v>79</v>
      </c>
      <c r="H143" s="80" t="inlineStr">
        <is>
          <t>CAPROMET SARL</t>
        </is>
      </c>
      <c r="I143" s="80" t="inlineStr">
        <is>
          <t>BOBINES</t>
        </is>
      </c>
      <c r="J143" s="77" t="inlineStr">
        <is>
          <t>BOBINES</t>
        </is>
      </c>
      <c r="K143" s="174">
        <f>D143+8</f>
        <v/>
      </c>
      <c r="L143" s="174">
        <f>K143+60</f>
        <v/>
      </c>
      <c r="M143" s="82" t="n"/>
      <c r="N143" s="83">
        <f>E143-21-57-15-5</f>
        <v/>
      </c>
      <c r="O143" s="84">
        <f>F143/E143*N143</f>
        <v/>
      </c>
      <c r="P143" s="85">
        <f>G143/E143*N143</f>
        <v/>
      </c>
      <c r="Q143" s="80" t="n"/>
      <c r="R143" s="80" t="inlineStr">
        <is>
          <t>N/M</t>
        </is>
      </c>
      <c r="S143" s="80" t="inlineStr">
        <is>
          <t>NM25107XDJD039-042</t>
        </is>
      </c>
      <c r="T143" s="86" t="n">
        <v>12</v>
      </c>
      <c r="U143" s="80" t="n"/>
      <c r="V143" s="76" t="n"/>
      <c r="W143" s="76" t="n"/>
      <c r="X143" s="76" t="inlineStr">
        <is>
          <t>SOLDEE</t>
        </is>
      </c>
      <c r="Y143" s="116">
        <f>F143/E143</f>
        <v/>
      </c>
      <c r="Z143" s="64">
        <f>E143-N143</f>
        <v/>
      </c>
      <c r="AA143" s="64" t="n">
        <v>251</v>
      </c>
    </row>
    <row r="144" ht="18" customHeight="1" s="202">
      <c r="A144" s="116" t="n">
        <v>20250194</v>
      </c>
      <c r="B144" s="117" t="inlineStr">
        <is>
          <t>NEMEA</t>
        </is>
      </c>
      <c r="C144" s="118" t="n">
        <v>45868</v>
      </c>
      <c r="D144" s="118" t="n">
        <v>45899</v>
      </c>
      <c r="E144" s="67" t="n">
        <v>61</v>
      </c>
      <c r="F144" s="119" t="n">
        <v>754.24</v>
      </c>
      <c r="G144" s="120" t="n">
        <v>49</v>
      </c>
      <c r="H144" s="121" t="inlineStr">
        <is>
          <t>CAPROMET SARL</t>
        </is>
      </c>
      <c r="I144" s="121" t="inlineStr">
        <is>
          <t>BOBINES</t>
        </is>
      </c>
      <c r="J144" s="117" t="inlineStr">
        <is>
          <t>BOBINES</t>
        </is>
      </c>
      <c r="K144" s="53">
        <f>D144+8</f>
        <v/>
      </c>
      <c r="L144" s="53">
        <f>K144+60</f>
        <v/>
      </c>
      <c r="M144" s="71" t="n"/>
      <c r="N144" s="72">
        <f>E144</f>
        <v/>
      </c>
      <c r="O144" s="50">
        <f>F144/E144*N144</f>
        <v/>
      </c>
      <c r="P144" s="273">
        <f>G144/E144*N144</f>
        <v/>
      </c>
      <c r="Q144" s="224" t="n"/>
      <c r="R144" s="204" t="inlineStr">
        <is>
          <t>YELLOW T7</t>
        </is>
      </c>
      <c r="S144" s="200" t="inlineStr">
        <is>
          <t>NM25107XDJD109/110</t>
        </is>
      </c>
      <c r="T144" s="201" t="n">
        <v>25</v>
      </c>
      <c r="U144" s="204" t="n"/>
      <c r="V144" s="67" t="n"/>
      <c r="W144" s="67" t="n"/>
      <c r="X144" s="62" t="inlineStr">
        <is>
          <t>N-OP</t>
        </is>
      </c>
      <c r="Y144" s="116">
        <f>F144/E144</f>
        <v/>
      </c>
      <c r="Z144" s="64">
        <f>E144-N144</f>
        <v/>
      </c>
      <c r="AA144" s="30" t="n"/>
    </row>
    <row r="145" ht="18" customHeight="1" s="202">
      <c r="A145" s="116" t="n">
        <v>20250194</v>
      </c>
      <c r="B145" s="117" t="inlineStr">
        <is>
          <t>NEMEA</t>
        </is>
      </c>
      <c r="C145" s="118" t="n">
        <v>45868</v>
      </c>
      <c r="D145" s="118" t="n">
        <v>45899</v>
      </c>
      <c r="E145" s="67" t="n">
        <v>146</v>
      </c>
      <c r="F145" s="119" t="n">
        <v>1702.457</v>
      </c>
      <c r="G145" s="120" t="n">
        <v>117</v>
      </c>
      <c r="H145" s="121" t="inlineStr">
        <is>
          <t>CAPROMET SARL</t>
        </is>
      </c>
      <c r="I145" s="121" t="inlineStr">
        <is>
          <t>BOBINES</t>
        </is>
      </c>
      <c r="J145" s="117" t="inlineStr">
        <is>
          <t>BOBINES</t>
        </is>
      </c>
      <c r="K145" s="53">
        <f>D145+8</f>
        <v/>
      </c>
      <c r="L145" s="53">
        <f>K145+60</f>
        <v/>
      </c>
      <c r="M145" s="71" t="n"/>
      <c r="N145" s="72">
        <f>E145</f>
        <v/>
      </c>
      <c r="O145" s="50">
        <f>F145/E145*N145</f>
        <v/>
      </c>
      <c r="P145" s="273">
        <f>G145/E145*N145</f>
        <v/>
      </c>
      <c r="Q145" s="224" t="n"/>
      <c r="R145" s="204" t="inlineStr">
        <is>
          <t>YELLOW T2</t>
        </is>
      </c>
      <c r="S145" s="200" t="inlineStr">
        <is>
          <t>NM25107XDJD241-245</t>
        </is>
      </c>
      <c r="T145" s="201" t="n">
        <v>39</v>
      </c>
      <c r="U145" s="204" t="n"/>
      <c r="V145" s="67" t="n"/>
      <c r="W145" s="67" t="n"/>
      <c r="X145" s="62" t="inlineStr">
        <is>
          <t>N-OP</t>
        </is>
      </c>
      <c r="Y145" s="116">
        <f>F145/E145</f>
        <v/>
      </c>
      <c r="Z145" s="64">
        <f>E145-N145</f>
        <v/>
      </c>
      <c r="AA145" s="30" t="n"/>
    </row>
    <row r="146" ht="18" customHeight="1" s="202">
      <c r="A146" s="116" t="n">
        <v>20250194</v>
      </c>
      <c r="B146" s="117" t="inlineStr">
        <is>
          <t>NEMEA</t>
        </is>
      </c>
      <c r="C146" s="118" t="n">
        <v>45868</v>
      </c>
      <c r="D146" s="118" t="n">
        <v>45899</v>
      </c>
      <c r="E146" s="67" t="n">
        <v>85</v>
      </c>
      <c r="F146" s="119" t="n">
        <v>1011.74</v>
      </c>
      <c r="G146" s="120" t="n">
        <v>68</v>
      </c>
      <c r="H146" s="121" t="inlineStr">
        <is>
          <t>CAPROMET SARL</t>
        </is>
      </c>
      <c r="I146" s="121" t="inlineStr">
        <is>
          <t>BOBINES</t>
        </is>
      </c>
      <c r="J146" s="117" t="inlineStr">
        <is>
          <t>BOBINES</t>
        </is>
      </c>
      <c r="K146" s="53">
        <f>D146+8</f>
        <v/>
      </c>
      <c r="L146" s="53">
        <f>K146+60</f>
        <v/>
      </c>
      <c r="M146" s="71" t="n"/>
      <c r="N146" s="72">
        <f>E146</f>
        <v/>
      </c>
      <c r="O146" s="50">
        <f>F146/E146*N146</f>
        <v/>
      </c>
      <c r="P146" s="273">
        <f>G146/E146*N146</f>
        <v/>
      </c>
      <c r="Q146" s="224" t="n"/>
      <c r="R146" s="204" t="inlineStr">
        <is>
          <t>YELLOW T2</t>
        </is>
      </c>
      <c r="S146" s="200" t="inlineStr">
        <is>
          <t>NM25107XDJD246-248</t>
        </is>
      </c>
      <c r="T146" s="201" t="n">
        <v>40</v>
      </c>
      <c r="U146" s="204" t="n"/>
      <c r="V146" s="67" t="n"/>
      <c r="W146" s="67" t="n"/>
      <c r="X146" s="62" t="inlineStr">
        <is>
          <t>N-OP</t>
        </is>
      </c>
      <c r="Y146" s="116">
        <f>F146/E146</f>
        <v/>
      </c>
      <c r="Z146" s="64">
        <f>E146-N146</f>
        <v/>
      </c>
      <c r="AA146" s="64" t="n">
        <v>178</v>
      </c>
    </row>
    <row r="147" ht="18" customHeight="1" s="202">
      <c r="A147" s="116" t="n">
        <v>20250194</v>
      </c>
      <c r="B147" s="117" t="inlineStr">
        <is>
          <t>NEMEA</t>
        </is>
      </c>
      <c r="C147" s="118" t="n">
        <v>45868</v>
      </c>
      <c r="D147" s="118" t="n">
        <v>45899</v>
      </c>
      <c r="E147" s="67" t="n">
        <v>142</v>
      </c>
      <c r="F147" s="119" t="n">
        <v>1812.6</v>
      </c>
      <c r="G147" s="120" t="n">
        <v>114</v>
      </c>
      <c r="H147" s="121" t="inlineStr">
        <is>
          <t>CAPROMET SARL</t>
        </is>
      </c>
      <c r="I147" s="121" t="inlineStr">
        <is>
          <t>BOBINES</t>
        </is>
      </c>
      <c r="J147" s="117" t="inlineStr">
        <is>
          <t>BOBINES</t>
        </is>
      </c>
      <c r="K147" s="53">
        <f>D147+8</f>
        <v/>
      </c>
      <c r="L147" s="53">
        <f>K147+60</f>
        <v/>
      </c>
      <c r="M147" s="71" t="n"/>
      <c r="N147" s="72">
        <f>E147</f>
        <v/>
      </c>
      <c r="O147" s="50">
        <f>F147/E147*N147</f>
        <v/>
      </c>
      <c r="P147" s="273">
        <f>G147/E147*N147</f>
        <v/>
      </c>
      <c r="Q147" s="224" t="n"/>
      <c r="R147" s="204" t="inlineStr">
        <is>
          <t>YELLOW T1</t>
        </is>
      </c>
      <c r="S147" s="200" t="inlineStr">
        <is>
          <t>NM25107XDJD263-268</t>
        </is>
      </c>
      <c r="T147" s="201" t="n">
        <v>41</v>
      </c>
      <c r="U147" s="204" t="n"/>
      <c r="V147" s="67" t="n"/>
      <c r="W147" s="67" t="n"/>
      <c r="X147" s="62" t="inlineStr">
        <is>
          <t>N-OP</t>
        </is>
      </c>
      <c r="Y147" s="116">
        <f>F147/E147</f>
        <v/>
      </c>
      <c r="Z147" s="64">
        <f>E147-N147</f>
        <v/>
      </c>
      <c r="AA147" s="64" t="n">
        <v>4</v>
      </c>
    </row>
    <row r="148" ht="18" customHeight="1" s="202">
      <c r="A148" s="163" t="n">
        <v>20250194</v>
      </c>
      <c r="B148" s="164" t="inlineStr">
        <is>
          <t>NEMEA</t>
        </is>
      </c>
      <c r="C148" s="165" t="n">
        <v>45868</v>
      </c>
      <c r="D148" s="165" t="n">
        <v>45899</v>
      </c>
      <c r="E148" s="166" t="n">
        <v>50</v>
      </c>
      <c r="F148" s="167" t="n">
        <v>772.09</v>
      </c>
      <c r="G148" s="168" t="n">
        <v>40</v>
      </c>
      <c r="H148" s="169" t="inlineStr">
        <is>
          <t>CAPROMET SARL</t>
        </is>
      </c>
      <c r="I148" s="169" t="inlineStr">
        <is>
          <t>BOBINES</t>
        </is>
      </c>
      <c r="J148" s="164" t="inlineStr">
        <is>
          <t>BOBINES</t>
        </is>
      </c>
      <c r="K148" s="53">
        <f>D148+8</f>
        <v/>
      </c>
      <c r="L148" s="53">
        <f>K148+60</f>
        <v/>
      </c>
      <c r="M148" s="170" t="n"/>
      <c r="N148" s="171">
        <f>E148-20</f>
        <v/>
      </c>
      <c r="O148" s="172">
        <f>F148/E148*N148</f>
        <v/>
      </c>
      <c r="P148" s="173">
        <f>G148/E148*N148</f>
        <v/>
      </c>
      <c r="Q148" s="224" t="n"/>
      <c r="R148" s="204" t="inlineStr">
        <is>
          <t>WHITE T8</t>
        </is>
      </c>
      <c r="S148" s="200" t="inlineStr">
        <is>
          <t>NM25107XDJD278-280</t>
        </is>
      </c>
      <c r="T148" s="201" t="n">
        <v>85</v>
      </c>
      <c r="U148" s="204" t="n"/>
      <c r="V148" s="67" t="n"/>
      <c r="W148" s="67" t="n"/>
      <c r="X148" s="99" t="inlineStr">
        <is>
          <t>OPER</t>
        </is>
      </c>
      <c r="Y148" s="116">
        <f>F148/E148</f>
        <v/>
      </c>
      <c r="Z148" s="64">
        <f>E148-N148</f>
        <v/>
      </c>
      <c r="AA148" s="30" t="n"/>
    </row>
    <row r="149" ht="18" customHeight="1" s="202">
      <c r="A149" s="188" t="n">
        <v>20250194</v>
      </c>
      <c r="B149" s="189" t="inlineStr">
        <is>
          <t>NEMEA</t>
        </is>
      </c>
      <c r="C149" s="190" t="n">
        <v>45868</v>
      </c>
      <c r="D149" s="190" t="n">
        <v>45899</v>
      </c>
      <c r="E149" s="191" t="n">
        <v>2</v>
      </c>
      <c r="F149" s="192" t="n">
        <v>10.7</v>
      </c>
      <c r="G149" s="193" t="n">
        <v>48</v>
      </c>
      <c r="H149" s="194" t="inlineStr">
        <is>
          <t>SARL AGRO ZAGH FRERES</t>
        </is>
      </c>
      <c r="I149" s="194" t="inlineStr">
        <is>
          <t>CAMIONS</t>
        </is>
      </c>
      <c r="J149" s="189" t="inlineStr">
        <is>
          <t>LOURD</t>
        </is>
      </c>
      <c r="K149" s="53">
        <f>D149+8</f>
        <v/>
      </c>
      <c r="L149" s="53">
        <f>K149+60</f>
        <v/>
      </c>
      <c r="M149" s="195" t="n"/>
      <c r="N149" s="196">
        <f>E149-1</f>
        <v/>
      </c>
      <c r="O149" s="197">
        <f>F149/E149*N149</f>
        <v/>
      </c>
      <c r="P149" s="198">
        <f>G149/E149*N149</f>
        <v/>
      </c>
      <c r="Q149" s="199" t="inlineStr">
        <is>
          <t>RORO + MIXTE</t>
        </is>
      </c>
      <c r="R149" s="58" t="n"/>
      <c r="S149" s="200" t="inlineStr">
        <is>
          <t>NM25107XDJD019/20</t>
        </is>
      </c>
      <c r="T149" s="201" t="n"/>
      <c r="U149" s="58" t="n"/>
      <c r="V149" s="67" t="n"/>
      <c r="W149" s="67" t="n"/>
      <c r="X149" s="99" t="inlineStr">
        <is>
          <t>OPER</t>
        </is>
      </c>
      <c r="Y149" s="116" t="n"/>
      <c r="Z149" s="64">
        <f>E149-N149</f>
        <v/>
      </c>
      <c r="AA149" s="64" t="n">
        <v>2</v>
      </c>
    </row>
    <row r="150" ht="18" customHeight="1" s="202">
      <c r="A150" s="116" t="n">
        <v>20250194</v>
      </c>
      <c r="B150" s="117" t="inlineStr">
        <is>
          <t>NEMEA</t>
        </is>
      </c>
      <c r="C150" s="118" t="n">
        <v>45868</v>
      </c>
      <c r="D150" s="118" t="n">
        <v>45899</v>
      </c>
      <c r="E150" s="67" t="n">
        <v>7</v>
      </c>
      <c r="F150" s="119" t="n">
        <v>30.18</v>
      </c>
      <c r="G150" s="120" t="n">
        <v>21</v>
      </c>
      <c r="H150" s="121" t="inlineStr">
        <is>
          <t>EURL EL KENDI PETROLEUM</t>
        </is>
      </c>
      <c r="I150" s="121" t="inlineStr">
        <is>
          <t>COLIS</t>
        </is>
      </c>
      <c r="J150" s="117" t="inlineStr">
        <is>
          <t>COLIS</t>
        </is>
      </c>
      <c r="K150" s="53">
        <f>D150+8</f>
        <v/>
      </c>
      <c r="L150" s="53">
        <f>K150+60</f>
        <v/>
      </c>
      <c r="M150" s="71" t="n"/>
      <c r="N150" s="72">
        <f>E150</f>
        <v/>
      </c>
      <c r="O150" s="50">
        <f>F150/E150*N150</f>
        <v/>
      </c>
      <c r="P150" s="273">
        <f>G150/E150*N150</f>
        <v/>
      </c>
      <c r="Q150" s="224" t="inlineStr">
        <is>
          <t>RORO</t>
        </is>
      </c>
      <c r="R150" s="58" t="n"/>
      <c r="S150" s="200" t="inlineStr">
        <is>
          <t>NM25107XDJD103</t>
        </is>
      </c>
      <c r="T150" s="201" t="n">
        <v>40</v>
      </c>
      <c r="U150" s="58" t="n"/>
      <c r="V150" s="67" t="n"/>
      <c r="W150" s="67" t="n"/>
      <c r="X150" s="62" t="inlineStr">
        <is>
          <t>N-OP</t>
        </is>
      </c>
      <c r="Y150" s="116">
        <f>F150/E150</f>
        <v/>
      </c>
      <c r="Z150" s="64">
        <f>E150-N150</f>
        <v/>
      </c>
      <c r="AA150" s="64" t="n">
        <v>106</v>
      </c>
    </row>
    <row r="151" ht="18" customHeight="1" s="202">
      <c r="A151" s="76" t="n">
        <v>20250233</v>
      </c>
      <c r="B151" s="77" t="inlineStr">
        <is>
          <t>HONOUR</t>
        </is>
      </c>
      <c r="C151" s="78" t="n">
        <v>45900</v>
      </c>
      <c r="D151" s="78" t="n">
        <v>45904</v>
      </c>
      <c r="E151" s="76" t="n">
        <v>44</v>
      </c>
      <c r="F151" s="76" t="n">
        <v>563.623657142857</v>
      </c>
      <c r="G151" s="76" t="n">
        <v>1056</v>
      </c>
      <c r="H151" s="80" t="inlineStr">
        <is>
          <t>GLOBAL HEAVY ALGERIA</t>
        </is>
      </c>
      <c r="I151" s="80" t="inlineStr">
        <is>
          <t>CAMIONS</t>
        </is>
      </c>
      <c r="J151" s="77" t="inlineStr">
        <is>
          <t>LOURD</t>
        </is>
      </c>
      <c r="K151" s="78">
        <f>D151+8</f>
        <v/>
      </c>
      <c r="L151" s="78">
        <f>K151+60</f>
        <v/>
      </c>
      <c r="M151" s="82" t="n"/>
      <c r="N151" s="83">
        <f>E151-15-16-2-11</f>
        <v/>
      </c>
      <c r="O151" s="84">
        <f>F151/E151*N151</f>
        <v/>
      </c>
      <c r="P151" s="83">
        <f>G151/E151*N151</f>
        <v/>
      </c>
      <c r="Q151" s="80" t="n"/>
      <c r="R151" s="80" t="n"/>
      <c r="S151" s="80" t="inlineStr">
        <is>
          <t>HN25163LDJD014-17</t>
        </is>
      </c>
      <c r="T151" s="86" t="n">
        <v>14</v>
      </c>
      <c r="U151" s="80" t="n"/>
      <c r="V151" s="76" t="n"/>
      <c r="W151" s="76" t="n"/>
      <c r="X151" s="76" t="inlineStr">
        <is>
          <t>SOLDEE</t>
        </is>
      </c>
      <c r="Y151" s="116">
        <f>F151/E151</f>
        <v/>
      </c>
      <c r="Z151" s="30" t="n"/>
      <c r="AA151" s="64" t="n">
        <v>38</v>
      </c>
    </row>
    <row r="152" ht="18" customHeight="1" s="202">
      <c r="A152" s="76" t="n">
        <v>20250233</v>
      </c>
      <c r="B152" s="77" t="inlineStr">
        <is>
          <t>HONOUR</t>
        </is>
      </c>
      <c r="C152" s="78" t="n">
        <v>45900</v>
      </c>
      <c r="D152" s="78" t="n">
        <v>45904</v>
      </c>
      <c r="E152" s="76" t="n">
        <v>7</v>
      </c>
      <c r="F152" s="76" t="n">
        <v>89.6674</v>
      </c>
      <c r="G152" s="76" t="n">
        <v>420</v>
      </c>
      <c r="H152" s="80" t="inlineStr">
        <is>
          <t>GLOBAL HEAVY ALGERIA</t>
        </is>
      </c>
      <c r="I152" s="80" t="inlineStr">
        <is>
          <t>CAMION GRUE</t>
        </is>
      </c>
      <c r="J152" s="77" t="inlineStr">
        <is>
          <t>ENGINS</t>
        </is>
      </c>
      <c r="K152" s="78">
        <f>D152+8</f>
        <v/>
      </c>
      <c r="L152" s="78">
        <f>K152+60</f>
        <v/>
      </c>
      <c r="M152" s="82" t="n"/>
      <c r="N152" s="83">
        <f>E152-7</f>
        <v/>
      </c>
      <c r="O152" s="84">
        <f>F152/E152*N152</f>
        <v/>
      </c>
      <c r="P152" s="83">
        <f>G152/E152*N152</f>
        <v/>
      </c>
      <c r="Q152" s="80" t="n"/>
      <c r="R152" s="80" t="n"/>
      <c r="S152" s="80" t="inlineStr">
        <is>
          <t>HN25163LDJD014-17</t>
        </is>
      </c>
      <c r="T152" s="86" t="n">
        <v>14</v>
      </c>
      <c r="U152" s="80" t="n"/>
      <c r="V152" s="76" t="n"/>
      <c r="W152" s="76" t="n"/>
      <c r="X152" s="76" t="inlineStr">
        <is>
          <t>SOLDEE</t>
        </is>
      </c>
      <c r="Y152" s="116">
        <f>F152/E152</f>
        <v/>
      </c>
      <c r="Z152" s="30" t="n"/>
      <c r="AA152" s="64" t="n">
        <v>131</v>
      </c>
    </row>
    <row r="153" ht="18" customHeight="1" s="202">
      <c r="A153" s="76" t="n">
        <v>20250233</v>
      </c>
      <c r="B153" s="77" t="inlineStr">
        <is>
          <t>HONOUR</t>
        </is>
      </c>
      <c r="C153" s="78" t="n">
        <v>45900</v>
      </c>
      <c r="D153" s="78" t="n">
        <v>45904</v>
      </c>
      <c r="E153" s="76" t="n">
        <v>7</v>
      </c>
      <c r="F153" s="76" t="n">
        <v>89.6674</v>
      </c>
      <c r="G153" s="76" t="n">
        <v>168</v>
      </c>
      <c r="H153" s="80" t="inlineStr">
        <is>
          <t>GLOBAL HEAVY ALGERIA</t>
        </is>
      </c>
      <c r="I153" s="80" t="inlineStr">
        <is>
          <t>CAMION CITERNE</t>
        </is>
      </c>
      <c r="J153" s="77" t="inlineStr">
        <is>
          <t>LOURD</t>
        </is>
      </c>
      <c r="K153" s="78">
        <f>D153+8</f>
        <v/>
      </c>
      <c r="L153" s="78">
        <f>K153+60</f>
        <v/>
      </c>
      <c r="M153" s="82" t="n"/>
      <c r="N153" s="83">
        <f>E153-7</f>
        <v/>
      </c>
      <c r="O153" s="84">
        <f>F153/E153*N153</f>
        <v/>
      </c>
      <c r="P153" s="83">
        <f>G153/E153*N153</f>
        <v/>
      </c>
      <c r="Q153" s="80" t="n"/>
      <c r="R153" s="80" t="n"/>
      <c r="S153" s="80" t="inlineStr">
        <is>
          <t>HN25163LDJD014-17</t>
        </is>
      </c>
      <c r="T153" s="86" t="n">
        <v>14</v>
      </c>
      <c r="U153" s="80" t="n"/>
      <c r="V153" s="76" t="n"/>
      <c r="W153" s="76" t="n"/>
      <c r="X153" s="76" t="inlineStr">
        <is>
          <t>SOLDEE</t>
        </is>
      </c>
      <c r="Y153" s="116">
        <f>F153/E153</f>
        <v/>
      </c>
      <c r="Z153" s="30" t="n"/>
      <c r="AA153" s="64" t="n">
        <v>116</v>
      </c>
    </row>
    <row r="154" ht="18" customHeight="1" s="202">
      <c r="A154" s="76" t="n">
        <v>20250233</v>
      </c>
      <c r="B154" s="77" t="inlineStr">
        <is>
          <t>HONOUR</t>
        </is>
      </c>
      <c r="C154" s="78" t="n">
        <v>45900</v>
      </c>
      <c r="D154" s="78" t="n">
        <v>45904</v>
      </c>
      <c r="E154" s="76" t="n">
        <v>5</v>
      </c>
      <c r="F154" s="76" t="n">
        <v>64.04814285714281</v>
      </c>
      <c r="G154" s="76" t="n">
        <v>120</v>
      </c>
      <c r="H154" s="80" t="inlineStr">
        <is>
          <t>GLOBAL HEAVY ALGERIA</t>
        </is>
      </c>
      <c r="I154" s="80" t="inlineStr">
        <is>
          <t>CAMION CITERNE</t>
        </is>
      </c>
      <c r="J154" s="77" t="inlineStr">
        <is>
          <t>LOURD</t>
        </is>
      </c>
      <c r="K154" s="78">
        <f>D154+8</f>
        <v/>
      </c>
      <c r="L154" s="78">
        <f>K154+60</f>
        <v/>
      </c>
      <c r="M154" s="82" t="n"/>
      <c r="N154" s="83">
        <f>E154-5</f>
        <v/>
      </c>
      <c r="O154" s="84">
        <f>F154/E154*N154</f>
        <v/>
      </c>
      <c r="P154" s="83">
        <f>G154/E154*N154</f>
        <v/>
      </c>
      <c r="Q154" s="80" t="n"/>
      <c r="R154" s="80" t="n"/>
      <c r="S154" s="80" t="inlineStr">
        <is>
          <t>HN25163LDJD014-17</t>
        </is>
      </c>
      <c r="T154" s="86" t="n">
        <v>14</v>
      </c>
      <c r="U154" s="80" t="n"/>
      <c r="V154" s="76" t="n"/>
      <c r="W154" s="76" t="n"/>
      <c r="X154" s="76" t="inlineStr">
        <is>
          <t>SOLDEE</t>
        </is>
      </c>
      <c r="Y154" s="116">
        <f>F154/E154</f>
        <v/>
      </c>
      <c r="Z154" s="30" t="n"/>
      <c r="AA154" s="30" t="n"/>
    </row>
    <row r="155" ht="18" customHeight="1" s="202">
      <c r="A155" s="76" t="n">
        <v>20250233</v>
      </c>
      <c r="B155" s="77" t="inlineStr">
        <is>
          <t>HONOUR</t>
        </is>
      </c>
      <c r="C155" s="78" t="n">
        <v>45900</v>
      </c>
      <c r="D155" s="78" t="n">
        <v>45904</v>
      </c>
      <c r="E155" s="76" t="n">
        <v>3</v>
      </c>
      <c r="F155" s="76" t="n">
        <v>38.4288857142857</v>
      </c>
      <c r="G155" s="76" t="n">
        <v>72</v>
      </c>
      <c r="H155" s="80" t="inlineStr">
        <is>
          <t>GLOBAL HEAVY ALGERIA</t>
        </is>
      </c>
      <c r="I155" s="80" t="inlineStr">
        <is>
          <t>REMORQUES</t>
        </is>
      </c>
      <c r="J155" s="77" t="inlineStr">
        <is>
          <t>LOURD</t>
        </is>
      </c>
      <c r="K155" s="78">
        <f>D155+8</f>
        <v/>
      </c>
      <c r="L155" s="78">
        <f>K155+60</f>
        <v/>
      </c>
      <c r="M155" s="82" t="n"/>
      <c r="N155" s="83">
        <f>E155-3</f>
        <v/>
      </c>
      <c r="O155" s="84">
        <f>F155/E155*N155</f>
        <v/>
      </c>
      <c r="P155" s="83">
        <f>G155/E155*N155</f>
        <v/>
      </c>
      <c r="Q155" s="80" t="n"/>
      <c r="R155" s="80" t="n"/>
      <c r="S155" s="80" t="inlineStr">
        <is>
          <t>HN25163LDJD014-17</t>
        </is>
      </c>
      <c r="T155" s="86" t="n">
        <v>14</v>
      </c>
      <c r="U155" s="80" t="n"/>
      <c r="V155" s="76" t="n"/>
      <c r="W155" s="76" t="n"/>
      <c r="X155" s="76" t="inlineStr">
        <is>
          <t>SOLDEE</t>
        </is>
      </c>
      <c r="Y155" s="116">
        <f>F155/E155</f>
        <v/>
      </c>
      <c r="Z155" s="30" t="n"/>
      <c r="AA155" s="64" t="n">
        <v>199</v>
      </c>
    </row>
    <row r="156" ht="18" customHeight="1" s="202">
      <c r="A156" s="76" t="n">
        <v>20250233</v>
      </c>
      <c r="B156" s="77" t="inlineStr">
        <is>
          <t>HONOUR</t>
        </is>
      </c>
      <c r="C156" s="78" t="n">
        <v>45900</v>
      </c>
      <c r="D156" s="78" t="n">
        <v>45904</v>
      </c>
      <c r="E156" s="76" t="n">
        <v>3</v>
      </c>
      <c r="F156" s="76" t="n">
        <v>38.4288857142857</v>
      </c>
      <c r="G156" s="76" t="n">
        <v>72</v>
      </c>
      <c r="H156" s="80" t="inlineStr">
        <is>
          <t>GLOBAL HEAVY ALGERIA</t>
        </is>
      </c>
      <c r="I156" s="80" t="inlineStr">
        <is>
          <t>CAMION POMPE A BETON</t>
        </is>
      </c>
      <c r="J156" s="77" t="inlineStr">
        <is>
          <t>LOURD</t>
        </is>
      </c>
      <c r="K156" s="78">
        <f>D156+8</f>
        <v/>
      </c>
      <c r="L156" s="78">
        <f>K156+60</f>
        <v/>
      </c>
      <c r="M156" s="82" t="n"/>
      <c r="N156" s="83">
        <f>E156-3</f>
        <v/>
      </c>
      <c r="O156" s="84">
        <f>F156/E156*N156</f>
        <v/>
      </c>
      <c r="P156" s="83">
        <f>G156/E156*N156</f>
        <v/>
      </c>
      <c r="Q156" s="80" t="n"/>
      <c r="R156" s="80" t="n"/>
      <c r="S156" s="80" t="inlineStr">
        <is>
          <t>HN25163LDJD014-17</t>
        </is>
      </c>
      <c r="T156" s="86" t="n">
        <v>14</v>
      </c>
      <c r="U156" s="80" t="n"/>
      <c r="V156" s="76" t="n"/>
      <c r="W156" s="76" t="n"/>
      <c r="X156" s="76" t="inlineStr">
        <is>
          <t>SOLDEE</t>
        </is>
      </c>
      <c r="Y156" s="116">
        <f>F156/E156</f>
        <v/>
      </c>
      <c r="Z156" s="30" t="n"/>
      <c r="AA156" s="64" t="n">
        <v>294</v>
      </c>
    </row>
    <row r="157" ht="18" customHeight="1" s="202">
      <c r="A157" s="116" t="n">
        <v>20250233</v>
      </c>
      <c r="B157" s="117" t="inlineStr">
        <is>
          <t>HONOUR</t>
        </is>
      </c>
      <c r="C157" s="118" t="n">
        <v>45900</v>
      </c>
      <c r="D157" s="118" t="n">
        <v>45904</v>
      </c>
      <c r="E157" s="67" t="n">
        <v>1</v>
      </c>
      <c r="F157" s="119" t="n">
        <v>12.8096285714286</v>
      </c>
      <c r="G157" s="120" t="n">
        <v>24</v>
      </c>
      <c r="H157" s="121" t="inlineStr">
        <is>
          <t>GLOBAL HEAVY ALGERIA</t>
        </is>
      </c>
      <c r="I157" s="121" t="inlineStr">
        <is>
          <t>CHARGEURS</t>
        </is>
      </c>
      <c r="J157" s="117" t="inlineStr">
        <is>
          <t>ENGINS</t>
        </is>
      </c>
      <c r="K157" s="53">
        <f>D157+8</f>
        <v/>
      </c>
      <c r="L157" s="53">
        <f>K157+60</f>
        <v/>
      </c>
      <c r="M157" s="71" t="n"/>
      <c r="N157" s="72">
        <f>E157</f>
        <v/>
      </c>
      <c r="O157" s="50">
        <f>F157/E157*N157</f>
        <v/>
      </c>
      <c r="P157" s="273">
        <f>G157/E157*N157</f>
        <v/>
      </c>
      <c r="Q157" s="224" t="n"/>
      <c r="R157" s="58" t="n"/>
      <c r="S157" s="200" t="inlineStr">
        <is>
          <t>HN25163LDJD014-17</t>
        </is>
      </c>
      <c r="T157" s="201" t="n">
        <v>14</v>
      </c>
      <c r="U157" s="58" t="n"/>
      <c r="V157" s="67" t="n"/>
      <c r="W157" s="67" t="n"/>
      <c r="X157" s="62" t="inlineStr">
        <is>
          <t>N-OP</t>
        </is>
      </c>
      <c r="Y157" s="116">
        <f>F157/E157</f>
        <v/>
      </c>
      <c r="Z157" s="64">
        <f>E157-N157</f>
        <v/>
      </c>
      <c r="AA157" s="64" t="n">
        <v>17</v>
      </c>
    </row>
    <row r="158" ht="18" customHeight="1" s="202">
      <c r="A158" s="116" t="n">
        <v>20250233</v>
      </c>
      <c r="B158" s="117" t="inlineStr">
        <is>
          <t>HONOUR</t>
        </is>
      </c>
      <c r="C158" s="118" t="n">
        <v>45900</v>
      </c>
      <c r="D158" s="118" t="n">
        <v>45904</v>
      </c>
      <c r="E158" s="67" t="n">
        <v>24</v>
      </c>
      <c r="F158" s="119" t="n">
        <v>0</v>
      </c>
      <c r="G158" s="120" t="n">
        <v>50</v>
      </c>
      <c r="H158" s="121" t="inlineStr">
        <is>
          <t>GLOBAL HEAVY ALGERIA</t>
        </is>
      </c>
      <c r="I158" s="121" t="inlineStr">
        <is>
          <t>COLIS</t>
        </is>
      </c>
      <c r="J158" s="117" t="inlineStr">
        <is>
          <t>COLIS</t>
        </is>
      </c>
      <c r="K158" s="53">
        <f>D158+8</f>
        <v/>
      </c>
      <c r="L158" s="53">
        <f>K158+60</f>
        <v/>
      </c>
      <c r="M158" s="71" t="n"/>
      <c r="N158" s="72">
        <f>E158</f>
        <v/>
      </c>
      <c r="O158" s="50">
        <f>F158/E158*N158</f>
        <v/>
      </c>
      <c r="P158" s="273">
        <f>G158/E158*N158</f>
        <v/>
      </c>
      <c r="Q158" s="224" t="n"/>
      <c r="R158" s="58" t="n"/>
      <c r="S158" s="200" t="inlineStr">
        <is>
          <t>HN25163LDJD014-17</t>
        </is>
      </c>
      <c r="T158" s="201" t="n">
        <v>14</v>
      </c>
      <c r="U158" s="58" t="n"/>
      <c r="V158" s="67" t="n"/>
      <c r="W158" s="67" t="n"/>
      <c r="X158" s="62" t="inlineStr">
        <is>
          <t>N-OP</t>
        </is>
      </c>
      <c r="Y158" s="116">
        <f>F158/E158</f>
        <v/>
      </c>
      <c r="Z158" s="64">
        <f>E158-N158</f>
        <v/>
      </c>
      <c r="AA158" s="30" t="n"/>
    </row>
    <row r="159" ht="18" customHeight="1" s="202">
      <c r="A159" s="76" t="n">
        <v>20250233</v>
      </c>
      <c r="B159" s="77" t="inlineStr">
        <is>
          <t>HONOUR</t>
        </is>
      </c>
      <c r="C159" s="78" t="n">
        <v>45900</v>
      </c>
      <c r="D159" s="78" t="n">
        <v>45904</v>
      </c>
      <c r="E159" s="76" t="n">
        <v>5</v>
      </c>
      <c r="F159" s="79" t="n">
        <v>4.252</v>
      </c>
      <c r="G159" s="76" t="n">
        <v>20</v>
      </c>
      <c r="H159" s="80" t="inlineStr">
        <is>
          <t>GLOBAL HEAVY ALGERIA</t>
        </is>
      </c>
      <c r="I159" s="80" t="inlineStr">
        <is>
          <t>COLIS</t>
        </is>
      </c>
      <c r="J159" s="77" t="inlineStr">
        <is>
          <t>COLIS</t>
        </is>
      </c>
      <c r="K159" s="78">
        <f>D159+8</f>
        <v/>
      </c>
      <c r="L159" s="78">
        <f>K159+60</f>
        <v/>
      </c>
      <c r="M159" s="82" t="n"/>
      <c r="N159" s="83">
        <f>E159-5</f>
        <v/>
      </c>
      <c r="O159" s="84">
        <f>F159/E159*N159</f>
        <v/>
      </c>
      <c r="P159" s="83">
        <f>G159/E159*N159</f>
        <v/>
      </c>
      <c r="Q159" s="80" t="n"/>
      <c r="R159" s="80" t="n"/>
      <c r="S159" s="80" t="inlineStr">
        <is>
          <t>HN25163LDJD018</t>
        </is>
      </c>
      <c r="T159" s="86" t="n">
        <v>1</v>
      </c>
      <c r="U159" s="80" t="n"/>
      <c r="V159" s="76" t="n"/>
      <c r="W159" s="76" t="n"/>
      <c r="X159" s="76" t="inlineStr">
        <is>
          <t>SOLDEE</t>
        </is>
      </c>
      <c r="Y159" s="116">
        <f>F159/E159</f>
        <v/>
      </c>
      <c r="Z159" s="30" t="n"/>
      <c r="AA159" s="64" t="n">
        <v>10</v>
      </c>
    </row>
    <row r="160" ht="18" customHeight="1" s="202">
      <c r="A160" s="76" t="n">
        <v>20250233</v>
      </c>
      <c r="B160" s="77" t="inlineStr">
        <is>
          <t>HONOUR</t>
        </is>
      </c>
      <c r="C160" s="78" t="n">
        <v>45900</v>
      </c>
      <c r="D160" s="78" t="n">
        <v>45904</v>
      </c>
      <c r="E160" s="76" t="n">
        <v>15</v>
      </c>
      <c r="F160" s="79" t="n">
        <v>22.5</v>
      </c>
      <c r="G160" s="76" t="n">
        <v>80</v>
      </c>
      <c r="H160" s="80" t="inlineStr">
        <is>
          <t>GLOBAL HEAVY ALGERIA</t>
        </is>
      </c>
      <c r="I160" s="80" t="inlineStr">
        <is>
          <t>COLIS</t>
        </is>
      </c>
      <c r="J160" s="77" t="inlineStr">
        <is>
          <t>COLIS</t>
        </is>
      </c>
      <c r="K160" s="174">
        <f>D160+8</f>
        <v/>
      </c>
      <c r="L160" s="174">
        <f>K160+60</f>
        <v/>
      </c>
      <c r="M160" s="82" t="n"/>
      <c r="N160" s="83">
        <f>E160-15</f>
        <v/>
      </c>
      <c r="O160" s="84">
        <f>F160/E160*N160</f>
        <v/>
      </c>
      <c r="P160" s="85">
        <f>G160/E160*N160</f>
        <v/>
      </c>
      <c r="Q160" s="80" t="n"/>
      <c r="R160" s="80" t="n"/>
      <c r="S160" s="80" t="inlineStr">
        <is>
          <t>HN25163LDJD059</t>
        </is>
      </c>
      <c r="T160" s="86" t="n">
        <v>3</v>
      </c>
      <c r="U160" s="80" t="n"/>
      <c r="V160" s="76" t="n"/>
      <c r="W160" s="76" t="n"/>
      <c r="X160" s="76" t="inlineStr">
        <is>
          <t>SOLDEE</t>
        </is>
      </c>
      <c r="Y160" s="116">
        <f>F160/E160</f>
        <v/>
      </c>
      <c r="Z160" s="30" t="n"/>
      <c r="AA160" s="64" t="n">
        <v>113</v>
      </c>
    </row>
    <row r="161" ht="18" customHeight="1" s="202">
      <c r="A161" s="188" t="n">
        <v>20250233</v>
      </c>
      <c r="B161" s="189" t="inlineStr">
        <is>
          <t>HONOUR</t>
        </is>
      </c>
      <c r="C161" s="190" t="n">
        <v>45900</v>
      </c>
      <c r="D161" s="190" t="n">
        <v>45904</v>
      </c>
      <c r="E161" s="191" t="n">
        <v>2</v>
      </c>
      <c r="F161" s="192" t="n">
        <v>72</v>
      </c>
      <c r="G161" s="193" t="n">
        <v>48</v>
      </c>
      <c r="H161" s="194" t="inlineStr">
        <is>
          <t>SARL HYDROBAT SUD</t>
        </is>
      </c>
      <c r="I161" s="194" t="inlineStr">
        <is>
          <t>EXCAVATEURS</t>
        </is>
      </c>
      <c r="J161" s="189" t="inlineStr">
        <is>
          <t>ENGINS</t>
        </is>
      </c>
      <c r="K161" s="53">
        <f>D161+8</f>
        <v/>
      </c>
      <c r="L161" s="53">
        <f>K161+60</f>
        <v/>
      </c>
      <c r="M161" s="195" t="n"/>
      <c r="N161" s="196">
        <f>E161-1</f>
        <v/>
      </c>
      <c r="O161" s="197">
        <f>F161/E161*N161</f>
        <v/>
      </c>
      <c r="P161" s="198">
        <f>G161/E161*N161</f>
        <v/>
      </c>
      <c r="Q161" s="199" t="n"/>
      <c r="R161" s="204" t="n"/>
      <c r="S161" s="200" t="inlineStr">
        <is>
          <t>HN25163LDJD082</t>
        </is>
      </c>
      <c r="T161" s="201" t="n">
        <v>68</v>
      </c>
      <c r="U161" s="204" t="n"/>
      <c r="V161" s="67" t="n"/>
      <c r="W161" s="67" t="n"/>
      <c r="X161" s="99" t="inlineStr">
        <is>
          <t>OPER</t>
        </is>
      </c>
      <c r="Y161" s="116">
        <f>F161/E161</f>
        <v/>
      </c>
      <c r="Z161" s="64">
        <f>E161-N161</f>
        <v/>
      </c>
      <c r="AA161" s="64" t="n">
        <v>8</v>
      </c>
    </row>
    <row r="162" ht="18" customHeight="1" s="202">
      <c r="A162" s="76" t="n">
        <v>20250233</v>
      </c>
      <c r="B162" s="77" t="inlineStr">
        <is>
          <t>HONOUR</t>
        </is>
      </c>
      <c r="C162" s="78" t="n">
        <v>45900</v>
      </c>
      <c r="D162" s="78" t="n">
        <v>45904</v>
      </c>
      <c r="E162" s="76" t="n">
        <v>4</v>
      </c>
      <c r="F162" s="79" t="n">
        <v>0</v>
      </c>
      <c r="G162" s="102" t="n">
        <v>12</v>
      </c>
      <c r="H162" s="80" t="inlineStr">
        <is>
          <t>SARL HYDROBAT SUD</t>
        </is>
      </c>
      <c r="I162" s="80" t="inlineStr">
        <is>
          <t>COLIS</t>
        </is>
      </c>
      <c r="J162" s="77" t="inlineStr">
        <is>
          <t>COLIS</t>
        </is>
      </c>
      <c r="K162" s="174">
        <f>D162+8</f>
        <v/>
      </c>
      <c r="L162" s="174">
        <f>K162+60</f>
        <v/>
      </c>
      <c r="M162" s="82" t="n"/>
      <c r="N162" s="83">
        <f>E162-4</f>
        <v/>
      </c>
      <c r="O162" s="84">
        <f>F162/E162*N162</f>
        <v/>
      </c>
      <c r="P162" s="85">
        <f>G162/E162*N162</f>
        <v/>
      </c>
      <c r="Q162" s="80" t="n"/>
      <c r="R162" s="80" t="n"/>
      <c r="S162" s="80" t="inlineStr">
        <is>
          <t>HN25163LDJD082</t>
        </is>
      </c>
      <c r="T162" s="86" t="n">
        <v>68</v>
      </c>
      <c r="U162" s="80" t="n"/>
      <c r="V162" s="76" t="n"/>
      <c r="W162" s="76" t="n"/>
      <c r="X162" s="76" t="inlineStr">
        <is>
          <t>SOLDEE</t>
        </is>
      </c>
      <c r="Y162" s="116">
        <f>F162/E162</f>
        <v/>
      </c>
      <c r="Z162" s="30" t="n"/>
      <c r="AA162" s="64" t="n">
        <v>100</v>
      </c>
    </row>
    <row r="163" ht="18" customHeight="1" s="202">
      <c r="A163" s="116" t="n">
        <v>20250204</v>
      </c>
      <c r="B163" s="117" t="inlineStr">
        <is>
          <t>JIA DE CHANG HE</t>
        </is>
      </c>
      <c r="C163" s="118" t="n">
        <v>45873</v>
      </c>
      <c r="D163" s="118" t="n">
        <v>45907</v>
      </c>
      <c r="E163" s="67" t="n">
        <v>1</v>
      </c>
      <c r="F163" s="119" t="n">
        <v>0.406</v>
      </c>
      <c r="G163" s="120" t="n">
        <v>3</v>
      </c>
      <c r="H163" s="121" t="inlineStr">
        <is>
          <t>CHELLEL CONSTRUCTION ET URBANCHELLEL SARL</t>
        </is>
      </c>
      <c r="I163" s="121" t="inlineStr">
        <is>
          <t>COLIS</t>
        </is>
      </c>
      <c r="J163" s="117" t="inlineStr">
        <is>
          <t>COLIS</t>
        </is>
      </c>
      <c r="K163" s="53">
        <f>D163+8</f>
        <v/>
      </c>
      <c r="L163" s="53">
        <f>K163+60</f>
        <v/>
      </c>
      <c r="M163" s="71" t="n"/>
      <c r="N163" s="72">
        <f>E163</f>
        <v/>
      </c>
      <c r="O163" s="50">
        <f>F163/E163*N163</f>
        <v/>
      </c>
      <c r="P163" s="273">
        <f>G163/E163*N163</f>
        <v/>
      </c>
      <c r="Q163" s="224" t="n"/>
      <c r="R163" s="58" t="n"/>
      <c r="S163" s="200" t="inlineStr">
        <is>
          <t>JH25126LDJD134</t>
        </is>
      </c>
      <c r="T163" s="201" t="n">
        <v>129</v>
      </c>
      <c r="U163" s="58" t="n"/>
      <c r="V163" s="67" t="n"/>
      <c r="W163" s="67" t="n"/>
      <c r="X163" s="62" t="inlineStr">
        <is>
          <t>N-OP</t>
        </is>
      </c>
      <c r="Y163" s="116">
        <f>F163/E163</f>
        <v/>
      </c>
      <c r="Z163" s="64">
        <f>E163-N163</f>
        <v/>
      </c>
      <c r="AA163" s="64" t="n">
        <v>32</v>
      </c>
    </row>
    <row r="164" ht="18" customHeight="1" s="202">
      <c r="A164" s="116" t="n">
        <v>20250204</v>
      </c>
      <c r="B164" s="117" t="inlineStr">
        <is>
          <t>JIA DE CHANG HE</t>
        </is>
      </c>
      <c r="C164" s="118" t="n">
        <v>45873</v>
      </c>
      <c r="D164" s="118" t="n">
        <v>45907</v>
      </c>
      <c r="E164" s="67" t="n">
        <v>2</v>
      </c>
      <c r="F164" s="119" t="n">
        <v>0.356</v>
      </c>
      <c r="G164" s="120" t="n">
        <v>6</v>
      </c>
      <c r="H164" s="121" t="inlineStr">
        <is>
          <t>BOUMALEK MOHAMED MALIK</t>
        </is>
      </c>
      <c r="I164" s="121" t="inlineStr">
        <is>
          <t>COLIS</t>
        </is>
      </c>
      <c r="J164" s="117" t="inlineStr">
        <is>
          <t>COLIS</t>
        </is>
      </c>
      <c r="K164" s="53">
        <f>D164+8</f>
        <v/>
      </c>
      <c r="L164" s="53">
        <f>K164+60</f>
        <v/>
      </c>
      <c r="M164" s="71" t="n"/>
      <c r="N164" s="72">
        <f>E164</f>
        <v/>
      </c>
      <c r="O164" s="50">
        <f>F164/E164*N164</f>
        <v/>
      </c>
      <c r="P164" s="273">
        <f>G164/E164*N164</f>
        <v/>
      </c>
      <c r="Q164" s="224" t="n"/>
      <c r="R164" s="58" t="n"/>
      <c r="S164" s="200" t="inlineStr">
        <is>
          <t>JH25126LDJD135</t>
        </is>
      </c>
      <c r="T164" s="201" t="n">
        <v>130</v>
      </c>
      <c r="U164" s="58" t="n"/>
      <c r="V164" s="67" t="n"/>
      <c r="W164" s="67" t="n"/>
      <c r="X164" s="62" t="inlineStr">
        <is>
          <t>N-OP</t>
        </is>
      </c>
      <c r="Y164" s="116">
        <f>F164/E164</f>
        <v/>
      </c>
      <c r="Z164" s="64">
        <f>E164-N164</f>
        <v/>
      </c>
      <c r="AA164" s="30" t="n"/>
    </row>
    <row r="165" ht="18" customHeight="1" s="202">
      <c r="A165" s="188" t="n">
        <v>20250204</v>
      </c>
      <c r="B165" s="189" t="inlineStr">
        <is>
          <t>JIA DE CHANG HE</t>
        </is>
      </c>
      <c r="C165" s="190" t="n">
        <v>45873</v>
      </c>
      <c r="D165" s="190" t="n">
        <v>45907</v>
      </c>
      <c r="E165" s="191" t="n">
        <v>280</v>
      </c>
      <c r="F165" s="192" t="n">
        <v>1513.775</v>
      </c>
      <c r="G165" s="193" t="n">
        <v>224</v>
      </c>
      <c r="H165" s="194" t="inlineStr">
        <is>
          <t>EL GUEDRA, ZONE SARL</t>
        </is>
      </c>
      <c r="I165" s="194" t="inlineStr">
        <is>
          <t>POUTRELLES</t>
        </is>
      </c>
      <c r="J165" s="189" t="inlineStr">
        <is>
          <t>POUTRELLES</t>
        </is>
      </c>
      <c r="K165" s="53">
        <f>D165+8</f>
        <v/>
      </c>
      <c r="L165" s="53">
        <f>K165+60</f>
        <v/>
      </c>
      <c r="M165" s="195" t="n"/>
      <c r="N165" s="196">
        <f>E165-54-40-54-17-9-7-17-39-18-9-9</f>
        <v/>
      </c>
      <c r="O165" s="197">
        <f>F165/E165*N165</f>
        <v/>
      </c>
      <c r="P165" s="198">
        <f>G165/E165*N165</f>
        <v/>
      </c>
      <c r="Q165" s="224" t="n"/>
      <c r="R165" s="204" t="inlineStr">
        <is>
          <t>RED</t>
        </is>
      </c>
      <c r="S165" s="200" t="inlineStr">
        <is>
          <t>JH25126LDJD110</t>
        </is>
      </c>
      <c r="T165" s="201" t="n">
        <v>107</v>
      </c>
      <c r="U165" s="204" t="n"/>
      <c r="V165" s="67" t="n"/>
      <c r="W165" s="67" t="n"/>
      <c r="X165" s="99" t="inlineStr">
        <is>
          <t>OPER</t>
        </is>
      </c>
      <c r="Y165" s="116">
        <f>F165/E165</f>
        <v/>
      </c>
      <c r="Z165" s="64">
        <f>E165-N165</f>
        <v/>
      </c>
      <c r="AA165" s="64" t="n">
        <v>1</v>
      </c>
    </row>
    <row r="166" ht="18" customHeight="1" s="202">
      <c r="A166" s="116" t="n">
        <v>20250204</v>
      </c>
      <c r="B166" s="117" t="inlineStr">
        <is>
          <t>JIA DE CHANG HE</t>
        </is>
      </c>
      <c r="C166" s="118" t="n">
        <v>45873</v>
      </c>
      <c r="D166" s="118" t="n">
        <v>45907</v>
      </c>
      <c r="E166" s="67" t="n">
        <v>342</v>
      </c>
      <c r="F166" s="119" t="n">
        <v>1825.982</v>
      </c>
      <c r="G166" s="120" t="n">
        <v>273</v>
      </c>
      <c r="H166" s="121" t="inlineStr">
        <is>
          <t>STEEL TRANS SARL</t>
        </is>
      </c>
      <c r="I166" s="121" t="inlineStr">
        <is>
          <t>POUTRELLES</t>
        </is>
      </c>
      <c r="J166" s="117" t="inlineStr">
        <is>
          <t>POUTRELLES</t>
        </is>
      </c>
      <c r="K166" s="53">
        <f>D166+8</f>
        <v/>
      </c>
      <c r="L166" s="53">
        <f>K166+60</f>
        <v/>
      </c>
      <c r="M166" s="71" t="n"/>
      <c r="N166" s="72">
        <f>E166</f>
        <v/>
      </c>
      <c r="O166" s="50">
        <f>F166/E166*N166</f>
        <v/>
      </c>
      <c r="P166" s="273">
        <f>G166/E166*N166</f>
        <v/>
      </c>
      <c r="Q166" s="224" t="n"/>
      <c r="R166" s="204" t="inlineStr">
        <is>
          <t>RED</t>
        </is>
      </c>
      <c r="S166" s="200" t="inlineStr">
        <is>
          <t>JH25126LDJD121</t>
        </is>
      </c>
      <c r="T166" s="201" t="n">
        <v>119</v>
      </c>
      <c r="U166" s="204" t="n"/>
      <c r="V166" s="67" t="n"/>
      <c r="W166" s="67" t="n"/>
      <c r="X166" s="62" t="inlineStr">
        <is>
          <t>N-OP</t>
        </is>
      </c>
      <c r="Y166" s="116">
        <f>F166/E166</f>
        <v/>
      </c>
      <c r="Z166" s="64">
        <f>E166-N166</f>
        <v/>
      </c>
      <c r="AA166" s="30" t="n"/>
    </row>
    <row r="167" ht="18" customHeight="1" s="202">
      <c r="A167" s="116" t="n">
        <v>20250204</v>
      </c>
      <c r="B167" s="117" t="inlineStr">
        <is>
          <t>JIA DE CHANG HE</t>
        </is>
      </c>
      <c r="C167" s="118" t="n">
        <v>45873</v>
      </c>
      <c r="D167" s="118" t="n">
        <v>45907</v>
      </c>
      <c r="E167" s="67" t="n">
        <v>34</v>
      </c>
      <c r="F167" s="119" t="n">
        <v>146.28</v>
      </c>
      <c r="G167" s="120" t="n">
        <v>27</v>
      </c>
      <c r="H167" s="121" t="inlineStr">
        <is>
          <t>STEEL TRANS SARL</t>
        </is>
      </c>
      <c r="I167" s="121" t="inlineStr">
        <is>
          <t>POUTRELLES</t>
        </is>
      </c>
      <c r="J167" s="117" t="inlineStr">
        <is>
          <t>POUTRELLES</t>
        </is>
      </c>
      <c r="K167" s="53">
        <f>D167+8</f>
        <v/>
      </c>
      <c r="L167" s="53">
        <f>K167+60</f>
        <v/>
      </c>
      <c r="M167" s="71" t="n"/>
      <c r="N167" s="72">
        <f>E167</f>
        <v/>
      </c>
      <c r="O167" s="50">
        <f>F167/E167*N167</f>
        <v/>
      </c>
      <c r="P167" s="273">
        <f>G167/E167*N167</f>
        <v/>
      </c>
      <c r="Q167" s="224" t="n"/>
      <c r="R167" s="204" t="inlineStr">
        <is>
          <t>RED</t>
        </is>
      </c>
      <c r="S167" s="200" t="inlineStr">
        <is>
          <t>JH25126XDJD034</t>
        </is>
      </c>
      <c r="T167" s="201" t="n">
        <v>139</v>
      </c>
      <c r="U167" s="204" t="n"/>
      <c r="V167" s="67" t="n"/>
      <c r="W167" s="67" t="n"/>
      <c r="X167" s="62" t="inlineStr">
        <is>
          <t>N-OP</t>
        </is>
      </c>
      <c r="Y167" s="116">
        <f>F167/E167</f>
        <v/>
      </c>
      <c r="Z167" s="64">
        <f>E167-N167</f>
        <v/>
      </c>
      <c r="AA167" s="64" t="n">
        <v>785</v>
      </c>
    </row>
    <row r="168" ht="18" customHeight="1" s="202">
      <c r="A168" s="87" t="n">
        <v>20250232</v>
      </c>
      <c r="B168" s="88" t="inlineStr">
        <is>
          <t>ATHOS</t>
        </is>
      </c>
      <c r="C168" s="89" t="n">
        <v>45899</v>
      </c>
      <c r="D168" s="190" t="n">
        <v>45922</v>
      </c>
      <c r="E168" s="191" t="n">
        <v>330</v>
      </c>
      <c r="F168" s="192" t="n">
        <v>598.077</v>
      </c>
      <c r="G168" s="193" t="n">
        <v>161</v>
      </c>
      <c r="H168" s="194" t="inlineStr">
        <is>
          <t>EURL RECMA PLAST</t>
        </is>
      </c>
      <c r="I168" s="194" t="inlineStr">
        <is>
          <t>MDF</t>
        </is>
      </c>
      <c r="J168" s="189" t="inlineStr">
        <is>
          <t>CTP</t>
        </is>
      </c>
      <c r="K168" s="53">
        <f>D168+8</f>
        <v/>
      </c>
      <c r="L168" s="53">
        <f>K168+60</f>
        <v/>
      </c>
      <c r="M168" s="195" t="n"/>
      <c r="N168" s="196">
        <f>E168-14-116-104-84-6</f>
        <v/>
      </c>
      <c r="O168" s="197">
        <f>F168/E168*N168</f>
        <v/>
      </c>
      <c r="P168" s="198">
        <f>G168/E168*N168</f>
        <v/>
      </c>
      <c r="Q168" s="224" t="n"/>
      <c r="R168" s="58" t="n"/>
      <c r="S168" s="200" t="inlineStr">
        <is>
          <t>AH25146LDJD108</t>
        </is>
      </c>
      <c r="T168" s="201" t="n">
        <v>8</v>
      </c>
      <c r="U168" s="58" t="n"/>
      <c r="V168" s="67" t="n"/>
      <c r="W168" s="67" t="n"/>
      <c r="X168" s="99" t="inlineStr">
        <is>
          <t>OPER</t>
        </is>
      </c>
      <c r="Y168" s="116">
        <f>F168/E168</f>
        <v/>
      </c>
      <c r="Z168" s="64">
        <f>E168-N168</f>
        <v/>
      </c>
      <c r="AA168" s="64" t="n">
        <v>743</v>
      </c>
    </row>
    <row r="169" ht="18" customHeight="1" s="202">
      <c r="A169" s="188" t="n">
        <v>20250232</v>
      </c>
      <c r="B169" s="189" t="inlineStr">
        <is>
          <t>ATHOS</t>
        </is>
      </c>
      <c r="C169" s="190" t="n">
        <v>45899</v>
      </c>
      <c r="D169" s="190" t="n">
        <v>45922</v>
      </c>
      <c r="E169" s="191" t="n">
        <v>320</v>
      </c>
      <c r="F169" s="192" t="n">
        <v>655.164</v>
      </c>
      <c r="G169" s="193" t="n">
        <v>156</v>
      </c>
      <c r="H169" s="194" t="inlineStr">
        <is>
          <t>DJOUDI MESSAOUD</t>
        </is>
      </c>
      <c r="I169" s="194" t="inlineStr">
        <is>
          <t>MDF</t>
        </is>
      </c>
      <c r="J169" s="189" t="inlineStr">
        <is>
          <t>CTP</t>
        </is>
      </c>
      <c r="K169" s="53">
        <f>D169+8</f>
        <v/>
      </c>
      <c r="L169" s="53">
        <f>K169+60</f>
        <v/>
      </c>
      <c r="M169" s="195" t="n"/>
      <c r="N169" s="196">
        <f>E169-94-40-54-40-40-20-10</f>
        <v/>
      </c>
      <c r="O169" s="197">
        <f>F169/E169*N169</f>
        <v/>
      </c>
      <c r="P169" s="198">
        <f>G169/E169*N169</f>
        <v/>
      </c>
      <c r="Q169" s="224" t="n"/>
      <c r="R169" s="58" t="n"/>
      <c r="S169" s="200" t="inlineStr">
        <is>
          <t>AH25146LDJD113</t>
        </is>
      </c>
      <c r="T169" s="201" t="n">
        <v>103</v>
      </c>
      <c r="U169" s="58" t="n"/>
      <c r="V169" s="67" t="n"/>
      <c r="W169" s="67" t="n"/>
      <c r="X169" s="99" t="inlineStr">
        <is>
          <t>OPER</t>
        </is>
      </c>
      <c r="Y169" s="116">
        <f>F169/E169</f>
        <v/>
      </c>
      <c r="Z169" s="64">
        <f>E169-N169</f>
        <v/>
      </c>
      <c r="AA169" s="30" t="n"/>
    </row>
    <row r="170" ht="18" customHeight="1" s="202">
      <c r="A170" s="116" t="n">
        <v>20250232</v>
      </c>
      <c r="B170" s="117" t="inlineStr">
        <is>
          <t>ATHOS</t>
        </is>
      </c>
      <c r="C170" s="118" t="n">
        <v>45899</v>
      </c>
      <c r="D170" s="118" t="n">
        <v>45922</v>
      </c>
      <c r="E170" s="67" t="n">
        <v>700</v>
      </c>
      <c r="F170" s="119" t="n">
        <v>748.279</v>
      </c>
      <c r="G170" s="120" t="n">
        <v>342</v>
      </c>
      <c r="H170" s="121" t="inlineStr">
        <is>
          <t>EURL GHAMOUD MOHAMED PRODUCTION CERAMIQES</t>
        </is>
      </c>
      <c r="I170" s="121" t="inlineStr">
        <is>
          <t>FFP</t>
        </is>
      </c>
      <c r="J170" s="117" t="inlineStr">
        <is>
          <t>CTP</t>
        </is>
      </c>
      <c r="K170" s="53">
        <f>D170+8</f>
        <v/>
      </c>
      <c r="L170" s="53">
        <f>K170+60</f>
        <v/>
      </c>
      <c r="M170" s="71" t="n"/>
      <c r="N170" s="72">
        <f>E170</f>
        <v/>
      </c>
      <c r="O170" s="50">
        <f>F170/E170*N170</f>
        <v/>
      </c>
      <c r="P170" s="273">
        <f>G170/E170*N170</f>
        <v/>
      </c>
      <c r="Q170" s="224" t="n"/>
      <c r="R170" s="58" t="n"/>
      <c r="S170" s="200" t="inlineStr">
        <is>
          <t>AH25146LDJD114H</t>
        </is>
      </c>
      <c r="T170" s="201" t="n">
        <v>107</v>
      </c>
      <c r="U170" s="58" t="n"/>
      <c r="V170" s="67" t="n"/>
      <c r="W170" s="67" t="n"/>
      <c r="X170" s="62" t="inlineStr">
        <is>
          <t>N-OP</t>
        </is>
      </c>
      <c r="Y170" s="116">
        <f>F170/E170</f>
        <v/>
      </c>
      <c r="Z170" s="64">
        <f>E170-N170</f>
        <v/>
      </c>
      <c r="AA170" s="30" t="n"/>
    </row>
    <row r="171" ht="18" customHeight="1" s="202">
      <c r="A171" s="188" t="n">
        <v>20250232</v>
      </c>
      <c r="B171" s="189" t="inlineStr">
        <is>
          <t>ATHOS</t>
        </is>
      </c>
      <c r="C171" s="190" t="n">
        <v>45899</v>
      </c>
      <c r="D171" s="190" t="n">
        <v>45922</v>
      </c>
      <c r="E171" s="191" t="n">
        <v>724</v>
      </c>
      <c r="F171" s="192" t="n">
        <v>2985.983</v>
      </c>
      <c r="G171" s="193" t="n">
        <v>442</v>
      </c>
      <c r="H171" s="194" t="inlineStr">
        <is>
          <t>EPE SAPTA SPA</t>
        </is>
      </c>
      <c r="I171" s="194" t="inlineStr">
        <is>
          <t>TOLES EN PLAQUES</t>
        </is>
      </c>
      <c r="J171" s="189" t="inlineStr">
        <is>
          <t>TOLES EN PLAQUES</t>
        </is>
      </c>
      <c r="K171" s="53">
        <f>D171+8</f>
        <v/>
      </c>
      <c r="L171" s="53">
        <f>K171+60</f>
        <v/>
      </c>
      <c r="M171" s="195" t="n"/>
      <c r="N171" s="196">
        <f>E171-300-105-40-82-120-40-10-17-5</f>
        <v/>
      </c>
      <c r="O171" s="197">
        <f>F171/E171*N171</f>
        <v/>
      </c>
      <c r="P171" s="198">
        <f>G171/E171*N171</f>
        <v/>
      </c>
      <c r="Q171" s="224" t="n"/>
      <c r="R171" s="58" t="n"/>
      <c r="S171" s="200" t="inlineStr">
        <is>
          <t>AH25146LDJD127</t>
        </is>
      </c>
      <c r="T171" s="201" t="n">
        <v>120</v>
      </c>
      <c r="U171" s="58" t="n"/>
      <c r="V171" s="67" t="n"/>
      <c r="W171" s="67" t="n"/>
      <c r="X171" s="99" t="inlineStr">
        <is>
          <t>OPER</t>
        </is>
      </c>
      <c r="Y171" s="116">
        <f>F171/E171</f>
        <v/>
      </c>
      <c r="Z171" s="64">
        <f>E171-N171</f>
        <v/>
      </c>
      <c r="AA171" s="30" t="n"/>
    </row>
    <row r="172" ht="18" customHeight="1" s="202">
      <c r="A172" s="116" t="n">
        <v>20250232</v>
      </c>
      <c r="B172" s="117" t="inlineStr">
        <is>
          <t>ATHOS</t>
        </is>
      </c>
      <c r="C172" s="118" t="n">
        <v>45899</v>
      </c>
      <c r="D172" s="118" t="n">
        <v>45922</v>
      </c>
      <c r="E172" s="67" t="n">
        <v>19</v>
      </c>
      <c r="F172" s="119" t="n">
        <v>517.14</v>
      </c>
      <c r="G172" s="120" t="n">
        <v>15</v>
      </c>
      <c r="H172" s="121" t="inlineStr">
        <is>
          <t>EPE ALFA PIPE SPA</t>
        </is>
      </c>
      <c r="I172" s="121" t="inlineStr">
        <is>
          <t>BOBINES</t>
        </is>
      </c>
      <c r="J172" s="117" t="inlineStr">
        <is>
          <t>BOBINES</t>
        </is>
      </c>
      <c r="K172" s="53">
        <f>D172+8</f>
        <v/>
      </c>
      <c r="L172" s="53">
        <f>K172+60</f>
        <v/>
      </c>
      <c r="M172" s="71" t="n"/>
      <c r="N172" s="72">
        <f>E172</f>
        <v/>
      </c>
      <c r="O172" s="50">
        <f>F172/E172*N172</f>
        <v/>
      </c>
      <c r="P172" s="273">
        <f>G172/E172*N172</f>
        <v/>
      </c>
      <c r="Q172" s="224" t="n"/>
      <c r="R172" s="58" t="n"/>
      <c r="S172" s="200" t="inlineStr">
        <is>
          <t>AH25146XDJD007</t>
        </is>
      </c>
      <c r="T172" s="201" t="n">
        <v>140</v>
      </c>
      <c r="U172" s="58" t="n"/>
      <c r="V172" s="67" t="n"/>
      <c r="W172" s="67" t="n"/>
      <c r="X172" s="62" t="inlineStr">
        <is>
          <t>N-OP</t>
        </is>
      </c>
      <c r="Y172" s="116">
        <f>F172/E172</f>
        <v/>
      </c>
      <c r="Z172" s="64">
        <f>E172-N172</f>
        <v/>
      </c>
      <c r="AA172" s="64" t="n">
        <v>609</v>
      </c>
    </row>
    <row r="173" ht="18" customHeight="1" s="202">
      <c r="A173" s="116" t="n">
        <v>20250232</v>
      </c>
      <c r="B173" s="117" t="inlineStr">
        <is>
          <t>ATHOS</t>
        </is>
      </c>
      <c r="C173" s="118" t="n">
        <v>45899</v>
      </c>
      <c r="D173" s="118" t="n">
        <v>45922</v>
      </c>
      <c r="E173" s="67" t="n">
        <v>1</v>
      </c>
      <c r="F173" s="119" t="n">
        <v>6</v>
      </c>
      <c r="G173" s="120" t="n">
        <v>24</v>
      </c>
      <c r="H173" s="121" t="inlineStr">
        <is>
          <t>SNL POUR COMPTE MAPROGAZ</t>
        </is>
      </c>
      <c r="I173" s="121" t="inlineStr">
        <is>
          <t>CHARGEURS</t>
        </is>
      </c>
      <c r="J173" s="117" t="inlineStr">
        <is>
          <t>ENGINS</t>
        </is>
      </c>
      <c r="K173" s="53">
        <f>D173+8</f>
        <v/>
      </c>
      <c r="L173" s="53">
        <f>K173+60</f>
        <v/>
      </c>
      <c r="M173" s="71" t="n"/>
      <c r="N173" s="72">
        <f>E173</f>
        <v/>
      </c>
      <c r="O173" s="50">
        <f>F173/E173*N173</f>
        <v/>
      </c>
      <c r="P173" s="273">
        <f>G173/E173*N173</f>
        <v/>
      </c>
      <c r="Q173" s="224" t="n"/>
      <c r="R173" s="58" t="n"/>
      <c r="S173" s="200" t="inlineStr">
        <is>
          <t>AH25146LDJD041</t>
        </is>
      </c>
      <c r="T173" s="201" t="n">
        <v>38</v>
      </c>
      <c r="U173" s="58" t="n"/>
      <c r="V173" s="67" t="n"/>
      <c r="W173" s="67" t="n"/>
      <c r="X173" s="62" t="inlineStr">
        <is>
          <t>N-OP</t>
        </is>
      </c>
      <c r="Y173" s="116">
        <f>F173/E173</f>
        <v/>
      </c>
      <c r="Z173" s="64">
        <f>E173-N173</f>
        <v/>
      </c>
      <c r="AA173" s="64" t="n">
        <v>169</v>
      </c>
    </row>
    <row r="174" ht="18" customHeight="1" s="202">
      <c r="A174" s="116" t="n">
        <v>20250232</v>
      </c>
      <c r="B174" s="117" t="inlineStr">
        <is>
          <t>ATHOS</t>
        </is>
      </c>
      <c r="C174" s="118" t="n">
        <v>45899</v>
      </c>
      <c r="D174" s="118" t="n">
        <v>45922</v>
      </c>
      <c r="E174" s="67" t="n">
        <v>1</v>
      </c>
      <c r="F174" s="119" t="n">
        <v>17.11</v>
      </c>
      <c r="G174" s="120" t="n">
        <v>24</v>
      </c>
      <c r="H174" s="121" t="inlineStr">
        <is>
          <t>EURL EWAAN TPH</t>
        </is>
      </c>
      <c r="I174" s="121" t="inlineStr">
        <is>
          <t>REMORQUES</t>
        </is>
      </c>
      <c r="J174" s="117" t="inlineStr">
        <is>
          <t>LOURD</t>
        </is>
      </c>
      <c r="K174" s="53">
        <f>D174+8</f>
        <v/>
      </c>
      <c r="L174" s="53">
        <f>K174+60</f>
        <v/>
      </c>
      <c r="M174" s="71" t="n"/>
      <c r="N174" s="72">
        <f>E174</f>
        <v/>
      </c>
      <c r="O174" s="50">
        <f>F174/E174*N174</f>
        <v/>
      </c>
      <c r="P174" s="273">
        <f>G174/E174*N174</f>
        <v/>
      </c>
      <c r="Q174" s="224" t="n"/>
      <c r="R174" s="58" t="n"/>
      <c r="S174" s="200" t="inlineStr">
        <is>
          <t>AH25146LDJD065</t>
        </is>
      </c>
      <c r="T174" s="201" t="n">
        <v>62</v>
      </c>
      <c r="U174" s="58" t="n"/>
      <c r="V174" s="67" t="n"/>
      <c r="W174" s="67" t="n"/>
      <c r="X174" s="62" t="inlineStr">
        <is>
          <t>N-OP</t>
        </is>
      </c>
      <c r="Y174" s="116">
        <f>F174/E174</f>
        <v/>
      </c>
      <c r="Z174" s="64">
        <f>E174-N174</f>
        <v/>
      </c>
      <c r="AA174" s="64" t="n">
        <v>2</v>
      </c>
    </row>
    <row r="175" ht="18" customHeight="1" s="202">
      <c r="A175" s="116" t="n">
        <v>20250232</v>
      </c>
      <c r="B175" s="117" t="inlineStr">
        <is>
          <t>ATHOS</t>
        </is>
      </c>
      <c r="C175" s="118" t="n">
        <v>45899</v>
      </c>
      <c r="D175" s="118" t="n">
        <v>45922</v>
      </c>
      <c r="E175" s="67" t="n">
        <v>1</v>
      </c>
      <c r="F175" s="119" t="n">
        <v>10.51</v>
      </c>
      <c r="G175" s="120" t="n">
        <v>24</v>
      </c>
      <c r="H175" s="121" t="inlineStr">
        <is>
          <t>EURL EWAAN TPH</t>
        </is>
      </c>
      <c r="I175" s="121" t="inlineStr">
        <is>
          <t>REMORQUES</t>
        </is>
      </c>
      <c r="J175" s="117" t="inlineStr">
        <is>
          <t>LOURD</t>
        </is>
      </c>
      <c r="K175" s="53">
        <f>D175+8</f>
        <v/>
      </c>
      <c r="L175" s="53">
        <f>K175+60</f>
        <v/>
      </c>
      <c r="M175" s="71" t="n"/>
      <c r="N175" s="72">
        <f>E175</f>
        <v/>
      </c>
      <c r="O175" s="50">
        <f>F175/E175*N175</f>
        <v/>
      </c>
      <c r="P175" s="273">
        <f>G175/E175*N175</f>
        <v/>
      </c>
      <c r="Q175" s="224" t="n"/>
      <c r="R175" s="58" t="n"/>
      <c r="S175" s="200" t="inlineStr">
        <is>
          <t>AH25146LDJD066</t>
        </is>
      </c>
      <c r="T175" s="201" t="n">
        <v>63</v>
      </c>
      <c r="U175" s="58" t="n"/>
      <c r="V175" s="67" t="n"/>
      <c r="W175" s="67" t="n"/>
      <c r="X175" s="62" t="inlineStr">
        <is>
          <t>N-OP</t>
        </is>
      </c>
      <c r="Y175" s="116">
        <f>F175/E175</f>
        <v/>
      </c>
      <c r="Z175" s="64">
        <f>E175-N175</f>
        <v/>
      </c>
      <c r="AA175" s="30" t="n"/>
    </row>
    <row r="176" ht="18" customHeight="1" s="202">
      <c r="A176" s="76" t="n">
        <v>20250232</v>
      </c>
      <c r="B176" s="77" t="inlineStr">
        <is>
          <t>ATHOS</t>
        </is>
      </c>
      <c r="C176" s="78" t="n">
        <v>45899</v>
      </c>
      <c r="D176" s="78" t="n">
        <v>45922</v>
      </c>
      <c r="E176" s="76" t="n">
        <v>2</v>
      </c>
      <c r="F176" s="79" t="n">
        <v>68.2</v>
      </c>
      <c r="G176" s="76" t="n">
        <v>48</v>
      </c>
      <c r="H176" s="80" t="inlineStr">
        <is>
          <t>EURL TIGBA</t>
        </is>
      </c>
      <c r="I176" s="80" t="inlineStr">
        <is>
          <t>EXCAVATEURS</t>
        </is>
      </c>
      <c r="J176" s="77" t="inlineStr">
        <is>
          <t>ENGINS</t>
        </is>
      </c>
      <c r="K176" s="78">
        <f>D176+8</f>
        <v/>
      </c>
      <c r="L176" s="78">
        <f>K176+60</f>
        <v/>
      </c>
      <c r="M176" s="82" t="n"/>
      <c r="N176" s="83">
        <f>E176-2</f>
        <v/>
      </c>
      <c r="O176" s="84">
        <f>F176/E176*N176</f>
        <v/>
      </c>
      <c r="P176" s="85">
        <f>G176/E176*N176</f>
        <v/>
      </c>
      <c r="Q176" s="80" t="n"/>
      <c r="R176" s="80" t="n"/>
      <c r="S176" s="80" t="inlineStr">
        <is>
          <t>AH25146LDJD080</t>
        </is>
      </c>
      <c r="T176" s="86" t="n">
        <v>78</v>
      </c>
      <c r="U176" s="80" t="n"/>
      <c r="V176" s="76" t="n"/>
      <c r="W176" s="76" t="n"/>
      <c r="X176" s="76" t="inlineStr">
        <is>
          <t>SOLDEE</t>
        </is>
      </c>
      <c r="Y176" s="116">
        <f>F176/E176</f>
        <v/>
      </c>
      <c r="Z176" s="30" t="n"/>
      <c r="AA176" s="30" t="n"/>
    </row>
    <row r="177" ht="18" customHeight="1" s="202">
      <c r="A177" s="188" t="n">
        <v>20250232</v>
      </c>
      <c r="B177" s="189" t="inlineStr">
        <is>
          <t>ATHOS</t>
        </is>
      </c>
      <c r="C177" s="190" t="n">
        <v>45899</v>
      </c>
      <c r="D177" s="190" t="n">
        <v>45922</v>
      </c>
      <c r="E177" s="191" t="n">
        <v>2</v>
      </c>
      <c r="F177" s="192" t="n">
        <v>0</v>
      </c>
      <c r="G177" s="193" t="n">
        <v>6</v>
      </c>
      <c r="H177" s="194" t="inlineStr">
        <is>
          <t>EURL TIGBA</t>
        </is>
      </c>
      <c r="I177" s="194" t="inlineStr">
        <is>
          <t>COLIS</t>
        </is>
      </c>
      <c r="J177" s="189" t="inlineStr">
        <is>
          <t>COLIS</t>
        </is>
      </c>
      <c r="K177" s="203">
        <f>D177+8</f>
        <v/>
      </c>
      <c r="L177" s="203">
        <f>K177+60</f>
        <v/>
      </c>
      <c r="M177" s="195" t="n"/>
      <c r="N177" s="196">
        <f>E177-1</f>
        <v/>
      </c>
      <c r="O177" s="197">
        <f>F177/E177*N177</f>
        <v/>
      </c>
      <c r="P177" s="198">
        <f>G177/E177*N177</f>
        <v/>
      </c>
      <c r="Q177" s="224" t="n"/>
      <c r="R177" s="58" t="n"/>
      <c r="S177" s="200" t="inlineStr">
        <is>
          <t>AH25146LDJD080</t>
        </is>
      </c>
      <c r="T177" s="201" t="n">
        <v>78</v>
      </c>
      <c r="U177" s="58" t="n"/>
      <c r="V177" s="67" t="n"/>
      <c r="W177" s="67" t="n"/>
      <c r="X177" s="99" t="inlineStr">
        <is>
          <t>OPER</t>
        </is>
      </c>
      <c r="Y177" s="116">
        <f>F177/E177</f>
        <v/>
      </c>
      <c r="Z177" s="64">
        <f>E177-N177</f>
        <v/>
      </c>
      <c r="AA177" s="30" t="n"/>
    </row>
    <row r="178" ht="18" customHeight="1" s="202">
      <c r="A178" s="87" t="n">
        <v>20250225</v>
      </c>
      <c r="B178" s="88" t="inlineStr">
        <is>
          <t>MXD QUANZHOU</t>
        </is>
      </c>
      <c r="C178" s="89" t="n">
        <v>45899</v>
      </c>
      <c r="D178" s="118" t="n">
        <v>45925</v>
      </c>
      <c r="E178" s="67" t="n">
        <v>10</v>
      </c>
      <c r="F178" s="119" t="n">
        <v>145</v>
      </c>
      <c r="G178" s="120" t="n">
        <v>240</v>
      </c>
      <c r="H178" s="121" t="inlineStr">
        <is>
          <t>SARL ANYA INDJAZ</t>
        </is>
      </c>
      <c r="I178" s="121" t="inlineStr">
        <is>
          <t>CAMIONS</t>
        </is>
      </c>
      <c r="J178" s="117" t="inlineStr">
        <is>
          <t>LOURD</t>
        </is>
      </c>
      <c r="K178" s="53">
        <f>D178+8</f>
        <v/>
      </c>
      <c r="L178" s="53">
        <f>K178+60</f>
        <v/>
      </c>
      <c r="M178" s="71" t="n"/>
      <c r="N178" s="72">
        <f>E178</f>
        <v/>
      </c>
      <c r="O178" s="50">
        <f>F178/E178*N178</f>
        <v/>
      </c>
      <c r="P178" s="273">
        <f>G178/E178*N178</f>
        <v/>
      </c>
      <c r="Q178" s="224" t="n"/>
      <c r="R178" s="58" t="n"/>
      <c r="S178" s="200" t="inlineStr">
        <is>
          <t>QZ25149LDJD014</t>
        </is>
      </c>
      <c r="T178" s="201" t="n">
        <v>10</v>
      </c>
      <c r="U178" s="58" t="n"/>
      <c r="V178" s="67" t="n"/>
      <c r="W178" s="67" t="n"/>
      <c r="X178" s="62" t="inlineStr">
        <is>
          <t>N-OP</t>
        </is>
      </c>
      <c r="Y178" s="116">
        <f>F178/E178</f>
        <v/>
      </c>
      <c r="Z178" s="64">
        <f>E178-N178</f>
        <v/>
      </c>
      <c r="AA178" s="30" t="n"/>
    </row>
    <row r="179" ht="18" customHeight="1" s="202">
      <c r="A179" s="76" t="n">
        <v>20250225</v>
      </c>
      <c r="B179" s="77" t="inlineStr">
        <is>
          <t>MXD QUANZHOU</t>
        </is>
      </c>
      <c r="C179" s="78" t="n">
        <v>45899</v>
      </c>
      <c r="D179" s="78" t="n">
        <v>45925</v>
      </c>
      <c r="E179" s="76" t="n">
        <v>1</v>
      </c>
      <c r="F179" s="76" t="n">
        <v>12.67</v>
      </c>
      <c r="G179" s="76" t="n">
        <v>24</v>
      </c>
      <c r="H179" s="80" t="inlineStr">
        <is>
          <t>SARL SACHCO</t>
        </is>
      </c>
      <c r="I179" s="80" t="inlineStr">
        <is>
          <t>CAMIONS</t>
        </is>
      </c>
      <c r="J179" s="77" t="inlineStr">
        <is>
          <t>LOURD</t>
        </is>
      </c>
      <c r="K179" s="78">
        <f>D179+8</f>
        <v/>
      </c>
      <c r="L179" s="78">
        <f>K179+60</f>
        <v/>
      </c>
      <c r="M179" s="82" t="n"/>
      <c r="N179" s="83">
        <f>E179-1</f>
        <v/>
      </c>
      <c r="O179" s="84">
        <f>F179/E179*N179</f>
        <v/>
      </c>
      <c r="P179" s="83">
        <f>G179/E179*N179</f>
        <v/>
      </c>
      <c r="Q179" s="80" t="n"/>
      <c r="R179" s="80" t="n"/>
      <c r="S179" s="80" t="inlineStr">
        <is>
          <t>QZ25149LDJD056</t>
        </is>
      </c>
      <c r="T179" s="86" t="n">
        <v>50</v>
      </c>
      <c r="U179" s="80" t="n"/>
      <c r="V179" s="76" t="n"/>
      <c r="W179" s="76" t="n"/>
      <c r="X179" s="76" t="inlineStr">
        <is>
          <t>SOLDEE</t>
        </is>
      </c>
      <c r="Y179" s="116">
        <f>F179/E179</f>
        <v/>
      </c>
      <c r="Z179" s="64">
        <f>E179-N179</f>
        <v/>
      </c>
      <c r="AA179" s="64" t="n">
        <v>43</v>
      </c>
    </row>
    <row r="180" ht="18" customHeight="1" s="202">
      <c r="A180" s="135" t="n">
        <v>20250225</v>
      </c>
      <c r="B180" s="136" t="inlineStr">
        <is>
          <t>MXD QUANZHOU</t>
        </is>
      </c>
      <c r="C180" s="137" t="n">
        <v>45899</v>
      </c>
      <c r="D180" s="137" t="n">
        <v>45925</v>
      </c>
      <c r="E180" s="138" t="n">
        <v>162</v>
      </c>
      <c r="F180" s="139" t="n">
        <v>361.1</v>
      </c>
      <c r="G180" s="140" t="n">
        <v>97.2</v>
      </c>
      <c r="H180" s="141" t="inlineStr">
        <is>
          <t>STE EL DJORF POUR L'IMPORT EXPORT ET LA PRODUCTION INDUSTRIELLE SARL</t>
        </is>
      </c>
      <c r="I180" s="141" t="inlineStr">
        <is>
          <t>CTP</t>
        </is>
      </c>
      <c r="J180" s="136" t="inlineStr">
        <is>
          <t>CTP</t>
        </is>
      </c>
      <c r="K180" s="142">
        <f>D180+8</f>
        <v/>
      </c>
      <c r="L180" s="142">
        <f>K180+60</f>
        <v/>
      </c>
      <c r="M180" s="143" t="n"/>
      <c r="N180" s="144">
        <f>E180-90-46-10</f>
        <v/>
      </c>
      <c r="O180" s="145">
        <f>F180/E180*N180</f>
        <v/>
      </c>
      <c r="P180" s="146" t="n"/>
      <c r="Q180" s="224" t="n"/>
      <c r="R180" s="58" t="n"/>
      <c r="S180" s="200" t="inlineStr">
        <is>
          <t>QZ25149LDJD082</t>
        </is>
      </c>
      <c r="T180" s="201" t="n">
        <v>72</v>
      </c>
      <c r="U180" s="58" t="n"/>
      <c r="V180" s="67" t="n"/>
      <c r="W180" s="67" t="n"/>
      <c r="X180" s="99" t="inlineStr">
        <is>
          <t>OPER</t>
        </is>
      </c>
      <c r="Y180" s="116">
        <f>F180/E180</f>
        <v/>
      </c>
      <c r="Z180" s="64">
        <f>E180-N180</f>
        <v/>
      </c>
      <c r="AA180" s="64" t="n">
        <v>1704</v>
      </c>
    </row>
    <row r="181" ht="18" customHeight="1" s="202">
      <c r="A181" s="188" t="n">
        <v>20250225</v>
      </c>
      <c r="B181" s="189" t="inlineStr">
        <is>
          <t>MXD QUANZHOU</t>
        </is>
      </c>
      <c r="C181" s="190" t="n">
        <v>45899</v>
      </c>
      <c r="D181" s="190" t="n">
        <v>45925</v>
      </c>
      <c r="E181" s="191" t="n">
        <v>277</v>
      </c>
      <c r="F181" s="192" t="n">
        <v>2756.415</v>
      </c>
      <c r="G181" s="193" t="n">
        <v>222</v>
      </c>
      <c r="H181" s="194" t="inlineStr">
        <is>
          <t>GOLD METAL TOUALI SARL</t>
        </is>
      </c>
      <c r="I181" s="194" t="inlineStr">
        <is>
          <t>BOBINES</t>
        </is>
      </c>
      <c r="J181" s="189" t="inlineStr">
        <is>
          <t>BOBINES</t>
        </is>
      </c>
      <c r="K181" s="53">
        <f>D181+8</f>
        <v/>
      </c>
      <c r="L181" s="53">
        <f>K181+60</f>
        <v/>
      </c>
      <c r="M181" s="195" t="n"/>
      <c r="N181" s="196">
        <f>E181-40-30-30-10-35-5-25-10-36-15-26-10</f>
        <v/>
      </c>
      <c r="O181" s="197">
        <f>F181/E181*N181</f>
        <v/>
      </c>
      <c r="P181" s="198" t="n"/>
      <c r="Q181" s="224" t="n"/>
      <c r="R181" s="58" t="n"/>
      <c r="S181" s="200" t="inlineStr">
        <is>
          <t>QZ25149LBSKK007</t>
        </is>
      </c>
      <c r="T181" s="201" t="n">
        <v>87</v>
      </c>
      <c r="U181" s="58" t="n"/>
      <c r="V181" s="67" t="n"/>
      <c r="W181" s="67" t="n"/>
      <c r="X181" s="99" t="inlineStr">
        <is>
          <t>OPER</t>
        </is>
      </c>
      <c r="Y181" s="116">
        <f>F181/E181</f>
        <v/>
      </c>
      <c r="Z181" s="64">
        <f>E181-N181</f>
        <v/>
      </c>
      <c r="AA181" s="64" t="n">
        <v>1</v>
      </c>
    </row>
    <row r="182" ht="18" customHeight="1" s="202">
      <c r="A182" s="87" t="n">
        <v>20250240</v>
      </c>
      <c r="B182" s="88" t="inlineStr">
        <is>
          <t>SPRING COSMOS</t>
        </is>
      </c>
      <c r="C182" s="89" t="n">
        <v>45911</v>
      </c>
      <c r="D182" s="190" t="n">
        <v>45927</v>
      </c>
      <c r="E182" s="191" t="n">
        <v>88</v>
      </c>
      <c r="F182" s="192" t="n">
        <v>74.75</v>
      </c>
      <c r="G182" s="193" t="n">
        <v>70.5833333333333</v>
      </c>
      <c r="H182" s="194" t="inlineStr">
        <is>
          <t>EURL EATAH</t>
        </is>
      </c>
      <c r="I182" s="194" t="inlineStr">
        <is>
          <t>BOBINES</t>
        </is>
      </c>
      <c r="J182" s="194" t="inlineStr">
        <is>
          <t>BOBINES</t>
        </is>
      </c>
      <c r="K182" s="53">
        <f>D182+8</f>
        <v/>
      </c>
      <c r="L182" s="53">
        <f>K182+60</f>
        <v/>
      </c>
      <c r="M182" s="195" t="n"/>
      <c r="N182" s="196">
        <f>E182-69</f>
        <v/>
      </c>
      <c r="O182" s="197">
        <f>F182/E182*N182</f>
        <v/>
      </c>
      <c r="P182" s="198">
        <f>G182/E182*N182</f>
        <v/>
      </c>
      <c r="Q182" s="224" t="n"/>
      <c r="R182" s="58" t="n"/>
      <c r="S182" s="200" t="inlineStr">
        <is>
          <t>XM25174XDJD096</t>
        </is>
      </c>
      <c r="T182" s="201" t="n">
        <v>135</v>
      </c>
      <c r="U182" s="58" t="n"/>
      <c r="V182" s="67" t="n"/>
      <c r="W182" s="67" t="n"/>
      <c r="X182" s="99" t="inlineStr">
        <is>
          <t>OPER</t>
        </is>
      </c>
      <c r="Y182" s="116">
        <f>F182/E182</f>
        <v/>
      </c>
      <c r="Z182" s="64">
        <f>E182-N182</f>
        <v/>
      </c>
      <c r="AA182" s="64" t="n">
        <v>1</v>
      </c>
    </row>
    <row r="183" ht="18" customHeight="1" s="202">
      <c r="A183" s="188" t="n">
        <v>20250240</v>
      </c>
      <c r="B183" s="189" t="inlineStr">
        <is>
          <t>SPRING COSMOS</t>
        </is>
      </c>
      <c r="C183" s="190" t="n">
        <v>45911</v>
      </c>
      <c r="D183" s="190" t="n">
        <v>45927</v>
      </c>
      <c r="E183" s="191" t="n">
        <v>100</v>
      </c>
      <c r="F183" s="192" t="n">
        <v>534.481</v>
      </c>
      <c r="G183" s="193" t="n">
        <v>80.2083333333333</v>
      </c>
      <c r="H183" s="194" t="inlineStr">
        <is>
          <t>SARL SOBICAP M</t>
        </is>
      </c>
      <c r="I183" s="194" t="inlineStr">
        <is>
          <t>POUTRELLES</t>
        </is>
      </c>
      <c r="J183" s="194" t="inlineStr">
        <is>
          <t>POUTRELLES</t>
        </is>
      </c>
      <c r="K183" s="53">
        <f>D183+8</f>
        <v/>
      </c>
      <c r="L183" s="53">
        <f>K183+60</f>
        <v/>
      </c>
      <c r="M183" s="195" t="n"/>
      <c r="N183" s="196">
        <f>E183-21-26-29-19</f>
        <v/>
      </c>
      <c r="O183" s="197">
        <f>F183/E183*N183</f>
        <v/>
      </c>
      <c r="P183" s="198">
        <f>G183/E183*N183</f>
        <v/>
      </c>
      <c r="Q183" s="224" t="n"/>
      <c r="R183" s="58" t="n"/>
      <c r="S183" s="200" t="inlineStr">
        <is>
          <t>XM25174XDJD036-038</t>
        </is>
      </c>
      <c r="T183" s="201" t="n">
        <v>116</v>
      </c>
      <c r="U183" s="58" t="n"/>
      <c r="V183" s="67" t="n"/>
      <c r="W183" s="67" t="n"/>
      <c r="X183" s="99" t="inlineStr">
        <is>
          <t>OPER</t>
        </is>
      </c>
      <c r="Y183" s="116">
        <f>F183/E183</f>
        <v/>
      </c>
      <c r="Z183" s="64">
        <f>E183-N183</f>
        <v/>
      </c>
      <c r="AA183" s="64" t="n">
        <v>1</v>
      </c>
    </row>
    <row r="184" ht="18" customHeight="1" s="202">
      <c r="A184" s="188" t="n">
        <v>20250240</v>
      </c>
      <c r="B184" s="189" t="inlineStr">
        <is>
          <t>SPRING COSMOS</t>
        </is>
      </c>
      <c r="C184" s="190" t="n">
        <v>45911</v>
      </c>
      <c r="D184" s="190" t="n">
        <v>45927</v>
      </c>
      <c r="E184" s="191" t="n">
        <v>87</v>
      </c>
      <c r="F184" s="192" t="n">
        <v>462.02</v>
      </c>
      <c r="G184" s="193" t="n">
        <v>69.78125</v>
      </c>
      <c r="H184" s="194" t="inlineStr">
        <is>
          <t>SARL PROLIPOS</t>
        </is>
      </c>
      <c r="I184" s="194" t="inlineStr">
        <is>
          <t>POUTRELLES</t>
        </is>
      </c>
      <c r="J184" s="194" t="inlineStr">
        <is>
          <t>POUTRELLES</t>
        </is>
      </c>
      <c r="K184" s="53">
        <f>D184+8</f>
        <v/>
      </c>
      <c r="L184" s="53">
        <f>K184+60</f>
        <v/>
      </c>
      <c r="M184" s="195" t="n"/>
      <c r="N184" s="196">
        <f>E184-27-20-10-27</f>
        <v/>
      </c>
      <c r="O184" s="197">
        <f>F184/E184*N184</f>
        <v/>
      </c>
      <c r="P184" s="198">
        <f>G184/E184*N184</f>
        <v/>
      </c>
      <c r="Q184" s="224" t="n"/>
      <c r="R184" s="58" t="n"/>
      <c r="S184" s="200" t="inlineStr">
        <is>
          <t>XM25174XDJD039-041</t>
        </is>
      </c>
      <c r="T184" s="201" t="n">
        <v>117</v>
      </c>
      <c r="U184" s="58" t="n"/>
      <c r="V184" s="67" t="n"/>
      <c r="W184" s="67" t="n"/>
      <c r="X184" s="99" t="inlineStr">
        <is>
          <t>OPER</t>
        </is>
      </c>
      <c r="Y184" s="116">
        <f>F184/E184</f>
        <v/>
      </c>
      <c r="Z184" s="64">
        <f>E184-N184</f>
        <v/>
      </c>
      <c r="AA184" s="64" t="n">
        <v>1</v>
      </c>
    </row>
    <row r="185" ht="18" customHeight="1" s="202">
      <c r="A185" s="188" t="n">
        <v>20250240</v>
      </c>
      <c r="B185" s="189" t="inlineStr">
        <is>
          <t>SPRING COSMOS</t>
        </is>
      </c>
      <c r="C185" s="190" t="n">
        <v>45911</v>
      </c>
      <c r="D185" s="190" t="n">
        <v>45927</v>
      </c>
      <c r="E185" s="191" t="n">
        <v>72</v>
      </c>
      <c r="F185" s="192" t="n">
        <v>307.082</v>
      </c>
      <c r="G185" s="193" t="n">
        <v>57.75</v>
      </c>
      <c r="H185" s="194" t="inlineStr">
        <is>
          <t>SARL MIRAS ET IYAD</t>
        </is>
      </c>
      <c r="I185" s="194" t="inlineStr">
        <is>
          <t>BOBINES</t>
        </is>
      </c>
      <c r="J185" s="194" t="inlineStr">
        <is>
          <t>BOBINES</t>
        </is>
      </c>
      <c r="K185" s="53">
        <f>D185+8</f>
        <v/>
      </c>
      <c r="L185" s="53">
        <f>K185+60</f>
        <v/>
      </c>
      <c r="M185" s="195" t="n"/>
      <c r="N185" s="196">
        <f>E185-24-36</f>
        <v/>
      </c>
      <c r="O185" s="197">
        <f>F185/E185*N185</f>
        <v/>
      </c>
      <c r="P185" s="273">
        <f>G185/E185*N185</f>
        <v/>
      </c>
      <c r="Q185" s="224" t="n"/>
      <c r="R185" s="58" t="n"/>
      <c r="S185" s="200" t="inlineStr">
        <is>
          <t>XM25174XDJD047</t>
        </is>
      </c>
      <c r="T185" s="201" t="n">
        <v>47</v>
      </c>
      <c r="U185" s="58" t="n"/>
      <c r="V185" s="67" t="n"/>
      <c r="W185" s="67" t="n"/>
      <c r="X185" s="99" t="inlineStr">
        <is>
          <t>OPER</t>
        </is>
      </c>
      <c r="Y185" s="116">
        <f>F185/E185</f>
        <v/>
      </c>
      <c r="Z185" s="64">
        <f>E185-N185</f>
        <v/>
      </c>
      <c r="AA185" s="30" t="n"/>
    </row>
    <row r="186" ht="18" customHeight="1" s="202">
      <c r="A186" s="188" t="n">
        <v>20250240</v>
      </c>
      <c r="B186" s="189" t="inlineStr">
        <is>
          <t>SPRING COSMOS</t>
        </is>
      </c>
      <c r="C186" s="190" t="n">
        <v>45911</v>
      </c>
      <c r="D186" s="190" t="n">
        <v>45927</v>
      </c>
      <c r="E186" s="191" t="n">
        <v>546</v>
      </c>
      <c r="F186" s="192" t="n">
        <v>2294.749</v>
      </c>
      <c r="G186" s="193" t="n">
        <v>437.9375</v>
      </c>
      <c r="H186" s="194" t="inlineStr">
        <is>
          <t>SARL MIRAS ET IYAD</t>
        </is>
      </c>
      <c r="I186" s="194" t="inlineStr">
        <is>
          <t>BOBINES</t>
        </is>
      </c>
      <c r="J186" s="194" t="inlineStr">
        <is>
          <t>BOBINES</t>
        </is>
      </c>
      <c r="K186" s="53">
        <f>D186+8</f>
        <v/>
      </c>
      <c r="L186" s="53">
        <f>K186+60</f>
        <v/>
      </c>
      <c r="M186" s="195" t="n"/>
      <c r="N186" s="196">
        <f>E186-20-58-10-66-20-22-12-10-88-96-12-62-24-24-12</f>
        <v/>
      </c>
      <c r="O186" s="197">
        <f>F186/E186*N186</f>
        <v/>
      </c>
      <c r="P186" s="273">
        <f>G186/E186*N186</f>
        <v/>
      </c>
      <c r="Q186" s="224" t="n"/>
      <c r="R186" s="58" t="n"/>
      <c r="S186" s="200" t="inlineStr">
        <is>
          <t>XM25174XDJD060-066</t>
        </is>
      </c>
      <c r="T186" s="201" t="n">
        <v>127</v>
      </c>
      <c r="U186" s="58" t="n"/>
      <c r="V186" s="67" t="n"/>
      <c r="W186" s="67" t="n"/>
      <c r="X186" s="99" t="inlineStr">
        <is>
          <t>OPER</t>
        </is>
      </c>
      <c r="Y186" s="116">
        <f>F186/E186</f>
        <v/>
      </c>
      <c r="Z186" s="64">
        <f>E186-N186</f>
        <v/>
      </c>
      <c r="AA186" s="64" t="n">
        <v>3</v>
      </c>
    </row>
    <row r="187" ht="18" customHeight="1" s="202">
      <c r="A187" s="116" t="n">
        <v>20250240</v>
      </c>
      <c r="B187" s="117" t="inlineStr">
        <is>
          <t>SPRING COSMOS</t>
        </is>
      </c>
      <c r="C187" s="118" t="n">
        <v>45911</v>
      </c>
      <c r="D187" s="118" t="n">
        <v>45927</v>
      </c>
      <c r="E187" s="67" t="n">
        <v>1</v>
      </c>
      <c r="F187" s="119" t="n">
        <v>0.83457</v>
      </c>
      <c r="G187" s="120" t="n">
        <v>3</v>
      </c>
      <c r="H187" s="121" t="inlineStr">
        <is>
          <t>EURL BETON DHOUS</t>
        </is>
      </c>
      <c r="I187" s="121" t="inlineStr">
        <is>
          <t>COLIS</t>
        </is>
      </c>
      <c r="J187" s="117" t="inlineStr">
        <is>
          <t>COLIS</t>
        </is>
      </c>
      <c r="K187" s="53">
        <f>D187+8</f>
        <v/>
      </c>
      <c r="L187" s="53">
        <f>K187+60</f>
        <v/>
      </c>
      <c r="M187" s="71" t="n"/>
      <c r="N187" s="72">
        <f>E187</f>
        <v/>
      </c>
      <c r="O187" s="50">
        <f>F187/E187*N187</f>
        <v/>
      </c>
      <c r="P187" s="273">
        <f>G187/E187*N187</f>
        <v/>
      </c>
      <c r="Q187" s="224" t="n"/>
      <c r="R187" s="58" t="n"/>
      <c r="S187" s="200" t="inlineStr">
        <is>
          <t>XM25174LDJD120</t>
        </is>
      </c>
      <c r="T187" s="201" t="n">
        <v>21</v>
      </c>
      <c r="U187" s="58" t="n"/>
      <c r="V187" s="67" t="n"/>
      <c r="W187" s="67" t="n"/>
      <c r="X187" s="62" t="inlineStr">
        <is>
          <t>N-OP</t>
        </is>
      </c>
      <c r="Y187" s="116">
        <f>F187/E187</f>
        <v/>
      </c>
      <c r="Z187" s="64">
        <f>E187-N187</f>
        <v/>
      </c>
      <c r="AA187" s="30" t="n"/>
    </row>
    <row r="188" ht="18" customHeight="1" s="202">
      <c r="A188" s="116" t="n">
        <v>20250240</v>
      </c>
      <c r="B188" s="117" t="inlineStr">
        <is>
          <t>SPRING COSMOS</t>
        </is>
      </c>
      <c r="C188" s="118" t="n">
        <v>45911</v>
      </c>
      <c r="D188" s="118" t="n">
        <v>45927</v>
      </c>
      <c r="E188" s="67" t="n">
        <v>1</v>
      </c>
      <c r="F188" s="119" t="n">
        <v>33.68</v>
      </c>
      <c r="G188" s="120" t="n">
        <v>24</v>
      </c>
      <c r="H188" s="121" t="inlineStr">
        <is>
          <t>EURL SKY SUD</t>
        </is>
      </c>
      <c r="I188" s="117" t="inlineStr">
        <is>
          <t>EXCAVATEURS</t>
        </is>
      </c>
      <c r="J188" s="121" t="inlineStr">
        <is>
          <t>ENGINS</t>
        </is>
      </c>
      <c r="K188" s="53">
        <f>D188+8</f>
        <v/>
      </c>
      <c r="L188" s="53">
        <f>K188+60</f>
        <v/>
      </c>
      <c r="M188" s="71" t="n"/>
      <c r="N188" s="72">
        <f>E188</f>
        <v/>
      </c>
      <c r="O188" s="50">
        <f>F188/E188*N188</f>
        <v/>
      </c>
      <c r="P188" s="273">
        <f>G188/E188*N188</f>
        <v/>
      </c>
      <c r="Q188" s="205" t="n"/>
      <c r="R188" s="58" t="n"/>
      <c r="S188" s="200" t="inlineStr">
        <is>
          <t>XM25174LDJD064</t>
        </is>
      </c>
      <c r="T188" s="201" t="n">
        <v>59</v>
      </c>
      <c r="U188" s="58" t="n"/>
      <c r="V188" s="67" t="n"/>
      <c r="W188" s="67" t="n"/>
      <c r="X188" s="62" t="inlineStr">
        <is>
          <t>N-OP</t>
        </is>
      </c>
      <c r="Y188" s="116">
        <f>F188/E188</f>
        <v/>
      </c>
      <c r="Z188" s="64">
        <f>E188-N188</f>
        <v/>
      </c>
      <c r="AA188" s="64" t="n">
        <v>1</v>
      </c>
    </row>
    <row r="189" ht="18" customHeight="1" s="202">
      <c r="A189" s="116" t="n">
        <v>20250240</v>
      </c>
      <c r="B189" s="117" t="inlineStr">
        <is>
          <t>SPRING COSMOS</t>
        </is>
      </c>
      <c r="C189" s="118" t="n">
        <v>45911</v>
      </c>
      <c r="D189" s="118" t="n">
        <v>45927</v>
      </c>
      <c r="E189" s="67" t="n">
        <v>1</v>
      </c>
      <c r="F189" s="119" t="n">
        <v>0</v>
      </c>
      <c r="G189" s="120" t="n">
        <v>3</v>
      </c>
      <c r="H189" s="121" t="inlineStr">
        <is>
          <t>EURL SKY SUD</t>
        </is>
      </c>
      <c r="I189" s="117" t="inlineStr">
        <is>
          <t>COLIS</t>
        </is>
      </c>
      <c r="J189" s="121" t="inlineStr">
        <is>
          <t>COLIS</t>
        </is>
      </c>
      <c r="K189" s="53">
        <f>D189+8</f>
        <v/>
      </c>
      <c r="L189" s="53">
        <f>K189+60</f>
        <v/>
      </c>
      <c r="M189" s="71" t="n"/>
      <c r="N189" s="72">
        <f>E189</f>
        <v/>
      </c>
      <c r="O189" s="50">
        <f>F189/E189*N189</f>
        <v/>
      </c>
      <c r="P189" s="273">
        <f>G189/E189*N189</f>
        <v/>
      </c>
      <c r="Q189" s="205" t="n"/>
      <c r="R189" s="58" t="n"/>
      <c r="S189" s="200" t="inlineStr">
        <is>
          <t>XM25174LDJD064</t>
        </is>
      </c>
      <c r="T189" s="201" t="n">
        <v>59</v>
      </c>
      <c r="U189" s="58" t="n"/>
      <c r="V189" s="67" t="n"/>
      <c r="W189" s="67" t="n"/>
      <c r="X189" s="62" t="inlineStr">
        <is>
          <t>N-OP</t>
        </is>
      </c>
      <c r="Y189" s="116">
        <f>F189/E189</f>
        <v/>
      </c>
      <c r="Z189" s="64">
        <f>E189-N189</f>
        <v/>
      </c>
      <c r="AA189" s="30" t="n"/>
    </row>
    <row r="190" ht="18" customHeight="1" s="202">
      <c r="A190" s="206" t="n">
        <v>20250240</v>
      </c>
      <c r="B190" s="207" t="inlineStr">
        <is>
          <t>SPRING COSMOS</t>
        </is>
      </c>
      <c r="C190" s="208" t="n">
        <v>45911</v>
      </c>
      <c r="D190" s="208" t="n">
        <v>45927</v>
      </c>
      <c r="E190" s="209" t="n">
        <v>2</v>
      </c>
      <c r="F190" s="210" t="n">
        <v>39.4</v>
      </c>
      <c r="G190" s="211" t="n">
        <v>48</v>
      </c>
      <c r="H190" s="212" t="inlineStr">
        <is>
          <t>EURL MEHRIA GRAND TRAVUX ET HYDRAULIQUE</t>
        </is>
      </c>
      <c r="I190" s="207" t="inlineStr">
        <is>
          <t>COMPACTEURS</t>
        </is>
      </c>
      <c r="J190" s="212" t="inlineStr">
        <is>
          <t>ENGINS</t>
        </is>
      </c>
      <c r="K190" s="213">
        <f>D190+8</f>
        <v/>
      </c>
      <c r="L190" s="213">
        <f>K190+60</f>
        <v/>
      </c>
      <c r="M190" s="214" t="n"/>
      <c r="N190" s="215">
        <f>E190-1</f>
        <v/>
      </c>
      <c r="O190" s="216">
        <f>F190/E190*N190</f>
        <v/>
      </c>
      <c r="P190" s="273">
        <f>G190/E190*N190</f>
        <v/>
      </c>
      <c r="Q190" s="205" t="n"/>
      <c r="R190" s="58" t="n"/>
      <c r="S190" s="200" t="inlineStr">
        <is>
          <t>XM25174LDJD074</t>
        </is>
      </c>
      <c r="T190" s="201" t="n">
        <v>67</v>
      </c>
      <c r="U190" s="58" t="n"/>
      <c r="V190" s="67" t="n"/>
      <c r="W190" s="67" t="n"/>
      <c r="X190" s="99" t="inlineStr">
        <is>
          <t>OPER</t>
        </is>
      </c>
      <c r="Y190" s="116">
        <f>F190/E190</f>
        <v/>
      </c>
      <c r="Z190" s="64">
        <f>E190-N190</f>
        <v/>
      </c>
      <c r="AA190" s="30" t="n"/>
    </row>
    <row r="191" ht="18" customHeight="1" s="202">
      <c r="A191" s="188" t="n">
        <v>20250240</v>
      </c>
      <c r="B191" s="189" t="inlineStr">
        <is>
          <t>SPRING COSMOS</t>
        </is>
      </c>
      <c r="C191" s="190" t="n">
        <v>45911</v>
      </c>
      <c r="D191" s="190" t="n">
        <v>45927</v>
      </c>
      <c r="E191" s="191" t="n">
        <v>4</v>
      </c>
      <c r="F191" s="192" t="n">
        <v>34.1</v>
      </c>
      <c r="G191" s="193" t="n">
        <v>96</v>
      </c>
      <c r="H191" s="194" t="inlineStr">
        <is>
          <t>EURL ZAHRAT ERRIF</t>
        </is>
      </c>
      <c r="I191" s="189" t="inlineStr">
        <is>
          <t>EXCAVATEURS</t>
        </is>
      </c>
      <c r="J191" s="194" t="inlineStr">
        <is>
          <t>ENGINS</t>
        </is>
      </c>
      <c r="K191" s="53">
        <f>D191+8</f>
        <v/>
      </c>
      <c r="L191" s="53">
        <f>K191+60</f>
        <v/>
      </c>
      <c r="M191" s="195" t="n"/>
      <c r="N191" s="196">
        <f>E191-3</f>
        <v/>
      </c>
      <c r="O191" s="197">
        <f>F191/E191*N191</f>
        <v/>
      </c>
      <c r="P191" s="273">
        <f>G191/E191*N191</f>
        <v/>
      </c>
      <c r="Q191" s="205" t="n"/>
      <c r="R191" s="58" t="n"/>
      <c r="S191" s="200" t="inlineStr">
        <is>
          <t>XM25174LDJD081</t>
        </is>
      </c>
      <c r="T191" s="201" t="n">
        <v>74</v>
      </c>
      <c r="U191" s="58" t="n"/>
      <c r="V191" s="67" t="n"/>
      <c r="W191" s="67" t="n"/>
      <c r="X191" s="99" t="inlineStr">
        <is>
          <t>OPER</t>
        </is>
      </c>
      <c r="Y191" s="116">
        <f>F191/E191</f>
        <v/>
      </c>
      <c r="Z191" s="64">
        <f>E191-N191</f>
        <v/>
      </c>
      <c r="AA191" s="64" t="n">
        <v>5</v>
      </c>
    </row>
    <row r="192" ht="18" customHeight="1" s="202">
      <c r="A192" s="106" t="n">
        <v>20250240</v>
      </c>
      <c r="B192" s="107" t="inlineStr">
        <is>
          <t>SPRING COSMOS</t>
        </is>
      </c>
      <c r="C192" s="108" t="n">
        <v>45911</v>
      </c>
      <c r="D192" s="108" t="n">
        <v>45927</v>
      </c>
      <c r="E192" s="106" t="n">
        <v>2</v>
      </c>
      <c r="F192" s="106" t="n">
        <v>9.619999999999999</v>
      </c>
      <c r="G192" s="106" t="n">
        <v>48</v>
      </c>
      <c r="H192" s="109" t="inlineStr">
        <is>
          <t>SARL ACOSCO</t>
        </is>
      </c>
      <c r="I192" s="107" t="inlineStr">
        <is>
          <t>CHARIOT ELEVATEUR</t>
        </is>
      </c>
      <c r="J192" s="109" t="inlineStr">
        <is>
          <t>ENGINS</t>
        </is>
      </c>
      <c r="K192" s="108">
        <f>D192+8</f>
        <v/>
      </c>
      <c r="L192" s="108">
        <f>K192+60</f>
        <v/>
      </c>
      <c r="M192" s="111" t="n"/>
      <c r="N192" s="112">
        <f>E192-2</f>
        <v/>
      </c>
      <c r="O192" s="113">
        <f>F192/E192*N192</f>
        <v/>
      </c>
      <c r="P192" s="112">
        <f>G192/E192*N192</f>
        <v/>
      </c>
      <c r="Q192" s="107" t="n"/>
      <c r="R192" s="109" t="n"/>
      <c r="S192" s="109" t="inlineStr">
        <is>
          <t>XM25174LDJD082</t>
        </is>
      </c>
      <c r="T192" s="114" t="n">
        <v>75</v>
      </c>
      <c r="U192" s="109" t="n"/>
      <c r="V192" s="106" t="n"/>
      <c r="W192" s="106" t="n"/>
      <c r="X192" s="106" t="inlineStr">
        <is>
          <t>SOLDEE</t>
        </is>
      </c>
      <c r="Y192" s="116">
        <f>F192/E192</f>
        <v/>
      </c>
      <c r="Z192" s="30" t="n"/>
      <c r="AA192" s="64" t="n">
        <v>242</v>
      </c>
    </row>
    <row r="193" ht="18" customHeight="1" s="202">
      <c r="A193" s="76" t="n">
        <v>20250240</v>
      </c>
      <c r="B193" s="77" t="inlineStr">
        <is>
          <t>SPRING COSMOS</t>
        </is>
      </c>
      <c r="C193" s="78" t="n">
        <v>45911</v>
      </c>
      <c r="D193" s="78" t="n">
        <v>45927</v>
      </c>
      <c r="E193" s="76" t="n">
        <v>4</v>
      </c>
      <c r="F193" s="79" t="n">
        <v>102.24</v>
      </c>
      <c r="G193" s="102" t="n"/>
      <c r="H193" s="80" t="inlineStr">
        <is>
          <t>SNC MAAYOUF ET FILS</t>
        </is>
      </c>
      <c r="I193" s="77" t="inlineStr">
        <is>
          <t>REMORQUE</t>
        </is>
      </c>
      <c r="J193" s="80" t="inlineStr">
        <is>
          <t>ENGINS</t>
        </is>
      </c>
      <c r="K193" s="174">
        <f>D193+8</f>
        <v/>
      </c>
      <c r="L193" s="174">
        <f>K193+60</f>
        <v/>
      </c>
      <c r="M193" s="82" t="n"/>
      <c r="N193" s="83">
        <f>E193-1-1-1-1</f>
        <v/>
      </c>
      <c r="O193" s="84">
        <f>F193/E193*N193</f>
        <v/>
      </c>
      <c r="P193" s="85">
        <f>G193/E193*N193</f>
        <v/>
      </c>
      <c r="Q193" s="77" t="n"/>
      <c r="R193" s="80" t="n"/>
      <c r="S193" s="80" t="inlineStr">
        <is>
          <t>XM25174LDJD098</t>
        </is>
      </c>
      <c r="T193" s="86" t="n">
        <v>93</v>
      </c>
      <c r="U193" s="80" t="n"/>
      <c r="V193" s="76" t="n"/>
      <c r="W193" s="76" t="n"/>
      <c r="X193" s="76" t="inlineStr">
        <is>
          <t>SOLDEE</t>
        </is>
      </c>
      <c r="Y193" s="116">
        <f>F193/E193</f>
        <v/>
      </c>
      <c r="Z193" s="30" t="n"/>
      <c r="AA193" s="30" t="n"/>
    </row>
    <row r="194" ht="18" customHeight="1" s="202">
      <c r="A194" s="188" t="n">
        <v>20250240</v>
      </c>
      <c r="B194" s="189" t="inlineStr">
        <is>
          <t>SPRING COSMOS</t>
        </is>
      </c>
      <c r="C194" s="190" t="n">
        <v>45911</v>
      </c>
      <c r="D194" s="190" t="n">
        <v>45927</v>
      </c>
      <c r="E194" s="191" t="n">
        <v>10</v>
      </c>
      <c r="F194" s="192" t="n">
        <v>171.04</v>
      </c>
      <c r="G194" s="193" t="n">
        <v>240</v>
      </c>
      <c r="H194" s="194" t="inlineStr">
        <is>
          <t>SNC MAAYOUF ET FILS</t>
        </is>
      </c>
      <c r="I194" s="189" t="inlineStr">
        <is>
          <t>REMORQUE</t>
        </is>
      </c>
      <c r="J194" s="194" t="inlineStr">
        <is>
          <t>ENGINS</t>
        </is>
      </c>
      <c r="K194" s="53">
        <f>D194+8</f>
        <v/>
      </c>
      <c r="L194" s="53">
        <f>K194+60</f>
        <v/>
      </c>
      <c r="M194" s="195" t="n"/>
      <c r="N194" s="196">
        <f>E194-1-1-1-1-1-1-1-1</f>
        <v/>
      </c>
      <c r="O194" s="197">
        <f>F194/E194*N194</f>
        <v/>
      </c>
      <c r="P194" s="198">
        <f>G194/E194*N194</f>
        <v/>
      </c>
      <c r="Q194" s="217" t="n"/>
      <c r="R194" s="58" t="n"/>
      <c r="S194" s="200" t="inlineStr">
        <is>
          <t>XM25174LDJD099</t>
        </is>
      </c>
      <c r="T194" s="201" t="n">
        <v>94</v>
      </c>
      <c r="U194" s="58" t="n"/>
      <c r="V194" s="67" t="n"/>
      <c r="W194" s="67" t="n"/>
      <c r="X194" s="99" t="inlineStr">
        <is>
          <t>OPER</t>
        </is>
      </c>
      <c r="Y194" s="116">
        <f>F194/E194</f>
        <v/>
      </c>
      <c r="Z194" s="64">
        <f>E194-N194</f>
        <v/>
      </c>
      <c r="AA194" s="30" t="n"/>
    </row>
    <row r="195" ht="18" customHeight="1" s="202">
      <c r="A195" s="87" t="n">
        <v>20250249</v>
      </c>
      <c r="B195" s="88" t="inlineStr">
        <is>
          <t xml:space="preserve">YANGZE 6   </t>
        </is>
      </c>
      <c r="C195" s="89" t="n">
        <v>45920</v>
      </c>
      <c r="D195" s="89" t="n">
        <v>45944</v>
      </c>
      <c r="E195" s="191" t="n">
        <v>7438</v>
      </c>
      <c r="F195" s="192" t="n">
        <v>6011.078</v>
      </c>
      <c r="G195" s="193" t="n">
        <v>5207.12491178546</v>
      </c>
      <c r="H195" s="194" t="inlineStr">
        <is>
          <t>GROUPEMENT BERKINE (SH-AAC)</t>
        </is>
      </c>
      <c r="I195" s="194" t="inlineStr">
        <is>
          <t>TUBES</t>
        </is>
      </c>
      <c r="J195" s="189" t="inlineStr">
        <is>
          <t>TUBES</t>
        </is>
      </c>
      <c r="K195" s="53">
        <f>D195+8</f>
        <v/>
      </c>
      <c r="L195" s="53">
        <f>K195+60</f>
        <v/>
      </c>
      <c r="M195" s="195" t="n"/>
      <c r="N195" s="196">
        <f>E195-133-513-38-323-418-264-190-285-285-494-190-190-323-494-323-399-380-570-475-380-228-190-351</f>
        <v/>
      </c>
      <c r="O195" s="197">
        <f>F195/E195*N195</f>
        <v/>
      </c>
      <c r="P195" s="198">
        <f>G195/E195*N195</f>
        <v/>
      </c>
      <c r="Q195" s="224" t="n"/>
      <c r="R195" s="58" t="n"/>
      <c r="S195" s="200" t="inlineStr">
        <is>
          <t>YZ25173LDJD094-096</t>
        </is>
      </c>
      <c r="T195" s="201" t="n">
        <v>86</v>
      </c>
      <c r="U195" s="58" t="n"/>
      <c r="V195" s="67" t="n"/>
      <c r="W195" s="67" t="n"/>
      <c r="X195" s="99" t="inlineStr">
        <is>
          <t>OPER</t>
        </is>
      </c>
      <c r="Y195" s="116">
        <f>F195/E195</f>
        <v/>
      </c>
      <c r="Z195" s="64">
        <f>E195-N195</f>
        <v/>
      </c>
      <c r="AA195" s="64" t="n">
        <v>135</v>
      </c>
    </row>
    <row r="196" ht="18" customHeight="1" s="202">
      <c r="A196" s="76" t="n">
        <v>20250249</v>
      </c>
      <c r="B196" s="77" t="inlineStr">
        <is>
          <t xml:space="preserve">YANGZE 6   </t>
        </is>
      </c>
      <c r="C196" s="78" t="n">
        <v>45920</v>
      </c>
      <c r="D196" s="78" t="n">
        <v>45944</v>
      </c>
      <c r="E196" s="76" t="n">
        <v>1255</v>
      </c>
      <c r="F196" s="79" t="n">
        <v>3300.931</v>
      </c>
      <c r="G196" s="76" t="n"/>
      <c r="H196" s="80" t="inlineStr">
        <is>
          <t>EURL GHAMOUD MOHAMED PROD CERAMIQUE</t>
        </is>
      </c>
      <c r="I196" s="80" t="inlineStr">
        <is>
          <t>MDF</t>
        </is>
      </c>
      <c r="J196" s="77" t="inlineStr">
        <is>
          <t>CTP</t>
        </is>
      </c>
      <c r="K196" s="78">
        <f>D196+8</f>
        <v/>
      </c>
      <c r="L196" s="78">
        <f>K196+60</f>
        <v/>
      </c>
      <c r="M196" s="82" t="n"/>
      <c r="N196" s="83">
        <f>E196-72-81-81-72-99-18-9-36-45-18-72-90-72-72-72-81-81-63-4-117</f>
        <v/>
      </c>
      <c r="O196" s="84">
        <f>F196/E196*N196</f>
        <v/>
      </c>
      <c r="P196" s="85">
        <f>G196/E196*N196</f>
        <v/>
      </c>
      <c r="Q196" s="80" t="inlineStr">
        <is>
          <t>HG OUEST+EN FACE PARC</t>
        </is>
      </c>
      <c r="R196" s="80" t="n"/>
      <c r="S196" s="80" t="inlineStr">
        <is>
          <t>YZ25173HDJD001</t>
        </is>
      </c>
      <c r="T196" s="86" t="n">
        <v>1</v>
      </c>
      <c r="U196" s="80" t="inlineStr">
        <is>
          <t>MDF ATI
HS CODE: 4411141000
REFERENCE: NIF: 000 619 008 669 909</t>
        </is>
      </c>
      <c r="V196" s="76" t="n"/>
      <c r="W196" s="76" t="n"/>
      <c r="X196" s="76" t="inlineStr">
        <is>
          <t>SOLDEE</t>
        </is>
      </c>
      <c r="Y196" s="116">
        <f>F196/E196</f>
        <v/>
      </c>
      <c r="Z196" s="30" t="n"/>
      <c r="AA196" s="64" t="n">
        <v>1</v>
      </c>
    </row>
    <row r="197" ht="18" customHeight="1" s="202">
      <c r="A197" s="76" t="n">
        <v>20250249</v>
      </c>
      <c r="B197" s="77" t="inlineStr">
        <is>
          <t xml:space="preserve">YANGZE 6   </t>
        </is>
      </c>
      <c r="C197" s="78" t="n">
        <v>45920</v>
      </c>
      <c r="D197" s="78" t="n">
        <v>45944</v>
      </c>
      <c r="E197" s="76" t="n">
        <v>418</v>
      </c>
      <c r="F197" s="79" t="n">
        <v>1099.435</v>
      </c>
      <c r="G197" s="76" t="n"/>
      <c r="H197" s="80" t="inlineStr">
        <is>
          <t>EURL GHAMOUD MOHAMED PROD CERAMIQUE</t>
        </is>
      </c>
      <c r="I197" s="80" t="inlineStr">
        <is>
          <t>MDF</t>
        </is>
      </c>
      <c r="J197" s="77" t="inlineStr">
        <is>
          <t>CTP</t>
        </is>
      </c>
      <c r="K197" s="78">
        <f>D197+8</f>
        <v/>
      </c>
      <c r="L197" s="78">
        <f>K197+60</f>
        <v/>
      </c>
      <c r="M197" s="82" t="n"/>
      <c r="N197" s="83">
        <f>E197-77-72-72-108-89</f>
        <v/>
      </c>
      <c r="O197" s="84">
        <f>F197/E197*N197</f>
        <v/>
      </c>
      <c r="P197" s="85">
        <f>G197/E197*N197</f>
        <v/>
      </c>
      <c r="Q197" s="80" t="inlineStr">
        <is>
          <t>HG OUEST+EN FACE PARC</t>
        </is>
      </c>
      <c r="R197" s="80" t="n"/>
      <c r="S197" s="80" t="inlineStr">
        <is>
          <t>YZ25173HDJD002A</t>
        </is>
      </c>
      <c r="T197" s="86" t="n">
        <v>2</v>
      </c>
      <c r="U197" s="80" t="inlineStr">
        <is>
          <t>MDF HS CODE: 4411141000</t>
        </is>
      </c>
      <c r="V197" s="76" t="n"/>
      <c r="W197" s="76" t="n"/>
      <c r="X197" s="76" t="inlineStr">
        <is>
          <t>SOLDEE</t>
        </is>
      </c>
      <c r="Y197" s="116">
        <f>F197/E197</f>
        <v/>
      </c>
      <c r="Z197" s="30" t="n"/>
      <c r="AA197" s="64" t="n">
        <v>116</v>
      </c>
    </row>
    <row r="198" ht="18" customHeight="1" s="202">
      <c r="A198" s="135" t="n">
        <v>20250249</v>
      </c>
      <c r="B198" s="136" t="inlineStr">
        <is>
          <t xml:space="preserve">YANGZE 6   </t>
        </is>
      </c>
      <c r="C198" s="137" t="n">
        <v>45920</v>
      </c>
      <c r="D198" s="137" t="n">
        <v>45944</v>
      </c>
      <c r="E198" s="138" t="n">
        <v>418</v>
      </c>
      <c r="F198" s="139" t="n">
        <v>1099.435</v>
      </c>
      <c r="G198" s="140" t="n">
        <v>250.8</v>
      </c>
      <c r="H198" s="141" t="inlineStr">
        <is>
          <t>EURL GHAMOUD MOHAMED PROD CERAMIQUE</t>
        </is>
      </c>
      <c r="I198" s="141" t="inlineStr">
        <is>
          <t>MDF</t>
        </is>
      </c>
      <c r="J198" s="136" t="inlineStr">
        <is>
          <t>CTP</t>
        </is>
      </c>
      <c r="K198" s="53">
        <f>D198+8</f>
        <v/>
      </c>
      <c r="L198" s="53">
        <f>K198+60</f>
        <v/>
      </c>
      <c r="M198" s="143" t="n"/>
      <c r="N198" s="144">
        <f>E198-72-54-3-76-63-81-18</f>
        <v/>
      </c>
      <c r="O198" s="145">
        <f>F198/E198*N198</f>
        <v/>
      </c>
      <c r="P198" s="146">
        <f>G198/E198*N198</f>
        <v/>
      </c>
      <c r="Q198" s="224" t="inlineStr">
        <is>
          <t>HG OUEST+EN FACE PARC</t>
        </is>
      </c>
      <c r="R198" s="58" t="n"/>
      <c r="S198" s="200" t="inlineStr">
        <is>
          <t>YZ25173HDJD002B</t>
        </is>
      </c>
      <c r="T198" s="201" t="n">
        <v>3</v>
      </c>
      <c r="U198" s="58" t="inlineStr">
        <is>
          <t>MDF HS CODE: 4411141000</t>
        </is>
      </c>
      <c r="V198" s="67" t="n"/>
      <c r="W198" s="67" t="n"/>
      <c r="X198" s="99" t="inlineStr">
        <is>
          <t>OPER</t>
        </is>
      </c>
      <c r="Y198" s="116">
        <f>F198/E198</f>
        <v/>
      </c>
      <c r="Z198" s="64">
        <f>E198-N198</f>
        <v/>
      </c>
      <c r="AA198" s="64" t="n">
        <v>1004</v>
      </c>
    </row>
    <row r="199" ht="18" customHeight="1" s="202">
      <c r="A199" s="76" t="n">
        <v>20250249</v>
      </c>
      <c r="B199" s="77" t="inlineStr">
        <is>
          <t xml:space="preserve">YANGZE 6   </t>
        </is>
      </c>
      <c r="C199" s="78" t="n">
        <v>45920</v>
      </c>
      <c r="D199" s="78" t="n">
        <v>45944</v>
      </c>
      <c r="E199" s="76" t="n">
        <v>418</v>
      </c>
      <c r="F199" s="76" t="n">
        <v>1099.435</v>
      </c>
      <c r="G199" s="76" t="n">
        <v>250.8</v>
      </c>
      <c r="H199" s="80" t="inlineStr">
        <is>
          <t>EURL GHAMOUD MOHAMED PROD CERAMIQUE</t>
        </is>
      </c>
      <c r="I199" s="80" t="inlineStr">
        <is>
          <t>MDF</t>
        </is>
      </c>
      <c r="J199" s="77" t="inlineStr">
        <is>
          <t>CTP</t>
        </is>
      </c>
      <c r="K199" s="78">
        <f>D199+8</f>
        <v/>
      </c>
      <c r="L199" s="78">
        <f>K199+60</f>
        <v/>
      </c>
      <c r="M199" s="82" t="n"/>
      <c r="N199" s="83">
        <f>E199-81-80-63-34-99-54-7</f>
        <v/>
      </c>
      <c r="O199" s="84">
        <f>F199/E199*N199</f>
        <v/>
      </c>
      <c r="P199" s="83">
        <f>G199/E199*N199</f>
        <v/>
      </c>
      <c r="Q199" s="80" t="inlineStr">
        <is>
          <t>HG OUEST+EN FACE PARC</t>
        </is>
      </c>
      <c r="R199" s="80" t="n"/>
      <c r="S199" s="80" t="inlineStr">
        <is>
          <t>YZ25173HDJD002C</t>
        </is>
      </c>
      <c r="T199" s="86" t="n">
        <v>4</v>
      </c>
      <c r="U199" s="80" t="inlineStr">
        <is>
          <t>MDF HS CODE: 4411141000</t>
        </is>
      </c>
      <c r="V199" s="76" t="n"/>
      <c r="W199" s="76" t="n"/>
      <c r="X199" s="76" t="inlineStr">
        <is>
          <t>SOLDEE</t>
        </is>
      </c>
      <c r="Y199" s="116">
        <f>F199/E199</f>
        <v/>
      </c>
      <c r="Z199" s="30" t="n"/>
      <c r="AA199" s="64" t="n">
        <v>412</v>
      </c>
    </row>
    <row r="200" ht="18" customHeight="1" s="202">
      <c r="A200" s="116" t="n">
        <v>20250249</v>
      </c>
      <c r="B200" s="117" t="inlineStr">
        <is>
          <t xml:space="preserve">YANGZE 6   </t>
        </is>
      </c>
      <c r="C200" s="118" t="n">
        <v>45920</v>
      </c>
      <c r="D200" s="118" t="n">
        <v>45944</v>
      </c>
      <c r="E200" s="67" t="n">
        <v>418</v>
      </c>
      <c r="F200" s="119" t="n">
        <v>1099.435</v>
      </c>
      <c r="G200" s="120" t="n">
        <v>250.8</v>
      </c>
      <c r="H200" s="121" t="inlineStr">
        <is>
          <t>EURL GHAMOUD MOHAMED PROD CERAMIQUE</t>
        </is>
      </c>
      <c r="I200" s="121" t="inlineStr">
        <is>
          <t>MDF</t>
        </is>
      </c>
      <c r="J200" s="117" t="inlineStr">
        <is>
          <t>CTP</t>
        </is>
      </c>
      <c r="K200" s="53">
        <f>D200+8</f>
        <v/>
      </c>
      <c r="L200" s="53">
        <f>K200+60</f>
        <v/>
      </c>
      <c r="M200" s="71" t="n"/>
      <c r="N200" s="72">
        <f>E200</f>
        <v/>
      </c>
      <c r="O200" s="50">
        <f>F200/E200*N200</f>
        <v/>
      </c>
      <c r="P200" s="273">
        <f>G200/E200*N200</f>
        <v/>
      </c>
      <c r="Q200" s="224" t="inlineStr">
        <is>
          <t>HG OUEST+EN FACE PARC</t>
        </is>
      </c>
      <c r="R200" s="58" t="n"/>
      <c r="S200" s="200" t="inlineStr">
        <is>
          <t>YZ25173HDJD002D</t>
        </is>
      </c>
      <c r="T200" s="201" t="n">
        <v>5</v>
      </c>
      <c r="U200" s="58" t="inlineStr">
        <is>
          <t>MDF HS CODE: 4411141000</t>
        </is>
      </c>
      <c r="V200" s="67" t="n"/>
      <c r="W200" s="67" t="n"/>
      <c r="X200" s="62" t="inlineStr">
        <is>
          <t>N-OP</t>
        </is>
      </c>
      <c r="Y200" s="116">
        <f>F200/E200</f>
        <v/>
      </c>
      <c r="Z200" s="64">
        <f>E200-N200</f>
        <v/>
      </c>
      <c r="AA200" s="64" t="n">
        <v>342</v>
      </c>
    </row>
    <row r="201" ht="18" customHeight="1" s="202">
      <c r="A201" s="116" t="n">
        <v>20250249</v>
      </c>
      <c r="B201" s="117" t="inlineStr">
        <is>
          <t xml:space="preserve">YANGZE 6   </t>
        </is>
      </c>
      <c r="C201" s="118" t="n">
        <v>45920</v>
      </c>
      <c r="D201" s="118" t="n">
        <v>45944</v>
      </c>
      <c r="E201" s="67" t="n">
        <v>418</v>
      </c>
      <c r="F201" s="119" t="n">
        <v>1099.435</v>
      </c>
      <c r="G201" s="120" t="n">
        <v>250.8</v>
      </c>
      <c r="H201" s="121" t="inlineStr">
        <is>
          <t>EURL GHAMOUD MOHAMED PROD CERAMIQUE</t>
        </is>
      </c>
      <c r="I201" s="121" t="inlineStr">
        <is>
          <t>MDF</t>
        </is>
      </c>
      <c r="J201" s="117" t="inlineStr">
        <is>
          <t>CTP</t>
        </is>
      </c>
      <c r="K201" s="53">
        <f>D201+8</f>
        <v/>
      </c>
      <c r="L201" s="53">
        <f>K201+60</f>
        <v/>
      </c>
      <c r="M201" s="71" t="n"/>
      <c r="N201" s="72">
        <f>E201</f>
        <v/>
      </c>
      <c r="O201" s="50">
        <f>F201/E201*N201</f>
        <v/>
      </c>
      <c r="P201" s="273">
        <f>G201/E201*N201</f>
        <v/>
      </c>
      <c r="Q201" s="224" t="inlineStr">
        <is>
          <t>HG OUEST+EN FACE PARC</t>
        </is>
      </c>
      <c r="R201" s="58" t="n"/>
      <c r="S201" s="200" t="inlineStr">
        <is>
          <t>YZ25173HDJD002E</t>
        </is>
      </c>
      <c r="T201" s="201" t="n">
        <v>6</v>
      </c>
      <c r="U201" s="58" t="inlineStr">
        <is>
          <t>MDF HS CODE: 4411141000</t>
        </is>
      </c>
      <c r="V201" s="67" t="n"/>
      <c r="W201" s="67" t="n"/>
      <c r="X201" s="62" t="inlineStr">
        <is>
          <t>N-OP</t>
        </is>
      </c>
      <c r="Y201" s="116">
        <f>F201/E201</f>
        <v/>
      </c>
      <c r="Z201" s="64">
        <f>E201-N201</f>
        <v/>
      </c>
      <c r="AA201" s="64" t="n">
        <v>736</v>
      </c>
    </row>
    <row r="202" ht="18" customHeight="1" s="202">
      <c r="A202" s="106" t="n">
        <v>20250249</v>
      </c>
      <c r="B202" s="107" t="inlineStr">
        <is>
          <t xml:space="preserve">YANGZE 6   </t>
        </is>
      </c>
      <c r="C202" s="108" t="n">
        <v>45920</v>
      </c>
      <c r="D202" s="108" t="n">
        <v>45944</v>
      </c>
      <c r="E202" s="106" t="n">
        <v>419</v>
      </c>
      <c r="F202" s="106" t="n">
        <v>1102.059</v>
      </c>
      <c r="G202" s="106" t="n">
        <v>251.4</v>
      </c>
      <c r="H202" s="109" t="inlineStr">
        <is>
          <t>EURL GHAMOUD MOHAMED PROD CERAMIQUE</t>
        </is>
      </c>
      <c r="I202" s="109" t="inlineStr">
        <is>
          <t>MDF</t>
        </is>
      </c>
      <c r="J202" s="107" t="inlineStr">
        <is>
          <t>CTP</t>
        </is>
      </c>
      <c r="K202" s="108">
        <f>D202+8</f>
        <v/>
      </c>
      <c r="L202" s="108">
        <f>K202+60</f>
        <v/>
      </c>
      <c r="M202" s="111" t="n"/>
      <c r="N202" s="112">
        <f>E202-53-27-87-103-90-45-14</f>
        <v/>
      </c>
      <c r="O202" s="113">
        <f>F202/E202*N202</f>
        <v/>
      </c>
      <c r="P202" s="112">
        <f>G202/E202*N202</f>
        <v/>
      </c>
      <c r="Q202" s="109" t="inlineStr">
        <is>
          <t>HG OUEST+EN FACE PARC</t>
        </is>
      </c>
      <c r="R202" s="109" t="n"/>
      <c r="S202" s="109" t="inlineStr">
        <is>
          <t>YZ25173HDJD002F</t>
        </is>
      </c>
      <c r="T202" s="114" t="n">
        <v>7</v>
      </c>
      <c r="U202" s="109" t="inlineStr">
        <is>
          <t>MDF HS CODE: 4411141000</t>
        </is>
      </c>
      <c r="V202" s="106" t="n"/>
      <c r="W202" s="106" t="n"/>
      <c r="X202" s="106" t="inlineStr">
        <is>
          <t>SOLDEE</t>
        </is>
      </c>
      <c r="Y202" s="116">
        <f>F202/E202</f>
        <v/>
      </c>
      <c r="Z202" s="30" t="n"/>
      <c r="AA202" s="64" t="n">
        <v>9263</v>
      </c>
    </row>
    <row r="203" ht="18" customHeight="1" s="202">
      <c r="A203" s="206" t="n">
        <v>20250249</v>
      </c>
      <c r="B203" s="207" t="inlineStr">
        <is>
          <t xml:space="preserve">YANGZE 6   </t>
        </is>
      </c>
      <c r="C203" s="208" t="n">
        <v>45920</v>
      </c>
      <c r="D203" s="208" t="n">
        <v>45944</v>
      </c>
      <c r="E203" s="209" t="n">
        <v>500</v>
      </c>
      <c r="F203" s="210" t="n">
        <v>599.05</v>
      </c>
      <c r="G203" s="211" t="n">
        <v>300</v>
      </c>
      <c r="H203" s="212" t="inlineStr">
        <is>
          <t>EURL GHAMOUD MOHAMED PROD CERAMIQUE</t>
        </is>
      </c>
      <c r="I203" s="212" t="inlineStr">
        <is>
          <t>FFP</t>
        </is>
      </c>
      <c r="J203" s="207" t="inlineStr">
        <is>
          <t>CTP</t>
        </is>
      </c>
      <c r="K203" s="53">
        <f>D203+8</f>
        <v/>
      </c>
      <c r="L203" s="53">
        <f>K203+60</f>
        <v/>
      </c>
      <c r="M203" s="214" t="n"/>
      <c r="N203" s="215">
        <f>E203-13-147</f>
        <v/>
      </c>
      <c r="O203" s="216">
        <f>F203/E203*N203</f>
        <v/>
      </c>
      <c r="P203" s="218">
        <f>G203/E203*N203</f>
        <v/>
      </c>
      <c r="Q203" s="224" t="inlineStr">
        <is>
          <t>HG OUEST+EN FACE PARC</t>
        </is>
      </c>
      <c r="R203" s="58" t="n"/>
      <c r="S203" s="200" t="inlineStr">
        <is>
          <t>YZ25173HDJD003</t>
        </is>
      </c>
      <c r="T203" s="201" t="n">
        <v>8</v>
      </c>
      <c r="U203" s="58" t="inlineStr">
        <is>
          <t>FILM FACED PLYWOOD
HS CODE: 4412331000</t>
        </is>
      </c>
      <c r="V203" s="67" t="n"/>
      <c r="W203" s="67" t="n"/>
      <c r="X203" s="99" t="inlineStr">
        <is>
          <t>OPER</t>
        </is>
      </c>
      <c r="Y203" s="116">
        <f>F203/E203</f>
        <v/>
      </c>
      <c r="Z203" s="64">
        <f>E203-N203</f>
        <v/>
      </c>
      <c r="AA203" s="64" t="n">
        <v>1</v>
      </c>
    </row>
    <row r="204" ht="18" customHeight="1" s="202">
      <c r="A204" s="188" t="n">
        <v>20250249</v>
      </c>
      <c r="B204" s="189" t="inlineStr">
        <is>
          <t xml:space="preserve">YANGZE 6   </t>
        </is>
      </c>
      <c r="C204" s="190" t="n">
        <v>45920</v>
      </c>
      <c r="D204" s="190" t="n">
        <v>45944</v>
      </c>
      <c r="E204" s="191" t="n">
        <v>600</v>
      </c>
      <c r="F204" s="192" t="n">
        <v>641.381</v>
      </c>
      <c r="G204" s="193" t="n">
        <v>360</v>
      </c>
      <c r="H204" s="194" t="inlineStr">
        <is>
          <t>EURL GIBA TRADE IMPORT EXPORT</t>
        </is>
      </c>
      <c r="I204" s="194" t="inlineStr">
        <is>
          <t>CTP</t>
        </is>
      </c>
      <c r="J204" s="189" t="inlineStr">
        <is>
          <t>CTP</t>
        </is>
      </c>
      <c r="K204" s="53">
        <f>D204+8</f>
        <v/>
      </c>
      <c r="L204" s="53">
        <f>K204+60</f>
        <v/>
      </c>
      <c r="M204" s="195" t="n"/>
      <c r="N204" s="196">
        <f>E204-130-95-100-135-70-14-30</f>
        <v/>
      </c>
      <c r="O204" s="197">
        <f>F204/E204*N204</f>
        <v/>
      </c>
      <c r="P204" s="273">
        <f>G204/E204*N204</f>
        <v/>
      </c>
      <c r="Q204" s="224" t="inlineStr">
        <is>
          <t>HG OUEST+EN FACE PARC</t>
        </is>
      </c>
      <c r="R204" s="58" t="n"/>
      <c r="S204" s="200" t="inlineStr">
        <is>
          <t>YZ25173LDJD083E</t>
        </is>
      </c>
      <c r="T204" s="201" t="n">
        <v>82</v>
      </c>
      <c r="U204" s="58" t="n"/>
      <c r="V204" s="67" t="n"/>
      <c r="W204" s="67" t="n"/>
      <c r="X204" s="99" t="inlineStr">
        <is>
          <t>OPER</t>
        </is>
      </c>
      <c r="Y204" s="116">
        <f>F204/E204</f>
        <v/>
      </c>
      <c r="Z204" s="64">
        <f>E204-N204</f>
        <v/>
      </c>
      <c r="AA204" s="64" t="n">
        <v>27</v>
      </c>
    </row>
    <row r="205" ht="18" customHeight="1" s="202">
      <c r="A205" s="206" t="n">
        <v>20250268</v>
      </c>
      <c r="B205" s="164" t="inlineStr">
        <is>
          <t>BAHRI DIRIYAH</t>
        </is>
      </c>
      <c r="C205" s="165" t="n">
        <v>45939</v>
      </c>
      <c r="D205" s="165" t="n">
        <v>45944</v>
      </c>
      <c r="E205" s="166" t="n">
        <v>98</v>
      </c>
      <c r="F205" s="167" t="n">
        <v>1000</v>
      </c>
      <c r="G205" s="168" t="n">
        <v>2000</v>
      </c>
      <c r="H205" s="169" t="inlineStr">
        <is>
          <t>ENAFOR SPA / ENTREPRISE NATIONALE DE FORAGE SPA</t>
        </is>
      </c>
      <c r="I205" s="169" t="inlineStr">
        <is>
          <t>COLIS</t>
        </is>
      </c>
      <c r="J205" s="164" t="inlineStr">
        <is>
          <t>COLIS</t>
        </is>
      </c>
      <c r="K205" s="53">
        <f>D205+8</f>
        <v/>
      </c>
      <c r="L205" s="53">
        <f>K205+60</f>
        <v/>
      </c>
      <c r="M205" s="170" t="n"/>
      <c r="N205" s="171">
        <f>E205-21-6-20-12-1-4-1</f>
        <v/>
      </c>
      <c r="O205" s="219">
        <f>F205/E205*N205</f>
        <v/>
      </c>
      <c r="P205" s="273">
        <f>G205/E205*N205</f>
        <v/>
      </c>
      <c r="Q205" s="224" t="inlineStr">
        <is>
          <t>EN FACE HG6000+ EN FACE P4 GC+ ROUTE VERS GC *TC*+</t>
        </is>
      </c>
      <c r="R205" s="58" t="n"/>
      <c r="S205" s="200" t="inlineStr">
        <is>
          <t>DR006QIDJ001A</t>
        </is>
      </c>
      <c r="T205" s="201" t="n">
        <v>1</v>
      </c>
      <c r="U205" s="58" t="n"/>
      <c r="V205" s="67" t="n"/>
      <c r="W205" s="67" t="n"/>
      <c r="X205" s="99" t="inlineStr">
        <is>
          <t>OPER</t>
        </is>
      </c>
      <c r="Y205" s="116">
        <f>F205/E205</f>
        <v/>
      </c>
      <c r="Z205" s="64">
        <f>E205-N205</f>
        <v/>
      </c>
      <c r="AA205" s="30" t="n"/>
    </row>
    <row r="206" ht="18" customHeight="1" s="202">
      <c r="A206" s="135" t="n">
        <v>20250251</v>
      </c>
      <c r="B206" s="136" t="inlineStr">
        <is>
          <t xml:space="preserve">MXD XIAMEN   </t>
        </is>
      </c>
      <c r="C206" s="137" t="n">
        <v>45924</v>
      </c>
      <c r="D206" s="137" t="n">
        <v>45945</v>
      </c>
      <c r="E206" s="138" t="n">
        <v>242</v>
      </c>
      <c r="F206" s="139" t="n">
        <v>1911.77</v>
      </c>
      <c r="G206" s="140" t="n">
        <v>194.104166666667</v>
      </c>
      <c r="H206" s="141" t="inlineStr">
        <is>
          <t>SARL CAPROMET</t>
        </is>
      </c>
      <c r="I206" s="141" t="inlineStr">
        <is>
          <t>BOBINES</t>
        </is>
      </c>
      <c r="J206" s="136" t="inlineStr">
        <is>
          <t>BOBINES</t>
        </is>
      </c>
      <c r="K206" s="142">
        <f>D206+8</f>
        <v/>
      </c>
      <c r="L206" s="142">
        <f>K206+60</f>
        <v/>
      </c>
      <c r="M206" s="143" t="n"/>
      <c r="N206" s="144">
        <f>E206-62-77-71-20-8</f>
        <v/>
      </c>
      <c r="O206" s="220">
        <f>F206/E206*N206</f>
        <v/>
      </c>
      <c r="P206" s="273">
        <f>G206/E206*N206</f>
        <v/>
      </c>
      <c r="Q206" s="224" t="inlineStr">
        <is>
          <t>OUEST + GC 5+6</t>
        </is>
      </c>
      <c r="R206" s="58" t="inlineStr">
        <is>
          <t>Z</t>
        </is>
      </c>
      <c r="S206" s="200" t="inlineStr">
        <is>
          <t>MD25174XDJD052</t>
        </is>
      </c>
      <c r="T206" s="201" t="n">
        <v>4</v>
      </c>
      <c r="U206" s="58" t="n"/>
      <c r="V206" s="67" t="n"/>
      <c r="W206" s="67" t="n"/>
      <c r="X206" s="99" t="inlineStr">
        <is>
          <t>OPER</t>
        </is>
      </c>
      <c r="Y206" s="116">
        <f>F206/E206</f>
        <v/>
      </c>
      <c r="Z206" s="64">
        <f>E206-N206</f>
        <v/>
      </c>
      <c r="AA206" s="30" t="n"/>
    </row>
    <row r="207" ht="18" customHeight="1" s="202">
      <c r="A207" s="206" t="n">
        <v>20250251</v>
      </c>
      <c r="B207" s="207" t="inlineStr">
        <is>
          <t xml:space="preserve">MXD XIAMEN   </t>
        </is>
      </c>
      <c r="C207" s="208" t="n">
        <v>45924</v>
      </c>
      <c r="D207" s="208" t="n">
        <v>45945</v>
      </c>
      <c r="E207" s="209" t="n">
        <v>354</v>
      </c>
      <c r="F207" s="210" t="n">
        <v>2515.829</v>
      </c>
      <c r="G207" s="211" t="n">
        <v>283.9375</v>
      </c>
      <c r="H207" s="212" t="inlineStr">
        <is>
          <t>SARL CAPROMET</t>
        </is>
      </c>
      <c r="I207" s="212" t="inlineStr">
        <is>
          <t>BOBINES</t>
        </is>
      </c>
      <c r="J207" s="207" t="inlineStr">
        <is>
          <t>BOBINES</t>
        </is>
      </c>
      <c r="K207" s="213">
        <f>D207+8</f>
        <v/>
      </c>
      <c r="L207" s="213">
        <f>K207+60</f>
        <v/>
      </c>
      <c r="M207" s="214" t="n"/>
      <c r="N207" s="215">
        <f>E207-24</f>
        <v/>
      </c>
      <c r="O207" s="221">
        <f>F207/E207*N207</f>
        <v/>
      </c>
      <c r="P207" s="273">
        <f>G207/E207*N207</f>
        <v/>
      </c>
      <c r="Q207" s="224" t="inlineStr">
        <is>
          <t>OUEST + GC 5+6</t>
        </is>
      </c>
      <c r="R207" s="58" t="n"/>
      <c r="S207" s="200" t="inlineStr">
        <is>
          <t>MD25174XDJD058</t>
        </is>
      </c>
      <c r="T207" s="201" t="n"/>
      <c r="U207" s="58" t="n"/>
      <c r="V207" s="67" t="n"/>
      <c r="W207" s="67" t="n"/>
      <c r="X207" s="182" t="inlineStr">
        <is>
          <t>OPER</t>
        </is>
      </c>
      <c r="Y207" s="116">
        <f>F207/E207</f>
        <v/>
      </c>
      <c r="Z207" s="64">
        <f>E207-N207</f>
        <v/>
      </c>
      <c r="AA207" s="30" t="n"/>
    </row>
    <row r="208" ht="18" customHeight="1" s="202">
      <c r="A208" s="116" t="n">
        <v>20250251</v>
      </c>
      <c r="B208" s="117" t="inlineStr">
        <is>
          <t xml:space="preserve">MXD XIAMEN   </t>
        </is>
      </c>
      <c r="C208" s="118" t="n">
        <v>45924</v>
      </c>
      <c r="D208" s="118" t="n">
        <v>45945</v>
      </c>
      <c r="E208" s="67" t="n">
        <v>398</v>
      </c>
      <c r="F208" s="119" t="n">
        <v>3204.272</v>
      </c>
      <c r="G208" s="120" t="n">
        <v>319.229166666667</v>
      </c>
      <c r="H208" s="121" t="inlineStr">
        <is>
          <t>SARL CAPROMET</t>
        </is>
      </c>
      <c r="I208" s="121" t="inlineStr">
        <is>
          <t>BOBINES</t>
        </is>
      </c>
      <c r="J208" s="117" t="inlineStr">
        <is>
          <t>BOBINES</t>
        </is>
      </c>
      <c r="K208" s="53">
        <f>D208+8</f>
        <v/>
      </c>
      <c r="L208" s="53">
        <f>K208+60</f>
        <v/>
      </c>
      <c r="M208" s="71" t="n"/>
      <c r="N208" s="72">
        <f>E208</f>
        <v/>
      </c>
      <c r="O208" s="222">
        <f>F208/E208*N208</f>
        <v/>
      </c>
      <c r="P208" s="273">
        <f>G208/E208*N208</f>
        <v/>
      </c>
      <c r="Q208" s="224" t="inlineStr">
        <is>
          <t>OUEST + GC 5+6</t>
        </is>
      </c>
      <c r="R208" s="58" t="n"/>
      <c r="S208" s="200" t="inlineStr">
        <is>
          <t>MD25174XDJD069</t>
        </is>
      </c>
      <c r="T208" s="201" t="n"/>
      <c r="U208" s="58" t="n"/>
      <c r="V208" s="67" t="n"/>
      <c r="W208" s="67" t="n"/>
      <c r="X208" s="62" t="inlineStr">
        <is>
          <t>N-OP</t>
        </is>
      </c>
      <c r="Y208" s="116">
        <f>F208/E208</f>
        <v/>
      </c>
      <c r="Z208" s="64">
        <f>E208-N208</f>
        <v/>
      </c>
      <c r="AA208" s="64" t="n">
        <v>1</v>
      </c>
    </row>
    <row r="209" ht="18" customHeight="1" s="202">
      <c r="A209" s="188" t="n">
        <v>20250251</v>
      </c>
      <c r="B209" s="189" t="inlineStr">
        <is>
          <t xml:space="preserve">MXD XIAMEN   </t>
        </is>
      </c>
      <c r="C209" s="190" t="n">
        <v>45924</v>
      </c>
      <c r="D209" s="190" t="n">
        <v>45945</v>
      </c>
      <c r="E209" s="191" t="n">
        <v>92</v>
      </c>
      <c r="F209" s="192" t="n">
        <v>626.208</v>
      </c>
      <c r="G209" s="193" t="n">
        <v>73.7916666666667</v>
      </c>
      <c r="H209" s="194" t="inlineStr">
        <is>
          <t>EURL MAGHREB PROFIL PRO</t>
        </is>
      </c>
      <c r="I209" s="194" t="inlineStr">
        <is>
          <t>BOBINES</t>
        </is>
      </c>
      <c r="J209" s="189" t="inlineStr">
        <is>
          <t>BOBINES</t>
        </is>
      </c>
      <c r="K209" s="53">
        <f>D209+8</f>
        <v/>
      </c>
      <c r="L209" s="53">
        <f>K209+60</f>
        <v/>
      </c>
      <c r="M209" s="195" t="n"/>
      <c r="N209" s="196">
        <f>E209-14-18-27</f>
        <v/>
      </c>
      <c r="O209" s="223">
        <f>F209/E209*N209</f>
        <v/>
      </c>
      <c r="P209" s="273">
        <f>G209/E209*N209</f>
        <v/>
      </c>
      <c r="Q209" s="224" t="inlineStr">
        <is>
          <t>OUEST + GC 5+6</t>
        </is>
      </c>
      <c r="R209" s="58" t="n"/>
      <c r="S209" s="200" t="inlineStr">
        <is>
          <t>MD25174XDJD173-175</t>
        </is>
      </c>
      <c r="T209" s="201" t="n">
        <v>60</v>
      </c>
      <c r="U209" s="58" t="n"/>
      <c r="V209" s="67" t="n"/>
      <c r="W209" s="67" t="n"/>
      <c r="X209" s="99" t="inlineStr">
        <is>
          <t>OPER</t>
        </is>
      </c>
      <c r="Y209" s="116">
        <f>F209/E209</f>
        <v/>
      </c>
      <c r="Z209" s="64">
        <f>E209-N209</f>
        <v/>
      </c>
      <c r="AA209" s="30" t="n"/>
    </row>
    <row r="210" ht="18" customHeight="1" s="202">
      <c r="A210" s="116" t="n">
        <v>20250251</v>
      </c>
      <c r="B210" s="117" t="inlineStr">
        <is>
          <t xml:space="preserve">MXD XIAMEN   </t>
        </is>
      </c>
      <c r="C210" s="118" t="n">
        <v>45924</v>
      </c>
      <c r="D210" s="118" t="n">
        <v>45945</v>
      </c>
      <c r="E210" s="67" t="n">
        <v>2</v>
      </c>
      <c r="F210" s="119" t="n">
        <v>34.32</v>
      </c>
      <c r="G210" s="120" t="n">
        <v>48</v>
      </c>
      <c r="H210" s="121" t="inlineStr">
        <is>
          <t>EURL ELKENDI PETROLEUM</t>
        </is>
      </c>
      <c r="I210" s="117" t="inlineStr">
        <is>
          <t>REMORQUE</t>
        </is>
      </c>
      <c r="J210" s="121" t="inlineStr">
        <is>
          <t>LOURD</t>
        </is>
      </c>
      <c r="K210" s="53">
        <f>D210+8</f>
        <v/>
      </c>
      <c r="L210" s="53">
        <f>K210+60</f>
        <v/>
      </c>
      <c r="M210" s="71" t="n"/>
      <c r="N210" s="72">
        <f>E210</f>
        <v/>
      </c>
      <c r="O210" s="222">
        <f>F210/E210*N210</f>
        <v/>
      </c>
      <c r="P210" s="273">
        <f>G210/E210*N210</f>
        <v/>
      </c>
      <c r="R210" s="58" t="n"/>
      <c r="S210" s="200" t="inlineStr">
        <is>
          <t>MD25174XDJD131</t>
        </is>
      </c>
      <c r="T210" s="201" t="n"/>
      <c r="U210" s="121" t="inlineStr">
        <is>
          <t>04 UNITS TRAILER ( VOIR BL)</t>
        </is>
      </c>
      <c r="V210" s="67" t="n"/>
      <c r="W210" s="67" t="n"/>
      <c r="X210" s="62" t="inlineStr">
        <is>
          <t>N-OP</t>
        </is>
      </c>
      <c r="Y210" s="116">
        <f>F210/E210</f>
        <v/>
      </c>
      <c r="Z210" s="64">
        <f>E210-N210</f>
        <v/>
      </c>
      <c r="AA210" s="30" t="n"/>
    </row>
    <row r="211" ht="18" customHeight="1" s="202">
      <c r="A211" s="116" t="n">
        <v>20250251</v>
      </c>
      <c r="B211" s="117" t="inlineStr">
        <is>
          <t xml:space="preserve">MXD XIAMEN   </t>
        </is>
      </c>
      <c r="C211" s="118" t="n">
        <v>45924</v>
      </c>
      <c r="D211" s="118" t="n">
        <v>45945</v>
      </c>
      <c r="E211" s="67" t="n">
        <v>1</v>
      </c>
      <c r="F211" s="119" t="n">
        <v>17.16</v>
      </c>
      <c r="G211" s="120" t="n">
        <v>24</v>
      </c>
      <c r="H211" s="121" t="inlineStr">
        <is>
          <t>EURL ELKENDI PETROLEUM</t>
        </is>
      </c>
      <c r="I211" s="117" t="inlineStr">
        <is>
          <t>REMORQUE</t>
        </is>
      </c>
      <c r="J211" s="121" t="inlineStr">
        <is>
          <t>LOURD</t>
        </is>
      </c>
      <c r="K211" s="53">
        <f>D211+8</f>
        <v/>
      </c>
      <c r="L211" s="53">
        <f>K211+60</f>
        <v/>
      </c>
      <c r="M211" s="71" t="n"/>
      <c r="N211" s="72">
        <f>E211</f>
        <v/>
      </c>
      <c r="O211" s="222">
        <f>F211/E211*N211</f>
        <v/>
      </c>
      <c r="P211" s="273">
        <f>G211/E211*N211</f>
        <v/>
      </c>
      <c r="R211" s="58" t="n"/>
      <c r="S211" s="200" t="inlineStr">
        <is>
          <t>MD25174XDJD145</t>
        </is>
      </c>
      <c r="T211" s="201" t="n"/>
      <c r="U211" s="121" t="inlineStr">
        <is>
          <t>01 UNIT TRAILER ( VOIR BL)</t>
        </is>
      </c>
      <c r="V211" s="67" t="n"/>
      <c r="W211" s="67" t="n"/>
      <c r="X211" s="62" t="inlineStr">
        <is>
          <t>N-OP</t>
        </is>
      </c>
      <c r="Y211" s="116">
        <f>F211/E211</f>
        <v/>
      </c>
      <c r="Z211" s="64">
        <f>E211-N211</f>
        <v/>
      </c>
      <c r="AA211" s="30" t="n"/>
    </row>
    <row r="212" ht="18" customHeight="1" s="202">
      <c r="A212" s="119" t="n">
        <v>20250251</v>
      </c>
      <c r="B212" s="225" t="inlineStr">
        <is>
          <t xml:space="preserve">MXD XIAMEN   </t>
        </is>
      </c>
      <c r="C212" s="226" t="n">
        <v>45924</v>
      </c>
      <c r="D212" s="226" t="n">
        <v>45945</v>
      </c>
      <c r="E212" s="119" t="n">
        <v>2</v>
      </c>
      <c r="F212" s="119" t="n">
        <v>20.4</v>
      </c>
      <c r="G212" s="119" t="n"/>
      <c r="H212" s="227" t="inlineStr">
        <is>
          <t>EURL ELKENDI PETROLEUM</t>
        </is>
      </c>
      <c r="I212" s="225" t="inlineStr">
        <is>
          <t>CAMIONS</t>
        </is>
      </c>
      <c r="J212" s="227" t="inlineStr">
        <is>
          <t>LOURD</t>
        </is>
      </c>
      <c r="K212" s="174">
        <f>D212+8</f>
        <v/>
      </c>
      <c r="L212" s="174">
        <f>K212+60</f>
        <v/>
      </c>
      <c r="M212" s="228" t="n"/>
      <c r="N212" s="229">
        <f>E212</f>
        <v/>
      </c>
      <c r="O212" s="230">
        <f>F212/E212*N212</f>
        <v/>
      </c>
      <c r="P212" s="273">
        <f>G212/E212*N212</f>
        <v/>
      </c>
      <c r="Q212" s="224" t="n"/>
      <c r="R212" s="224" t="n"/>
      <c r="S212" s="199" t="inlineStr">
        <is>
          <t>MD25174XDJD146/222</t>
        </is>
      </c>
      <c r="T212" s="231" t="n">
        <v>42</v>
      </c>
      <c r="U212" s="121" t="inlineStr">
        <is>
          <t>02 UNITS TRACTOR HEAD ND4260BD3J6Z09 ( VOIR BL)</t>
        </is>
      </c>
      <c r="V212" s="67" t="n"/>
      <c r="W212" s="67" t="n"/>
      <c r="X212" s="62" t="inlineStr">
        <is>
          <t>N-OP</t>
        </is>
      </c>
      <c r="Y212" s="116">
        <f>F212/E212</f>
        <v/>
      </c>
      <c r="Z212" s="64">
        <f>E212-N212</f>
        <v/>
      </c>
      <c r="AA212" s="64" t="n">
        <v>1</v>
      </c>
    </row>
    <row r="213" ht="18" customHeight="1" s="202">
      <c r="A213" s="188" t="n">
        <v>20250251</v>
      </c>
      <c r="B213" s="189" t="inlineStr">
        <is>
          <t xml:space="preserve">MXD XIAMEN   </t>
        </is>
      </c>
      <c r="C213" s="190" t="n">
        <v>45924</v>
      </c>
      <c r="D213" s="190" t="n">
        <v>45945</v>
      </c>
      <c r="E213" s="191" t="n">
        <v>4</v>
      </c>
      <c r="F213" s="192" t="n">
        <v>47.4</v>
      </c>
      <c r="G213" s="193" t="n">
        <v>96</v>
      </c>
      <c r="H213" s="194" t="inlineStr">
        <is>
          <t>BANQUE DE L'AGRICULTURE ET DU DEVELOPPEMENT RURAL PC BOUHASSEIN REDOUANE</t>
        </is>
      </c>
      <c r="I213" s="189" t="inlineStr">
        <is>
          <t>CAMIONS</t>
        </is>
      </c>
      <c r="J213" s="194" t="inlineStr">
        <is>
          <t>LOURD</t>
        </is>
      </c>
      <c r="K213" s="53">
        <f>D213+8</f>
        <v/>
      </c>
      <c r="L213" s="53">
        <f>K213+60</f>
        <v/>
      </c>
      <c r="M213" s="195" t="n"/>
      <c r="N213" s="196">
        <f>E213-3</f>
        <v/>
      </c>
      <c r="O213" s="223">
        <f>F213/E213*N213</f>
        <v/>
      </c>
      <c r="P213" s="273">
        <f>G213/E213*N213</f>
        <v/>
      </c>
      <c r="Q213" s="199" t="n"/>
      <c r="R213" s="58" t="n"/>
      <c r="S213" s="200" t="inlineStr">
        <is>
          <t>MD25174XDJD154</t>
        </is>
      </c>
      <c r="T213" s="201" t="n">
        <v>48</v>
      </c>
      <c r="U213" s="194" t="inlineStr">
        <is>
          <t>03 UNITS ZZ4257V384GB1 SINOTRUK HOWO-TX 6X4 TRACTOR HEAD /03 UNITS ZJV9400TDPH CIMC 3 AXLES CARGO SEMI-TRAILER ( VOIR BL)</t>
        </is>
      </c>
      <c r="V213" s="67" t="n"/>
      <c r="W213" s="67" t="n"/>
      <c r="X213" s="99" t="inlineStr">
        <is>
          <t>OPER</t>
        </is>
      </c>
      <c r="Y213" s="116">
        <f>F213/E213</f>
        <v/>
      </c>
      <c r="Z213" s="64">
        <f>E213-N213</f>
        <v/>
      </c>
      <c r="AA213" s="30" t="n"/>
    </row>
    <row r="214" ht="18" customHeight="1" s="202">
      <c r="A214" s="188" t="n">
        <v>20250251</v>
      </c>
      <c r="B214" s="189" t="inlineStr">
        <is>
          <t xml:space="preserve">MXD XIAMEN   </t>
        </is>
      </c>
      <c r="C214" s="190" t="n">
        <v>45924</v>
      </c>
      <c r="D214" s="190" t="n">
        <v>45945</v>
      </c>
      <c r="E214" s="191" t="n">
        <v>3</v>
      </c>
      <c r="F214" s="192" t="n">
        <v>24.9</v>
      </c>
      <c r="G214" s="193" t="n">
        <v>72</v>
      </c>
      <c r="H214" s="194" t="inlineStr">
        <is>
          <t>EURL TAYEBI TAYEB CIMENT</t>
        </is>
      </c>
      <c r="I214" s="189" t="inlineStr">
        <is>
          <t>REMORQUE</t>
        </is>
      </c>
      <c r="J214" s="194" t="inlineStr">
        <is>
          <t>LOURD</t>
        </is>
      </c>
      <c r="K214" s="53">
        <f>D214+8</f>
        <v/>
      </c>
      <c r="L214" s="53">
        <f>K214+60</f>
        <v/>
      </c>
      <c r="M214" s="195" t="n"/>
      <c r="N214" s="196">
        <f>E214-2</f>
        <v/>
      </c>
      <c r="O214" s="223">
        <f>F214/E214*N214</f>
        <v/>
      </c>
      <c r="P214" s="273">
        <f>G214/E214*N214</f>
        <v/>
      </c>
      <c r="Q214" s="199" t="n"/>
      <c r="R214" s="58" t="n"/>
      <c r="S214" s="200" t="inlineStr">
        <is>
          <t>MD25174XDJD186</t>
        </is>
      </c>
      <c r="T214" s="201" t="n">
        <v>65</v>
      </c>
      <c r="U214" s="194" t="inlineStr">
        <is>
          <t>03 UNITS SDW9407GFLA CIMC 45M3 CEMENT POWER TANKER ( VOIR BL)</t>
        </is>
      </c>
      <c r="V214" s="67" t="n"/>
      <c r="W214" s="67" t="n"/>
      <c r="X214" s="99" t="inlineStr">
        <is>
          <t>OPER</t>
        </is>
      </c>
      <c r="Y214" s="116">
        <f>F214/E214</f>
        <v/>
      </c>
      <c r="Z214" s="64">
        <f>E214-N214</f>
        <v/>
      </c>
      <c r="AA214" s="64" t="n">
        <v>1137</v>
      </c>
    </row>
    <row r="215" ht="18" customHeight="1" s="202">
      <c r="A215" s="188" t="n">
        <v>20250251</v>
      </c>
      <c r="B215" s="189" t="inlineStr">
        <is>
          <t xml:space="preserve">MXD XIAMEN   </t>
        </is>
      </c>
      <c r="C215" s="190" t="n">
        <v>45924</v>
      </c>
      <c r="D215" s="190" t="n">
        <v>45945</v>
      </c>
      <c r="E215" s="191" t="n">
        <v>8</v>
      </c>
      <c r="F215" s="192" t="n">
        <v>110</v>
      </c>
      <c r="G215" s="193" t="n">
        <v>192</v>
      </c>
      <c r="H215" s="194" t="inlineStr">
        <is>
          <t>EL DJAZAIR IDJAR S.P.A PC SARL VITRO</t>
        </is>
      </c>
      <c r="I215" s="189" t="inlineStr">
        <is>
          <t>CAMIONS</t>
        </is>
      </c>
      <c r="J215" s="194" t="inlineStr">
        <is>
          <t>LOURD</t>
        </is>
      </c>
      <c r="K215" s="53">
        <f>D215+8</f>
        <v/>
      </c>
      <c r="L215" s="53">
        <f>K215+60</f>
        <v/>
      </c>
      <c r="M215" s="195" t="n"/>
      <c r="N215" s="196">
        <f>E215-2-1-2-2</f>
        <v/>
      </c>
      <c r="O215" s="223">
        <f>F215/E215*N215</f>
        <v/>
      </c>
      <c r="P215" s="273">
        <f>G215/E215*N215</f>
        <v/>
      </c>
      <c r="Q215" s="199" t="n"/>
      <c r="R215" s="58" t="n"/>
      <c r="S215" s="200" t="inlineStr">
        <is>
          <t>MD25174XDJD203</t>
        </is>
      </c>
      <c r="T215" s="201" t="n">
        <v>87</v>
      </c>
      <c r="U215" s="194" t="inlineStr">
        <is>
          <t>04 UNITS SX3255JM384 SHACMAN F2000 6X4 DUMP TRUCK/04 UNITS SX5255GYSJM434 SHACMAN F2000 20M3 WATER TANKER TRUCK ( VOIR BL)</t>
        </is>
      </c>
      <c r="V215" s="67" t="n"/>
      <c r="W215" s="67" t="n"/>
      <c r="X215" s="99" t="inlineStr">
        <is>
          <t>OPER</t>
        </is>
      </c>
      <c r="Y215" s="116">
        <f>F215/E215</f>
        <v/>
      </c>
      <c r="Z215" s="64">
        <f>E215-N215</f>
        <v/>
      </c>
      <c r="AA215" s="64" t="n">
        <v>339</v>
      </c>
    </row>
    <row r="216" ht="18" customHeight="1" s="202">
      <c r="A216" s="116" t="n">
        <v>20250252</v>
      </c>
      <c r="B216" s="117" t="inlineStr">
        <is>
          <t xml:space="preserve">HONG RUN 16    </t>
        </is>
      </c>
      <c r="C216" s="118" t="n">
        <v>45925</v>
      </c>
      <c r="D216" s="118" t="n">
        <v>45948</v>
      </c>
      <c r="E216" s="67" t="n">
        <v>300</v>
      </c>
      <c r="F216" s="119" t="n">
        <v>300</v>
      </c>
      <c r="G216" s="120" t="n">
        <v>180</v>
      </c>
      <c r="H216" s="121" t="inlineStr">
        <is>
          <t>SARL PHENIX PLATEAU</t>
        </is>
      </c>
      <c r="I216" s="121" t="inlineStr">
        <is>
          <t>CTP</t>
        </is>
      </c>
      <c r="J216" s="117" t="inlineStr">
        <is>
          <t>CTP</t>
        </is>
      </c>
      <c r="K216" s="53">
        <f>D216+8</f>
        <v/>
      </c>
      <c r="L216" s="53">
        <f>K216+60</f>
        <v/>
      </c>
      <c r="M216" s="71" t="n"/>
      <c r="N216" s="72">
        <f>E216</f>
        <v/>
      </c>
      <c r="O216" s="222">
        <f>F216/E216*N216</f>
        <v/>
      </c>
      <c r="P216" s="273">
        <f>G216/E216*N216</f>
        <v/>
      </c>
      <c r="Q216" s="224" t="inlineStr">
        <is>
          <t>HG 6000 + GC</t>
        </is>
      </c>
      <c r="R216" s="58" t="n"/>
      <c r="S216" s="200" t="inlineStr">
        <is>
          <t>25014LYD4603</t>
        </is>
      </c>
      <c r="T216" s="201" t="n">
        <v>80</v>
      </c>
      <c r="U216" s="58" t="n"/>
      <c r="V216" s="67" t="n"/>
      <c r="W216" s="67" t="n"/>
      <c r="X216" s="62" t="inlineStr">
        <is>
          <t>N-OP</t>
        </is>
      </c>
      <c r="Y216" s="116">
        <f>F216/E216</f>
        <v/>
      </c>
      <c r="Z216" s="64">
        <f>E216-N216</f>
        <v/>
      </c>
      <c r="AA216" s="64" t="n">
        <v>645</v>
      </c>
    </row>
    <row r="217" ht="18" customHeight="1" s="202">
      <c r="A217" s="188" t="n">
        <v>20250252</v>
      </c>
      <c r="B217" s="189" t="inlineStr">
        <is>
          <t xml:space="preserve">HONG RUN 16    </t>
        </is>
      </c>
      <c r="C217" s="190" t="n">
        <v>45925</v>
      </c>
      <c r="D217" s="190" t="n">
        <v>45948</v>
      </c>
      <c r="E217" s="191" t="n">
        <v>4046</v>
      </c>
      <c r="F217" s="192" t="n">
        <v>4454.646</v>
      </c>
      <c r="G217" s="193" t="n">
        <v>3520.2108490566</v>
      </c>
      <c r="H217" s="194" t="inlineStr">
        <is>
          <t>FERDJIOUA PLASTIQUE ET SERVICE SARL</t>
        </is>
      </c>
      <c r="I217" s="194" t="inlineStr">
        <is>
          <t>PET RESIN EN BIG BAG</t>
        </is>
      </c>
      <c r="J217" s="189" t="inlineStr">
        <is>
          <t>BIG BAG</t>
        </is>
      </c>
      <c r="K217" s="53">
        <f>D217+8</f>
        <v/>
      </c>
      <c r="L217" s="53">
        <f>K217+60</f>
        <v/>
      </c>
      <c r="M217" s="195" t="n"/>
      <c r="N217" s="196">
        <f>E217-261-87-87-87-87-87-58-196-174-203-87-174-203-29-58-261-174-203-174-174-232-116-319-58-203-116-87</f>
        <v/>
      </c>
      <c r="O217" s="223">
        <f>F217/E217*N217</f>
        <v/>
      </c>
      <c r="P217" s="273">
        <f>G217/E217*N217</f>
        <v/>
      </c>
      <c r="Q217" s="224" t="inlineStr">
        <is>
          <t>GC3 + ROUTE PRINCIPALE</t>
        </is>
      </c>
      <c r="R217" s="58" t="n"/>
      <c r="S217" s="200" t="inlineStr">
        <is>
          <t>25014LYD3101</t>
        </is>
      </c>
      <c r="T217" s="201" t="n">
        <v>58</v>
      </c>
      <c r="U217" s="58" t="n"/>
      <c r="V217" s="67" t="n"/>
      <c r="W217" s="67" t="n"/>
      <c r="X217" s="99" t="inlineStr">
        <is>
          <t>OPER</t>
        </is>
      </c>
      <c r="Y217" s="116">
        <f>F217/E217</f>
        <v/>
      </c>
      <c r="Z217" s="64">
        <f>E217-N217</f>
        <v/>
      </c>
      <c r="AA217" s="64" t="n">
        <v>2060</v>
      </c>
    </row>
    <row r="218" ht="18" customHeight="1" s="202">
      <c r="A218" s="188" t="n">
        <v>20250252</v>
      </c>
      <c r="B218" s="189" t="inlineStr">
        <is>
          <t xml:space="preserve">HONG RUN 16    </t>
        </is>
      </c>
      <c r="C218" s="190" t="n">
        <v>45925</v>
      </c>
      <c r="D218" s="190" t="n">
        <v>45948</v>
      </c>
      <c r="E218" s="191" t="n">
        <v>668</v>
      </c>
      <c r="F218" s="192" t="n">
        <v>553.792</v>
      </c>
      <c r="G218" s="193" t="n">
        <v>467.647141848977</v>
      </c>
      <c r="H218" s="194" t="inlineStr">
        <is>
          <t>GCB-SOCIETE NATIONALE DE GENIE CIVIL ET BATIMENT</t>
        </is>
      </c>
      <c r="I218" s="194" t="inlineStr">
        <is>
          <t>TUBES</t>
        </is>
      </c>
      <c r="J218" s="189" t="inlineStr">
        <is>
          <t>TUBES</t>
        </is>
      </c>
      <c r="K218" s="53">
        <f>D218+8</f>
        <v/>
      </c>
      <c r="L218" s="53">
        <f>K218+60</f>
        <v/>
      </c>
      <c r="M218" s="195" t="n"/>
      <c r="N218" s="196">
        <f>E218-351-16-112-176-6-3</f>
        <v/>
      </c>
      <c r="O218" s="223">
        <f>F218/E218*N218</f>
        <v/>
      </c>
      <c r="P218" s="273">
        <f>G218/E218*N218</f>
        <v/>
      </c>
      <c r="Q218" s="199" t="inlineStr">
        <is>
          <t>CASERNE</t>
        </is>
      </c>
      <c r="R218" s="58" t="n"/>
      <c r="S218" s="200" t="inlineStr">
        <is>
          <t>25014LYD5501/02</t>
        </is>
      </c>
      <c r="T218" s="201" t="n">
        <v>90</v>
      </c>
      <c r="U218" s="58" t="n"/>
      <c r="V218" s="67" t="n"/>
      <c r="W218" s="67" t="n"/>
      <c r="X218" s="99" t="inlineStr">
        <is>
          <t>OPER</t>
        </is>
      </c>
      <c r="Y218" s="116">
        <f>F218/E218</f>
        <v/>
      </c>
      <c r="Z218" s="64">
        <f>E218-N218</f>
        <v/>
      </c>
      <c r="AA218" s="30" t="n"/>
    </row>
    <row r="219" ht="18" customHeight="1" s="202">
      <c r="A219" s="188" t="n">
        <v>20250252</v>
      </c>
      <c r="B219" s="189" t="inlineStr">
        <is>
          <t xml:space="preserve">HONG RUN 16    </t>
        </is>
      </c>
      <c r="C219" s="190" t="n">
        <v>45925</v>
      </c>
      <c r="D219" s="190" t="n">
        <v>45948</v>
      </c>
      <c r="E219" s="191" t="n">
        <v>51</v>
      </c>
      <c r="F219" s="192" t="n">
        <v>216.995</v>
      </c>
      <c r="G219" s="193" t="n">
        <v>41</v>
      </c>
      <c r="H219" s="194" t="inlineStr">
        <is>
          <t>SARL EL BAZ PROFIL</t>
        </is>
      </c>
      <c r="I219" s="194" t="inlineStr">
        <is>
          <t>BOBINES</t>
        </is>
      </c>
      <c r="J219" s="189" t="inlineStr">
        <is>
          <t>BOBINES</t>
        </is>
      </c>
      <c r="K219" s="53">
        <f>D219+8</f>
        <v/>
      </c>
      <c r="L219" s="53">
        <f>K219+60</f>
        <v/>
      </c>
      <c r="M219" s="195" t="n"/>
      <c r="N219" s="196">
        <f>E219-7</f>
        <v/>
      </c>
      <c r="O219" s="223">
        <f>F219/E219*N219</f>
        <v/>
      </c>
      <c r="P219" s="273">
        <f>G219/E219*N219</f>
        <v/>
      </c>
      <c r="Q219" s="224" t="n"/>
      <c r="R219" s="58" t="n"/>
      <c r="S219" s="200" t="inlineStr">
        <is>
          <t>25014LYD4001</t>
        </is>
      </c>
      <c r="T219" s="201" t="n">
        <v>69</v>
      </c>
      <c r="U219" s="58" t="n"/>
      <c r="V219" s="67" t="n"/>
      <c r="W219" s="67" t="n"/>
      <c r="X219" s="99" t="inlineStr">
        <is>
          <t>OPER</t>
        </is>
      </c>
      <c r="Y219" s="116">
        <f>F219/E219</f>
        <v/>
      </c>
      <c r="Z219" s="64">
        <f>E219-N219</f>
        <v/>
      </c>
      <c r="AA219" s="64" t="n">
        <v>113</v>
      </c>
    </row>
    <row r="220" ht="18" customHeight="1" s="202">
      <c r="A220" s="116" t="n">
        <v>20250252</v>
      </c>
      <c r="B220" s="117" t="inlineStr">
        <is>
          <t xml:space="preserve">HONG RUN 16    </t>
        </is>
      </c>
      <c r="C220" s="118" t="n">
        <v>45925</v>
      </c>
      <c r="D220" s="118" t="n">
        <v>45948</v>
      </c>
      <c r="E220" s="67" t="n">
        <v>2</v>
      </c>
      <c r="F220" s="119" t="n">
        <v>111.19866</v>
      </c>
      <c r="G220" s="120" t="n">
        <v>48</v>
      </c>
      <c r="H220" s="121" t="inlineStr">
        <is>
          <t>GLOBAL HEAVY ALGERIA</t>
        </is>
      </c>
      <c r="I220" s="117" t="inlineStr">
        <is>
          <t>EXCAVATEURS</t>
        </is>
      </c>
      <c r="J220" s="121" t="inlineStr">
        <is>
          <t>ENGINS</t>
        </is>
      </c>
      <c r="K220" s="53">
        <f>D220+8</f>
        <v/>
      </c>
      <c r="L220" s="53">
        <f>K220+60</f>
        <v/>
      </c>
      <c r="M220" s="71" t="n"/>
      <c r="N220" s="72">
        <f>E220</f>
        <v/>
      </c>
      <c r="O220" s="232">
        <f>F220/E220*N220</f>
        <v/>
      </c>
      <c r="P220" s="273">
        <f>G220/E220*N220</f>
        <v/>
      </c>
      <c r="R220" s="58" t="n"/>
      <c r="S220" s="200" t="inlineStr">
        <is>
          <t>25014LYD0601-03</t>
        </is>
      </c>
      <c r="T220" s="201" t="n"/>
      <c r="U220" s="58" t="inlineStr">
        <is>
          <t>ROTARY DRILLING RIG/GANTRY CRANE /EXCAVATOR /LOADER / BREAKER/FISHPLATE/RAIL/BOLT/SPARE PARTS ( VOIR BL)</t>
        </is>
      </c>
      <c r="V220" s="67" t="n"/>
      <c r="W220" s="67" t="n"/>
      <c r="X220" s="62" t="inlineStr">
        <is>
          <t>N-OP</t>
        </is>
      </c>
      <c r="Y220" s="116">
        <f>F220/E220</f>
        <v/>
      </c>
      <c r="Z220" s="64">
        <f>E220-N220</f>
        <v/>
      </c>
      <c r="AA220" s="64" t="n">
        <v>240</v>
      </c>
    </row>
    <row r="221" ht="18" customHeight="1" s="202">
      <c r="A221" s="116" t="n">
        <v>20250252</v>
      </c>
      <c r="B221" s="117" t="inlineStr">
        <is>
          <t xml:space="preserve">HONG RUN 16    </t>
        </is>
      </c>
      <c r="C221" s="118" t="n">
        <v>45925</v>
      </c>
      <c r="D221" s="118" t="n">
        <v>45948</v>
      </c>
      <c r="E221" s="67" t="n">
        <v>7</v>
      </c>
      <c r="F221" s="119" t="n">
        <v>389.19533</v>
      </c>
      <c r="G221" s="120" t="n">
        <v>168</v>
      </c>
      <c r="H221" s="121" t="inlineStr">
        <is>
          <t>GLOBAL HEAVY ALGERIA</t>
        </is>
      </c>
      <c r="I221" s="117" t="inlineStr">
        <is>
          <t>COMPACTEURS</t>
        </is>
      </c>
      <c r="J221" s="121" t="inlineStr">
        <is>
          <t>ENGINS</t>
        </is>
      </c>
      <c r="K221" s="53">
        <f>D221+8</f>
        <v/>
      </c>
      <c r="L221" s="53">
        <f>K221+60</f>
        <v/>
      </c>
      <c r="M221" s="71" t="n"/>
      <c r="N221" s="72">
        <f>E221</f>
        <v/>
      </c>
      <c r="O221" s="232">
        <f>F221/E221*N221</f>
        <v/>
      </c>
      <c r="P221" s="273">
        <f>G221/E221*N221</f>
        <v/>
      </c>
      <c r="R221" s="58" t="n"/>
      <c r="S221" s="200" t="inlineStr">
        <is>
          <t>25014LYD0601-03</t>
        </is>
      </c>
      <c r="T221" s="201" t="n"/>
      <c r="U221" s="58" t="inlineStr">
        <is>
          <t>ROTARY DRILLING RIG/GANTRY CRANE /EXCAVATOR /LOADER / BREAKER/FISHPLATE/RAIL/BOLT/SPARE PARTS ( VOIR BL)</t>
        </is>
      </c>
      <c r="V221" s="67" t="n"/>
      <c r="W221" s="67" t="n"/>
      <c r="X221" s="62" t="inlineStr">
        <is>
          <t>N-OP</t>
        </is>
      </c>
      <c r="Y221" s="116">
        <f>F221/E221</f>
        <v/>
      </c>
      <c r="Z221" s="64">
        <f>E221-N221</f>
        <v/>
      </c>
      <c r="AA221" s="30" t="n"/>
    </row>
    <row r="222" ht="18" customHeight="1" s="202">
      <c r="A222" s="116" t="n">
        <v>20250252</v>
      </c>
      <c r="B222" s="117" t="inlineStr">
        <is>
          <t xml:space="preserve">HONG RUN 16    </t>
        </is>
      </c>
      <c r="C222" s="118" t="n">
        <v>45925</v>
      </c>
      <c r="D222" s="118" t="n">
        <v>45948</v>
      </c>
      <c r="E222" s="67" t="n">
        <v>126</v>
      </c>
      <c r="F222" s="119" t="n">
        <v>161</v>
      </c>
      <c r="G222" s="120" t="n">
        <v>80</v>
      </c>
      <c r="H222" s="121" t="inlineStr">
        <is>
          <t>GLOBAL HEAVY ALGERIA</t>
        </is>
      </c>
      <c r="I222" s="117" t="inlineStr">
        <is>
          <t>COLIS</t>
        </is>
      </c>
      <c r="J222" s="121" t="inlineStr">
        <is>
          <t>COLIS</t>
        </is>
      </c>
      <c r="K222" s="53">
        <f>D222+8</f>
        <v/>
      </c>
      <c r="L222" s="53">
        <f>K222+60</f>
        <v/>
      </c>
      <c r="M222" s="71" t="n"/>
      <c r="N222" s="72">
        <f>E222</f>
        <v/>
      </c>
      <c r="O222" s="232">
        <f>F222/E222*N222</f>
        <v/>
      </c>
      <c r="P222" s="273">
        <f>G222/E222*N222</f>
        <v/>
      </c>
      <c r="R222" s="58" t="n"/>
      <c r="S222" s="200" t="inlineStr">
        <is>
          <t>25014LYD0601-03</t>
        </is>
      </c>
      <c r="T222" s="201" t="n"/>
      <c r="U222" s="58" t="inlineStr">
        <is>
          <t>ROTARY DRILLING RIG/GANTRY CRANE /EXCAVATOR /LOADER / BREAKER/FISHPLATE/RAIL/BOLT/SPARE PARTS ( VOIR BL)</t>
        </is>
      </c>
      <c r="V222" s="67" t="n"/>
      <c r="W222" s="67" t="n"/>
      <c r="X222" s="62" t="inlineStr">
        <is>
          <t>N-OP</t>
        </is>
      </c>
      <c r="Y222" s="116">
        <f>F222/E222</f>
        <v/>
      </c>
      <c r="Z222" s="64">
        <f>E222-N222</f>
        <v/>
      </c>
      <c r="AA222" s="64" t="n">
        <v>87</v>
      </c>
    </row>
    <row r="223" ht="18" customHeight="1" s="202">
      <c r="A223" s="116" t="n">
        <v>20250252</v>
      </c>
      <c r="B223" s="117" t="inlineStr">
        <is>
          <t xml:space="preserve">HONG RUN 16    </t>
        </is>
      </c>
      <c r="C223" s="118" t="n">
        <v>45925</v>
      </c>
      <c r="D223" s="118" t="n">
        <v>45948</v>
      </c>
      <c r="E223" s="67" t="n">
        <v>4</v>
      </c>
      <c r="F223" s="119" t="n">
        <v>31.414</v>
      </c>
      <c r="G223" s="120" t="n">
        <v>96</v>
      </c>
      <c r="H223" s="121" t="inlineStr">
        <is>
          <t>SARL ALGAL PLUS</t>
        </is>
      </c>
      <c r="I223" s="117" t="inlineStr">
        <is>
          <t>EXCAVATEURS</t>
        </is>
      </c>
      <c r="J223" s="121" t="inlineStr">
        <is>
          <t>ENGINS</t>
        </is>
      </c>
      <c r="K223" s="53">
        <f>D223+8</f>
        <v/>
      </c>
      <c r="L223" s="53">
        <f>K223+60</f>
        <v/>
      </c>
      <c r="M223" s="71" t="n"/>
      <c r="N223" s="72">
        <f>E223</f>
        <v/>
      </c>
      <c r="O223" s="232">
        <f>F223/E223*N223</f>
        <v/>
      </c>
      <c r="P223" s="273">
        <f>G223/E223*N223</f>
        <v/>
      </c>
      <c r="R223" s="58" t="n"/>
      <c r="S223" s="200" t="inlineStr">
        <is>
          <t>25014LYD1001</t>
        </is>
      </c>
      <c r="T223" s="201" t="n"/>
      <c r="U223" s="58" t="inlineStr">
        <is>
          <t>04 UNITS HYDRAULIC EXCAVATOR XE135GA / 02 UNITS LOADER LW500FN WITH ACCESSORY ( VOIR BL)</t>
        </is>
      </c>
      <c r="V223" s="67" t="n"/>
      <c r="W223" s="67" t="n"/>
      <c r="X223" s="62" t="inlineStr">
        <is>
          <t>N-OP</t>
        </is>
      </c>
      <c r="Y223" s="116">
        <f>F223/E223</f>
        <v/>
      </c>
      <c r="Z223" s="64">
        <f>E223-N223</f>
        <v/>
      </c>
      <c r="AA223" s="30" t="n"/>
    </row>
    <row r="224" ht="18" customHeight="1" s="202">
      <c r="A224" s="116" t="n">
        <v>20250252</v>
      </c>
      <c r="B224" s="117" t="inlineStr">
        <is>
          <t xml:space="preserve">HONG RUN 16    </t>
        </is>
      </c>
      <c r="C224" s="118" t="n">
        <v>45925</v>
      </c>
      <c r="D224" s="118" t="n">
        <v>45948</v>
      </c>
      <c r="E224" s="67" t="n">
        <v>2</v>
      </c>
      <c r="F224" s="119" t="n">
        <v>15.701</v>
      </c>
      <c r="G224" s="120" t="n">
        <v>48</v>
      </c>
      <c r="H224" s="121" t="inlineStr">
        <is>
          <t>SARL ALGAL PLUS</t>
        </is>
      </c>
      <c r="I224" s="117" t="inlineStr">
        <is>
          <t>CHARGEURS</t>
        </is>
      </c>
      <c r="J224" s="121" t="inlineStr">
        <is>
          <t>ENGINS</t>
        </is>
      </c>
      <c r="K224" s="53">
        <f>D224+8</f>
        <v/>
      </c>
      <c r="L224" s="53">
        <f>K224+60</f>
        <v/>
      </c>
      <c r="M224" s="71" t="n"/>
      <c r="N224" s="72">
        <f>E224</f>
        <v/>
      </c>
      <c r="O224" s="232">
        <f>F224/E224*N224</f>
        <v/>
      </c>
      <c r="P224" s="273">
        <f>G224/E224*N224</f>
        <v/>
      </c>
      <c r="R224" s="58" t="n"/>
      <c r="S224" s="200" t="inlineStr">
        <is>
          <t>25014LYD1001</t>
        </is>
      </c>
      <c r="T224" s="201" t="n"/>
      <c r="U224" s="58" t="inlineStr">
        <is>
          <t>04 UNITS HYDRAULIC EXCAVATOR XE135GA / 02 UNITS LOADER LW500FN WITH ACCESSORY ( VOIR BL)</t>
        </is>
      </c>
      <c r="V224" s="67" t="n"/>
      <c r="W224" s="67" t="n"/>
      <c r="X224" s="62" t="inlineStr">
        <is>
          <t>N-OP</t>
        </is>
      </c>
      <c r="Y224" s="116">
        <f>F224/E224</f>
        <v/>
      </c>
      <c r="Z224" s="64">
        <f>E224-N224</f>
        <v/>
      </c>
      <c r="AA224" s="64" t="n">
        <v>294</v>
      </c>
    </row>
    <row r="225" ht="18" customHeight="1" s="202">
      <c r="A225" s="116" t="n">
        <v>20250252</v>
      </c>
      <c r="B225" s="117" t="inlineStr">
        <is>
          <t xml:space="preserve">HONG RUN 16    </t>
        </is>
      </c>
      <c r="C225" s="118" t="n">
        <v>45925</v>
      </c>
      <c r="D225" s="118" t="n">
        <v>45948</v>
      </c>
      <c r="E225" s="67" t="n">
        <v>1</v>
      </c>
      <c r="F225" s="119" t="n">
        <v>0</v>
      </c>
      <c r="G225" s="120" t="n">
        <v>3</v>
      </c>
      <c r="H225" s="121" t="inlineStr">
        <is>
          <t>SARL ALGAL PLUS</t>
        </is>
      </c>
      <c r="I225" s="117" t="inlineStr">
        <is>
          <t>COLIS</t>
        </is>
      </c>
      <c r="J225" s="121" t="inlineStr">
        <is>
          <t>COLIS</t>
        </is>
      </c>
      <c r="K225" s="53">
        <f>D225+8</f>
        <v/>
      </c>
      <c r="L225" s="53">
        <f>K225+60</f>
        <v/>
      </c>
      <c r="M225" s="71" t="n"/>
      <c r="N225" s="72">
        <f>E225</f>
        <v/>
      </c>
      <c r="O225" s="232">
        <f>F225/E225*N225</f>
        <v/>
      </c>
      <c r="P225" s="273">
        <f>G225/E225*N225</f>
        <v/>
      </c>
      <c r="R225" s="58" t="n"/>
      <c r="S225" s="200" t="inlineStr">
        <is>
          <t>25014LYD1001</t>
        </is>
      </c>
      <c r="T225" s="201" t="n"/>
      <c r="U225" s="58" t="inlineStr">
        <is>
          <t>04 UNITS HYDRAULIC EXCAVATOR XE135GA / 02 UNITS LOADER LW500FN WITH ACCESSORY ( VOIR BL)</t>
        </is>
      </c>
      <c r="V225" s="67" t="n"/>
      <c r="W225" s="67" t="n"/>
      <c r="X225" s="62" t="inlineStr">
        <is>
          <t>N-OP</t>
        </is>
      </c>
      <c r="Y225" s="116">
        <f>F225/E225</f>
        <v/>
      </c>
      <c r="Z225" s="64">
        <f>E225-N225</f>
        <v/>
      </c>
      <c r="AA225" s="64" t="n">
        <v>353</v>
      </c>
    </row>
    <row r="226" ht="18" customHeight="1" s="202">
      <c r="A226" s="116" t="n">
        <v>20250252</v>
      </c>
      <c r="B226" s="117" t="inlineStr">
        <is>
          <t xml:space="preserve">HONG RUN 16    </t>
        </is>
      </c>
      <c r="C226" s="118" t="n">
        <v>45925</v>
      </c>
      <c r="D226" s="118" t="n">
        <v>45948</v>
      </c>
      <c r="E226" s="67" t="n">
        <v>2</v>
      </c>
      <c r="F226" s="119" t="n">
        <v>73.532</v>
      </c>
      <c r="G226" s="120" t="n">
        <v>48</v>
      </c>
      <c r="H226" s="121" t="inlineStr">
        <is>
          <t>SARL MATADOR SERVICES</t>
        </is>
      </c>
      <c r="I226" s="117" t="inlineStr">
        <is>
          <t>EXCAVATEURS</t>
        </is>
      </c>
      <c r="J226" s="121" t="inlineStr">
        <is>
          <t>ENGINS</t>
        </is>
      </c>
      <c r="K226" s="53">
        <f>D226+8</f>
        <v/>
      </c>
      <c r="L226" s="53">
        <f>K226+60</f>
        <v/>
      </c>
      <c r="M226" s="71" t="n"/>
      <c r="N226" s="72">
        <f>E226</f>
        <v/>
      </c>
      <c r="O226" s="232">
        <f>F226/E226*N226</f>
        <v/>
      </c>
      <c r="P226" s="273">
        <f>G226/E226*N226</f>
        <v/>
      </c>
      <c r="R226" s="58" t="n"/>
      <c r="S226" s="200" t="inlineStr">
        <is>
          <t>25014LYD5602</t>
        </is>
      </c>
      <c r="T226" s="201" t="n"/>
      <c r="U226" s="58" t="inlineStr">
        <is>
          <t>02 UNITS EXCAVATER WITH HAMER 02 HYUNDAI HX340 (VOIR BL)</t>
        </is>
      </c>
      <c r="V226" s="67" t="n"/>
      <c r="W226" s="67" t="n"/>
      <c r="X226" s="62" t="inlineStr">
        <is>
          <t>N-OP</t>
        </is>
      </c>
      <c r="Y226" s="116">
        <f>F226/E226</f>
        <v/>
      </c>
      <c r="Z226" s="64">
        <f>E226-N226</f>
        <v/>
      </c>
      <c r="AA226" s="30" t="n"/>
    </row>
    <row r="227" ht="18" customHeight="1" s="202">
      <c r="A227" s="76" t="n">
        <v>20250252</v>
      </c>
      <c r="B227" s="77" t="inlineStr">
        <is>
          <t xml:space="preserve">HONG RUN 16    </t>
        </is>
      </c>
      <c r="C227" s="78" t="n">
        <v>45925</v>
      </c>
      <c r="D227" s="78" t="n">
        <v>45948</v>
      </c>
      <c r="E227" s="76" t="n">
        <v>8</v>
      </c>
      <c r="F227" s="79" t="n">
        <v>0</v>
      </c>
      <c r="G227" s="102" t="n">
        <v>24</v>
      </c>
      <c r="H227" s="80" t="inlineStr">
        <is>
          <t>SARL MATADOR SERVICES</t>
        </is>
      </c>
      <c r="I227" s="77" t="inlineStr">
        <is>
          <t>COLIS</t>
        </is>
      </c>
      <c r="J227" s="80" t="inlineStr">
        <is>
          <t>COLIS</t>
        </is>
      </c>
      <c r="K227" s="233">
        <f>D227+8</f>
        <v/>
      </c>
      <c r="L227" s="233">
        <f>K227+60</f>
        <v/>
      </c>
      <c r="M227" s="82" t="n"/>
      <c r="N227" s="83">
        <f>E227-8</f>
        <v/>
      </c>
      <c r="O227" s="234">
        <f>F227/E227*N227</f>
        <v/>
      </c>
      <c r="P227" s="85">
        <f>G227/E227*N227</f>
        <v/>
      </c>
      <c r="Q227" s="80" t="n"/>
      <c r="R227" s="80" t="n"/>
      <c r="S227" s="80" t="inlineStr">
        <is>
          <t>25014LYD5602</t>
        </is>
      </c>
      <c r="T227" s="86" t="n"/>
      <c r="U227" s="80" t="inlineStr">
        <is>
          <t>02 UNITS EXCAVATER WITH HAMER 02 HYUNDAI HX340 (VOIR BL)</t>
        </is>
      </c>
      <c r="V227" s="76" t="n"/>
      <c r="W227" s="76" t="n"/>
      <c r="X227" s="76" t="inlineStr">
        <is>
          <t>SOLDEE</t>
        </is>
      </c>
      <c r="Y227" s="116">
        <f>F227/E227</f>
        <v/>
      </c>
      <c r="Z227" s="30" t="n"/>
      <c r="AA227" s="30" t="n"/>
    </row>
    <row r="228" ht="18" customHeight="1" s="202">
      <c r="A228" s="87" t="n">
        <v>20250283</v>
      </c>
      <c r="B228" s="88" t="inlineStr">
        <is>
          <t>ASIAN PROGRESS</t>
        </is>
      </c>
      <c r="C228" s="89" t="n">
        <v>45955</v>
      </c>
      <c r="D228" s="118" t="n">
        <v>45955</v>
      </c>
      <c r="E228" s="67" t="n">
        <v>1</v>
      </c>
      <c r="F228" s="119" t="n">
        <v>36.5</v>
      </c>
      <c r="G228" s="120" t="n">
        <v>24</v>
      </c>
      <c r="H228" s="121" t="inlineStr">
        <is>
          <t>EURL SALDAE BUILDING</t>
        </is>
      </c>
      <c r="I228" s="117" t="inlineStr">
        <is>
          <t>EXCVATEURS</t>
        </is>
      </c>
      <c r="J228" s="121" t="inlineStr">
        <is>
          <t>ENGINS</t>
        </is>
      </c>
      <c r="K228" s="53">
        <f>D228+8</f>
        <v/>
      </c>
      <c r="L228" s="53">
        <f>K228+60</f>
        <v/>
      </c>
      <c r="M228" s="71" t="n"/>
      <c r="N228" s="72">
        <f>E228</f>
        <v/>
      </c>
      <c r="O228" s="50">
        <f>F228/E228*N228</f>
        <v/>
      </c>
      <c r="P228" s="273">
        <f>G228/E228*N228</f>
        <v/>
      </c>
      <c r="Q228" s="224" t="inlineStr">
        <is>
          <t>GMS</t>
        </is>
      </c>
      <c r="R228" s="58" t="n"/>
      <c r="S228" s="200" t="inlineStr">
        <is>
          <t>AP25216LDJD029</t>
        </is>
      </c>
      <c r="T228" s="201" t="n">
        <v>26</v>
      </c>
      <c r="U228" s="58" t="inlineStr">
        <is>
          <t>01 UNIT CRAWLER EXCAVATOR DX360LCA-7B (VOIR BL)</t>
        </is>
      </c>
      <c r="V228" s="67" t="n"/>
      <c r="W228" s="67" t="n"/>
      <c r="X228" s="62" t="inlineStr">
        <is>
          <t>N-OP</t>
        </is>
      </c>
      <c r="Y228" s="116">
        <f>F228/E228</f>
        <v/>
      </c>
      <c r="Z228" s="64">
        <f>E228-N228</f>
        <v/>
      </c>
      <c r="AA228" s="30" t="n"/>
    </row>
    <row r="229" ht="18" customHeight="1" s="202">
      <c r="A229" s="116" t="n">
        <v>20250283</v>
      </c>
      <c r="B229" s="117" t="inlineStr">
        <is>
          <t>ASIAN PROGRESS</t>
        </is>
      </c>
      <c r="C229" s="118" t="n">
        <v>45955</v>
      </c>
      <c r="D229" s="118" t="n">
        <v>45955</v>
      </c>
      <c r="E229" s="67" t="n">
        <v>2</v>
      </c>
      <c r="F229" s="119" t="n">
        <v>0</v>
      </c>
      <c r="G229" s="120" t="n">
        <v>6</v>
      </c>
      <c r="H229" s="121" t="inlineStr">
        <is>
          <t>EURL SALDAE BUILDING</t>
        </is>
      </c>
      <c r="I229" s="117" t="inlineStr">
        <is>
          <t>COLIS</t>
        </is>
      </c>
      <c r="J229" s="121" t="inlineStr">
        <is>
          <t>COLIS</t>
        </is>
      </c>
      <c r="K229" s="53">
        <f>D229+8</f>
        <v/>
      </c>
      <c r="L229" s="53">
        <f>K229+60</f>
        <v/>
      </c>
      <c r="M229" s="71" t="n"/>
      <c r="N229" s="72">
        <f>E229</f>
        <v/>
      </c>
      <c r="O229" s="50">
        <f>F229/E229*N229</f>
        <v/>
      </c>
      <c r="P229" s="273">
        <f>G229/E229*N229</f>
        <v/>
      </c>
      <c r="Q229" s="224" t="inlineStr">
        <is>
          <t>CAP</t>
        </is>
      </c>
      <c r="R229" s="58" t="n"/>
      <c r="S229" s="200" t="inlineStr">
        <is>
          <t>AP25216LDJD029</t>
        </is>
      </c>
      <c r="T229" s="201" t="n">
        <v>26</v>
      </c>
      <c r="U229" s="58" t="n"/>
      <c r="V229" s="67" t="n"/>
      <c r="W229" s="67" t="n"/>
      <c r="X229" s="62" t="inlineStr">
        <is>
          <t>N-OP</t>
        </is>
      </c>
      <c r="Y229" s="116">
        <f>F229/E229</f>
        <v/>
      </c>
      <c r="Z229" s="64">
        <f>E229-N229</f>
        <v/>
      </c>
      <c r="AA229" s="30" t="n"/>
    </row>
    <row r="230" ht="18" customHeight="1" s="202">
      <c r="A230" s="116" t="n">
        <v>20250283</v>
      </c>
      <c r="B230" s="117" t="inlineStr">
        <is>
          <t>ASIAN PROGRESS</t>
        </is>
      </c>
      <c r="C230" s="118" t="n">
        <v>45955</v>
      </c>
      <c r="D230" s="118" t="n">
        <v>45955</v>
      </c>
      <c r="E230" s="67" t="n">
        <v>4</v>
      </c>
      <c r="F230" s="119" t="n">
        <v>49.2</v>
      </c>
      <c r="G230" s="120" t="n">
        <v>96</v>
      </c>
      <c r="H230" s="121" t="inlineStr">
        <is>
          <t>AMMARI ISSAM</t>
        </is>
      </c>
      <c r="I230" s="117" t="inlineStr">
        <is>
          <t>BUS</t>
        </is>
      </c>
      <c r="J230" s="121" t="inlineStr">
        <is>
          <t>UTILITAIRE</t>
        </is>
      </c>
      <c r="K230" s="53">
        <f>D230+8</f>
        <v/>
      </c>
      <c r="L230" s="53">
        <f>K230+60</f>
        <v/>
      </c>
      <c r="M230" s="71" t="n"/>
      <c r="N230" s="72">
        <f>E230</f>
        <v/>
      </c>
      <c r="O230" s="50">
        <f>F230/E230*N230</f>
        <v/>
      </c>
      <c r="P230" s="273">
        <f>G230/E230*N230</f>
        <v/>
      </c>
      <c r="Q230" s="224" t="inlineStr">
        <is>
          <t>GMS</t>
        </is>
      </c>
      <c r="R230" s="58" t="n"/>
      <c r="S230" s="200" t="inlineStr">
        <is>
          <t>AP25216LDJD056</t>
        </is>
      </c>
      <c r="T230" s="201" t="n">
        <v>51</v>
      </c>
      <c r="U230" s="58" t="inlineStr">
        <is>
          <t>04 UNITS HIGER AUTOCAR V91 ( VOIR BL)</t>
        </is>
      </c>
      <c r="V230" s="67" t="n"/>
      <c r="W230" s="67" t="n"/>
      <c r="X230" s="62" t="inlineStr">
        <is>
          <t>N-OP</t>
        </is>
      </c>
      <c r="Y230" s="116">
        <f>F230/E230</f>
        <v/>
      </c>
      <c r="Z230" s="64">
        <f>E230-N230</f>
        <v/>
      </c>
      <c r="AA230" s="64" t="n">
        <v>63</v>
      </c>
    </row>
    <row r="231" ht="18" customHeight="1" s="202">
      <c r="A231" s="116" t="n">
        <v>20250283</v>
      </c>
      <c r="B231" s="117" t="inlineStr">
        <is>
          <t>ASIAN PROGRESS</t>
        </is>
      </c>
      <c r="C231" s="118" t="n">
        <v>45955</v>
      </c>
      <c r="D231" s="118" t="n">
        <v>45955</v>
      </c>
      <c r="E231" s="67" t="n">
        <v>42</v>
      </c>
      <c r="F231" s="119" t="n">
        <v>0.3437</v>
      </c>
      <c r="G231" s="120" t="n">
        <v>0</v>
      </c>
      <c r="H231" s="121" t="inlineStr">
        <is>
          <t>AMMARI ISSAM</t>
        </is>
      </c>
      <c r="I231" s="117" t="inlineStr">
        <is>
          <t>COLIS</t>
        </is>
      </c>
      <c r="J231" s="121" t="inlineStr">
        <is>
          <t>COLIS</t>
        </is>
      </c>
      <c r="K231" s="53">
        <f>D231+8</f>
        <v/>
      </c>
      <c r="L231" s="53">
        <f>K231+60</f>
        <v/>
      </c>
      <c r="M231" s="71" t="n"/>
      <c r="N231" s="72">
        <f>E231</f>
        <v/>
      </c>
      <c r="O231" s="50">
        <f>F231/E231*N231</f>
        <v/>
      </c>
      <c r="P231" s="273">
        <f>G231/E231*N231</f>
        <v/>
      </c>
      <c r="Q231" s="224" t="inlineStr">
        <is>
          <t>CAP</t>
        </is>
      </c>
      <c r="R231" s="58" t="n"/>
      <c r="S231" s="200" t="inlineStr">
        <is>
          <t>AP25216LDJD067</t>
        </is>
      </c>
      <c r="T231" s="201" t="n">
        <v>1</v>
      </c>
      <c r="U231" s="58" t="inlineStr">
        <is>
          <t>SPARE PARTS FOR BUS</t>
        </is>
      </c>
      <c r="V231" s="67" t="n"/>
      <c r="W231" s="67" t="n"/>
      <c r="X231" s="62" t="inlineStr">
        <is>
          <t>N-OP</t>
        </is>
      </c>
      <c r="Y231" s="116">
        <f>F231/E231</f>
        <v/>
      </c>
      <c r="Z231" s="64">
        <f>E231-N231</f>
        <v/>
      </c>
    </row>
    <row r="232" ht="18" customHeight="1" s="202">
      <c r="A232" s="76" t="n">
        <v>20250287</v>
      </c>
      <c r="B232" s="77" t="inlineStr">
        <is>
          <t xml:space="preserve">ESTRELLA                                </t>
        </is>
      </c>
      <c r="C232" s="78" t="n">
        <v>45957</v>
      </c>
      <c r="D232" s="78" t="n">
        <v>45966</v>
      </c>
      <c r="E232" s="76" t="n">
        <v>81</v>
      </c>
      <c r="F232" s="76" t="n">
        <v>200.606</v>
      </c>
      <c r="G232" s="76" t="n">
        <v>56.7057163020466</v>
      </c>
      <c r="H232" s="80" t="inlineStr">
        <is>
          <t>BERKINE GROUPEMENT</t>
        </is>
      </c>
      <c r="I232" s="80" t="inlineStr">
        <is>
          <t>TUBES</t>
        </is>
      </c>
      <c r="J232" s="77" t="inlineStr">
        <is>
          <t>TUBES</t>
        </is>
      </c>
      <c r="K232" s="78">
        <f>D232+8</f>
        <v/>
      </c>
      <c r="L232" s="78">
        <f>K232+60</f>
        <v/>
      </c>
      <c r="M232" s="82" t="n"/>
      <c r="N232" s="83">
        <f>E232-10-6-6-16-43</f>
        <v/>
      </c>
      <c r="O232" s="84">
        <f>F232/E232*N232</f>
        <v/>
      </c>
      <c r="P232" s="83">
        <f>G232/E232*N232</f>
        <v/>
      </c>
      <c r="Q232" s="80" t="inlineStr">
        <is>
          <t>ZONE TUBE</t>
        </is>
      </c>
      <c r="R232" s="80" t="n"/>
      <c r="S232" s="80" t="inlineStr">
        <is>
          <t>ES25214LDJD057/058</t>
        </is>
      </c>
      <c r="T232" s="86" t="n">
        <v>45</v>
      </c>
      <c r="U232" s="80" t="inlineStr">
        <is>
          <t>TUBULAR MATERIAL (TUBINGS/ PUP JOINTS)</t>
        </is>
      </c>
      <c r="V232" s="76" t="n"/>
      <c r="W232" s="76" t="n"/>
      <c r="X232" s="76" t="inlineStr">
        <is>
          <t>SOLDEE</t>
        </is>
      </c>
      <c r="Y232" s="116">
        <f>F232/E232</f>
        <v/>
      </c>
      <c r="Z232" s="30" t="n"/>
    </row>
    <row r="233" ht="18" customHeight="1" s="202">
      <c r="A233" s="76" t="n">
        <v>20250287</v>
      </c>
      <c r="B233" s="77" t="inlineStr">
        <is>
          <t xml:space="preserve">ESTRELLA                                </t>
        </is>
      </c>
      <c r="C233" s="78" t="n">
        <v>45957</v>
      </c>
      <c r="D233" s="78" t="n">
        <v>45966</v>
      </c>
      <c r="E233" s="76" t="n">
        <v>251</v>
      </c>
      <c r="F233" s="76" t="n">
        <v>491.45</v>
      </c>
      <c r="G233" s="76" t="n">
        <v>175.717713479181</v>
      </c>
      <c r="H233" s="80" t="inlineStr">
        <is>
          <t>SH ENI GROUPEMENT</t>
        </is>
      </c>
      <c r="I233" s="80" t="inlineStr">
        <is>
          <t>TUBES</t>
        </is>
      </c>
      <c r="J233" s="77" t="inlineStr">
        <is>
          <t>TUBES</t>
        </is>
      </c>
      <c r="K233" s="78">
        <f>D233+8</f>
        <v/>
      </c>
      <c r="L233" s="78">
        <f>K233+60</f>
        <v/>
      </c>
      <c r="M233" s="82" t="n"/>
      <c r="N233" s="83">
        <f>E233-20-101-57-8-17-48</f>
        <v/>
      </c>
      <c r="O233" s="84">
        <f>F233/E233*N233</f>
        <v/>
      </c>
      <c r="P233" s="83">
        <f>G233/E233*N233</f>
        <v/>
      </c>
      <c r="Q233" s="80" t="inlineStr">
        <is>
          <t>ZONE TUBE</t>
        </is>
      </c>
      <c r="R233" s="80" t="n"/>
      <c r="S233" s="80" t="inlineStr">
        <is>
          <t>ES25214LDJD050/052</t>
        </is>
      </c>
      <c r="T233" s="86" t="n">
        <v>40</v>
      </c>
      <c r="U233" s="80" t="inlineStr">
        <is>
          <t>LINE PIPE</t>
        </is>
      </c>
      <c r="V233" s="76" t="n"/>
      <c r="W233" s="76" t="n"/>
      <c r="X233" s="76" t="inlineStr">
        <is>
          <t>SOLDEE</t>
        </is>
      </c>
      <c r="Y233" s="116">
        <f>F233/E233</f>
        <v/>
      </c>
      <c r="Z233" s="30" t="n"/>
    </row>
    <row r="234" ht="18" customHeight="1" s="202">
      <c r="A234" s="188" t="n">
        <v>20250287</v>
      </c>
      <c r="B234" s="189" t="inlineStr">
        <is>
          <t xml:space="preserve">ESTRELLA                                </t>
        </is>
      </c>
      <c r="C234" s="190" t="n">
        <v>45957</v>
      </c>
      <c r="D234" s="190" t="n">
        <v>45966</v>
      </c>
      <c r="E234" s="191" t="n">
        <v>1060</v>
      </c>
      <c r="F234" s="192" t="n">
        <v>1161.97</v>
      </c>
      <c r="G234" s="193" t="n">
        <v>636</v>
      </c>
      <c r="H234" s="194" t="inlineStr">
        <is>
          <t>GMI PROMAX SARL</t>
        </is>
      </c>
      <c r="I234" s="194" t="inlineStr">
        <is>
          <t>CTP</t>
        </is>
      </c>
      <c r="J234" s="189" t="inlineStr">
        <is>
          <t>CTP</t>
        </is>
      </c>
      <c r="K234" s="53">
        <f>D234+8</f>
        <v/>
      </c>
      <c r="L234" s="53">
        <f>K234+60</f>
        <v/>
      </c>
      <c r="M234" s="195" t="n"/>
      <c r="N234" s="196">
        <f>E234-80-100-20-280-200-60-67-3-20</f>
        <v/>
      </c>
      <c r="O234" s="197">
        <f>F234/E234*N234</f>
        <v/>
      </c>
      <c r="P234" s="198">
        <f>G234/E234*N234</f>
        <v/>
      </c>
      <c r="Q234" s="199" t="inlineStr">
        <is>
          <t>HG 6000</t>
        </is>
      </c>
      <c r="R234" s="58" t="n"/>
      <c r="S234" s="200" t="inlineStr">
        <is>
          <t>ES25214LDJD025</t>
        </is>
      </c>
      <c r="T234" s="201" t="n">
        <v>18</v>
      </c>
      <c r="U234" s="58" t="inlineStr">
        <is>
          <t>MDF</t>
        </is>
      </c>
      <c r="V234" s="67" t="n"/>
      <c r="W234" s="67" t="n"/>
      <c r="X234" s="99" t="inlineStr">
        <is>
          <t>OPER</t>
        </is>
      </c>
      <c r="Y234" s="116">
        <f>F234/E234</f>
        <v/>
      </c>
      <c r="Z234" s="64">
        <f>E234-N234</f>
        <v/>
      </c>
      <c r="AA234" s="64" t="n">
        <v>1</v>
      </c>
    </row>
    <row r="235" ht="18" customHeight="1" s="202">
      <c r="A235" s="300" t="n">
        <v>20250296</v>
      </c>
      <c r="B235" s="301" t="inlineStr">
        <is>
          <t xml:space="preserve">LAGO DI FIASTRA </t>
        </is>
      </c>
      <c r="C235" s="302" t="n">
        <v>45968</v>
      </c>
      <c r="D235" s="302" t="n">
        <v>45970</v>
      </c>
      <c r="E235" s="303" t="n">
        <v>500</v>
      </c>
      <c r="F235" s="304" t="n">
        <v>14927.74</v>
      </c>
      <c r="G235" s="305" t="n">
        <v>1125</v>
      </c>
      <c r="H235" s="306" t="inlineStr">
        <is>
          <t>EPE ALFA PIPE SPA</t>
        </is>
      </c>
      <c r="I235" s="306" t="inlineStr">
        <is>
          <t>BOBINES</t>
        </is>
      </c>
      <c r="J235" s="306" t="inlineStr">
        <is>
          <t>BOBINES</t>
        </is>
      </c>
      <c r="K235" s="307">
        <f>D235+8</f>
        <v/>
      </c>
      <c r="L235" s="307">
        <f>K235+60</f>
        <v/>
      </c>
      <c r="M235" s="308" t="n"/>
      <c r="N235" s="309">
        <f>E235-9</f>
        <v/>
      </c>
      <c r="O235" s="310">
        <f>F235/E235*N235</f>
        <v/>
      </c>
      <c r="P235" s="311">
        <f>G235/E235*N235</f>
        <v/>
      </c>
      <c r="Q235" s="224" t="n"/>
      <c r="R235" s="58" t="n"/>
      <c r="S235" s="200" t="n">
        <v>2</v>
      </c>
      <c r="T235" s="201" t="n"/>
      <c r="U235" s="58" t="inlineStr">
        <is>
          <t>HOT ROLLED COILS</t>
        </is>
      </c>
      <c r="V235" s="67" t="n"/>
      <c r="W235" s="67" t="n"/>
      <c r="X235" s="312" t="inlineStr">
        <is>
          <t>OPER</t>
        </is>
      </c>
      <c r="Y235" s="116">
        <f>F235/E235</f>
        <v/>
      </c>
      <c r="Z235" s="64">
        <f>E235-N235</f>
        <v/>
      </c>
      <c r="AA235" s="64" t="n">
        <v>1</v>
      </c>
    </row>
    <row r="236" ht="18" customHeight="1" s="202">
      <c r="A236" s="76" t="n">
        <v>20250308</v>
      </c>
      <c r="B236" s="77" t="inlineStr">
        <is>
          <t xml:space="preserve">CHANG HANG HAO HAI </t>
        </is>
      </c>
      <c r="C236" s="78" t="n">
        <v>45977</v>
      </c>
      <c r="D236" s="78" t="n">
        <v>45995</v>
      </c>
      <c r="E236" s="76" t="n">
        <v>429</v>
      </c>
      <c r="F236" s="76" t="n">
        <v>611.739</v>
      </c>
      <c r="G236" s="76" t="n">
        <v>257.4</v>
      </c>
      <c r="H236" s="80" t="inlineStr">
        <is>
          <t>SARL IMICOM</t>
        </is>
      </c>
      <c r="I236" s="80" t="inlineStr">
        <is>
          <t>CTP</t>
        </is>
      </c>
      <c r="J236" s="77" t="inlineStr">
        <is>
          <t>CTP</t>
        </is>
      </c>
      <c r="K236" s="78">
        <f>D236+8</f>
        <v/>
      </c>
      <c r="L236" s="78">
        <f>K236+60</f>
        <v/>
      </c>
      <c r="M236" s="82" t="n"/>
      <c r="N236" s="83">
        <f>E236-169-88-75-72-25</f>
        <v/>
      </c>
      <c r="O236" s="84">
        <f>F236/E236*N236</f>
        <v/>
      </c>
      <c r="P236" s="83">
        <f>G236/E236*N236</f>
        <v/>
      </c>
      <c r="Q236" s="80" t="n"/>
      <c r="R236" s="80" t="n"/>
      <c r="S236" s="80" t="inlineStr">
        <is>
          <t>CH25241LDJD116</t>
        </is>
      </c>
      <c r="T236" s="86" t="n">
        <v>95</v>
      </c>
      <c r="U236" s="80" t="inlineStr">
        <is>
          <t>MDF/FANCY MDF/FILM FACED PLYWOOD/FANCY BLOCK BOARD/ COMMERCIAL PLYWOOD</t>
        </is>
      </c>
      <c r="V236" s="76" t="n"/>
      <c r="W236" s="76" t="n"/>
      <c r="X236" s="76" t="inlineStr">
        <is>
          <t>SOLDEE</t>
        </is>
      </c>
      <c r="Y236" s="116">
        <f>F236/E236</f>
        <v/>
      </c>
      <c r="Z236" s="30" t="n"/>
      <c r="AA236" s="64" t="n">
        <v>84</v>
      </c>
    </row>
    <row r="237" ht="18" customHeight="1" s="202">
      <c r="A237" s="135" t="n">
        <v>20250308</v>
      </c>
      <c r="B237" s="136" t="inlineStr">
        <is>
          <t xml:space="preserve">CHANG HANG HAO HAI </t>
        </is>
      </c>
      <c r="C237" s="137" t="n">
        <v>45977</v>
      </c>
      <c r="D237" s="137" t="n">
        <v>45995</v>
      </c>
      <c r="E237" s="138" t="n">
        <v>276</v>
      </c>
      <c r="F237" s="139" t="n">
        <v>297.626</v>
      </c>
      <c r="G237" s="140" t="n">
        <v>165.6</v>
      </c>
      <c r="H237" s="141" t="inlineStr">
        <is>
          <t>SARL SPOTIFY</t>
        </is>
      </c>
      <c r="I237" s="141" t="inlineStr">
        <is>
          <t>CTP</t>
        </is>
      </c>
      <c r="J237" s="136" t="inlineStr">
        <is>
          <t>CTP</t>
        </is>
      </c>
      <c r="K237" s="142">
        <f>D237+8</f>
        <v/>
      </c>
      <c r="L237" s="142">
        <f>K237+60</f>
        <v/>
      </c>
      <c r="M237" s="143" t="n"/>
      <c r="N237" s="144">
        <f>E237-125-75-25-26</f>
        <v/>
      </c>
      <c r="O237" s="145">
        <f>F237/E237*N237</f>
        <v/>
      </c>
      <c r="P237" s="146">
        <f>G237/E237*N237</f>
        <v/>
      </c>
      <c r="Q237" s="224" t="n"/>
      <c r="R237" s="58" t="n"/>
      <c r="S237" s="200" t="inlineStr">
        <is>
          <t>CH25241LDJD117</t>
        </is>
      </c>
      <c r="T237" s="201" t="n">
        <v>96</v>
      </c>
      <c r="U237" s="58" t="inlineStr">
        <is>
          <t>FILM FACED PLYWOOD</t>
        </is>
      </c>
      <c r="V237" s="67" t="n"/>
      <c r="W237" s="67" t="n"/>
      <c r="X237" s="99" t="inlineStr">
        <is>
          <t>OPER</t>
        </is>
      </c>
      <c r="Y237" s="116">
        <f>F237/E237</f>
        <v/>
      </c>
      <c r="Z237" s="64">
        <f>E237-N237</f>
        <v/>
      </c>
      <c r="AA237" s="64" t="n">
        <v>81</v>
      </c>
    </row>
    <row r="238" ht="18" customHeight="1" s="202">
      <c r="A238" s="116" t="n">
        <v>20250308</v>
      </c>
      <c r="B238" s="117" t="inlineStr">
        <is>
          <t xml:space="preserve">CHANG HANG HAO HAI </t>
        </is>
      </c>
      <c r="C238" s="118" t="n">
        <v>45977</v>
      </c>
      <c r="D238" s="118" t="n">
        <v>45995</v>
      </c>
      <c r="E238" s="67" t="n">
        <v>500</v>
      </c>
      <c r="F238" s="119" t="n">
        <v>2511.05</v>
      </c>
      <c r="G238" s="120" t="n">
        <v>399.01020723786</v>
      </c>
      <c r="H238" s="121" t="inlineStr">
        <is>
          <t>SARL STEEL TRANS</t>
        </is>
      </c>
      <c r="I238" s="121" t="inlineStr">
        <is>
          <t>POUTRELLES</t>
        </is>
      </c>
      <c r="J238" s="117" t="inlineStr">
        <is>
          <t>POUTRELLES</t>
        </is>
      </c>
      <c r="K238" s="53">
        <f>D238+8</f>
        <v/>
      </c>
      <c r="L238" s="53">
        <f>K238+60</f>
        <v/>
      </c>
      <c r="M238" s="71" t="n"/>
      <c r="N238" s="72">
        <f>E238</f>
        <v/>
      </c>
      <c r="O238" s="50">
        <f>F238/E238*N238</f>
        <v/>
      </c>
      <c r="P238" s="273">
        <f>G238/E238*N238</f>
        <v/>
      </c>
      <c r="Q238" s="224" t="inlineStr">
        <is>
          <t>T BOIS</t>
        </is>
      </c>
      <c r="R238" s="58" t="n"/>
      <c r="S238" s="200" t="inlineStr">
        <is>
          <t>CH25241LDJD120</t>
        </is>
      </c>
      <c r="T238" s="201" t="n">
        <v>18</v>
      </c>
      <c r="U238" s="58" t="inlineStr">
        <is>
          <t>STEEL BEAMS</t>
        </is>
      </c>
      <c r="V238" s="67" t="n"/>
      <c r="W238" s="67" t="n"/>
      <c r="X238" s="62" t="inlineStr">
        <is>
          <t>N-OP</t>
        </is>
      </c>
      <c r="Y238" s="116">
        <f>F238/E238</f>
        <v/>
      </c>
      <c r="Z238" s="64">
        <f>E238-N238</f>
        <v/>
      </c>
      <c r="AA238" s="30" t="n"/>
    </row>
    <row r="239" ht="18" customHeight="1" s="202">
      <c r="A239" s="116" t="n">
        <v>20250308</v>
      </c>
      <c r="B239" s="117" t="inlineStr">
        <is>
          <t xml:space="preserve">CHANG HANG HAO HAI </t>
        </is>
      </c>
      <c r="C239" s="118" t="n">
        <v>45977</v>
      </c>
      <c r="D239" s="118" t="n">
        <v>45995</v>
      </c>
      <c r="E239" s="67" t="n">
        <v>52</v>
      </c>
      <c r="F239" s="119" t="n">
        <v>528.005</v>
      </c>
      <c r="G239" s="120" t="n">
        <v>41.7083333333333</v>
      </c>
      <c r="H239" s="121" t="inlineStr">
        <is>
          <t>SARL MASSINISSA STEEL IMPORT EXPORT</t>
        </is>
      </c>
      <c r="I239" s="121" t="inlineStr">
        <is>
          <t>BOBINES</t>
        </is>
      </c>
      <c r="J239" s="117" t="inlineStr">
        <is>
          <t>BOBINES</t>
        </is>
      </c>
      <c r="K239" s="53">
        <f>D239+8</f>
        <v/>
      </c>
      <c r="L239" s="53">
        <f>K239+60</f>
        <v/>
      </c>
      <c r="M239" s="71" t="n"/>
      <c r="N239" s="72">
        <f>E239</f>
        <v/>
      </c>
      <c r="O239" s="50">
        <f>F239/E239*N239</f>
        <v/>
      </c>
      <c r="P239" s="273">
        <f>G239/E239*N239</f>
        <v/>
      </c>
      <c r="Q239" s="224" t="n"/>
      <c r="R239" s="58" t="n"/>
      <c r="S239" s="200" t="inlineStr">
        <is>
          <t>CH25241BDJD003</t>
        </is>
      </c>
      <c r="T239" s="201" t="n">
        <v>3</v>
      </c>
      <c r="U239" s="58" t="inlineStr">
        <is>
          <t>HOT ROLLED COILS</t>
        </is>
      </c>
      <c r="V239" s="67" t="n"/>
      <c r="W239" s="67" t="n"/>
      <c r="X239" s="62" t="inlineStr">
        <is>
          <t>N-OP</t>
        </is>
      </c>
      <c r="Y239" s="116">
        <f>F239/E239</f>
        <v/>
      </c>
      <c r="Z239" s="64">
        <f>E239-N239</f>
        <v/>
      </c>
      <c r="AA239" s="30" t="n"/>
    </row>
    <row r="240" ht="18" customHeight="1" s="202">
      <c r="A240" s="300" t="n">
        <v>20250308</v>
      </c>
      <c r="B240" s="301" t="inlineStr">
        <is>
          <t xml:space="preserve">CHANG HANG HAO HAI </t>
        </is>
      </c>
      <c r="C240" s="302" t="n">
        <v>45977</v>
      </c>
      <c r="D240" s="302" t="n">
        <v>45995</v>
      </c>
      <c r="E240" s="303" t="n">
        <v>59</v>
      </c>
      <c r="F240" s="304" t="n">
        <v>351.049</v>
      </c>
      <c r="G240" s="305" t="n">
        <v>47.3229166666667</v>
      </c>
      <c r="H240" s="306" t="inlineStr">
        <is>
          <t>SARL AKRAM INVESTISSEMENT</t>
        </is>
      </c>
      <c r="I240" s="306" t="inlineStr">
        <is>
          <t>BOBINES</t>
        </is>
      </c>
      <c r="J240" s="301" t="inlineStr">
        <is>
          <t>BOBINES</t>
        </is>
      </c>
      <c r="K240" s="307">
        <f>D240+8</f>
        <v/>
      </c>
      <c r="L240" s="307">
        <f>K240+60</f>
        <v/>
      </c>
      <c r="M240" s="308" t="n"/>
      <c r="N240" s="309">
        <f>E240-42</f>
        <v/>
      </c>
      <c r="O240" s="310">
        <f>F240/E240*N240</f>
        <v/>
      </c>
      <c r="P240" s="311">
        <f>G240/E240*N240</f>
        <v/>
      </c>
      <c r="Q240" s="224" t="n"/>
      <c r="R240" s="58" t="n"/>
      <c r="S240" s="200" t="inlineStr">
        <is>
          <t>CH25241TDJD023</t>
        </is>
      </c>
      <c r="T240" s="201" t="n">
        <v>27</v>
      </c>
      <c r="U240" s="58" t="inlineStr">
        <is>
          <t>PRE-PAINTED GALVANISED STEEL COILS</t>
        </is>
      </c>
      <c r="V240" s="67" t="n"/>
      <c r="W240" s="67" t="n"/>
      <c r="X240" s="312" t="inlineStr">
        <is>
          <t>OPER</t>
        </is>
      </c>
      <c r="Y240" s="116">
        <f>F240/E240</f>
        <v/>
      </c>
      <c r="Z240" s="64">
        <f>E240-N240</f>
        <v/>
      </c>
      <c r="AA240" s="64" t="n">
        <v>700</v>
      </c>
    </row>
    <row r="241" ht="18" customHeight="1" s="202">
      <c r="A241" s="76" t="n">
        <v>20250308</v>
      </c>
      <c r="B241" s="77" t="inlineStr">
        <is>
          <t xml:space="preserve">CHANG HANG HAO HAI </t>
        </is>
      </c>
      <c r="C241" s="78" t="n">
        <v>45977</v>
      </c>
      <c r="D241" s="78" t="n">
        <v>45995</v>
      </c>
      <c r="E241" s="76" t="n">
        <v>34</v>
      </c>
      <c r="F241" s="76" t="n">
        <v>193.09</v>
      </c>
      <c r="G241" s="76" t="n">
        <v>27.2708333333333</v>
      </c>
      <c r="H241" s="80" t="inlineStr">
        <is>
          <t>SARL AKRAM INVESTISSEMENT</t>
        </is>
      </c>
      <c r="I241" s="80" t="inlineStr">
        <is>
          <t>BOBINES</t>
        </is>
      </c>
      <c r="J241" s="77" t="inlineStr">
        <is>
          <t>BOBINES</t>
        </is>
      </c>
      <c r="K241" s="78">
        <f>D241+8</f>
        <v/>
      </c>
      <c r="L241" s="78">
        <f>K241+60</f>
        <v/>
      </c>
      <c r="M241" s="82" t="n"/>
      <c r="N241" s="83">
        <f>E241-34</f>
        <v/>
      </c>
      <c r="O241" s="84">
        <f>F241/E241*N241</f>
        <v/>
      </c>
      <c r="P241" s="83">
        <f>G241/E241*N241</f>
        <v/>
      </c>
      <c r="Q241" s="80" t="n"/>
      <c r="R241" s="80" t="n"/>
      <c r="S241" s="80" t="inlineStr">
        <is>
          <t>CH25241TDJD049/050</t>
        </is>
      </c>
      <c r="T241" s="86" t="n">
        <v>34</v>
      </c>
      <c r="U241" s="80" t="inlineStr">
        <is>
          <t>PRE-PAINTED STEEL COILS</t>
        </is>
      </c>
      <c r="V241" s="76" t="n"/>
      <c r="W241" s="76" t="n"/>
      <c r="X241" s="76" t="inlineStr">
        <is>
          <t>SOLDEE</t>
        </is>
      </c>
      <c r="Y241" s="116">
        <f>F241/E241</f>
        <v/>
      </c>
      <c r="Z241" s="30" t="n"/>
      <c r="AA241" s="30" t="n"/>
    </row>
    <row r="242" ht="18" customHeight="1" s="202">
      <c r="A242" s="76" t="n">
        <v>20250308</v>
      </c>
      <c r="B242" s="77" t="inlineStr">
        <is>
          <t xml:space="preserve">CHANG HANG HAO HAI </t>
        </is>
      </c>
      <c r="C242" s="78" t="n">
        <v>45977</v>
      </c>
      <c r="D242" s="78" t="n">
        <v>45995</v>
      </c>
      <c r="E242" s="76" t="n">
        <v>296</v>
      </c>
      <c r="F242" s="79" t="n">
        <v>1966.493</v>
      </c>
      <c r="G242" s="76" t="n">
        <v>237.416666666667</v>
      </c>
      <c r="H242" s="80" t="inlineStr">
        <is>
          <t>SPA BORDJ STEEL</t>
        </is>
      </c>
      <c r="I242" s="80" t="inlineStr">
        <is>
          <t>BOBINES</t>
        </is>
      </c>
      <c r="J242" s="77" t="inlineStr">
        <is>
          <t>BOBINES</t>
        </is>
      </c>
      <c r="K242" s="174">
        <f>D242+8</f>
        <v/>
      </c>
      <c r="L242" s="174">
        <f>K242+60</f>
        <v/>
      </c>
      <c r="M242" s="82" t="n"/>
      <c r="N242" s="83">
        <f>E242-62-66-37-113-18</f>
        <v/>
      </c>
      <c r="O242" s="84">
        <f>F242/E242*N242</f>
        <v/>
      </c>
      <c r="P242" s="85">
        <f>G242/E242*N242</f>
        <v/>
      </c>
      <c r="Q242" s="80" t="n"/>
      <c r="R242" s="80" t="n"/>
      <c r="S242" s="80" t="inlineStr">
        <is>
          <t>CH25241TDJD058-065</t>
        </is>
      </c>
      <c r="T242" s="86" t="n">
        <v>129</v>
      </c>
      <c r="U242" s="80" t="inlineStr">
        <is>
          <t>PRE-PAINTED GALVANISED STEEL COILS</t>
        </is>
      </c>
      <c r="V242" s="76" t="n"/>
      <c r="W242" s="76" t="n"/>
      <c r="X242" s="76" t="inlineStr">
        <is>
          <t>SOLDEE</t>
        </is>
      </c>
      <c r="Y242" s="116">
        <f>F242/E242</f>
        <v/>
      </c>
      <c r="Z242" s="30" t="n"/>
      <c r="AA242" s="30" t="n"/>
    </row>
    <row r="243" ht="18" customHeight="1" s="202">
      <c r="A243" s="188" t="n">
        <v>20250308</v>
      </c>
      <c r="B243" s="189" t="inlineStr">
        <is>
          <t xml:space="preserve">CHANG HANG HAO HAI </t>
        </is>
      </c>
      <c r="C243" s="190" t="n">
        <v>45977</v>
      </c>
      <c r="D243" s="190" t="n">
        <v>45995</v>
      </c>
      <c r="E243" s="191" t="n">
        <v>304</v>
      </c>
      <c r="F243" s="192" t="n">
        <v>1975.572</v>
      </c>
      <c r="G243" s="193" t="n">
        <v>243.833333333333</v>
      </c>
      <c r="H243" s="194" t="inlineStr">
        <is>
          <t>SPA BORDJ STEEL</t>
        </is>
      </c>
      <c r="I243" s="194" t="inlineStr">
        <is>
          <t>BOBINES</t>
        </is>
      </c>
      <c r="J243" s="189" t="inlineStr">
        <is>
          <t>BOBINES</t>
        </is>
      </c>
      <c r="K243" s="53">
        <f>D243+8</f>
        <v/>
      </c>
      <c r="L243" s="53">
        <f>K243+60</f>
        <v/>
      </c>
      <c r="M243" s="195" t="n"/>
      <c r="N243" s="196">
        <f>E243-34-105-22-17</f>
        <v/>
      </c>
      <c r="O243" s="197">
        <f>F243/E243*N243</f>
        <v/>
      </c>
      <c r="P243" s="198">
        <f>G243/E243*N243</f>
        <v/>
      </c>
      <c r="Q243" s="224" t="n"/>
      <c r="R243" s="58" t="n"/>
      <c r="S243" s="200" t="inlineStr">
        <is>
          <t>CH25241TDJD066-073</t>
        </is>
      </c>
      <c r="T243" s="201" t="n">
        <v>130</v>
      </c>
      <c r="U243" s="58" t="inlineStr">
        <is>
          <t>PRE-PAINTED GALVANISED STEEL COILS</t>
        </is>
      </c>
      <c r="V243" s="67" t="n"/>
      <c r="W243" s="67" t="n"/>
      <c r="X243" s="99" t="inlineStr">
        <is>
          <t>OPER</t>
        </is>
      </c>
      <c r="Y243" s="116">
        <f>F243/E243</f>
        <v/>
      </c>
      <c r="Z243" s="64">
        <f>E243-N243</f>
        <v/>
      </c>
      <c r="AA243" s="30" t="n"/>
    </row>
    <row r="244" ht="18" customHeight="1" s="202">
      <c r="A244" s="116" t="n">
        <v>20250308</v>
      </c>
      <c r="B244" s="117" t="inlineStr">
        <is>
          <t xml:space="preserve">CHANG HANG HAO HAI </t>
        </is>
      </c>
      <c r="C244" s="118" t="n">
        <v>45977</v>
      </c>
      <c r="D244" s="118" t="n">
        <v>45995</v>
      </c>
      <c r="E244" s="67" t="n">
        <v>32</v>
      </c>
      <c r="F244" s="119" t="n">
        <v>139.108</v>
      </c>
      <c r="G244" s="120" t="n">
        <v>25.6666666666667</v>
      </c>
      <c r="H244" s="121" t="inlineStr">
        <is>
          <t>SARL KERNOU ALUMINIUM IMPORT-EXPORT</t>
        </is>
      </c>
      <c r="I244" s="121" t="inlineStr">
        <is>
          <t>BOBINES</t>
        </is>
      </c>
      <c r="J244" s="117" t="inlineStr">
        <is>
          <t>BOBINES</t>
        </is>
      </c>
      <c r="K244" s="53">
        <f>D244+8</f>
        <v/>
      </c>
      <c r="L244" s="53">
        <f>K244+60</f>
        <v/>
      </c>
      <c r="M244" s="71" t="n"/>
      <c r="N244" s="72">
        <f>E244</f>
        <v/>
      </c>
      <c r="O244" s="50">
        <f>F244/E244*N244</f>
        <v/>
      </c>
      <c r="P244" s="273">
        <f>G244/E244*N244</f>
        <v/>
      </c>
      <c r="Q244" s="224" t="n"/>
      <c r="R244" s="58" t="n"/>
      <c r="S244" s="200" t="inlineStr">
        <is>
          <t>CH25241TDJD075</t>
        </is>
      </c>
      <c r="T244" s="201" t="n">
        <v>39</v>
      </c>
      <c r="U244" s="58" t="inlineStr">
        <is>
          <t>GALVANIZED STEEL COIL</t>
        </is>
      </c>
      <c r="V244" s="67" t="n"/>
      <c r="W244" s="67" t="n"/>
      <c r="X244" s="62" t="inlineStr">
        <is>
          <t>N-OP</t>
        </is>
      </c>
      <c r="Y244" s="116">
        <f>F244/E244</f>
        <v/>
      </c>
      <c r="Z244" s="64">
        <f>E244-N244</f>
        <v/>
      </c>
      <c r="AA244" s="64" t="n">
        <v>182</v>
      </c>
    </row>
    <row r="245" ht="18" customHeight="1" s="202">
      <c r="A245" s="188" t="n">
        <v>20250308</v>
      </c>
      <c r="B245" s="189" t="inlineStr">
        <is>
          <t xml:space="preserve">CHANG HANG HAO HAI </t>
        </is>
      </c>
      <c r="C245" s="190" t="n">
        <v>45977</v>
      </c>
      <c r="D245" s="190" t="n">
        <v>45995</v>
      </c>
      <c r="E245" s="191" t="n">
        <v>6</v>
      </c>
      <c r="F245" s="192" t="n">
        <v>96</v>
      </c>
      <c r="G245" s="193" t="n">
        <v>144</v>
      </c>
      <c r="H245" s="194" t="inlineStr">
        <is>
          <t>EURL TCR TRAVAUX CONSTRUCTION DES ROUTES</t>
        </is>
      </c>
      <c r="I245" s="194" t="inlineStr">
        <is>
          <t>CAMIONS</t>
        </is>
      </c>
      <c r="J245" s="189" t="inlineStr">
        <is>
          <t>LOURD</t>
        </is>
      </c>
      <c r="K245" s="53">
        <f>D245+8</f>
        <v/>
      </c>
      <c r="L245" s="53">
        <f>K245+60</f>
        <v/>
      </c>
      <c r="M245" s="195" t="n"/>
      <c r="N245" s="196">
        <f>E245-4</f>
        <v/>
      </c>
      <c r="O245" s="197">
        <f>F245/E245*N245</f>
        <v/>
      </c>
      <c r="P245" s="198">
        <f>G245/E245*N245</f>
        <v/>
      </c>
      <c r="Q245" s="224" t="n"/>
      <c r="R245" s="58" t="n"/>
      <c r="S245" s="200" t="inlineStr">
        <is>
          <t>CH25241LDJD005</t>
        </is>
      </c>
      <c r="T245" s="201" t="n">
        <v>8</v>
      </c>
      <c r="U245" s="58" t="inlineStr">
        <is>
          <t>05 UNITS SX3255JM384 SHACMAN F2000 6X4 DUMP TRUCK 01 UNIT SX5255GYSJM434 SHACMAN F2000 6X4 WATER TRUCK ( VOIR BL)</t>
        </is>
      </c>
      <c r="V245" s="67" t="n"/>
      <c r="W245" s="67" t="n"/>
      <c r="X245" s="99" t="inlineStr">
        <is>
          <t>OPER</t>
        </is>
      </c>
      <c r="Y245" s="116">
        <f>F245/E245</f>
        <v/>
      </c>
      <c r="Z245" s="64">
        <f>E245-N245</f>
        <v/>
      </c>
    </row>
    <row r="246" ht="18" customHeight="1" s="202">
      <c r="A246" s="116" t="n">
        <v>20250308</v>
      </c>
      <c r="B246" s="117" t="inlineStr">
        <is>
          <t xml:space="preserve">CHANG HANG HAO HAI </t>
        </is>
      </c>
      <c r="C246" s="118" t="n">
        <v>45977</v>
      </c>
      <c r="D246" s="118" t="n">
        <v>45995</v>
      </c>
      <c r="E246" s="67" t="n">
        <v>6</v>
      </c>
      <c r="F246" s="119" t="n">
        <v>77.81999999999999</v>
      </c>
      <c r="G246" s="120" t="n">
        <v>144</v>
      </c>
      <c r="H246" s="121" t="inlineStr">
        <is>
          <t>SARL KAHIA METAL</t>
        </is>
      </c>
      <c r="I246" s="121" t="inlineStr">
        <is>
          <t>CAMION TRACTEUR</t>
        </is>
      </c>
      <c r="J246" s="117" t="inlineStr">
        <is>
          <t>LOURD</t>
        </is>
      </c>
      <c r="K246" s="53">
        <f>D246+8</f>
        <v/>
      </c>
      <c r="L246" s="53">
        <f>K246+60</f>
        <v/>
      </c>
      <c r="M246" s="71" t="n"/>
      <c r="N246" s="72">
        <f>E246</f>
        <v/>
      </c>
      <c r="O246" s="50">
        <f>F246/E246*N246</f>
        <v/>
      </c>
      <c r="P246" s="273">
        <f>G246/E246*N246</f>
        <v/>
      </c>
      <c r="Q246" s="224" t="n"/>
      <c r="R246" s="58" t="n"/>
      <c r="S246" s="200" t="inlineStr">
        <is>
          <t>CH25241LDJD016-018</t>
        </is>
      </c>
      <c r="T246" s="201" t="n">
        <v>55</v>
      </c>
      <c r="U246" s="58" t="inlineStr">
        <is>
          <t>02 UNITS ZZ4256V364HC1H SINOTRUK SITRAK TRACTOR TRUCK 04 UNITS ZZ3317V356GB1 SINOTRUK HOWO TIPPER TRUCK 02 UNITS THT9480 CARGO SEMI-TRAILER (VOIR BL)</t>
        </is>
      </c>
      <c r="V246" s="67" t="n"/>
      <c r="W246" s="67" t="n"/>
      <c r="X246" s="62" t="inlineStr">
        <is>
          <t>N-OP</t>
        </is>
      </c>
      <c r="Y246" s="116">
        <f>F246/E246</f>
        <v/>
      </c>
      <c r="Z246" s="64">
        <f>E246-N246</f>
        <v/>
      </c>
    </row>
    <row r="247" ht="18" customHeight="1" s="202">
      <c r="A247" s="116" t="n">
        <v>20250308</v>
      </c>
      <c r="B247" s="117" t="inlineStr">
        <is>
          <t xml:space="preserve">CHANG HANG HAO HAI </t>
        </is>
      </c>
      <c r="C247" s="118" t="n">
        <v>45977</v>
      </c>
      <c r="D247" s="118" t="n">
        <v>45995</v>
      </c>
      <c r="E247" s="67" t="n">
        <v>2</v>
      </c>
      <c r="F247" s="119" t="n">
        <v>25.94</v>
      </c>
      <c r="G247" s="120" t="n">
        <v>48</v>
      </c>
      <c r="H247" s="121" t="inlineStr">
        <is>
          <t>SARL KAHIA METAL</t>
        </is>
      </c>
      <c r="I247" s="121" t="inlineStr">
        <is>
          <t>REMORQUES</t>
        </is>
      </c>
      <c r="J247" s="117" t="inlineStr">
        <is>
          <t>LOURD</t>
        </is>
      </c>
      <c r="K247" s="53">
        <f>D247+8</f>
        <v/>
      </c>
      <c r="L247" s="53">
        <f>K247+60</f>
        <v/>
      </c>
      <c r="M247" s="71" t="n"/>
      <c r="N247" s="72">
        <f>E247</f>
        <v/>
      </c>
      <c r="O247" s="50">
        <f>F247/E247*N247</f>
        <v/>
      </c>
      <c r="P247" s="273">
        <f>G247/E247*N247</f>
        <v/>
      </c>
      <c r="Q247" s="224" t="n"/>
      <c r="R247" s="58" t="n"/>
      <c r="S247" s="200" t="inlineStr">
        <is>
          <t>CH25241LDJD016-018</t>
        </is>
      </c>
      <c r="T247" s="201" t="n">
        <v>55</v>
      </c>
      <c r="U247" s="58" t="n"/>
      <c r="V247" s="67" t="n"/>
      <c r="W247" s="67" t="n"/>
      <c r="X247" s="62" t="inlineStr">
        <is>
          <t>N-OP</t>
        </is>
      </c>
      <c r="Y247" s="116">
        <f>F247/E247</f>
        <v/>
      </c>
      <c r="Z247" s="64">
        <f>E247-N247</f>
        <v/>
      </c>
    </row>
    <row r="248" ht="18" customHeight="1" s="202">
      <c r="A248" s="116" t="n">
        <v>20250308</v>
      </c>
      <c r="B248" s="117" t="inlineStr">
        <is>
          <t xml:space="preserve">CHANG HANG HAO HAI </t>
        </is>
      </c>
      <c r="C248" s="118" t="n">
        <v>45977</v>
      </c>
      <c r="D248" s="118" t="n">
        <v>45995</v>
      </c>
      <c r="E248" s="67" t="n">
        <v>2</v>
      </c>
      <c r="F248" s="119" t="n">
        <v>65.95999999999999</v>
      </c>
      <c r="G248" s="120" t="n">
        <v>48</v>
      </c>
      <c r="H248" s="121" t="inlineStr">
        <is>
          <t>SARL SUD TIMMI ADRAR</t>
        </is>
      </c>
      <c r="I248" s="121" t="inlineStr">
        <is>
          <t>EXCAVATEURS</t>
        </is>
      </c>
      <c r="J248" s="117" t="inlineStr">
        <is>
          <t>ENGINS</t>
        </is>
      </c>
      <c r="K248" s="53">
        <f>D248+8</f>
        <v/>
      </c>
      <c r="L248" s="53">
        <f>K248+60</f>
        <v/>
      </c>
      <c r="M248" s="71" t="n"/>
      <c r="N248" s="72">
        <f>E248</f>
        <v/>
      </c>
      <c r="O248" s="50">
        <f>F248/E248*N248</f>
        <v/>
      </c>
      <c r="P248" s="273">
        <f>G248/E248*N248</f>
        <v/>
      </c>
      <c r="Q248" s="224" t="n"/>
      <c r="R248" s="58" t="n"/>
      <c r="S248" s="200" t="inlineStr">
        <is>
          <t>CH25241LDJD041</t>
        </is>
      </c>
      <c r="T248" s="201" t="n">
        <v>70</v>
      </c>
      <c r="U248" s="58" t="inlineStr">
        <is>
          <t>02 UNITS EXCAVATOR HX340HD ( VOIR BL)</t>
        </is>
      </c>
      <c r="V248" s="67" t="n"/>
      <c r="W248" s="67" t="n"/>
      <c r="X248" s="62" t="inlineStr">
        <is>
          <t>N-OP</t>
        </is>
      </c>
      <c r="Y248" s="116">
        <f>F248/E248</f>
        <v/>
      </c>
      <c r="Z248" s="64">
        <f>E248-N248</f>
        <v/>
      </c>
    </row>
    <row r="249" ht="18" customHeight="1" s="202">
      <c r="A249" s="116" t="n">
        <v>20250308</v>
      </c>
      <c r="B249" s="117" t="inlineStr">
        <is>
          <t xml:space="preserve">CHANG HANG HAO HAI </t>
        </is>
      </c>
      <c r="C249" s="118" t="n">
        <v>45977</v>
      </c>
      <c r="D249" s="118" t="n">
        <v>45995</v>
      </c>
      <c r="E249" s="67" t="n">
        <v>4</v>
      </c>
      <c r="F249" s="119" t="n">
        <v>0</v>
      </c>
      <c r="G249" s="120" t="n">
        <v>12</v>
      </c>
      <c r="H249" s="121" t="inlineStr">
        <is>
          <t>SARL SUD TIMMI ADRAR</t>
        </is>
      </c>
      <c r="I249" s="121" t="inlineStr">
        <is>
          <t>COLIS</t>
        </is>
      </c>
      <c r="J249" s="117" t="inlineStr">
        <is>
          <t>COLIS</t>
        </is>
      </c>
      <c r="K249" s="53">
        <f>D249+8</f>
        <v/>
      </c>
      <c r="L249" s="53">
        <f>K249+60</f>
        <v/>
      </c>
      <c r="M249" s="71" t="n"/>
      <c r="N249" s="72">
        <f>E249</f>
        <v/>
      </c>
      <c r="O249" s="50">
        <f>F249/E249*N249</f>
        <v/>
      </c>
      <c r="P249" s="273">
        <f>G249/E249*N249</f>
        <v/>
      </c>
      <c r="Q249" s="224" t="n"/>
      <c r="R249" s="58" t="n"/>
      <c r="S249" s="200" t="inlineStr">
        <is>
          <t>CH25241LDJD041</t>
        </is>
      </c>
      <c r="T249" s="201" t="n">
        <v>70</v>
      </c>
      <c r="U249" s="58" t="n"/>
      <c r="V249" s="67" t="n"/>
      <c r="W249" s="67" t="n"/>
      <c r="X249" s="62" t="inlineStr">
        <is>
          <t>N-OP</t>
        </is>
      </c>
      <c r="Y249" s="116">
        <f>F249/E249</f>
        <v/>
      </c>
      <c r="Z249" s="64">
        <f>E249-N249</f>
        <v/>
      </c>
      <c r="AA249" s="64" t="n">
        <v>222</v>
      </c>
    </row>
    <row r="250" ht="18" customHeight="1" s="202">
      <c r="A250" s="116" t="n">
        <v>20250308</v>
      </c>
      <c r="B250" s="117" t="inlineStr">
        <is>
          <t xml:space="preserve">CHANG HANG HAO HAI </t>
        </is>
      </c>
      <c r="C250" s="118" t="n">
        <v>45977</v>
      </c>
      <c r="D250" s="118" t="n">
        <v>45995</v>
      </c>
      <c r="E250" s="67" t="n">
        <v>3</v>
      </c>
      <c r="F250" s="119" t="n">
        <v>41.4</v>
      </c>
      <c r="G250" s="120" t="n">
        <v>72</v>
      </c>
      <c r="H250" s="121" t="inlineStr">
        <is>
          <t>S.N.C OUAZENE ET FRERES</t>
        </is>
      </c>
      <c r="I250" s="121" t="inlineStr">
        <is>
          <t>CAMIONS</t>
        </is>
      </c>
      <c r="J250" s="117" t="inlineStr">
        <is>
          <t>LOURD</t>
        </is>
      </c>
      <c r="K250" s="53">
        <f>D250+8</f>
        <v/>
      </c>
      <c r="L250" s="53">
        <f>K250+60</f>
        <v/>
      </c>
      <c r="M250" s="71" t="n"/>
      <c r="N250" s="72">
        <f>E250</f>
        <v/>
      </c>
      <c r="O250" s="50">
        <f>F250/E250*N250</f>
        <v/>
      </c>
      <c r="P250" s="273">
        <f>G250/E250*N250</f>
        <v/>
      </c>
      <c r="Q250" s="224" t="n"/>
      <c r="R250" s="58" t="n"/>
      <c r="S250" s="200" t="inlineStr">
        <is>
          <t>CH25241LDJD074</t>
        </is>
      </c>
      <c r="T250" s="201" t="n">
        <v>90</v>
      </c>
      <c r="U250" s="58" t="inlineStr">
        <is>
          <t>03 UNITS SINOTRUK HOWO TX 6*4 SPRINKLER TRUCK LHD ( VOIR BL)</t>
        </is>
      </c>
      <c r="V250" s="67" t="n"/>
      <c r="W250" s="67" t="n"/>
      <c r="X250" s="62" t="inlineStr">
        <is>
          <t>N-OP</t>
        </is>
      </c>
      <c r="Y250" s="116">
        <f>F250/E250</f>
        <v/>
      </c>
      <c r="Z250" s="64">
        <f>E250-N250</f>
        <v/>
      </c>
    </row>
    <row r="251" ht="18" customHeight="1" s="202">
      <c r="A251" s="76" t="n">
        <v>20250308</v>
      </c>
      <c r="B251" s="77" t="inlineStr">
        <is>
          <t xml:space="preserve">CHANG HANG HAO HAI </t>
        </is>
      </c>
      <c r="C251" s="78" t="n">
        <v>45977</v>
      </c>
      <c r="D251" s="78" t="n">
        <v>45995</v>
      </c>
      <c r="E251" s="76" t="n">
        <v>1</v>
      </c>
      <c r="F251" s="79" t="n">
        <v>34.1</v>
      </c>
      <c r="G251" s="76" t="n">
        <v>24</v>
      </c>
      <c r="H251" s="80" t="inlineStr">
        <is>
          <t>EURL AISSI E.T.R.H.B</t>
        </is>
      </c>
      <c r="I251" s="80" t="inlineStr">
        <is>
          <t>EXCAVATEURS</t>
        </is>
      </c>
      <c r="J251" s="77" t="inlineStr">
        <is>
          <t>ENGINS</t>
        </is>
      </c>
      <c r="K251" s="174">
        <f>D251+8</f>
        <v/>
      </c>
      <c r="L251" s="174">
        <f>K251+60</f>
        <v/>
      </c>
      <c r="M251" s="82" t="n"/>
      <c r="N251" s="83">
        <f>E251-1</f>
        <v/>
      </c>
      <c r="O251" s="84">
        <f>F251/E251*N251</f>
        <v/>
      </c>
      <c r="P251" s="83">
        <f>G251/E251*N251</f>
        <v/>
      </c>
      <c r="Q251" s="80" t="n"/>
      <c r="R251" s="80" t="n"/>
      <c r="S251" s="80" t="inlineStr">
        <is>
          <t>CH25241LDJD138</t>
        </is>
      </c>
      <c r="T251" s="86" t="n">
        <v>112</v>
      </c>
      <c r="U251" s="80" t="inlineStr">
        <is>
          <t>01 UNIT HYUNDAI CRAWLER EXCAVATOR HX340HD ( VOIR BL)</t>
        </is>
      </c>
      <c r="V251" s="76" t="n"/>
      <c r="W251" s="76" t="n"/>
      <c r="X251" s="76" t="inlineStr">
        <is>
          <t>SOLDEE</t>
        </is>
      </c>
      <c r="Y251" s="116">
        <f>F251/E251</f>
        <v/>
      </c>
      <c r="Z251" s="30" t="n"/>
      <c r="AA251" s="64" t="n">
        <v>22</v>
      </c>
    </row>
    <row r="252" ht="18" customHeight="1" s="202">
      <c r="A252" s="188" t="n">
        <v>20250308</v>
      </c>
      <c r="B252" s="189" t="inlineStr">
        <is>
          <t xml:space="preserve">CHANG HANG HAO HAI </t>
        </is>
      </c>
      <c r="C252" s="190" t="n">
        <v>45977</v>
      </c>
      <c r="D252" s="190" t="n">
        <v>45995</v>
      </c>
      <c r="E252" s="191" t="n">
        <v>3</v>
      </c>
      <c r="F252" s="192" t="n">
        <v>0</v>
      </c>
      <c r="G252" s="193" t="n">
        <v>9</v>
      </c>
      <c r="H252" s="194" t="inlineStr">
        <is>
          <t>EURL AISSI E.T.R.H.B</t>
        </is>
      </c>
      <c r="I252" s="194" t="inlineStr">
        <is>
          <t>COLIS</t>
        </is>
      </c>
      <c r="J252" s="189" t="inlineStr">
        <is>
          <t>COLIS</t>
        </is>
      </c>
      <c r="K252" s="53">
        <f>D252+8</f>
        <v/>
      </c>
      <c r="L252" s="53">
        <f>K252+60</f>
        <v/>
      </c>
      <c r="M252" s="195" t="n"/>
      <c r="N252" s="196">
        <f>E252</f>
        <v/>
      </c>
      <c r="O252" s="197">
        <f>F252/E252*N252</f>
        <v/>
      </c>
      <c r="P252" s="198">
        <f>G252/E252*N252</f>
        <v/>
      </c>
      <c r="Q252" s="224" t="n"/>
      <c r="R252" s="58" t="n"/>
      <c r="S252" s="200" t="inlineStr">
        <is>
          <t>CH25241LDJD138</t>
        </is>
      </c>
      <c r="T252" s="201" t="n">
        <v>112</v>
      </c>
      <c r="U252" s="58" t="n"/>
      <c r="V252" s="67" t="n"/>
      <c r="W252" s="67" t="n"/>
      <c r="X252" s="62" t="inlineStr">
        <is>
          <t>N-OP</t>
        </is>
      </c>
      <c r="Y252" s="116">
        <f>F252/E252</f>
        <v/>
      </c>
      <c r="Z252" s="64">
        <f>E252-N252</f>
        <v/>
      </c>
    </row>
    <row r="253" ht="18" customHeight="1" s="202">
      <c r="A253" s="116" t="n">
        <v>20250308</v>
      </c>
      <c r="B253" s="117" t="inlineStr">
        <is>
          <t xml:space="preserve">CHANG HANG HAO HAI </t>
        </is>
      </c>
      <c r="C253" s="118" t="n">
        <v>45977</v>
      </c>
      <c r="D253" s="118" t="n">
        <v>45995</v>
      </c>
      <c r="E253" s="67" t="n">
        <v>2</v>
      </c>
      <c r="F253" s="119" t="n">
        <v>27.56</v>
      </c>
      <c r="G253" s="120" t="n">
        <v>48</v>
      </c>
      <c r="H253" s="121" t="inlineStr">
        <is>
          <t>SNC SOTRABAP BELHADJ ET CIE</t>
        </is>
      </c>
      <c r="I253" s="121" t="inlineStr">
        <is>
          <t>CAMIONS</t>
        </is>
      </c>
      <c r="J253" s="117" t="inlineStr">
        <is>
          <t>LOURD</t>
        </is>
      </c>
      <c r="K253" s="53">
        <f>D253+8</f>
        <v/>
      </c>
      <c r="L253" s="53">
        <f>K253+60</f>
        <v/>
      </c>
      <c r="M253" s="71" t="n"/>
      <c r="N253" s="72">
        <f>E253</f>
        <v/>
      </c>
      <c r="O253" s="50">
        <f>F253/E253*N253</f>
        <v/>
      </c>
      <c r="P253" s="273">
        <f>G253/E253*N253</f>
        <v/>
      </c>
      <c r="Q253" s="224" t="n"/>
      <c r="R253" s="58" t="n"/>
      <c r="S253" s="200" t="inlineStr">
        <is>
          <t>CH25241LDJD141</t>
        </is>
      </c>
      <c r="T253" s="201" t="n">
        <v>132</v>
      </c>
      <c r="U253" s="58" t="inlineStr">
        <is>
          <t>02 UNITS SINOTRUK HOWO TX 6X4 DUMP TRUCK (VOIR BL</t>
        </is>
      </c>
      <c r="V253" s="67" t="n"/>
      <c r="W253" s="67" t="n"/>
      <c r="X253" s="62" t="inlineStr">
        <is>
          <t>N-OP</t>
        </is>
      </c>
      <c r="Y253" s="116">
        <f>F253/E253</f>
        <v/>
      </c>
      <c r="Z253" s="64">
        <f>E253-N253</f>
        <v/>
      </c>
    </row>
    <row r="254" ht="18" customHeight="1" s="202">
      <c r="A254" s="135" t="n">
        <v>20250315</v>
      </c>
      <c r="B254" s="136" t="inlineStr">
        <is>
          <t xml:space="preserve">CHORUS V </t>
        </is>
      </c>
      <c r="C254" s="137" t="n">
        <v>45984</v>
      </c>
      <c r="D254" s="137" t="n">
        <v>46001</v>
      </c>
      <c r="E254" s="138" t="n">
        <v>4</v>
      </c>
      <c r="F254" s="139" t="n">
        <v>65.31999999999999</v>
      </c>
      <c r="G254" s="140" t="n">
        <v>14</v>
      </c>
      <c r="H254" s="141" t="inlineStr">
        <is>
          <t>LâOURS FOR OIL AND GAS SERVICES</t>
        </is>
      </c>
      <c r="I254" s="141" t="inlineStr">
        <is>
          <t>TUBES</t>
        </is>
      </c>
      <c r="J254" s="136" t="inlineStr">
        <is>
          <t>TUBES</t>
        </is>
      </c>
      <c r="K254" s="142">
        <f>D254+8</f>
        <v/>
      </c>
      <c r="L254" s="142">
        <f>K254+60</f>
        <v/>
      </c>
      <c r="M254" s="143" t="n"/>
      <c r="N254" s="144">
        <f>E254-2</f>
        <v/>
      </c>
      <c r="O254" s="145">
        <f>F254/E254*N254</f>
        <v/>
      </c>
      <c r="P254" s="146">
        <f>G254/E254*N254</f>
        <v/>
      </c>
      <c r="Q254" s="224" t="n"/>
      <c r="R254" s="58" t="n"/>
      <c r="S254" s="200" t="inlineStr">
        <is>
          <t>2503LYD5001</t>
        </is>
      </c>
      <c r="T254" s="201" t="n">
        <v>34</v>
      </c>
      <c r="U254" s="58" t="inlineStr">
        <is>
          <t>COILED TUBING STRING WITH ACCESSORIES ( VOIR BL)</t>
        </is>
      </c>
      <c r="V254" s="67" t="n"/>
      <c r="W254" s="67" t="n"/>
      <c r="X254" s="99" t="inlineStr">
        <is>
          <t>OPER</t>
        </is>
      </c>
      <c r="Y254" s="116">
        <f>F254/E254</f>
        <v/>
      </c>
      <c r="Z254" s="64">
        <f>E254-N254</f>
        <v/>
      </c>
    </row>
    <row r="255" ht="18" customHeight="1" s="202">
      <c r="A255" s="188" t="n">
        <v>20250315</v>
      </c>
      <c r="B255" s="189" t="inlineStr">
        <is>
          <t xml:space="preserve">CHORUS V </t>
        </is>
      </c>
      <c r="C255" s="190" t="n">
        <v>45984</v>
      </c>
      <c r="D255" s="190" t="n">
        <v>46001</v>
      </c>
      <c r="E255" s="191" t="n">
        <v>196</v>
      </c>
      <c r="F255" s="192" t="n">
        <v>149.288</v>
      </c>
      <c r="G255" s="193" t="n">
        <v>146</v>
      </c>
      <c r="H255" s="194" t="inlineStr">
        <is>
          <t>EURL SOUF TRADING</t>
        </is>
      </c>
      <c r="I255" s="194" t="inlineStr">
        <is>
          <t>TUBES</t>
        </is>
      </c>
      <c r="J255" s="189" t="inlineStr">
        <is>
          <t>TUBES</t>
        </is>
      </c>
      <c r="K255" s="53">
        <f>D255+8</f>
        <v/>
      </c>
      <c r="L255" s="53">
        <f>K255+60</f>
        <v/>
      </c>
      <c r="M255" s="195" t="n"/>
      <c r="N255" s="196">
        <f>E255-106</f>
        <v/>
      </c>
      <c r="O255" s="197">
        <f>F255/E255*N255</f>
        <v/>
      </c>
      <c r="P255" s="198">
        <f>G255/E255*N255</f>
        <v/>
      </c>
      <c r="Q255" s="224" t="n"/>
      <c r="R255" s="58" t="n"/>
      <c r="S255" s="200" t="inlineStr">
        <is>
          <t>2503TJD0501</t>
        </is>
      </c>
      <c r="T255" s="201" t="n">
        <v>108</v>
      </c>
      <c r="U255" s="58" t="inlineStr">
        <is>
          <t>API 5CT CASING PIPE</t>
        </is>
      </c>
      <c r="V255" s="67" t="n"/>
      <c r="W255" s="67" t="n"/>
      <c r="X255" s="99" t="inlineStr">
        <is>
          <t>OPER</t>
        </is>
      </c>
      <c r="Y255" s="116">
        <f>F255/E255</f>
        <v/>
      </c>
      <c r="Z255" s="64">
        <f>E255-N255</f>
        <v/>
      </c>
      <c r="AA255" s="64" t="n">
        <v>2</v>
      </c>
    </row>
    <row r="256" ht="18" customHeight="1" s="202">
      <c r="A256" s="116" t="n">
        <v>20250315</v>
      </c>
      <c r="B256" s="117" t="inlineStr">
        <is>
          <t xml:space="preserve">CHORUS V </t>
        </is>
      </c>
      <c r="C256" s="118" t="n">
        <v>45984</v>
      </c>
      <c r="D256" s="118" t="n">
        <v>46001</v>
      </c>
      <c r="E256" s="67" t="n">
        <v>86</v>
      </c>
      <c r="F256" s="119" t="n">
        <v>154.48827</v>
      </c>
      <c r="G256" s="120" t="n">
        <v>86</v>
      </c>
      <c r="H256" s="121" t="inlineStr">
        <is>
          <t>EURL ECE</t>
        </is>
      </c>
      <c r="I256" s="121" t="inlineStr">
        <is>
          <t>TUBES</t>
        </is>
      </c>
      <c r="J256" s="117" t="inlineStr">
        <is>
          <t>TUBES</t>
        </is>
      </c>
      <c r="K256" s="53">
        <f>D256+8</f>
        <v/>
      </c>
      <c r="L256" s="53">
        <f>K256+60</f>
        <v/>
      </c>
      <c r="M256" s="71" t="n"/>
      <c r="N256" s="72">
        <f>E256</f>
        <v/>
      </c>
      <c r="O256" s="50">
        <f>F256/E256*N256</f>
        <v/>
      </c>
      <c r="P256" s="273">
        <f>G256/E256*N256</f>
        <v/>
      </c>
      <c r="Q256" s="224" t="n"/>
      <c r="R256" s="58" t="n"/>
      <c r="S256" s="200" t="inlineStr">
        <is>
          <t>2503TJD0601</t>
        </is>
      </c>
      <c r="T256" s="201" t="n">
        <v>48</v>
      </c>
      <c r="U256" s="58" t="inlineStr">
        <is>
          <t>SSAW (API 5L GR B)</t>
        </is>
      </c>
      <c r="V256" s="67" t="n"/>
      <c r="W256" s="67" t="n"/>
      <c r="X256" s="62" t="inlineStr">
        <is>
          <t>N-OP</t>
        </is>
      </c>
      <c r="Y256" s="116">
        <f>F256/E256</f>
        <v/>
      </c>
      <c r="Z256" s="64">
        <f>E256-N256</f>
        <v/>
      </c>
    </row>
    <row r="257" ht="18" customHeight="1" s="202">
      <c r="A257" s="188" t="n">
        <v>20250315</v>
      </c>
      <c r="B257" s="189" t="inlineStr">
        <is>
          <t xml:space="preserve">CHORUS V </t>
        </is>
      </c>
      <c r="C257" s="190" t="n">
        <v>45984</v>
      </c>
      <c r="D257" s="190" t="n">
        <v>46001</v>
      </c>
      <c r="E257" s="191" t="n">
        <v>255</v>
      </c>
      <c r="F257" s="192" t="n">
        <v>243.3</v>
      </c>
      <c r="G257" s="193" t="n">
        <v>180</v>
      </c>
      <c r="H257" s="194" t="inlineStr">
        <is>
          <t>EURL AURES DRILL</t>
        </is>
      </c>
      <c r="I257" s="194" t="inlineStr">
        <is>
          <t>TUBES</t>
        </is>
      </c>
      <c r="J257" s="189" t="inlineStr">
        <is>
          <t>TUBES</t>
        </is>
      </c>
      <c r="K257" s="53">
        <f>D257+8</f>
        <v/>
      </c>
      <c r="L257" s="53">
        <f>K257+60</f>
        <v/>
      </c>
      <c r="M257" s="195" t="n"/>
      <c r="N257" s="196">
        <f>E257-38</f>
        <v/>
      </c>
      <c r="O257" s="197">
        <f>F257/E257*N257</f>
        <v/>
      </c>
      <c r="P257" s="198">
        <f>G257/E257*N257</f>
        <v/>
      </c>
      <c r="Q257" s="224" t="n"/>
      <c r="R257" s="58" t="n"/>
      <c r="S257" s="200" t="inlineStr">
        <is>
          <t>2503TJD1001</t>
        </is>
      </c>
      <c r="T257" s="201" t="n">
        <v>112</v>
      </c>
      <c r="U257" s="58" t="inlineStr">
        <is>
          <t>CASING API 13 3/8''</t>
        </is>
      </c>
      <c r="V257" s="67" t="n"/>
      <c r="W257" s="67" t="n"/>
      <c r="X257" s="99" t="inlineStr">
        <is>
          <t>OPER</t>
        </is>
      </c>
      <c r="Y257" s="116">
        <f>F257/E257</f>
        <v/>
      </c>
      <c r="Z257" s="64">
        <f>E257-N257</f>
        <v/>
      </c>
    </row>
    <row r="258" ht="18" customHeight="1" s="202">
      <c r="A258" s="188" t="n">
        <v>20250315</v>
      </c>
      <c r="B258" s="189" t="inlineStr">
        <is>
          <t xml:space="preserve">CHORUS V </t>
        </is>
      </c>
      <c r="C258" s="190" t="n">
        <v>45984</v>
      </c>
      <c r="D258" s="190" t="n">
        <v>46001</v>
      </c>
      <c r="E258" s="191" t="n">
        <v>133</v>
      </c>
      <c r="F258" s="192" t="n">
        <v>205.19</v>
      </c>
      <c r="G258" s="193" t="n">
        <v>53</v>
      </c>
      <c r="H258" s="194" t="inlineStr">
        <is>
          <t>SARL ALOUI TRUST</t>
        </is>
      </c>
      <c r="I258" s="194" t="inlineStr">
        <is>
          <t>CTP</t>
        </is>
      </c>
      <c r="J258" s="189" t="inlineStr">
        <is>
          <t>CTP</t>
        </is>
      </c>
      <c r="K258" s="53">
        <f>D258+8</f>
        <v/>
      </c>
      <c r="L258" s="53">
        <f>K258+60</f>
        <v/>
      </c>
      <c r="M258" s="195" t="n"/>
      <c r="N258" s="196">
        <f>E258-119-12</f>
        <v/>
      </c>
      <c r="O258" s="197">
        <f>F258/E258*N258</f>
        <v/>
      </c>
      <c r="P258" s="198">
        <f>G258/E258*N258</f>
        <v/>
      </c>
      <c r="Q258" s="224" t="n"/>
      <c r="R258" s="58" t="n"/>
      <c r="S258" s="200" t="inlineStr">
        <is>
          <t>2503LYD3001</t>
        </is>
      </c>
      <c r="T258" s="201" t="n">
        <v>54</v>
      </c>
      <c r="U258" s="58" t="inlineStr">
        <is>
          <t>COMMERCIAL PLYWOOD/FANCY BLOCKBOARD /FANCY MDF / RAW MDF / FILM FACED PLYWOOD</t>
        </is>
      </c>
      <c r="V258" s="67" t="n"/>
      <c r="W258" s="67" t="n"/>
      <c r="X258" s="99" t="inlineStr">
        <is>
          <t>OPER</t>
        </is>
      </c>
      <c r="Y258" s="116">
        <f>F258/E258</f>
        <v/>
      </c>
      <c r="Z258" s="64">
        <f>E258-N258</f>
        <v/>
      </c>
    </row>
    <row r="259" ht="18" customHeight="1" s="202">
      <c r="A259" s="188" t="n">
        <v>20250315</v>
      </c>
      <c r="B259" s="189" t="inlineStr">
        <is>
          <t xml:space="preserve">CHORUS V </t>
        </is>
      </c>
      <c r="C259" s="190" t="n">
        <v>45984</v>
      </c>
      <c r="D259" s="190" t="n">
        <v>46001</v>
      </c>
      <c r="E259" s="191" t="n">
        <v>134</v>
      </c>
      <c r="F259" s="192" t="n">
        <v>551.13</v>
      </c>
      <c r="G259" s="193" t="n">
        <v>500</v>
      </c>
      <c r="H259" s="194" t="inlineStr">
        <is>
          <t>EURL GLOBAL HEAVY ALGERIA</t>
        </is>
      </c>
      <c r="I259" s="194" t="inlineStr">
        <is>
          <t>COLIS</t>
        </is>
      </c>
      <c r="J259" s="189" t="inlineStr">
        <is>
          <t>COLIS</t>
        </is>
      </c>
      <c r="K259" s="53">
        <f>D259+8</f>
        <v/>
      </c>
      <c r="L259" s="53">
        <f>K259+60</f>
        <v/>
      </c>
      <c r="M259" s="195" t="n"/>
      <c r="N259" s="196">
        <f>E259-11-33-8-6-9-3-46</f>
        <v/>
      </c>
      <c r="O259" s="197">
        <f>F259/E259*N259</f>
        <v/>
      </c>
      <c r="P259" s="198">
        <f>G259/E259*N259</f>
        <v/>
      </c>
      <c r="Q259" s="224" t="n"/>
      <c r="R259" s="58" t="n"/>
      <c r="S259" s="200" t="inlineStr">
        <is>
          <t>2503LYD0801</t>
        </is>
      </c>
      <c r="T259" s="201" t="n">
        <v>13</v>
      </c>
      <c r="U259" s="58" t="inlineStr">
        <is>
          <t>GANTRY CRANE / GENERATOR SET</t>
        </is>
      </c>
      <c r="V259" s="67" t="n"/>
      <c r="W259" s="67" t="n"/>
      <c r="X259" s="99" t="inlineStr">
        <is>
          <t>OPER</t>
        </is>
      </c>
      <c r="Y259" s="116">
        <f>F259/E259</f>
        <v/>
      </c>
      <c r="Z259" s="64">
        <f>E259-N259</f>
        <v/>
      </c>
    </row>
    <row r="260" ht="20.25" customHeight="1" s="202">
      <c r="A260" s="76" t="n">
        <v>20250315</v>
      </c>
      <c r="B260" s="77" t="inlineStr">
        <is>
          <t xml:space="preserve">CHORUS V </t>
        </is>
      </c>
      <c r="C260" s="78" t="n">
        <v>45984</v>
      </c>
      <c r="D260" s="78" t="n">
        <v>46001</v>
      </c>
      <c r="E260" s="76" t="n">
        <v>51</v>
      </c>
      <c r="F260" s="76" t="n">
        <v>567.65</v>
      </c>
      <c r="G260" s="76" t="n">
        <v>300</v>
      </c>
      <c r="H260" s="80" t="inlineStr">
        <is>
          <t>SARL TUNCH</t>
        </is>
      </c>
      <c r="I260" s="80" t="inlineStr">
        <is>
          <t>POUTRELLES</t>
        </is>
      </c>
      <c r="J260" s="77" t="inlineStr">
        <is>
          <t>POUTRELLES</t>
        </is>
      </c>
      <c r="K260" s="78">
        <f>D260+8</f>
        <v/>
      </c>
      <c r="L260" s="78">
        <f>K260+60</f>
        <v/>
      </c>
      <c r="M260" s="82" t="n"/>
      <c r="N260" s="83">
        <f>E260-13-6-8-3-3-10-8</f>
        <v/>
      </c>
      <c r="O260" s="84">
        <f>F260/E260*N260</f>
        <v/>
      </c>
      <c r="P260" s="83">
        <f>G260/E260*N260</f>
        <v/>
      </c>
      <c r="Q260" s="80" t="n"/>
      <c r="R260" s="80" t="n"/>
      <c r="S260" s="80" t="inlineStr">
        <is>
          <t>2503LYD0901</t>
        </is>
      </c>
      <c r="T260" s="86" t="n">
        <v>16</v>
      </c>
      <c r="U260" s="80" t="inlineStr">
        <is>
          <t>DRI FURNACE</t>
        </is>
      </c>
      <c r="V260" s="76" t="n"/>
      <c r="W260" s="76" t="n"/>
      <c r="X260" s="76" t="inlineStr">
        <is>
          <t>SOLDEE</t>
        </is>
      </c>
      <c r="Y260" s="116">
        <f>F260/E260</f>
        <v/>
      </c>
      <c r="Z260" s="30" t="n"/>
    </row>
    <row r="261" ht="20.25" customHeight="1" s="202">
      <c r="A261" s="188" t="n">
        <v>20250315</v>
      </c>
      <c r="B261" s="189" t="inlineStr">
        <is>
          <t xml:space="preserve">CHORUS V </t>
        </is>
      </c>
      <c r="C261" s="190" t="n">
        <v>45984</v>
      </c>
      <c r="D261" s="190" t="n">
        <v>46001</v>
      </c>
      <c r="E261" s="188" t="n">
        <v>200</v>
      </c>
      <c r="F261" s="192" t="n">
        <v>253.75</v>
      </c>
      <c r="G261" s="188" t="n">
        <v>600</v>
      </c>
      <c r="H261" s="194" t="inlineStr">
        <is>
          <t>SARL TUNCH</t>
        </is>
      </c>
      <c r="I261" s="189" t="inlineStr">
        <is>
          <t>BIG BAG</t>
        </is>
      </c>
      <c r="J261" s="189" t="inlineStr">
        <is>
          <t>BIG BAG</t>
        </is>
      </c>
      <c r="K261" s="233">
        <f>D261+8</f>
        <v/>
      </c>
      <c r="L261" s="233">
        <f>K261+60</f>
        <v/>
      </c>
      <c r="M261" s="236" t="n"/>
      <c r="N261" s="196">
        <f>E261-22-44-90-24-19</f>
        <v/>
      </c>
      <c r="O261" s="237">
        <f>F261/E261*N261</f>
        <v/>
      </c>
      <c r="P261" s="196">
        <f>G261/E261*N261</f>
        <v/>
      </c>
      <c r="Q261" s="121" t="n"/>
      <c r="R261" s="121" t="n"/>
      <c r="S261" s="194" t="inlineStr">
        <is>
          <t>2503LYD1801</t>
        </is>
      </c>
      <c r="T261" s="201" t="n">
        <v>23</v>
      </c>
      <c r="U261" s="58" t="inlineStr">
        <is>
          <t>MORTAR REFRACTORIES</t>
        </is>
      </c>
      <c r="V261" s="116" t="n"/>
      <c r="W261" s="238" t="n"/>
      <c r="X261" s="99" t="inlineStr">
        <is>
          <t>OPER</t>
        </is>
      </c>
      <c r="Y261" s="116">
        <f>F261/E261</f>
        <v/>
      </c>
      <c r="Z261" s="64">
        <f>E261-N261</f>
        <v/>
      </c>
    </row>
    <row r="262" ht="20.25" customHeight="1" s="202">
      <c r="A262" s="188" t="n">
        <v>20250315</v>
      </c>
      <c r="B262" s="189" t="inlineStr">
        <is>
          <t xml:space="preserve">CHORUS V </t>
        </is>
      </c>
      <c r="C262" s="190" t="n">
        <v>45984</v>
      </c>
      <c r="D262" s="190" t="n">
        <v>46001</v>
      </c>
      <c r="E262" s="191" t="n">
        <v>320</v>
      </c>
      <c r="F262" s="192" t="n">
        <v>1430.83884</v>
      </c>
      <c r="G262" s="193" t="n">
        <v>800</v>
      </c>
      <c r="H262" s="194" t="inlineStr">
        <is>
          <t>SARL TUNCH</t>
        </is>
      </c>
      <c r="I262" s="194" t="inlineStr">
        <is>
          <t>TOLES EN PLAQUES</t>
        </is>
      </c>
      <c r="J262" s="189" t="inlineStr">
        <is>
          <t>TOLES EN PLAQUES</t>
        </is>
      </c>
      <c r="K262" s="53">
        <f>D262+8</f>
        <v/>
      </c>
      <c r="L262" s="53">
        <f>K262+60</f>
        <v/>
      </c>
      <c r="M262" s="195" t="n"/>
      <c r="N262" s="196">
        <f>E262-44-79-10-43-66-34-18</f>
        <v/>
      </c>
      <c r="O262" s="197">
        <f>F262/E262*N262</f>
        <v/>
      </c>
      <c r="P262" s="198">
        <f>G262/E262*N262</f>
        <v/>
      </c>
      <c r="Q262" s="224" t="n"/>
      <c r="R262" s="58" t="n"/>
      <c r="S262" s="200" t="inlineStr">
        <is>
          <t>2503TJD1701-07,11-12</t>
        </is>
      </c>
      <c r="T262" s="201" t="n">
        <v>119</v>
      </c>
      <c r="U262" s="58" t="inlineStr">
        <is>
          <t>SHEET METAL/STAINLESS STEEL SHEET METAL ( VOIR BL)</t>
        </is>
      </c>
      <c r="V262" s="67" t="n"/>
      <c r="W262" s="67" t="n"/>
      <c r="X262" s="99" t="inlineStr">
        <is>
          <t>OPER</t>
        </is>
      </c>
      <c r="Y262" s="116">
        <f>F262/E262</f>
        <v/>
      </c>
      <c r="Z262" s="64">
        <f>E262-N262</f>
        <v/>
      </c>
    </row>
    <row r="263" ht="18" customHeight="1" s="202">
      <c r="A263" s="188" t="n">
        <v>20250315</v>
      </c>
      <c r="B263" s="189" t="inlineStr">
        <is>
          <t xml:space="preserve">CHORUS V </t>
        </is>
      </c>
      <c r="C263" s="190" t="n">
        <v>45984</v>
      </c>
      <c r="D263" s="190" t="n">
        <v>46001</v>
      </c>
      <c r="E263" s="191" t="n">
        <v>24</v>
      </c>
      <c r="F263" s="192" t="n">
        <v>92.87</v>
      </c>
      <c r="G263" s="193" t="n">
        <v>80</v>
      </c>
      <c r="H263" s="194" t="inlineStr">
        <is>
          <t>SIM CHEMICAL SPA</t>
        </is>
      </c>
      <c r="I263" s="194" t="inlineStr">
        <is>
          <t>COLIS</t>
        </is>
      </c>
      <c r="J263" s="189" t="inlineStr">
        <is>
          <t>COLIS</t>
        </is>
      </c>
      <c r="K263" s="53">
        <f>D263+8</f>
        <v/>
      </c>
      <c r="L263" s="53">
        <f>K263+60</f>
        <v/>
      </c>
      <c r="M263" s="195" t="n"/>
      <c r="N263" s="196">
        <f>E263-13-2-1-1</f>
        <v/>
      </c>
      <c r="O263" s="197">
        <f>F263/E263*N263</f>
        <v/>
      </c>
      <c r="P263" s="198">
        <f>G263/E263*N263</f>
        <v/>
      </c>
      <c r="Q263" s="224" t="n"/>
      <c r="R263" s="58" t="n"/>
      <c r="S263" s="200" t="inlineStr">
        <is>
          <t>2503LYD4501</t>
        </is>
      </c>
      <c r="T263" s="201" t="n">
        <v>83</v>
      </c>
      <c r="U263" s="58" t="inlineStr">
        <is>
          <t>MATERIELS ET MATERIAUX ( VOIR BL)</t>
        </is>
      </c>
      <c r="V263" s="67" t="n"/>
      <c r="W263" s="67" t="n"/>
      <c r="X263" s="99" t="inlineStr">
        <is>
          <t>OPER</t>
        </is>
      </c>
      <c r="Y263" s="116">
        <f>F263/E263</f>
        <v/>
      </c>
      <c r="Z263" s="64">
        <f>E263-N263</f>
        <v/>
      </c>
    </row>
    <row r="264" ht="18" customHeight="1" s="202">
      <c r="A264" s="76" t="n">
        <v>20250315</v>
      </c>
      <c r="B264" s="77" t="inlineStr">
        <is>
          <t xml:space="preserve">CHORUS V </t>
        </is>
      </c>
      <c r="C264" s="78" t="n">
        <v>45984</v>
      </c>
      <c r="D264" s="78" t="n">
        <v>46001</v>
      </c>
      <c r="E264" s="76" t="n">
        <v>2</v>
      </c>
      <c r="F264" s="79" t="n">
        <v>13.958</v>
      </c>
      <c r="G264" s="76" t="n">
        <v>10</v>
      </c>
      <c r="H264" s="80" t="inlineStr">
        <is>
          <t>SIM CHEMICAL SPA</t>
        </is>
      </c>
      <c r="I264" s="80" t="inlineStr">
        <is>
          <t>COLIS</t>
        </is>
      </c>
      <c r="J264" s="77" t="inlineStr">
        <is>
          <t>COLIS</t>
        </is>
      </c>
      <c r="K264" s="174">
        <f>D264+8</f>
        <v/>
      </c>
      <c r="L264" s="174">
        <f>K264+60</f>
        <v/>
      </c>
      <c r="M264" s="82" t="n"/>
      <c r="N264" s="83">
        <f>E264-2</f>
        <v/>
      </c>
      <c r="O264" s="84">
        <f>F264/E264*N264</f>
        <v/>
      </c>
      <c r="P264" s="83">
        <f>G264/E264*N264</f>
        <v/>
      </c>
      <c r="Q264" s="80" t="n"/>
      <c r="R264" s="80" t="n"/>
      <c r="S264" s="80" t="inlineStr">
        <is>
          <t>2503LYD4502</t>
        </is>
      </c>
      <c r="T264" s="86" t="n">
        <v>84</v>
      </c>
      <c r="U264" s="80" t="inlineStr">
        <is>
          <t>PART OF DRYER PART OF BAG DUST COLLECTOR</t>
        </is>
      </c>
      <c r="V264" s="76" t="n"/>
      <c r="W264" s="76" t="n"/>
      <c r="X264" s="76" t="inlineStr">
        <is>
          <t>SOLDEE</t>
        </is>
      </c>
      <c r="Y264" s="116">
        <f>F264/E264</f>
        <v/>
      </c>
      <c r="Z264" s="30" t="n"/>
    </row>
    <row r="265" ht="18" customHeight="1" s="202">
      <c r="A265" s="188" t="n">
        <v>20250315</v>
      </c>
      <c r="B265" s="194" t="inlineStr">
        <is>
          <t xml:space="preserve">CHORUS V </t>
        </is>
      </c>
      <c r="C265" s="190" t="n">
        <v>45984</v>
      </c>
      <c r="D265" s="190" t="n">
        <v>46001</v>
      </c>
      <c r="E265" s="188" t="n">
        <v>18</v>
      </c>
      <c r="F265" s="192" t="n">
        <v>135.71</v>
      </c>
      <c r="G265" s="188" t="n">
        <v>60</v>
      </c>
      <c r="H265" s="188" t="inlineStr">
        <is>
          <t>SIM CHEMICAL SPA</t>
        </is>
      </c>
      <c r="I265" s="188" t="inlineStr">
        <is>
          <t>COLIS</t>
        </is>
      </c>
      <c r="J265" s="188" t="inlineStr">
        <is>
          <t>COLIS</t>
        </is>
      </c>
      <c r="K265" s="233">
        <f>D265+8</f>
        <v/>
      </c>
      <c r="L265" s="233">
        <f>K265+60</f>
        <v/>
      </c>
      <c r="M265" s="188" t="n"/>
      <c r="N265" s="188">
        <f>E265-5-3-2</f>
        <v/>
      </c>
      <c r="O265" s="188">
        <f>F265/E265*N265</f>
        <v/>
      </c>
      <c r="P265" s="198">
        <f>G265/E265*N265</f>
        <v/>
      </c>
      <c r="Q265" s="224" t="n"/>
      <c r="R265" s="58" t="n"/>
      <c r="S265" s="200" t="inlineStr">
        <is>
          <t>2503LYD4503</t>
        </is>
      </c>
      <c r="T265" s="201" t="n">
        <v>85</v>
      </c>
      <c r="U265" s="58" t="inlineStr">
        <is>
          <t>MATERIELS ET MATERIAUX ( VOIR BL)</t>
        </is>
      </c>
      <c r="V265" s="67" t="n"/>
      <c r="W265" s="67" t="n"/>
      <c r="X265" s="99" t="inlineStr">
        <is>
          <t>OPER</t>
        </is>
      </c>
      <c r="Y265" s="116">
        <f>F265/E265</f>
        <v/>
      </c>
      <c r="Z265" s="64">
        <f>E265-N265</f>
        <v/>
      </c>
    </row>
    <row r="266" ht="18" customHeight="1" s="202">
      <c r="A266" s="188" t="n">
        <v>20250315</v>
      </c>
      <c r="B266" s="189" t="inlineStr">
        <is>
          <t xml:space="preserve">CHORUS V </t>
        </is>
      </c>
      <c r="C266" s="190" t="n">
        <v>45984</v>
      </c>
      <c r="D266" s="190" t="n">
        <v>46001</v>
      </c>
      <c r="E266" s="191" t="n">
        <v>114</v>
      </c>
      <c r="F266" s="192" t="n">
        <v>854.141</v>
      </c>
      <c r="G266" s="193" t="n">
        <v>91.4375</v>
      </c>
      <c r="H266" s="194" t="inlineStr">
        <is>
          <t>ECOLOGE EURL</t>
        </is>
      </c>
      <c r="I266" s="194" t="inlineStr">
        <is>
          <t>BOBINES</t>
        </is>
      </c>
      <c r="J266" s="189" t="inlineStr">
        <is>
          <t>BOBINES</t>
        </is>
      </c>
      <c r="K266" s="53">
        <f>D266+8</f>
        <v/>
      </c>
      <c r="L266" s="53">
        <f>K266+60</f>
        <v/>
      </c>
      <c r="M266" s="195" t="n"/>
      <c r="N266" s="196">
        <f>E266-7-106</f>
        <v/>
      </c>
      <c r="O266" s="197">
        <f>F266/E266*N266</f>
        <v/>
      </c>
      <c r="P266" s="198">
        <f>G266/E266*N266</f>
        <v/>
      </c>
      <c r="Q266" s="224" t="n"/>
      <c r="R266" s="58" t="n"/>
      <c r="S266" s="200" t="inlineStr">
        <is>
          <t>2503LYD4901-04</t>
        </is>
      </c>
      <c r="T266" s="201" t="n">
        <v>92</v>
      </c>
      <c r="U266" s="58" t="inlineStr">
        <is>
          <t>HOT DIP GALVANIZED STEEL STRIP</t>
        </is>
      </c>
      <c r="V266" s="67" t="n"/>
      <c r="W266" s="67" t="n"/>
      <c r="X266" s="99" t="inlineStr">
        <is>
          <t>OPER</t>
        </is>
      </c>
      <c r="Y266" s="116">
        <f>F266/E266</f>
        <v/>
      </c>
      <c r="Z266" s="64">
        <f>E266-N266</f>
        <v/>
      </c>
    </row>
    <row r="267" ht="18" customHeight="1" s="202">
      <c r="A267" s="239" t="n">
        <v>20250315</v>
      </c>
      <c r="B267" s="240" t="inlineStr">
        <is>
          <t xml:space="preserve">CHORUS V </t>
        </is>
      </c>
      <c r="C267" s="241" t="n">
        <v>45984</v>
      </c>
      <c r="D267" s="241" t="n">
        <v>46001</v>
      </c>
      <c r="E267" s="242" t="n">
        <v>8</v>
      </c>
      <c r="F267" s="79" t="n">
        <v>204.1</v>
      </c>
      <c r="G267" s="102" t="n">
        <v>6.41666666666667</v>
      </c>
      <c r="H267" s="243" t="inlineStr">
        <is>
          <t>EURL CAPS IMPORT EXPORT</t>
        </is>
      </c>
      <c r="I267" s="244" t="inlineStr">
        <is>
          <t>BOBINES</t>
        </is>
      </c>
      <c r="J267" s="240" t="inlineStr">
        <is>
          <t>BOBINES</t>
        </is>
      </c>
      <c r="K267" s="104">
        <f>D267+8</f>
        <v/>
      </c>
      <c r="L267" s="104">
        <f>K267+60</f>
        <v/>
      </c>
      <c r="M267" s="103" t="n"/>
      <c r="N267" s="245">
        <f>E267-6-2</f>
        <v/>
      </c>
      <c r="O267" s="246">
        <f>F267/E267*N267</f>
        <v/>
      </c>
      <c r="P267" s="85">
        <f>G267/E267*N267</f>
        <v/>
      </c>
      <c r="Q267" s="80" t="n"/>
      <c r="R267" s="247" t="n"/>
      <c r="S267" s="248" t="inlineStr">
        <is>
          <t>2503TJD1101</t>
        </is>
      </c>
      <c r="T267" s="249" t="n">
        <v>52</v>
      </c>
      <c r="U267" s="247" t="inlineStr">
        <is>
          <t>COLD ROLL COIL</t>
        </is>
      </c>
      <c r="V267" s="242" t="n"/>
      <c r="W267" s="242" t="n"/>
      <c r="X267" s="250" t="inlineStr">
        <is>
          <t>SOLDEE</t>
        </is>
      </c>
      <c r="Y267" s="116">
        <f>F267/E267</f>
        <v/>
      </c>
      <c r="Z267" s="64">
        <f>E267-N267</f>
        <v/>
      </c>
    </row>
    <row r="268" ht="18" customHeight="1" s="202">
      <c r="A268" s="116" t="n">
        <v>20250315</v>
      </c>
      <c r="B268" s="117" t="inlineStr">
        <is>
          <t xml:space="preserve">CHORUS V </t>
        </is>
      </c>
      <c r="C268" s="118" t="n">
        <v>45984</v>
      </c>
      <c r="D268" s="118" t="n">
        <v>46001</v>
      </c>
      <c r="E268" s="67" t="n">
        <v>20</v>
      </c>
      <c r="F268" s="119" t="n">
        <v>300</v>
      </c>
      <c r="G268" s="120" t="n">
        <v>480</v>
      </c>
      <c r="H268" s="121" t="inlineStr">
        <is>
          <t>SARL BATINOL CONSTRUCTION</t>
        </is>
      </c>
      <c r="I268" s="121" t="inlineStr">
        <is>
          <t>CAMION</t>
        </is>
      </c>
      <c r="J268" s="117" t="inlineStr">
        <is>
          <t>LOURD</t>
        </is>
      </c>
      <c r="K268" s="53">
        <f>D268+8</f>
        <v/>
      </c>
      <c r="L268" s="53">
        <f>K268+60</f>
        <v/>
      </c>
      <c r="M268" s="71" t="n"/>
      <c r="N268" s="72">
        <f>E268</f>
        <v/>
      </c>
      <c r="O268" s="50">
        <f>F268/E268*N268</f>
        <v/>
      </c>
      <c r="P268" s="273">
        <f>G268/E268*N268</f>
        <v/>
      </c>
      <c r="Q268" s="224" t="n"/>
      <c r="R268" s="58" t="n"/>
      <c r="S268" s="200" t="inlineStr">
        <is>
          <t>2503LYD2803</t>
        </is>
      </c>
      <c r="T268" s="201" t="n">
        <v>86</v>
      </c>
      <c r="U268" s="58" t="inlineStr">
        <is>
          <t>20 UNITS SX3255JM384 SHACMAN F2000 6X4 DUMP TRUCK (VOIR BL)</t>
        </is>
      </c>
      <c r="V268" s="67" t="n"/>
      <c r="W268" s="67" t="n"/>
      <c r="X268" s="62" t="inlineStr">
        <is>
          <t>N-OP</t>
        </is>
      </c>
      <c r="Y268" s="116">
        <f>F268/E268</f>
        <v/>
      </c>
      <c r="Z268" s="64">
        <f>E268-N268</f>
        <v/>
      </c>
    </row>
    <row r="269" ht="18" customHeight="1" s="202">
      <c r="A269" s="116" t="n">
        <v>20250315</v>
      </c>
      <c r="B269" s="117" t="inlineStr">
        <is>
          <t xml:space="preserve">CHORUS V </t>
        </is>
      </c>
      <c r="C269" s="118" t="n">
        <v>45984</v>
      </c>
      <c r="D269" s="118" t="n">
        <v>46001</v>
      </c>
      <c r="E269" s="67" t="n">
        <v>2</v>
      </c>
      <c r="F269" s="119" t="n">
        <v>59.4</v>
      </c>
      <c r="G269" s="120" t="n">
        <v>48</v>
      </c>
      <c r="H269" s="121" t="inlineStr">
        <is>
          <t>SARL ELWAHA SERVICES ET COMMERCES</t>
        </is>
      </c>
      <c r="I269" s="121" t="inlineStr">
        <is>
          <t>REMORQUE</t>
        </is>
      </c>
      <c r="J269" s="117" t="inlineStr">
        <is>
          <t>LOURD</t>
        </is>
      </c>
      <c r="K269" s="53">
        <f>D269+8</f>
        <v/>
      </c>
      <c r="L269" s="53">
        <f>K269+60</f>
        <v/>
      </c>
      <c r="M269" s="71" t="n"/>
      <c r="N269" s="72">
        <f>E269</f>
        <v/>
      </c>
      <c r="O269" s="50">
        <f>F269/E269*N269</f>
        <v/>
      </c>
      <c r="P269" s="273">
        <f>G269/E269*N269</f>
        <v/>
      </c>
      <c r="Q269" s="224" t="n"/>
      <c r="R269" s="58" t="n"/>
      <c r="S269" s="200" t="inlineStr">
        <is>
          <t>2503TJD1401</t>
        </is>
      </c>
      <c r="T269" s="201" t="n">
        <v>121</v>
      </c>
      <c r="U269" s="58" t="inlineStr">
        <is>
          <t>06 UNITS FLATBED SEMI TRAILER ( VOIR BL)</t>
        </is>
      </c>
      <c r="V269" s="67" t="n"/>
      <c r="W269" s="67" t="n"/>
      <c r="X269" s="62" t="inlineStr">
        <is>
          <t>N-OP</t>
        </is>
      </c>
      <c r="Y269" s="116">
        <f>F269/E269</f>
        <v/>
      </c>
      <c r="Z269" s="64">
        <f>E269-N269</f>
        <v/>
      </c>
    </row>
    <row r="270" ht="18" customHeight="1" s="202">
      <c r="A270" s="87" t="n">
        <v>20250326</v>
      </c>
      <c r="B270" s="88" t="inlineStr">
        <is>
          <t>SEA VIRYA</t>
        </is>
      </c>
      <c r="C270" s="89" t="n">
        <v>46000</v>
      </c>
      <c r="D270" s="89" t="n">
        <v>46011</v>
      </c>
      <c r="E270" s="184" t="n">
        <v>180</v>
      </c>
      <c r="F270" s="251" t="n">
        <v>150</v>
      </c>
      <c r="G270" s="252" t="n">
        <v>147</v>
      </c>
      <c r="H270" s="253" t="inlineStr">
        <is>
          <t>SARL SITIFIS OASIS INDUSTRIE</t>
        </is>
      </c>
      <c r="I270" s="253" t="inlineStr">
        <is>
          <t>TUBES</t>
        </is>
      </c>
      <c r="J270" s="88" t="inlineStr">
        <is>
          <t>TUBES</t>
        </is>
      </c>
      <c r="K270" s="53">
        <f>D270+8</f>
        <v/>
      </c>
      <c r="L270" s="53">
        <f>K270+60</f>
        <v/>
      </c>
      <c r="M270" s="254" t="n"/>
      <c r="N270" s="255">
        <f>E270</f>
        <v/>
      </c>
      <c r="O270" s="256">
        <f>F270/E270*N270</f>
        <v/>
      </c>
      <c r="P270" s="273">
        <f>G270/E270*N270</f>
        <v/>
      </c>
      <c r="Q270" s="257" t="n"/>
      <c r="R270" s="258" t="n"/>
      <c r="S270" s="200" t="inlineStr">
        <is>
          <t>SV25277LDJD021</t>
        </is>
      </c>
      <c r="T270" s="201" t="n">
        <v>2</v>
      </c>
      <c r="U270" s="58" t="inlineStr">
        <is>
          <t>CASING PIPE API 5CT K55 BTC</t>
        </is>
      </c>
      <c r="V270" s="67" t="n"/>
      <c r="W270" s="67" t="n"/>
      <c r="X270" s="62" t="inlineStr">
        <is>
          <t>N-OP</t>
        </is>
      </c>
      <c r="Y270" s="116">
        <f>F270/E270</f>
        <v/>
      </c>
      <c r="Z270" s="64">
        <f>E270-N270</f>
        <v/>
      </c>
    </row>
    <row r="271" ht="18" customHeight="1" s="202">
      <c r="A271" s="116" t="n">
        <v>20250326</v>
      </c>
      <c r="B271" s="117" t="inlineStr">
        <is>
          <t>SEA VIRYA</t>
        </is>
      </c>
      <c r="C271" s="118" t="n">
        <v>46000</v>
      </c>
      <c r="D271" s="118" t="n">
        <v>46011</v>
      </c>
      <c r="E271" s="67" t="n">
        <v>9075</v>
      </c>
      <c r="F271" s="119" t="n">
        <v>9099.883</v>
      </c>
      <c r="G271" s="120" t="n">
        <v>7435</v>
      </c>
      <c r="H271" s="121" t="inlineStr">
        <is>
          <t>SH ENI GROUPEMENT</t>
        </is>
      </c>
      <c r="I271" s="121" t="inlineStr">
        <is>
          <t>TUBES</t>
        </is>
      </c>
      <c r="J271" s="117" t="inlineStr">
        <is>
          <t>TUBES</t>
        </is>
      </c>
      <c r="K271" s="53">
        <f>D271+8</f>
        <v/>
      </c>
      <c r="L271" s="53">
        <f>K271+60</f>
        <v/>
      </c>
      <c r="M271" s="71" t="n"/>
      <c r="N271" s="72">
        <f>E271</f>
        <v/>
      </c>
      <c r="O271" s="50">
        <f>F271/E271*N271</f>
        <v/>
      </c>
      <c r="P271" s="273">
        <f>G271/E271*N271</f>
        <v/>
      </c>
      <c r="Q271" s="224" t="n"/>
      <c r="R271" s="58" t="n"/>
      <c r="S271" s="200" t="inlineStr">
        <is>
          <t>SV25277LDJD054/57/58</t>
        </is>
      </c>
      <c r="T271" s="201" t="n">
        <v>13</v>
      </c>
      <c r="U271" s="58" t="inlineStr">
        <is>
          <t>TUBULAR MATERIAL ( CASING /TUBING)</t>
        </is>
      </c>
      <c r="V271" s="67" t="n"/>
      <c r="W271" s="67" t="n"/>
      <c r="X271" s="62" t="inlineStr">
        <is>
          <t>N-OP</t>
        </is>
      </c>
      <c r="Y271" s="116">
        <f>F271/E271</f>
        <v/>
      </c>
      <c r="Z271" s="64">
        <f>E271-N271</f>
        <v/>
      </c>
    </row>
    <row r="272" ht="18" customHeight="1" s="202">
      <c r="A272" s="135" t="n">
        <v>20250326</v>
      </c>
      <c r="B272" s="136" t="inlineStr">
        <is>
          <t>SEA VIRYA</t>
        </is>
      </c>
      <c r="C272" s="137" t="n">
        <v>46000</v>
      </c>
      <c r="D272" s="137" t="n">
        <v>46011</v>
      </c>
      <c r="E272" s="138" t="n">
        <v>205</v>
      </c>
      <c r="F272" s="139" t="n">
        <v>586.076</v>
      </c>
      <c r="G272" s="140" t="n">
        <v>168</v>
      </c>
      <c r="H272" s="141" t="inlineStr">
        <is>
          <t>SH ENI GROUPEMENT</t>
        </is>
      </c>
      <c r="I272" s="141" t="inlineStr">
        <is>
          <t>TUBES</t>
        </is>
      </c>
      <c r="J272" s="136" t="inlineStr">
        <is>
          <t>TUBES</t>
        </is>
      </c>
      <c r="K272" s="142">
        <f>D272+8</f>
        <v/>
      </c>
      <c r="L272" s="142">
        <f>K272+60</f>
        <v/>
      </c>
      <c r="M272" s="143" t="n"/>
      <c r="N272" s="144">
        <f>E272-5-60-35-5</f>
        <v/>
      </c>
      <c r="O272" s="145">
        <f>F272/E272*N272</f>
        <v/>
      </c>
      <c r="P272" s="146">
        <f>G272/E272*N272</f>
        <v/>
      </c>
      <c r="Q272" s="224" t="n"/>
      <c r="R272" s="58" t="n"/>
      <c r="S272" s="200" t="inlineStr">
        <is>
          <t>SV25277LDJD061/96- 9</t>
        </is>
      </c>
      <c r="T272" s="201" t="n">
        <v>64</v>
      </c>
      <c r="U272" s="58" t="inlineStr">
        <is>
          <t>TUBULAR MATERIAL ( TUBINGS /COUPLINGS)</t>
        </is>
      </c>
      <c r="V272" s="67" t="n"/>
      <c r="W272" s="67" t="n"/>
      <c r="X272" s="99" t="inlineStr">
        <is>
          <t>OPER</t>
        </is>
      </c>
      <c r="Y272" s="116">
        <f>F272/E272</f>
        <v/>
      </c>
      <c r="Z272" s="64">
        <f>E272-N272</f>
        <v/>
      </c>
    </row>
    <row r="273" ht="18" customHeight="1" s="202">
      <c r="A273" s="188" t="n">
        <v>20250326</v>
      </c>
      <c r="B273" s="189" t="inlineStr">
        <is>
          <t>SEA VIRYA</t>
        </is>
      </c>
      <c r="C273" s="190" t="n">
        <v>46000</v>
      </c>
      <c r="D273" s="190" t="n">
        <v>46011</v>
      </c>
      <c r="E273" s="191" t="n">
        <v>50</v>
      </c>
      <c r="F273" s="192" t="n">
        <v>102</v>
      </c>
      <c r="G273" s="193" t="n">
        <v>20</v>
      </c>
      <c r="H273" s="194" t="inlineStr">
        <is>
          <t>SARL YAHMI INVEST</t>
        </is>
      </c>
      <c r="I273" s="194" t="inlineStr">
        <is>
          <t>CTP</t>
        </is>
      </c>
      <c r="J273" s="189" t="inlineStr">
        <is>
          <t>CTP</t>
        </is>
      </c>
      <c r="K273" s="53">
        <f>D273+8</f>
        <v/>
      </c>
      <c r="L273" s="53">
        <f>K273+60</f>
        <v/>
      </c>
      <c r="M273" s="195" t="n"/>
      <c r="N273" s="196">
        <f>E273-32</f>
        <v/>
      </c>
      <c r="O273" s="197">
        <f>F273/E273*N273</f>
        <v/>
      </c>
      <c r="P273" s="198">
        <f>G273/E273*N273</f>
        <v/>
      </c>
      <c r="Q273" s="224" t="n"/>
      <c r="R273" s="58" t="n"/>
      <c r="S273" s="200" t="inlineStr">
        <is>
          <t>SV25277LDJD063</t>
        </is>
      </c>
      <c r="T273" s="201" t="n">
        <v>65</v>
      </c>
      <c r="U273" s="58" t="inlineStr">
        <is>
          <t>MELAMINE CHIPBOARD / EDGE BANDING</t>
        </is>
      </c>
      <c r="V273" s="67" t="n"/>
      <c r="W273" s="67" t="n"/>
      <c r="X273" s="99" t="inlineStr">
        <is>
          <t>OPER</t>
        </is>
      </c>
      <c r="Y273" s="116">
        <f>F273/E273</f>
        <v/>
      </c>
      <c r="Z273" s="64">
        <f>E273-N273</f>
        <v/>
      </c>
      <c r="AA273" s="64" t="n">
        <v>1</v>
      </c>
    </row>
    <row r="274" ht="18" customHeight="1" s="202">
      <c r="A274" s="116" t="n">
        <v>20250326</v>
      </c>
      <c r="B274" s="117" t="inlineStr">
        <is>
          <t>SEA VIRYA</t>
        </is>
      </c>
      <c r="C274" s="118" t="n">
        <v>46000</v>
      </c>
      <c r="D274" s="118" t="n">
        <v>46011</v>
      </c>
      <c r="E274" s="67" t="n">
        <v>1</v>
      </c>
      <c r="F274" s="119" t="n">
        <v>8.300000000000001</v>
      </c>
      <c r="G274" s="120" t="n">
        <v>24</v>
      </c>
      <c r="H274" s="121" t="inlineStr">
        <is>
          <t>SARL MAKIBAT</t>
        </is>
      </c>
      <c r="I274" s="121" t="inlineStr">
        <is>
          <t>REMORQUES</t>
        </is>
      </c>
      <c r="J274" s="117" t="inlineStr">
        <is>
          <t>LOURD</t>
        </is>
      </c>
      <c r="K274" s="53">
        <f>D274+8</f>
        <v/>
      </c>
      <c r="L274" s="53">
        <f>K274+60</f>
        <v/>
      </c>
      <c r="M274" s="71" t="n"/>
      <c r="N274" s="72">
        <f>E274</f>
        <v/>
      </c>
      <c r="O274" s="50">
        <f>F274/E274*N274</f>
        <v/>
      </c>
      <c r="P274" s="273">
        <f>G274/E274*N274</f>
        <v/>
      </c>
      <c r="Q274" s="224" t="n"/>
      <c r="R274" s="58" t="n"/>
      <c r="S274" s="200" t="inlineStr">
        <is>
          <t>SV25277LDJD001</t>
        </is>
      </c>
      <c r="T274" s="201" t="n">
        <v>26</v>
      </c>
      <c r="U274" s="58" t="inlineStr">
        <is>
          <t>01 UNIT CIMC 40CBM CEMENT POWDER TRAILLER ( VOIR BL)</t>
        </is>
      </c>
      <c r="V274" s="67" t="n"/>
      <c r="W274" s="67" t="n"/>
      <c r="X274" s="62" t="inlineStr">
        <is>
          <t>N-OP</t>
        </is>
      </c>
      <c r="Y274" s="116">
        <f>F274/E274</f>
        <v/>
      </c>
      <c r="Z274" s="64">
        <f>E274-N274</f>
        <v/>
      </c>
      <c r="AA274" s="64" t="n">
        <v>2</v>
      </c>
    </row>
    <row r="275" ht="18" customHeight="1" s="202">
      <c r="A275" s="116" t="n">
        <v>20250326</v>
      </c>
      <c r="B275" s="117" t="inlineStr">
        <is>
          <t>SEA VIRYA</t>
        </is>
      </c>
      <c r="C275" s="118" t="n">
        <v>46000</v>
      </c>
      <c r="D275" s="118" t="n">
        <v>46011</v>
      </c>
      <c r="E275" s="67" t="n">
        <v>1</v>
      </c>
      <c r="F275" s="119" t="n">
        <v>34.15</v>
      </c>
      <c r="G275" s="120" t="n">
        <v>24</v>
      </c>
      <c r="H275" s="121" t="inlineStr">
        <is>
          <t>BENSMAINE SBTI</t>
        </is>
      </c>
      <c r="I275" s="121" t="inlineStr">
        <is>
          <t>EXCAVATEURS</t>
        </is>
      </c>
      <c r="J275" s="117" t="inlineStr">
        <is>
          <t>ENGINS</t>
        </is>
      </c>
      <c r="K275" s="53">
        <f>D275+8</f>
        <v/>
      </c>
      <c r="L275" s="53">
        <f>K275+60</f>
        <v/>
      </c>
      <c r="M275" s="71" t="n"/>
      <c r="N275" s="72">
        <f>E275</f>
        <v/>
      </c>
      <c r="O275" s="50">
        <f>F275/E275*N275</f>
        <v/>
      </c>
      <c r="P275" s="273">
        <f>G275/E275*N275</f>
        <v/>
      </c>
      <c r="Q275" s="224" t="n"/>
      <c r="R275" s="58" t="n"/>
      <c r="S275" s="200" t="inlineStr">
        <is>
          <t>SV25277LDJD011</t>
        </is>
      </c>
      <c r="T275" s="201" t="n">
        <v>33</v>
      </c>
      <c r="U275" s="58" t="inlineStr">
        <is>
          <t>01 UNIT HYUNDAI BRAND NEW CRAWLER EXCAVATOR ( VOIR BL)</t>
        </is>
      </c>
      <c r="V275" s="67" t="n"/>
      <c r="W275" s="67" t="n"/>
      <c r="X275" s="62" t="inlineStr">
        <is>
          <t>N-OP</t>
        </is>
      </c>
      <c r="Y275" s="116">
        <f>F275/E275</f>
        <v/>
      </c>
      <c r="Z275" s="64">
        <f>E275-N275</f>
        <v/>
      </c>
    </row>
    <row r="276" ht="18" customHeight="1" s="202">
      <c r="A276" s="116" t="n">
        <v>20250326</v>
      </c>
      <c r="B276" s="117" t="inlineStr">
        <is>
          <t>SEA VIRYA</t>
        </is>
      </c>
      <c r="C276" s="118" t="n">
        <v>46000</v>
      </c>
      <c r="D276" s="118" t="n">
        <v>46011</v>
      </c>
      <c r="E276" s="67" t="n">
        <v>1</v>
      </c>
      <c r="F276" s="119" t="n">
        <v>0</v>
      </c>
      <c r="G276" s="120" t="n">
        <v>3</v>
      </c>
      <c r="H276" s="121" t="inlineStr">
        <is>
          <t>BENSMAINE SBTI</t>
        </is>
      </c>
      <c r="I276" s="121" t="inlineStr">
        <is>
          <t>COLIS</t>
        </is>
      </c>
      <c r="J276" s="117" t="inlineStr">
        <is>
          <t>COLIS</t>
        </is>
      </c>
      <c r="K276" s="53">
        <f>D276+8</f>
        <v/>
      </c>
      <c r="L276" s="53">
        <f>K276+60</f>
        <v/>
      </c>
      <c r="M276" s="71" t="n"/>
      <c r="N276" s="72">
        <f>E276</f>
        <v/>
      </c>
      <c r="O276" s="50">
        <f>F276/E276*N276</f>
        <v/>
      </c>
      <c r="P276" s="273">
        <f>G276/E276*N276</f>
        <v/>
      </c>
      <c r="Q276" s="224" t="n"/>
      <c r="R276" s="58" t="n"/>
      <c r="S276" s="200" t="inlineStr">
        <is>
          <t>SV25277LDJD011</t>
        </is>
      </c>
      <c r="T276" s="201" t="n">
        <v>33</v>
      </c>
      <c r="U276" s="58" t="n"/>
      <c r="V276" s="67" t="n"/>
      <c r="W276" s="67" t="n"/>
      <c r="X276" s="62" t="inlineStr">
        <is>
          <t>N-OP</t>
        </is>
      </c>
      <c r="Y276" s="116">
        <f>F276/E276</f>
        <v/>
      </c>
      <c r="Z276" s="64">
        <f>E276-N276</f>
        <v/>
      </c>
    </row>
    <row r="277" ht="18" customHeight="1" s="202">
      <c r="A277" s="116" t="n">
        <v>20250326</v>
      </c>
      <c r="B277" s="117" t="inlineStr">
        <is>
          <t>SEA VIRYA</t>
        </is>
      </c>
      <c r="C277" s="118" t="n">
        <v>46000</v>
      </c>
      <c r="D277" s="118" t="n">
        <v>46011</v>
      </c>
      <c r="E277" s="67" t="n">
        <v>6</v>
      </c>
      <c r="F277" s="119" t="n">
        <v>86.3</v>
      </c>
      <c r="G277" s="120" t="n">
        <v>144</v>
      </c>
      <c r="H277" s="121" t="inlineStr">
        <is>
          <t>EURL GROUPE ABGHACHE</t>
        </is>
      </c>
      <c r="I277" s="121" t="inlineStr">
        <is>
          <t>CAMIONS</t>
        </is>
      </c>
      <c r="J277" s="117" t="inlineStr">
        <is>
          <t>LOURD</t>
        </is>
      </c>
      <c r="K277" s="53">
        <f>D277+8</f>
        <v/>
      </c>
      <c r="L277" s="53">
        <f>K277+60</f>
        <v/>
      </c>
      <c r="M277" s="71" t="n"/>
      <c r="N277" s="72">
        <f>E277</f>
        <v/>
      </c>
      <c r="O277" s="50">
        <f>F277/E277*N277</f>
        <v/>
      </c>
      <c r="P277" s="273">
        <f>G277/E277*N277</f>
        <v/>
      </c>
      <c r="Q277" s="224" t="n"/>
      <c r="R277" s="58" t="n"/>
      <c r="S277" s="200" t="inlineStr">
        <is>
          <t>SV25277LDJD014/082</t>
        </is>
      </c>
      <c r="T277" s="201" t="n">
        <v>36</v>
      </c>
      <c r="U277" s="58" t="inlineStr">
        <is>
          <t>02 UNITS SHACMAN SX3315DT366 8X4 DUMP TRUCK. 02 UNITS SHACMAN SX3255DR384 6X4 DUMP TRUCK. 02 UNITS HOWO T7H TRACTOR HEAD ( VOIR BL)</t>
        </is>
      </c>
      <c r="V277" s="67" t="n"/>
      <c r="W277" s="67" t="n"/>
      <c r="X277" s="62" t="inlineStr">
        <is>
          <t>N-OP</t>
        </is>
      </c>
      <c r="Y277" s="116">
        <f>F277/E277</f>
        <v/>
      </c>
      <c r="Z277" s="64">
        <f>E277-N277</f>
        <v/>
      </c>
      <c r="AA277" s="64" t="n">
        <v>2</v>
      </c>
    </row>
    <row r="278" ht="18" customHeight="1" s="202">
      <c r="A278" s="76" t="n">
        <v>20250326</v>
      </c>
      <c r="B278" s="77" t="inlineStr">
        <is>
          <t>SEA VIRYA</t>
        </is>
      </c>
      <c r="C278" s="78" t="n">
        <v>46000</v>
      </c>
      <c r="D278" s="78" t="n">
        <v>46011</v>
      </c>
      <c r="E278" s="76" t="n">
        <v>3</v>
      </c>
      <c r="F278" s="79" t="n">
        <v>6.12</v>
      </c>
      <c r="G278" s="76" t="n">
        <v>72</v>
      </c>
      <c r="H278" s="80" t="inlineStr">
        <is>
          <t>GAID MOUNIR</t>
        </is>
      </c>
      <c r="I278" s="80" t="inlineStr">
        <is>
          <t>CAMIONS</t>
        </is>
      </c>
      <c r="J278" s="77" t="inlineStr">
        <is>
          <t>LOURD</t>
        </is>
      </c>
      <c r="K278" s="174">
        <f>D278+8</f>
        <v/>
      </c>
      <c r="L278" s="174">
        <f>K278+60</f>
        <v/>
      </c>
      <c r="M278" s="82" t="n"/>
      <c r="N278" s="83">
        <f>E278-3</f>
        <v/>
      </c>
      <c r="O278" s="84">
        <f>F278/E278*N278</f>
        <v/>
      </c>
      <c r="P278" s="83">
        <f>G278/E278*N278</f>
        <v/>
      </c>
      <c r="Q278" s="80" t="n"/>
      <c r="R278" s="80" t="n"/>
      <c r="S278" s="80" t="inlineStr">
        <is>
          <t>SV25277LDJD017</t>
        </is>
      </c>
      <c r="T278" s="86" t="n">
        <v>39</v>
      </c>
      <c r="U278" s="80" t="inlineStr">
        <is>
          <t>01 UNIT JMC SINGLE CAB 92HP 3.5TON DUMP TRUCK 01 UNIT JMC SINGLE CAB 3.5TON CARGO TRUCK 01 UNIT JMC 5SEATS 92HP 3.5TON DUMP TRUCK (VOIR BL)</t>
        </is>
      </c>
      <c r="V278" s="76" t="n"/>
      <c r="W278" s="76" t="n"/>
      <c r="X278" s="76" t="inlineStr">
        <is>
          <t>SOLDEE</t>
        </is>
      </c>
      <c r="Y278" s="116">
        <f>F278/E278</f>
        <v/>
      </c>
      <c r="Z278" s="30" t="n"/>
      <c r="AA278" s="64" t="n">
        <v>1</v>
      </c>
    </row>
    <row r="279" ht="18" customHeight="1" s="202">
      <c r="A279" s="116" t="n">
        <v>20250326</v>
      </c>
      <c r="B279" s="117" t="inlineStr">
        <is>
          <t>SEA VIRYA</t>
        </is>
      </c>
      <c r="C279" s="118" t="n">
        <v>46000</v>
      </c>
      <c r="D279" s="118" t="n">
        <v>46011</v>
      </c>
      <c r="E279" s="67" t="n">
        <v>1</v>
      </c>
      <c r="F279" s="119" t="n">
        <v>0</v>
      </c>
      <c r="G279" s="120" t="n">
        <v>3</v>
      </c>
      <c r="H279" s="121" t="inlineStr">
        <is>
          <t>GAID MOUNIR</t>
        </is>
      </c>
      <c r="I279" s="121" t="inlineStr">
        <is>
          <t>COLIS</t>
        </is>
      </c>
      <c r="J279" s="117" t="inlineStr">
        <is>
          <t>COLIS</t>
        </is>
      </c>
      <c r="K279" s="53">
        <f>D279+8</f>
        <v/>
      </c>
      <c r="L279" s="53">
        <f>K279+60</f>
        <v/>
      </c>
      <c r="M279" s="71" t="n"/>
      <c r="N279" s="72">
        <f>E279</f>
        <v/>
      </c>
      <c r="O279" s="50">
        <f>F279/E279*N279</f>
        <v/>
      </c>
      <c r="P279" s="273">
        <f>G279/E279*N279</f>
        <v/>
      </c>
      <c r="Q279" s="224" t="n"/>
      <c r="R279" s="58" t="n"/>
      <c r="S279" s="200" t="inlineStr">
        <is>
          <t>SV25277LDJD017</t>
        </is>
      </c>
      <c r="T279" s="201" t="n">
        <v>39</v>
      </c>
      <c r="U279" s="58" t="n"/>
      <c r="V279" s="67" t="n"/>
      <c r="W279" s="67" t="n"/>
      <c r="X279" s="62" t="inlineStr">
        <is>
          <t>N-OP</t>
        </is>
      </c>
      <c r="Y279" s="116">
        <f>F279/E279</f>
        <v/>
      </c>
      <c r="Z279" s="64">
        <f>E279-N279</f>
        <v/>
      </c>
    </row>
    <row r="280" ht="18" customHeight="1" s="202">
      <c r="A280" s="188" t="n">
        <v>20250326</v>
      </c>
      <c r="B280" s="189" t="inlineStr">
        <is>
          <t>SEA VIRYA</t>
        </is>
      </c>
      <c r="C280" s="190" t="n">
        <v>46000</v>
      </c>
      <c r="D280" s="190" t="n">
        <v>46011</v>
      </c>
      <c r="E280" s="191" t="n">
        <v>20</v>
      </c>
      <c r="F280" s="192" t="n">
        <v>190.7</v>
      </c>
      <c r="G280" s="193" t="n">
        <v>480</v>
      </c>
      <c r="H280" s="194" t="inlineStr">
        <is>
          <t>SARL TRODIS</t>
        </is>
      </c>
      <c r="I280" s="194" t="inlineStr">
        <is>
          <t>CAMIONS</t>
        </is>
      </c>
      <c r="J280" s="189" t="inlineStr">
        <is>
          <t>LOURD</t>
        </is>
      </c>
      <c r="K280" s="53">
        <f>D280+8</f>
        <v/>
      </c>
      <c r="L280" s="53">
        <f>K280+60</f>
        <v/>
      </c>
      <c r="M280" s="195" t="n"/>
      <c r="N280" s="196">
        <f>E280-1</f>
        <v/>
      </c>
      <c r="O280" s="197">
        <f>F280/E280*N280</f>
        <v/>
      </c>
      <c r="P280" s="218">
        <f>G280/E280*N280</f>
        <v/>
      </c>
      <c r="Q280" s="224" t="n"/>
      <c r="R280" s="58" t="n"/>
      <c r="S280" s="200" t="inlineStr">
        <is>
          <t>SV25277LDJD038</t>
        </is>
      </c>
      <c r="T280" s="201" t="n">
        <v>47</v>
      </c>
      <c r="U280" s="58" t="inlineStr">
        <is>
          <t>05 UNITS SHACMAN F2000 CARGO TRUCK /10 UNITS SHACMAN L3000 CARGO TRUCK /05 UNITS 6X4 F2000 SHACMAN 22000 LITERS WATER SPRINKLER TRUCK ( VOIR BL)</t>
        </is>
      </c>
      <c r="V280" s="67" t="n"/>
      <c r="W280" s="67" t="n"/>
      <c r="X280" s="99" t="inlineStr">
        <is>
          <t>OPER</t>
        </is>
      </c>
      <c r="Y280" s="116">
        <f>F280/E280</f>
        <v/>
      </c>
      <c r="Z280" s="64">
        <f>E280-N280</f>
        <v/>
      </c>
    </row>
    <row r="281" ht="18" customHeight="1" s="202">
      <c r="A281" s="116" t="n">
        <v>20250326</v>
      </c>
      <c r="B281" s="117" t="inlineStr">
        <is>
          <t>SEA VIRYA</t>
        </is>
      </c>
      <c r="C281" s="118" t="n">
        <v>46000</v>
      </c>
      <c r="D281" s="118" t="n">
        <v>46011</v>
      </c>
      <c r="E281" s="67" t="n">
        <v>2</v>
      </c>
      <c r="F281" s="119" t="n">
        <v>25.5</v>
      </c>
      <c r="G281" s="120" t="n">
        <v>48</v>
      </c>
      <c r="H281" s="121" t="inlineStr">
        <is>
          <t>EURL ENTREPRISE GHERBI ELHADI SERVICES</t>
        </is>
      </c>
      <c r="I281" s="121" t="inlineStr">
        <is>
          <t>CAMIONS</t>
        </is>
      </c>
      <c r="J281" s="117" t="inlineStr">
        <is>
          <t>LOURD</t>
        </is>
      </c>
      <c r="K281" s="53">
        <f>D281+8</f>
        <v/>
      </c>
      <c r="L281" s="53">
        <f>K281+60</f>
        <v/>
      </c>
      <c r="M281" s="71" t="n"/>
      <c r="N281" s="72">
        <f>E281</f>
        <v/>
      </c>
      <c r="O281" s="50">
        <f>F281/E281*N281</f>
        <v/>
      </c>
      <c r="P281" s="273">
        <f>G281/E281*N281</f>
        <v/>
      </c>
      <c r="Q281" s="224" t="n"/>
      <c r="R281" s="58" t="n"/>
      <c r="S281" s="200" t="inlineStr">
        <is>
          <t>SV25277LDJD042C /043</t>
        </is>
      </c>
      <c r="T281" s="201" t="n">
        <v>52</v>
      </c>
      <c r="U281" s="58" t="inlineStr">
        <is>
          <t>01 UNIT SX3255JM384 SHACMAN F2000 6X4 DUMPER TRUCK 01 UNIT SX5255GYSJM434 SHACMAN F2000 6X4 WATER TRUCK ( VOIR BL)</t>
        </is>
      </c>
      <c r="V281" s="67" t="n"/>
      <c r="W281" s="67" t="n"/>
      <c r="X281" s="62" t="inlineStr">
        <is>
          <t>N-OP</t>
        </is>
      </c>
      <c r="Y281" s="116">
        <f>F281/E281</f>
        <v/>
      </c>
      <c r="Z281" s="64">
        <f>E281-N281</f>
        <v/>
      </c>
    </row>
    <row r="282" ht="18" customHeight="1" s="202">
      <c r="A282" s="116" t="n">
        <v>20250326</v>
      </c>
      <c r="B282" s="117" t="inlineStr">
        <is>
          <t>SEA VIRYA</t>
        </is>
      </c>
      <c r="C282" s="118" t="n">
        <v>46000</v>
      </c>
      <c r="D282" s="118" t="n">
        <v>46011</v>
      </c>
      <c r="E282" s="67" t="n">
        <v>1</v>
      </c>
      <c r="F282" s="119" t="n">
        <v>13.5</v>
      </c>
      <c r="G282" s="120" t="n">
        <v>24</v>
      </c>
      <c r="H282" s="121" t="inlineStr">
        <is>
          <t>KEBACHE YOUCEF</t>
        </is>
      </c>
      <c r="I282" s="121" t="inlineStr">
        <is>
          <t>CAMIONS</t>
        </is>
      </c>
      <c r="J282" s="117" t="inlineStr">
        <is>
          <t>LOURD</t>
        </is>
      </c>
      <c r="K282" s="53">
        <f>D282+8</f>
        <v/>
      </c>
      <c r="L282" s="53">
        <f>K282+60</f>
        <v/>
      </c>
      <c r="M282" s="71" t="n"/>
      <c r="N282" s="72">
        <f>E282</f>
        <v/>
      </c>
      <c r="O282" s="50">
        <f>F282/E282*N282</f>
        <v/>
      </c>
      <c r="P282" s="273">
        <f>G282/E282*N282</f>
        <v/>
      </c>
      <c r="Q282" s="224" t="n"/>
      <c r="R282" s="58" t="n"/>
      <c r="S282" s="200" t="inlineStr">
        <is>
          <t>SV25277LDJD052</t>
        </is>
      </c>
      <c r="T282" s="201" t="n">
        <v>67</v>
      </c>
      <c r="U282" s="58" t="inlineStr">
        <is>
          <t>01 UNIT SX5255GJBJR334 SHACMAN F2000 6X4 MIXER TRUCK ( VOIR BL)</t>
        </is>
      </c>
      <c r="V282" s="67" t="n"/>
      <c r="W282" s="67" t="n"/>
      <c r="X282" s="62" t="inlineStr">
        <is>
          <t>N-OP</t>
        </is>
      </c>
      <c r="Y282" s="116">
        <f>F282/E282</f>
        <v/>
      </c>
      <c r="Z282" s="64">
        <f>E282-N282</f>
        <v/>
      </c>
    </row>
    <row r="283" ht="18" customHeight="1" s="202">
      <c r="A283" s="116" t="n">
        <v>20250326</v>
      </c>
      <c r="B283" s="117" t="inlineStr">
        <is>
          <t>SEA VIRYA</t>
        </is>
      </c>
      <c r="C283" s="118" t="n">
        <v>46000</v>
      </c>
      <c r="D283" s="118" t="n">
        <v>46011</v>
      </c>
      <c r="E283" s="67" t="n">
        <v>1</v>
      </c>
      <c r="F283" s="119" t="n">
        <v>10.565</v>
      </c>
      <c r="G283" s="120" t="n">
        <v>60</v>
      </c>
      <c r="H283" s="121" t="inlineStr">
        <is>
          <t>ROUABEH MAAMAR</t>
        </is>
      </c>
      <c r="I283" s="121" t="inlineStr">
        <is>
          <t>CAMION GRUE</t>
        </is>
      </c>
      <c r="J283" s="117" t="inlineStr">
        <is>
          <t>ENGINS</t>
        </is>
      </c>
      <c r="K283" s="53">
        <f>D283+8</f>
        <v/>
      </c>
      <c r="L283" s="53">
        <f>K283+60</f>
        <v/>
      </c>
      <c r="M283" s="71" t="n"/>
      <c r="N283" s="72">
        <f>E283</f>
        <v/>
      </c>
      <c r="O283" s="50">
        <f>F283/E283*N283</f>
        <v/>
      </c>
      <c r="P283" s="273">
        <f>G283/E283*N283</f>
        <v/>
      </c>
      <c r="Q283" s="224" t="n"/>
      <c r="R283" s="58" t="n"/>
      <c r="S283" s="200" t="inlineStr">
        <is>
          <t>SV25277LDJD071A</t>
        </is>
      </c>
      <c r="T283" s="201" t="n">
        <v>74</v>
      </c>
      <c r="U283" s="58" t="inlineStr">
        <is>
          <t>01 UNIT HELI FORKLIFT CPCD70 WITH TOOLS ( VOIR BL)</t>
        </is>
      </c>
      <c r="V283" s="67" t="n"/>
      <c r="W283" s="67" t="n"/>
      <c r="X283" s="62" t="inlineStr">
        <is>
          <t>N-OP</t>
        </is>
      </c>
      <c r="Y283" s="116">
        <f>F283/E283</f>
        <v/>
      </c>
      <c r="Z283" s="64">
        <f>E283-N283</f>
        <v/>
      </c>
    </row>
    <row r="284" ht="18" customHeight="1" s="202">
      <c r="A284" s="116" t="n">
        <v>20250326</v>
      </c>
      <c r="B284" s="117" t="inlineStr">
        <is>
          <t>SEA VIRYA</t>
        </is>
      </c>
      <c r="C284" s="118" t="n">
        <v>46000</v>
      </c>
      <c r="D284" s="118" t="n">
        <v>46011</v>
      </c>
      <c r="E284" s="67" t="n">
        <v>1</v>
      </c>
      <c r="F284" s="119" t="n">
        <v>0</v>
      </c>
      <c r="G284" s="120" t="n">
        <v>3</v>
      </c>
      <c r="H284" s="121" t="inlineStr">
        <is>
          <t>ROUABEH MAAMAR</t>
        </is>
      </c>
      <c r="I284" s="121" t="inlineStr">
        <is>
          <t>COLIS</t>
        </is>
      </c>
      <c r="J284" s="117" t="inlineStr">
        <is>
          <t>COLIS</t>
        </is>
      </c>
      <c r="K284" s="53">
        <f>D284+8</f>
        <v/>
      </c>
      <c r="L284" s="53">
        <f>K284+60</f>
        <v/>
      </c>
      <c r="M284" s="71" t="n"/>
      <c r="N284" s="72">
        <f>E284</f>
        <v/>
      </c>
      <c r="O284" s="50">
        <f>F284/E284*N284</f>
        <v/>
      </c>
      <c r="P284" s="273">
        <f>G284/E284*N284</f>
        <v/>
      </c>
      <c r="Q284" s="224" t="n"/>
      <c r="R284" s="58" t="n"/>
      <c r="S284" s="200" t="inlineStr">
        <is>
          <t>SV25277LDJD071A</t>
        </is>
      </c>
      <c r="T284" s="201" t="n">
        <v>74</v>
      </c>
      <c r="U284" s="58" t="n"/>
      <c r="V284" s="67" t="n"/>
      <c r="W284" s="67" t="n"/>
      <c r="X284" s="62" t="inlineStr">
        <is>
          <t>N-OP</t>
        </is>
      </c>
      <c r="Y284" s="116">
        <f>F284/E284</f>
        <v/>
      </c>
      <c r="Z284" s="64">
        <f>E284-N284</f>
        <v/>
      </c>
      <c r="AA284" s="64" t="n">
        <v>7</v>
      </c>
    </row>
    <row r="285" ht="18" customHeight="1" s="202">
      <c r="A285" s="87" t="n">
        <v>20250342</v>
      </c>
      <c r="B285" s="89" t="inlineStr">
        <is>
          <t>AFRICAN PIPIT</t>
        </is>
      </c>
      <c r="C285" s="89" t="n">
        <v>46013</v>
      </c>
      <c r="D285" s="118" t="n">
        <v>46015</v>
      </c>
      <c r="E285" s="67" t="n">
        <v>169</v>
      </c>
      <c r="F285" s="119" t="n">
        <v>363.886</v>
      </c>
      <c r="G285" s="120" t="n">
        <v>138.49756097561</v>
      </c>
      <c r="H285" s="121" t="inlineStr">
        <is>
          <t>SH ENI</t>
        </is>
      </c>
      <c r="I285" s="121" t="inlineStr">
        <is>
          <t>TUBES</t>
        </is>
      </c>
      <c r="J285" s="117" t="inlineStr">
        <is>
          <t>TUBES</t>
        </is>
      </c>
      <c r="K285" s="48">
        <f>D285+8</f>
        <v/>
      </c>
      <c r="L285" s="48">
        <f>K285+60</f>
        <v/>
      </c>
      <c r="M285" s="71" t="n"/>
      <c r="N285" s="72">
        <f>E285</f>
        <v/>
      </c>
      <c r="O285" s="50">
        <f>F285/E285*N285</f>
        <v/>
      </c>
      <c r="P285" s="273">
        <f>G285/E285*N285</f>
        <v/>
      </c>
      <c r="Q285" s="224" t="n"/>
      <c r="R285" s="58" t="n"/>
      <c r="S285" s="200" t="n">
        <v>152039</v>
      </c>
      <c r="T285" s="201" t="n">
        <v>1</v>
      </c>
      <c r="U285" s="58" t="inlineStr">
        <is>
          <t>SEAMLESS STEEL TUBING</t>
        </is>
      </c>
      <c r="V285" s="67" t="n"/>
      <c r="W285" s="67" t="n"/>
      <c r="X285" s="62" t="inlineStr">
        <is>
          <t>N-OP</t>
        </is>
      </c>
      <c r="Y285" s="116">
        <f>F285/E285</f>
        <v/>
      </c>
      <c r="Z285" s="64">
        <f>E285-N285</f>
        <v/>
      </c>
      <c r="AA285" s="64" t="n">
        <v>1</v>
      </c>
    </row>
    <row r="286" ht="18" customHeight="1" s="202">
      <c r="A286" s="106" t="n">
        <v>20250342</v>
      </c>
      <c r="B286" s="109" t="inlineStr">
        <is>
          <t>AFRICAN PIPIT</t>
        </is>
      </c>
      <c r="C286" s="259" t="n">
        <v>46013</v>
      </c>
      <c r="D286" s="259" t="n">
        <v>46015</v>
      </c>
      <c r="E286" s="106" t="n">
        <v>375</v>
      </c>
      <c r="F286" s="109" t="n">
        <v>1802.284</v>
      </c>
      <c r="G286" s="109" t="n">
        <v>307.317073170732</v>
      </c>
      <c r="H286" s="109" t="inlineStr">
        <is>
          <t>BERKINE GROUPEMENT</t>
        </is>
      </c>
      <c r="I286" s="109" t="inlineStr">
        <is>
          <t>TUBES</t>
        </is>
      </c>
      <c r="J286" s="109" t="inlineStr">
        <is>
          <t>TUBES</t>
        </is>
      </c>
      <c r="K286" s="259">
        <f>D286+8</f>
        <v/>
      </c>
      <c r="L286" s="259">
        <f>K286+60</f>
        <v/>
      </c>
      <c r="M286" s="109" t="n"/>
      <c r="N286" s="106">
        <f>E286-12-30-30-27-9-15-36-36-2-33-27-118</f>
        <v/>
      </c>
      <c r="O286" s="109">
        <f>F286/E286*N286</f>
        <v/>
      </c>
      <c r="P286" s="112">
        <f>G286/E286*N286</f>
        <v/>
      </c>
      <c r="Q286" s="109" t="n"/>
      <c r="R286" s="109" t="n"/>
      <c r="S286" s="109" t="n">
        <v>168241</v>
      </c>
      <c r="T286" s="114" t="n">
        <v>2</v>
      </c>
      <c r="U286" s="109" t="inlineStr">
        <is>
          <t>SEAMLESS STEEL TUBING</t>
        </is>
      </c>
      <c r="V286" s="106" t="n"/>
      <c r="W286" s="106" t="n"/>
      <c r="X286" s="106" t="inlineStr">
        <is>
          <t>SOLDEE</t>
        </is>
      </c>
      <c r="Y286" s="116">
        <f>F286/E286</f>
        <v/>
      </c>
      <c r="Z286" s="30" t="n"/>
      <c r="AA286" s="64" t="n">
        <v>2</v>
      </c>
    </row>
    <row r="287" ht="18" customHeight="1" s="202">
      <c r="A287" s="188" t="n">
        <v>20250330</v>
      </c>
      <c r="B287" s="189" t="inlineStr">
        <is>
          <t>STAR MYSTIC</t>
        </is>
      </c>
      <c r="C287" s="190" t="n">
        <v>46004</v>
      </c>
      <c r="D287" s="190" t="n">
        <v>46018</v>
      </c>
      <c r="E287" s="191" t="n">
        <v>811</v>
      </c>
      <c r="F287" s="192" t="n">
        <v>8180.36</v>
      </c>
      <c r="G287" s="193" t="n">
        <v>706</v>
      </c>
      <c r="H287" s="194" t="inlineStr">
        <is>
          <t>EURL STEEL SOLIDE</t>
        </is>
      </c>
      <c r="I287" s="194" t="inlineStr">
        <is>
          <t>BOBINES</t>
        </is>
      </c>
      <c r="J287" s="189" t="inlineStr">
        <is>
          <t>BOBINES</t>
        </is>
      </c>
      <c r="K287" s="203">
        <f>D287+8</f>
        <v/>
      </c>
      <c r="L287" s="203">
        <f>K287+60</f>
        <v/>
      </c>
      <c r="M287" s="195" t="n"/>
      <c r="N287" s="196">
        <f>E287-30-55-9-47-42-48-53-30-55-5-15-66-33-61-46-43-54-40-53</f>
        <v/>
      </c>
      <c r="O287" s="197">
        <f>F287/E287*N287</f>
        <v/>
      </c>
      <c r="P287" s="198">
        <f>G287/E287*N287</f>
        <v/>
      </c>
      <c r="Q287" s="224" t="n"/>
      <c r="R287" s="58" t="n"/>
      <c r="S287" s="200" t="inlineStr">
        <is>
          <t>SM25258HDJD001</t>
        </is>
      </c>
      <c r="T287" s="201" t="n">
        <v>4</v>
      </c>
      <c r="U287" s="58" t="inlineStr">
        <is>
          <t>PRIME HOT ROLLED STEEL COILS</t>
        </is>
      </c>
      <c r="V287" s="67" t="n"/>
      <c r="W287" s="67" t="n"/>
      <c r="X287" s="99" t="inlineStr">
        <is>
          <t>OPER</t>
        </is>
      </c>
      <c r="Y287" s="116">
        <f>F287/E287</f>
        <v/>
      </c>
      <c r="Z287" s="64">
        <f>E287-N287</f>
        <v/>
      </c>
    </row>
    <row r="288" ht="18" customHeight="1" s="202">
      <c r="A288" s="188" t="n">
        <v>20250330</v>
      </c>
      <c r="B288" s="189" t="inlineStr">
        <is>
          <t>STAR MYSTIC</t>
        </is>
      </c>
      <c r="C288" s="190" t="n">
        <v>46004</v>
      </c>
      <c r="D288" s="190" t="n">
        <v>46018</v>
      </c>
      <c r="E288" s="191" t="n">
        <v>761</v>
      </c>
      <c r="F288" s="192" t="n">
        <v>973.3049999999999</v>
      </c>
      <c r="G288" s="193" t="n">
        <v>328</v>
      </c>
      <c r="H288" s="194" t="inlineStr">
        <is>
          <t>EURL GIBA TRADE IMPORT EXPORT</t>
        </is>
      </c>
      <c r="I288" s="194" t="inlineStr">
        <is>
          <t>MDF/PLYWOOD</t>
        </is>
      </c>
      <c r="J288" s="189" t="inlineStr">
        <is>
          <t>CTP</t>
        </is>
      </c>
      <c r="K288" s="203">
        <f>D288+8</f>
        <v/>
      </c>
      <c r="L288" s="203">
        <f>K288+60</f>
        <v/>
      </c>
      <c r="M288" s="195" t="n"/>
      <c r="N288" s="196">
        <f>E288-310-129-290-14</f>
        <v/>
      </c>
      <c r="O288" s="197">
        <f>F288/E288*N288</f>
        <v/>
      </c>
      <c r="P288" s="198">
        <f>G288/E288*N288</f>
        <v/>
      </c>
      <c r="Q288" s="224" t="n"/>
      <c r="R288" s="58" t="n"/>
      <c r="S288" s="200" t="inlineStr">
        <is>
          <t>SM25258LDJD064</t>
        </is>
      </c>
      <c r="T288" s="201" t="n">
        <v>62</v>
      </c>
      <c r="U288" s="58" t="inlineStr">
        <is>
          <t>MDF /COMMERCIAL PLYWOOD/BLOCKBOARD/FANCY MDF</t>
        </is>
      </c>
      <c r="V288" s="67" t="n"/>
      <c r="W288" s="67" t="n"/>
      <c r="X288" s="99" t="inlineStr">
        <is>
          <t>OPER</t>
        </is>
      </c>
      <c r="Y288" s="116">
        <f>F288/E288</f>
        <v/>
      </c>
      <c r="Z288" s="64">
        <f>E288-N288</f>
        <v/>
      </c>
    </row>
    <row r="289" ht="18" customHeight="1" s="202">
      <c r="A289" s="106" t="n">
        <v>20250330</v>
      </c>
      <c r="B289" s="107" t="inlineStr">
        <is>
          <t>STAR MYSTIC</t>
        </is>
      </c>
      <c r="C289" s="108" t="n">
        <v>46004</v>
      </c>
      <c r="D289" s="108" t="n">
        <v>46018</v>
      </c>
      <c r="E289" s="106" t="n">
        <v>2269</v>
      </c>
      <c r="F289" s="106" t="n">
        <v>2454.61</v>
      </c>
      <c r="G289" s="106" t="n">
        <v>978</v>
      </c>
      <c r="H289" s="109" t="inlineStr">
        <is>
          <t>SARL BHR WOOD IMPORTATION BOIS ET DERIVES</t>
        </is>
      </c>
      <c r="I289" s="109" t="inlineStr">
        <is>
          <t>FFP</t>
        </is>
      </c>
      <c r="J289" s="107" t="inlineStr">
        <is>
          <t>CTP</t>
        </is>
      </c>
      <c r="K289" s="108">
        <f>D289+8</f>
        <v/>
      </c>
      <c r="L289" s="108">
        <f>K289+60</f>
        <v/>
      </c>
      <c r="M289" s="111" t="n"/>
      <c r="N289" s="112">
        <f>E289-210-180-180-210-120-210-60-180-120-180-180-180-30-120-60-49</f>
        <v/>
      </c>
      <c r="O289" s="113">
        <f>F289/E289*N289</f>
        <v/>
      </c>
      <c r="P289" s="112">
        <f>G289/E289*N289</f>
        <v/>
      </c>
      <c r="Q289" s="109" t="n"/>
      <c r="R289" s="109" t="n"/>
      <c r="S289" s="109" t="inlineStr">
        <is>
          <t>SM25258LDJD065</t>
        </is>
      </c>
      <c r="T289" s="114" t="n">
        <v>63</v>
      </c>
      <c r="U289" s="109" t="inlineStr">
        <is>
          <t>FILM FACED PLYWOOD</t>
        </is>
      </c>
      <c r="V289" s="106" t="n"/>
      <c r="W289" s="106" t="n"/>
      <c r="X289" s="106" t="inlineStr">
        <is>
          <t>SOLDEE</t>
        </is>
      </c>
      <c r="Y289" s="116">
        <f>F289/E289</f>
        <v/>
      </c>
      <c r="Z289" s="30" t="n"/>
    </row>
    <row r="290" ht="18" customHeight="1" s="202">
      <c r="A290" s="106" t="n">
        <v>20250330</v>
      </c>
      <c r="B290" s="107" t="inlineStr">
        <is>
          <t>STAR MYSTIC</t>
        </is>
      </c>
      <c r="C290" s="108" t="n">
        <v>46004</v>
      </c>
      <c r="D290" s="108" t="n">
        <v>46018</v>
      </c>
      <c r="E290" s="106" t="n">
        <v>182</v>
      </c>
      <c r="F290" s="106" t="n">
        <v>197.237</v>
      </c>
      <c r="G290" s="106" t="n">
        <v>79</v>
      </c>
      <c r="H290" s="109" t="inlineStr">
        <is>
          <t>SARL WOOD TIMBER IMPORTATION DE BOIS ET DERIVEE</t>
        </is>
      </c>
      <c r="I290" s="109" t="inlineStr">
        <is>
          <t>FFP</t>
        </is>
      </c>
      <c r="J290" s="107" t="inlineStr">
        <is>
          <t>CTP</t>
        </is>
      </c>
      <c r="K290" s="108">
        <f>D290+8</f>
        <v/>
      </c>
      <c r="L290" s="108">
        <f>K290+60</f>
        <v/>
      </c>
      <c r="M290" s="111" t="n"/>
      <c r="N290" s="112">
        <f>E290-140-42</f>
        <v/>
      </c>
      <c r="O290" s="113">
        <f>F290/E290*N290</f>
        <v/>
      </c>
      <c r="P290" s="112">
        <f>G290/E290*N290</f>
        <v/>
      </c>
      <c r="Q290" s="109" t="n"/>
      <c r="R290" s="109" t="n"/>
      <c r="S290" s="109" t="inlineStr">
        <is>
          <t>SM25258LDJD069</t>
        </is>
      </c>
      <c r="T290" s="114" t="n">
        <v>67</v>
      </c>
      <c r="U290" s="109" t="inlineStr">
        <is>
          <t>FILM FACED PLYWOOD</t>
        </is>
      </c>
      <c r="V290" s="106" t="n"/>
      <c r="W290" s="106" t="n"/>
      <c r="X290" s="106" t="inlineStr">
        <is>
          <t>SOLDEE</t>
        </is>
      </c>
      <c r="Y290" s="116">
        <f>F290/E290</f>
        <v/>
      </c>
      <c r="Z290" s="30" t="n"/>
      <c r="AA290" s="64" t="n">
        <v>2</v>
      </c>
    </row>
    <row r="291" ht="18" customHeight="1" s="202">
      <c r="A291" s="106" t="n">
        <v>20250330</v>
      </c>
      <c r="B291" s="107" t="inlineStr">
        <is>
          <t>STAR MYSTIC</t>
        </is>
      </c>
      <c r="C291" s="108" t="n">
        <v>46004</v>
      </c>
      <c r="D291" s="108" t="n">
        <v>46018</v>
      </c>
      <c r="E291" s="106" t="n">
        <v>225</v>
      </c>
      <c r="F291" s="106" t="n">
        <v>238.041</v>
      </c>
      <c r="G291" s="106" t="n">
        <v>97</v>
      </c>
      <c r="H291" s="109" t="inlineStr">
        <is>
          <t>SARL DJALA IMPORT EXPORT</t>
        </is>
      </c>
      <c r="I291" s="109" t="inlineStr">
        <is>
          <t>FFP</t>
        </is>
      </c>
      <c r="J291" s="107" t="inlineStr">
        <is>
          <t>CTP</t>
        </is>
      </c>
      <c r="K291" s="108">
        <f>D291+8</f>
        <v/>
      </c>
      <c r="L291" s="108">
        <f>K291+60</f>
        <v/>
      </c>
      <c r="M291" s="111" t="n"/>
      <c r="N291" s="112">
        <f>E291-70-70-35-35-15</f>
        <v/>
      </c>
      <c r="O291" s="113">
        <f>F291/E291*N291</f>
        <v/>
      </c>
      <c r="P291" s="112">
        <f>G291/E291*N291</f>
        <v/>
      </c>
      <c r="Q291" s="109" t="n"/>
      <c r="R291" s="109" t="n"/>
      <c r="S291" s="109" t="inlineStr">
        <is>
          <t>SM25258LDJD070</t>
        </is>
      </c>
      <c r="T291" s="114" t="n">
        <v>68</v>
      </c>
      <c r="U291" s="109" t="inlineStr">
        <is>
          <t>FILM FACED PLYWOOD</t>
        </is>
      </c>
      <c r="V291" s="106" t="n"/>
      <c r="W291" s="106" t="n"/>
      <c r="X291" s="106" t="inlineStr">
        <is>
          <t>SOLDEE</t>
        </is>
      </c>
      <c r="Y291" s="116">
        <f>F291/E291</f>
        <v/>
      </c>
      <c r="Z291" s="30" t="n"/>
      <c r="AA291" s="64" t="n">
        <v>2</v>
      </c>
    </row>
    <row r="292" ht="18" customHeight="1" s="202">
      <c r="A292" s="188" t="n">
        <v>20250330</v>
      </c>
      <c r="B292" s="189" t="inlineStr">
        <is>
          <t>STAR MYSTIC</t>
        </is>
      </c>
      <c r="C292" s="190" t="n">
        <v>46004</v>
      </c>
      <c r="D292" s="190" t="n">
        <v>46018</v>
      </c>
      <c r="E292" s="191" t="n">
        <v>610</v>
      </c>
      <c r="F292" s="192" t="n">
        <v>1279.372</v>
      </c>
      <c r="G292" s="193" t="n">
        <v>248</v>
      </c>
      <c r="H292" s="194" t="inlineStr">
        <is>
          <t>SARL TRADY SPAN</t>
        </is>
      </c>
      <c r="I292" s="194" t="inlineStr">
        <is>
          <t>FFP</t>
        </is>
      </c>
      <c r="J292" s="189" t="inlineStr">
        <is>
          <t>CTP</t>
        </is>
      </c>
      <c r="K292" s="203">
        <f>D292+8</f>
        <v/>
      </c>
      <c r="L292" s="203">
        <f>K292+60</f>
        <v/>
      </c>
      <c r="M292" s="195" t="n"/>
      <c r="N292" s="196">
        <f>E292-58-132-60-108-120-66-60-5</f>
        <v/>
      </c>
      <c r="O292" s="197">
        <f>F292/E292*N292</f>
        <v/>
      </c>
      <c r="P292" s="198">
        <f>G292/E292*N292</f>
        <v/>
      </c>
      <c r="Q292" s="224" t="n"/>
      <c r="R292" s="58" t="n"/>
      <c r="S292" s="200" t="inlineStr">
        <is>
          <t>SM25258LDJD073</t>
        </is>
      </c>
      <c r="T292" s="201" t="n">
        <v>71</v>
      </c>
      <c r="U292" s="58" t="inlineStr">
        <is>
          <t>FILM FACED PLYWOOD</t>
        </is>
      </c>
      <c r="V292" s="67" t="n"/>
      <c r="W292" s="67" t="n"/>
      <c r="X292" s="99" t="inlineStr">
        <is>
          <t>OPER</t>
        </is>
      </c>
      <c r="Y292" s="116">
        <f>F292/E292</f>
        <v/>
      </c>
      <c r="Z292" s="64">
        <f>E292-N292</f>
        <v/>
      </c>
      <c r="AA292" s="64" t="n">
        <v>1</v>
      </c>
    </row>
    <row r="293" ht="18" customHeight="1" s="202">
      <c r="A293" s="188" t="n">
        <v>20250330</v>
      </c>
      <c r="B293" s="189" t="inlineStr">
        <is>
          <t>STAR MYSTIC</t>
        </is>
      </c>
      <c r="C293" s="190" t="n">
        <v>46004</v>
      </c>
      <c r="D293" s="190" t="n">
        <v>46018</v>
      </c>
      <c r="E293" s="191" t="n">
        <v>174</v>
      </c>
      <c r="F293" s="192" t="n">
        <v>291.129</v>
      </c>
      <c r="G293" s="193" t="n">
        <v>71</v>
      </c>
      <c r="H293" s="194" t="inlineStr">
        <is>
          <t>SARL MONOPAN</t>
        </is>
      </c>
      <c r="I293" s="189" t="inlineStr">
        <is>
          <t>MDF</t>
        </is>
      </c>
      <c r="J293" s="189" t="inlineStr">
        <is>
          <t>CTP</t>
        </is>
      </c>
      <c r="K293" s="203">
        <f>D293+8</f>
        <v/>
      </c>
      <c r="L293" s="203">
        <f>K293+60</f>
        <v/>
      </c>
      <c r="M293" s="195" t="n"/>
      <c r="N293" s="196">
        <f>E293-102-49-18</f>
        <v/>
      </c>
      <c r="O293" s="197">
        <f>F293/E293*N293</f>
        <v/>
      </c>
      <c r="P293" s="198">
        <f>G293/E293*N293</f>
        <v/>
      </c>
      <c r="Q293" s="224" t="n"/>
      <c r="R293" s="58" t="n"/>
      <c r="S293" s="200" t="inlineStr">
        <is>
          <t>SM25258LDJD076</t>
        </is>
      </c>
      <c r="T293" s="201" t="n">
        <v>74</v>
      </c>
      <c r="U293" s="58" t="inlineStr">
        <is>
          <t>MDF</t>
        </is>
      </c>
      <c r="V293" s="67" t="n"/>
      <c r="W293" s="67" t="n"/>
      <c r="X293" s="99" t="inlineStr">
        <is>
          <t>OPER</t>
        </is>
      </c>
      <c r="Y293" s="116">
        <f>F293/E293</f>
        <v/>
      </c>
      <c r="Z293" s="64">
        <f>E293-N293</f>
        <v/>
      </c>
      <c r="AA293" s="64" t="n">
        <v>7</v>
      </c>
    </row>
    <row r="294" ht="18" customHeight="1" s="202">
      <c r="A294" s="116" t="n">
        <v>20250330</v>
      </c>
      <c r="B294" s="117" t="inlineStr">
        <is>
          <t>STAR MYSTIC</t>
        </is>
      </c>
      <c r="C294" s="118" t="n">
        <v>46004</v>
      </c>
      <c r="D294" s="118" t="n">
        <v>46018</v>
      </c>
      <c r="E294" s="67" t="n">
        <v>1</v>
      </c>
      <c r="F294" s="119" t="n">
        <v>34.27</v>
      </c>
      <c r="G294" s="120" t="n">
        <v>24</v>
      </c>
      <c r="H294" s="121" t="inlineStr">
        <is>
          <t>TELIB HOCINE</t>
        </is>
      </c>
      <c r="I294" s="121" t="inlineStr">
        <is>
          <t>EXCAVATEURS</t>
        </is>
      </c>
      <c r="J294" s="117" t="inlineStr">
        <is>
          <t>ENGINS</t>
        </is>
      </c>
      <c r="K294" s="48">
        <f>D294+8</f>
        <v/>
      </c>
      <c r="L294" s="48">
        <f>K294+60</f>
        <v/>
      </c>
      <c r="M294" s="71" t="n"/>
      <c r="N294" s="72">
        <f>E294</f>
        <v/>
      </c>
      <c r="O294" s="50">
        <f>F294/E294*N294</f>
        <v/>
      </c>
      <c r="P294" s="273">
        <f>G294/E294*N294</f>
        <v/>
      </c>
      <c r="Q294" s="224" t="n"/>
      <c r="R294" s="58" t="n"/>
      <c r="S294" s="200" t="inlineStr">
        <is>
          <t>SM25258LDJD006</t>
        </is>
      </c>
      <c r="T294" s="201" t="n">
        <v>10</v>
      </c>
      <c r="U294" s="58" t="inlineStr">
        <is>
          <t>01 UNIT HYUNDAI EXCAVATOR HX340HD ( VOIR BL)</t>
        </is>
      </c>
      <c r="V294" s="67" t="n"/>
      <c r="W294" s="67" t="n"/>
      <c r="X294" s="62" t="inlineStr">
        <is>
          <t>N-OP</t>
        </is>
      </c>
      <c r="Y294" s="116">
        <f>F294/E294</f>
        <v/>
      </c>
      <c r="Z294" s="64">
        <f>E294-N294</f>
        <v/>
      </c>
      <c r="AA294" s="64" t="n">
        <v>59</v>
      </c>
    </row>
    <row r="295" ht="18" customHeight="1" s="202">
      <c r="A295" s="116" t="n">
        <v>20250330</v>
      </c>
      <c r="B295" s="117" t="inlineStr">
        <is>
          <t>STAR MYSTIC</t>
        </is>
      </c>
      <c r="C295" s="118" t="n">
        <v>46004</v>
      </c>
      <c r="D295" s="118" t="n">
        <v>46018</v>
      </c>
      <c r="E295" s="67" t="n">
        <v>2</v>
      </c>
      <c r="F295" s="119" t="n">
        <v>0</v>
      </c>
      <c r="G295" s="120" t="n">
        <v>6</v>
      </c>
      <c r="H295" s="121" t="inlineStr">
        <is>
          <t>TELIB HOCINE</t>
        </is>
      </c>
      <c r="I295" s="121" t="inlineStr">
        <is>
          <t>COLIS</t>
        </is>
      </c>
      <c r="J295" s="117" t="inlineStr">
        <is>
          <t>COLIS</t>
        </is>
      </c>
      <c r="K295" s="48">
        <f>D295+8</f>
        <v/>
      </c>
      <c r="L295" s="48">
        <f>K295+60</f>
        <v/>
      </c>
      <c r="M295" s="71" t="n"/>
      <c r="N295" s="72">
        <f>E295</f>
        <v/>
      </c>
      <c r="O295" s="50">
        <f>F295/E295*N295</f>
        <v/>
      </c>
      <c r="P295" s="273">
        <f>G295/E295*N295</f>
        <v/>
      </c>
      <c r="Q295" s="224" t="n"/>
      <c r="R295" s="58" t="n"/>
      <c r="S295" s="200" t="inlineStr">
        <is>
          <t>SM25258LDJD006</t>
        </is>
      </c>
      <c r="T295" s="201" t="n">
        <v>10</v>
      </c>
      <c r="U295" s="58" t="n"/>
      <c r="V295" s="67" t="n"/>
      <c r="W295" s="67" t="n"/>
      <c r="X295" s="62" t="inlineStr">
        <is>
          <t>N-OP</t>
        </is>
      </c>
      <c r="Y295" s="116">
        <f>F295/E295</f>
        <v/>
      </c>
      <c r="Z295" s="64">
        <f>E295-N295</f>
        <v/>
      </c>
      <c r="AA295" s="64" t="n">
        <v>588</v>
      </c>
    </row>
    <row r="296" ht="18" customHeight="1" s="202">
      <c r="A296" s="116" t="n">
        <v>20250330</v>
      </c>
      <c r="B296" s="117" t="inlineStr">
        <is>
          <t>STAR MYSTIC</t>
        </is>
      </c>
      <c r="C296" s="118" t="n">
        <v>46004</v>
      </c>
      <c r="D296" s="118" t="n">
        <v>46018</v>
      </c>
      <c r="E296" s="67" t="n">
        <v>1</v>
      </c>
      <c r="F296" s="119" t="n">
        <v>5.25</v>
      </c>
      <c r="G296" s="120" t="n">
        <v>24</v>
      </c>
      <c r="H296" s="121" t="inlineStr">
        <is>
          <t>EL DJAZAIR IDJAR SPA P/C SARL SLIMZEG GRAND TRAVAUX</t>
        </is>
      </c>
      <c r="I296" s="121" t="inlineStr">
        <is>
          <t>BUS</t>
        </is>
      </c>
      <c r="J296" s="117" t="inlineStr">
        <is>
          <t>UTILITAIRE</t>
        </is>
      </c>
      <c r="K296" s="48">
        <f>D296+8</f>
        <v/>
      </c>
      <c r="L296" s="48">
        <f>K296+60</f>
        <v/>
      </c>
      <c r="M296" s="71" t="n"/>
      <c r="N296" s="72">
        <f>E296</f>
        <v/>
      </c>
      <c r="O296" s="50">
        <f>F296/E296*N296</f>
        <v/>
      </c>
      <c r="P296" s="273">
        <f>G296/E296*N296</f>
        <v/>
      </c>
      <c r="Q296" s="224" t="n"/>
      <c r="R296" s="58" t="n"/>
      <c r="S296" s="200" t="inlineStr">
        <is>
          <t>SM25258LDJD015</t>
        </is>
      </c>
      <c r="T296" s="201" t="n"/>
      <c r="U296" s="58" t="inlineStr">
        <is>
          <t>01 UNIT BUS, MODEL: HFF6730K8D6Z (VOIR BL )</t>
        </is>
      </c>
      <c r="V296" s="67" t="n"/>
      <c r="W296" s="67" t="n"/>
      <c r="X296" s="62" t="inlineStr">
        <is>
          <t>N-OP</t>
        </is>
      </c>
      <c r="Y296" s="116">
        <f>F296/E296</f>
        <v/>
      </c>
      <c r="Z296" s="64">
        <f>E296-N296</f>
        <v/>
      </c>
      <c r="AA296" s="64" t="n">
        <v>31</v>
      </c>
    </row>
    <row r="297" ht="18" customHeight="1" s="202">
      <c r="A297" s="116" t="n">
        <v>20250330</v>
      </c>
      <c r="B297" s="117" t="inlineStr">
        <is>
          <t>STAR MYSTIC</t>
        </is>
      </c>
      <c r="C297" s="118" t="n">
        <v>46004</v>
      </c>
      <c r="D297" s="118" t="n">
        <v>46018</v>
      </c>
      <c r="E297" s="67" t="n">
        <v>3</v>
      </c>
      <c r="F297" s="119" t="n">
        <v>45</v>
      </c>
      <c r="G297" s="120" t="n">
        <v>72</v>
      </c>
      <c r="H297" s="121" t="inlineStr">
        <is>
          <t>SARL GROUPE CMMC</t>
        </is>
      </c>
      <c r="I297" s="121" t="inlineStr">
        <is>
          <t>CAMIONS</t>
        </is>
      </c>
      <c r="J297" s="117" t="inlineStr">
        <is>
          <t>LOURD</t>
        </is>
      </c>
      <c r="K297" s="48">
        <f>D297+8</f>
        <v/>
      </c>
      <c r="L297" s="48">
        <f>K297+60</f>
        <v/>
      </c>
      <c r="M297" s="71" t="n"/>
      <c r="N297" s="72">
        <f>E297</f>
        <v/>
      </c>
      <c r="O297" s="50">
        <f>F297/E297*N297</f>
        <v/>
      </c>
      <c r="P297" s="273">
        <f>G297/E297*N297</f>
        <v/>
      </c>
      <c r="Q297" s="224" t="n"/>
      <c r="R297" s="58" t="n"/>
      <c r="S297" s="200" t="inlineStr">
        <is>
          <t>SM25258LDJD019</t>
        </is>
      </c>
      <c r="T297" s="201" t="n"/>
      <c r="U297" s="58" t="inlineStr">
        <is>
          <t>03 UNITS SX3255JM384 SHACMAN 6X4 DUMP TRUCK ( VOIR BL)</t>
        </is>
      </c>
      <c r="V297" s="67" t="n"/>
      <c r="W297" s="67" t="n"/>
      <c r="X297" s="62" t="inlineStr">
        <is>
          <t>N-OP</t>
        </is>
      </c>
      <c r="Y297" s="116">
        <f>F297/E297</f>
        <v/>
      </c>
      <c r="Z297" s="64">
        <f>E297-N297</f>
        <v/>
      </c>
      <c r="AA297" s="64" t="n">
        <v>73</v>
      </c>
    </row>
    <row r="298" ht="18" customHeight="1" s="202">
      <c r="A298" s="206" t="n">
        <v>20250330</v>
      </c>
      <c r="B298" s="207" t="inlineStr">
        <is>
          <t>STAR MYSTIC</t>
        </is>
      </c>
      <c r="C298" s="208" t="n">
        <v>46004</v>
      </c>
      <c r="D298" s="208" t="n">
        <v>46018</v>
      </c>
      <c r="E298" s="209" t="n">
        <v>4</v>
      </c>
      <c r="F298" s="210" t="n">
        <v>60</v>
      </c>
      <c r="G298" s="211" t="n">
        <v>96</v>
      </c>
      <c r="H298" s="212" t="inlineStr">
        <is>
          <t>SARL MADJENE</t>
        </is>
      </c>
      <c r="I298" s="212" t="inlineStr">
        <is>
          <t>CAMIONS</t>
        </is>
      </c>
      <c r="J298" s="207" t="inlineStr">
        <is>
          <t>LOURD</t>
        </is>
      </c>
      <c r="K298" s="213">
        <f>D298+8</f>
        <v/>
      </c>
      <c r="L298" s="213">
        <f>K298+60</f>
        <v/>
      </c>
      <c r="M298" s="214" t="n"/>
      <c r="N298" s="215">
        <f>E298-2</f>
        <v/>
      </c>
      <c r="O298" s="216">
        <f>F298/E298*N298</f>
        <v/>
      </c>
      <c r="P298" s="218">
        <f>G298/E298*N298</f>
        <v/>
      </c>
      <c r="Q298" s="224" t="n"/>
      <c r="R298" s="58" t="n"/>
      <c r="S298" s="200" t="inlineStr">
        <is>
          <t>SM25258LDJD028</t>
        </is>
      </c>
      <c r="T298" s="201" t="n"/>
      <c r="U298" s="58" t="inlineStr">
        <is>
          <t>04 UNITS SX3255JM384 SHACMAN F2000 6X4 DUMP TRUCK ( VOIR BL)</t>
        </is>
      </c>
      <c r="V298" s="67" t="n"/>
      <c r="W298" s="67" t="n"/>
      <c r="X298" s="99" t="inlineStr">
        <is>
          <t>OPER</t>
        </is>
      </c>
      <c r="Y298" s="116">
        <f>F298/E298</f>
        <v/>
      </c>
      <c r="Z298" s="64">
        <f>E298-N298</f>
        <v/>
      </c>
    </row>
    <row r="299" ht="18" customHeight="1" s="202">
      <c r="A299" s="116" t="n">
        <v>20250330</v>
      </c>
      <c r="B299" s="117" t="inlineStr">
        <is>
          <t>STAR MYSTIC</t>
        </is>
      </c>
      <c r="C299" s="118" t="n">
        <v>46004</v>
      </c>
      <c r="D299" s="118" t="n">
        <v>46018</v>
      </c>
      <c r="E299" s="67" t="n">
        <v>1</v>
      </c>
      <c r="F299" s="119" t="n">
        <v>13</v>
      </c>
      <c r="G299" s="120" t="n">
        <v>24</v>
      </c>
      <c r="H299" s="121" t="inlineStr">
        <is>
          <t>EURL GANDER TRAVAUX PUBLICS</t>
        </is>
      </c>
      <c r="I299" s="121" t="inlineStr">
        <is>
          <t>CAMIONS</t>
        </is>
      </c>
      <c r="J299" s="117" t="inlineStr">
        <is>
          <t>LOURD</t>
        </is>
      </c>
      <c r="K299" s="48">
        <f>D299+8</f>
        <v/>
      </c>
      <c r="L299" s="48">
        <f>K299+60</f>
        <v/>
      </c>
      <c r="M299" s="71" t="n"/>
      <c r="N299" s="72">
        <f>E299</f>
        <v/>
      </c>
      <c r="O299" s="50">
        <f>F299/E299*N299</f>
        <v/>
      </c>
      <c r="P299" s="273">
        <f>G299/E299*N299</f>
        <v/>
      </c>
      <c r="Q299" s="224" t="n"/>
      <c r="R299" s="58" t="n"/>
      <c r="S299" s="200" t="inlineStr">
        <is>
          <t>SM25258LDJD035</t>
        </is>
      </c>
      <c r="T299" s="201" t="n"/>
      <c r="U299" s="58" t="inlineStr">
        <is>
          <t>01 UNIT SX5255GYSJM434 SHACMAN F2000 6x4 WATER TRUCK ( VOIR BL)</t>
        </is>
      </c>
      <c r="V299" s="67" t="n"/>
      <c r="W299" s="67" t="n"/>
      <c r="X299" s="62" t="inlineStr">
        <is>
          <t>N-OP</t>
        </is>
      </c>
      <c r="Y299" s="116">
        <f>F299/E299</f>
        <v/>
      </c>
      <c r="Z299" s="64">
        <f>E299-N299</f>
        <v/>
      </c>
      <c r="AA299" s="64" t="n">
        <v>48</v>
      </c>
    </row>
    <row r="300" ht="18" customHeight="1" s="202">
      <c r="A300" s="106" t="n">
        <v>20250330</v>
      </c>
      <c r="B300" s="107" t="inlineStr">
        <is>
          <t>STAR MYSTIC</t>
        </is>
      </c>
      <c r="C300" s="108" t="n">
        <v>46004</v>
      </c>
      <c r="D300" s="108" t="n">
        <v>46018</v>
      </c>
      <c r="E300" s="106" t="n">
        <v>2</v>
      </c>
      <c r="F300" s="106" t="n">
        <v>16</v>
      </c>
      <c r="G300" s="106" t="n">
        <v>48</v>
      </c>
      <c r="H300" s="109" t="inlineStr">
        <is>
          <t>EURL GANDER TRAVAUX PUBLICS</t>
        </is>
      </c>
      <c r="I300" s="109" t="inlineStr">
        <is>
          <t>CAMIONS</t>
        </is>
      </c>
      <c r="J300" s="107" t="inlineStr">
        <is>
          <t>LOURD</t>
        </is>
      </c>
      <c r="K300" s="108">
        <f>D300+8</f>
        <v/>
      </c>
      <c r="L300" s="108">
        <f>K300+60</f>
        <v/>
      </c>
      <c r="M300" s="111" t="n"/>
      <c r="N300" s="112">
        <f>E300-2</f>
        <v/>
      </c>
      <c r="O300" s="113">
        <f>F300/E300*N300</f>
        <v/>
      </c>
      <c r="P300" s="112">
        <f>G300/E300*N300</f>
        <v/>
      </c>
      <c r="Q300" s="109" t="n"/>
      <c r="R300" s="109" t="n"/>
      <c r="S300" s="109" t="inlineStr">
        <is>
          <t>SM25258LDJD036</t>
        </is>
      </c>
      <c r="T300" s="114" t="n">
        <v>38</v>
      </c>
      <c r="U300" s="109" t="inlineStr">
        <is>
          <t>02 UNITS ND4260BD3J6Z16 BEIBEN HEAD TRACTOR 6X4 ( VOIR BL)</t>
        </is>
      </c>
      <c r="V300" s="106" t="n"/>
      <c r="W300" s="106" t="n"/>
      <c r="X300" s="106" t="inlineStr">
        <is>
          <t>SOLDEE</t>
        </is>
      </c>
      <c r="Y300" s="116">
        <f>F300/E300</f>
        <v/>
      </c>
      <c r="Z300" s="30" t="n"/>
    </row>
    <row r="301" ht="18" customHeight="1" s="202">
      <c r="A301" s="106" t="n">
        <v>20250330</v>
      </c>
      <c r="B301" s="107" t="inlineStr">
        <is>
          <t>STAR MYSTIC</t>
        </is>
      </c>
      <c r="C301" s="108" t="n">
        <v>46004</v>
      </c>
      <c r="D301" s="108" t="n">
        <v>46018</v>
      </c>
      <c r="E301" s="106" t="n">
        <v>1</v>
      </c>
      <c r="F301" s="106" t="n">
        <v>14</v>
      </c>
      <c r="G301" s="106" t="n">
        <v>24</v>
      </c>
      <c r="H301" s="109" t="inlineStr">
        <is>
          <t>EURL GANDER TRAVAUX PUBLICS</t>
        </is>
      </c>
      <c r="I301" s="109" t="inlineStr">
        <is>
          <t>CAMIONS</t>
        </is>
      </c>
      <c r="J301" s="107" t="inlineStr">
        <is>
          <t>LOURD</t>
        </is>
      </c>
      <c r="K301" s="108">
        <f>D301+8</f>
        <v/>
      </c>
      <c r="L301" s="108">
        <f>K301+60</f>
        <v/>
      </c>
      <c r="M301" s="111" t="n"/>
      <c r="N301" s="112">
        <f>E301-1</f>
        <v/>
      </c>
      <c r="O301" s="113">
        <f>F301/E301*N301</f>
        <v/>
      </c>
      <c r="P301" s="112">
        <f>G301/E301*N301</f>
        <v/>
      </c>
      <c r="Q301" s="109" t="n"/>
      <c r="R301" s="109" t="n"/>
      <c r="S301" s="109" t="inlineStr">
        <is>
          <t>SM25258LDJD037</t>
        </is>
      </c>
      <c r="T301" s="114" t="n">
        <v>39</v>
      </c>
      <c r="U301" s="109" t="inlineStr">
        <is>
          <t>01 UNIT ND1310DD3J6Z22 BEIBEN TRUCK CARGO 8X4 LONG CABINE ( VOIR BL)</t>
        </is>
      </c>
      <c r="V301" s="106" t="n"/>
      <c r="W301" s="106" t="n"/>
      <c r="X301" s="106" t="inlineStr">
        <is>
          <t>SOLDEE</t>
        </is>
      </c>
      <c r="Y301" s="116">
        <f>F301/E301</f>
        <v/>
      </c>
      <c r="Z301" s="30" t="n"/>
      <c r="AA301" s="64" t="n">
        <v>111</v>
      </c>
    </row>
    <row r="302" ht="18" customHeight="1" s="202">
      <c r="A302" s="106" t="n">
        <v>20250330</v>
      </c>
      <c r="B302" s="107" t="inlineStr">
        <is>
          <t>STAR MYSTIC</t>
        </is>
      </c>
      <c r="C302" s="108" t="n">
        <v>46004</v>
      </c>
      <c r="D302" s="108" t="n">
        <v>46018</v>
      </c>
      <c r="E302" s="106" t="n">
        <v>1</v>
      </c>
      <c r="F302" s="106" t="n">
        <v>17</v>
      </c>
      <c r="G302" s="106" t="n">
        <v>24</v>
      </c>
      <c r="H302" s="109" t="inlineStr">
        <is>
          <t>EURL GANDER TRAVAUX PUBLICS</t>
        </is>
      </c>
      <c r="I302" s="109" t="inlineStr">
        <is>
          <t>REMORQUES</t>
        </is>
      </c>
      <c r="J302" s="107" t="inlineStr">
        <is>
          <t>LOURD</t>
        </is>
      </c>
      <c r="K302" s="108">
        <f>D302+8</f>
        <v/>
      </c>
      <c r="L302" s="108">
        <f>K302+60</f>
        <v/>
      </c>
      <c r="M302" s="111" t="n"/>
      <c r="N302" s="112">
        <f>E302-1</f>
        <v/>
      </c>
      <c r="O302" s="113">
        <f>F302/E302*N302</f>
        <v/>
      </c>
      <c r="P302" s="112">
        <f>G302/E302*N302</f>
        <v/>
      </c>
      <c r="Q302" s="109" t="n"/>
      <c r="R302" s="109" t="n"/>
      <c r="S302" s="109" t="inlineStr">
        <is>
          <t>SM25258LDJD038A</t>
        </is>
      </c>
      <c r="T302" s="114" t="n">
        <v>40</v>
      </c>
      <c r="U302" s="109" t="inlineStr">
        <is>
          <t>01 UNIT ZJV9853TDPTH LOW BED TRAILER ( VOIR BL)</t>
        </is>
      </c>
      <c r="V302" s="106" t="n"/>
      <c r="W302" s="106" t="n"/>
      <c r="X302" s="106" t="inlineStr">
        <is>
          <t>SOLDEE</t>
        </is>
      </c>
      <c r="Y302" s="116">
        <f>F302/E302</f>
        <v/>
      </c>
      <c r="Z302" s="30" t="n"/>
    </row>
    <row r="303" ht="18" customHeight="1" s="202">
      <c r="A303" s="106" t="n">
        <v>20250330</v>
      </c>
      <c r="B303" s="107" t="inlineStr">
        <is>
          <t>STAR MYSTIC</t>
        </is>
      </c>
      <c r="C303" s="108" t="n">
        <v>46004</v>
      </c>
      <c r="D303" s="108" t="n">
        <v>46018</v>
      </c>
      <c r="E303" s="106" t="n">
        <v>1</v>
      </c>
      <c r="F303" s="106" t="n">
        <v>20</v>
      </c>
      <c r="G303" s="106" t="n">
        <v>24</v>
      </c>
      <c r="H303" s="109" t="inlineStr">
        <is>
          <t>EURL GANDER TRAVAUX PUBLICS</t>
        </is>
      </c>
      <c r="I303" s="109" t="inlineStr">
        <is>
          <t>COMPACTEURS</t>
        </is>
      </c>
      <c r="J303" s="107" t="inlineStr">
        <is>
          <t>ENGINS</t>
        </is>
      </c>
      <c r="K303" s="108">
        <f>D303+8</f>
        <v/>
      </c>
      <c r="L303" s="108">
        <f>K303+60</f>
        <v/>
      </c>
      <c r="M303" s="111" t="n"/>
      <c r="N303" s="112">
        <f>E303-1</f>
        <v/>
      </c>
      <c r="O303" s="113">
        <f>F303/E303*N303</f>
        <v/>
      </c>
      <c r="P303" s="112">
        <f>G303/E303*N303</f>
        <v/>
      </c>
      <c r="Q303" s="109" t="n"/>
      <c r="R303" s="109" t="n"/>
      <c r="S303" s="109" t="inlineStr">
        <is>
          <t>SM25258LDJD039</t>
        </is>
      </c>
      <c r="T303" s="114" t="n"/>
      <c r="U303" s="109" t="inlineStr">
        <is>
          <t>01 UNIT XCMG COMPACTOR XP203S ( VOIR BL)</t>
        </is>
      </c>
      <c r="V303" s="106" t="n"/>
      <c r="W303" s="106" t="n"/>
      <c r="X303" s="106" t="inlineStr">
        <is>
          <t>SOLDEE</t>
        </is>
      </c>
      <c r="Y303" s="116">
        <f>F303/E303</f>
        <v/>
      </c>
      <c r="Z303" s="30" t="n"/>
    </row>
    <row r="304" ht="18" customHeight="1" s="202">
      <c r="A304" s="116" t="n">
        <v>20250330</v>
      </c>
      <c r="B304" s="117" t="inlineStr">
        <is>
          <t>STAR MYSTIC</t>
        </is>
      </c>
      <c r="C304" s="118" t="n">
        <v>46004</v>
      </c>
      <c r="D304" s="118" t="n">
        <v>46018</v>
      </c>
      <c r="E304" s="67" t="n">
        <v>1</v>
      </c>
      <c r="F304" s="119" t="n">
        <v>13</v>
      </c>
      <c r="G304" s="120" t="n">
        <v>24</v>
      </c>
      <c r="H304" s="121" t="inlineStr">
        <is>
          <t>HADFI BOUBAKER</t>
        </is>
      </c>
      <c r="I304" s="121" t="inlineStr">
        <is>
          <t>CAMIONS</t>
        </is>
      </c>
      <c r="J304" s="117" t="inlineStr">
        <is>
          <t>LOURD</t>
        </is>
      </c>
      <c r="K304" s="48">
        <f>D304+8</f>
        <v/>
      </c>
      <c r="L304" s="48">
        <f>K304+60</f>
        <v/>
      </c>
      <c r="M304" s="71" t="n"/>
      <c r="N304" s="72">
        <f>E304</f>
        <v/>
      </c>
      <c r="O304" s="50">
        <f>F304/E304*N304</f>
        <v/>
      </c>
      <c r="P304" s="273">
        <f>G304/E304*N304</f>
        <v/>
      </c>
      <c r="Q304" s="224" t="n"/>
      <c r="R304" s="58" t="n"/>
      <c r="S304" s="200" t="inlineStr">
        <is>
          <t>SM25258LDJD047</t>
        </is>
      </c>
      <c r="T304" s="201" t="n"/>
      <c r="U304" s="58" t="inlineStr">
        <is>
          <t>01 UNIT CNHTC 8X4 VACUUM TRUCK ( VOIR BL)</t>
        </is>
      </c>
      <c r="V304" s="67" t="n"/>
      <c r="W304" s="67" t="n"/>
      <c r="X304" s="62" t="inlineStr">
        <is>
          <t>N-OP</t>
        </is>
      </c>
      <c r="Y304" s="116">
        <f>F304/E304</f>
        <v/>
      </c>
      <c r="Z304" s="64">
        <f>E304-N304</f>
        <v/>
      </c>
      <c r="AA304" s="64" t="n">
        <v>1</v>
      </c>
    </row>
    <row r="305" ht="18" customHeight="1" s="202">
      <c r="A305" s="116" t="n">
        <v>20250330</v>
      </c>
      <c r="B305" s="117" t="inlineStr">
        <is>
          <t>STAR MYSTIC</t>
        </is>
      </c>
      <c r="C305" s="118" t="n">
        <v>46004</v>
      </c>
      <c r="D305" s="118" t="n">
        <v>46018</v>
      </c>
      <c r="E305" s="67" t="n">
        <v>1</v>
      </c>
      <c r="F305" s="119" t="n">
        <v>17</v>
      </c>
      <c r="G305" s="120" t="n">
        <v>24</v>
      </c>
      <c r="H305" s="121" t="inlineStr">
        <is>
          <t>SARL SAFI SERVICES GENERAL</t>
        </is>
      </c>
      <c r="I305" s="121" t="inlineStr">
        <is>
          <t>REMORQUES</t>
        </is>
      </c>
      <c r="J305" s="117" t="inlineStr">
        <is>
          <t>LOURD</t>
        </is>
      </c>
      <c r="K305" s="48">
        <f>D305+8</f>
        <v/>
      </c>
      <c r="L305" s="48">
        <f>K305+60</f>
        <v/>
      </c>
      <c r="M305" s="71" t="n"/>
      <c r="N305" s="72">
        <f>E305</f>
        <v/>
      </c>
      <c r="O305" s="50">
        <f>F305/E305*N305</f>
        <v/>
      </c>
      <c r="P305" s="273">
        <f>G305/E305*N305</f>
        <v/>
      </c>
      <c r="Q305" s="224" t="n"/>
      <c r="R305" s="58" t="n"/>
      <c r="S305" s="200" t="inlineStr">
        <is>
          <t>SM25258LDJD053</t>
        </is>
      </c>
      <c r="T305" s="201" t="n"/>
      <c r="U305" s="58" t="inlineStr">
        <is>
          <t>01 UNIT 3 AXLES 80 TONS LOW BED SEMI-TRAILER CIMC9853TDA (VOIR BL)</t>
        </is>
      </c>
      <c r="V305" s="67" t="n"/>
      <c r="W305" s="67" t="n"/>
      <c r="X305" s="62" t="inlineStr">
        <is>
          <t>N-OP</t>
        </is>
      </c>
      <c r="Y305" s="116">
        <f>F305/E305</f>
        <v/>
      </c>
      <c r="Z305" s="64">
        <f>E305-N305</f>
        <v/>
      </c>
      <c r="AA305" s="64" t="n">
        <v>1</v>
      </c>
    </row>
    <row r="306" ht="18" customHeight="1" s="202">
      <c r="A306" s="116" t="n">
        <v>20250330</v>
      </c>
      <c r="B306" s="117" t="inlineStr">
        <is>
          <t>STAR MYSTIC</t>
        </is>
      </c>
      <c r="C306" s="118" t="n">
        <v>46004</v>
      </c>
      <c r="D306" s="118" t="n">
        <v>46018</v>
      </c>
      <c r="E306" s="67" t="n">
        <v>12</v>
      </c>
      <c r="F306" s="119" t="n">
        <v>149.64</v>
      </c>
      <c r="G306" s="120" t="n">
        <v>288</v>
      </c>
      <c r="H306" s="121" t="inlineStr">
        <is>
          <t>MOUILAH MOHAMED</t>
        </is>
      </c>
      <c r="I306" s="121" t="inlineStr">
        <is>
          <t>CAMIONS</t>
        </is>
      </c>
      <c r="J306" s="117" t="inlineStr">
        <is>
          <t>LOURD</t>
        </is>
      </c>
      <c r="K306" s="48">
        <f>D306+8</f>
        <v/>
      </c>
      <c r="L306" s="48">
        <f>K306+60</f>
        <v/>
      </c>
      <c r="M306" s="71" t="n"/>
      <c r="N306" s="72">
        <f>E306</f>
        <v/>
      </c>
      <c r="O306" s="50">
        <f>F306/E306*N306</f>
        <v/>
      </c>
      <c r="P306" s="273">
        <f>G306/E306*N306</f>
        <v/>
      </c>
      <c r="Q306" s="224" t="n"/>
      <c r="R306" s="58" t="n"/>
      <c r="S306" s="200" t="inlineStr">
        <is>
          <t>SM25258LDJD058</t>
        </is>
      </c>
      <c r="T306" s="201" t="n"/>
      <c r="U306" s="58" t="inlineStr">
        <is>
          <t>08 UNITS SX3255JM384 SHACMAN F2000 DUMP TRUCK ( VOIR BL)</t>
        </is>
      </c>
      <c r="V306" s="67" t="n"/>
      <c r="W306" s="67" t="n"/>
      <c r="X306" s="62" t="inlineStr">
        <is>
          <t>N-OP</t>
        </is>
      </c>
      <c r="Y306" s="116">
        <f>F306/E306</f>
        <v/>
      </c>
      <c r="Z306" s="64">
        <f>E306-N306</f>
        <v/>
      </c>
      <c r="AA306" s="64" t="n">
        <v>1</v>
      </c>
    </row>
    <row r="307" ht="18" customHeight="1" s="202">
      <c r="A307" s="116" t="n">
        <v>20250330</v>
      </c>
      <c r="B307" s="117" t="inlineStr">
        <is>
          <t>STAR MYSTIC</t>
        </is>
      </c>
      <c r="C307" s="118" t="n">
        <v>46004</v>
      </c>
      <c r="D307" s="118" t="n">
        <v>46018</v>
      </c>
      <c r="E307" s="67" t="n">
        <v>1</v>
      </c>
      <c r="F307" s="119" t="n">
        <v>37</v>
      </c>
      <c r="G307" s="120" t="n">
        <v>24</v>
      </c>
      <c r="H307" s="121" t="inlineStr">
        <is>
          <t>BENSAID MOHAMMED</t>
        </is>
      </c>
      <c r="I307" s="121" t="inlineStr">
        <is>
          <t>EXCAVATEURS</t>
        </is>
      </c>
      <c r="J307" s="117" t="inlineStr">
        <is>
          <t>ENGINS</t>
        </is>
      </c>
      <c r="K307" s="48">
        <f>D307+8</f>
        <v/>
      </c>
      <c r="L307" s="48">
        <f>K307+60</f>
        <v/>
      </c>
      <c r="M307" s="71" t="n"/>
      <c r="N307" s="72">
        <f>E307</f>
        <v/>
      </c>
      <c r="O307" s="50">
        <f>F307/E307*N307</f>
        <v/>
      </c>
      <c r="P307" s="273">
        <f>G307/E307*N307</f>
        <v/>
      </c>
      <c r="Q307" s="224" t="n"/>
      <c r="R307" s="58" t="n"/>
      <c r="S307" s="200" t="inlineStr">
        <is>
          <t>SM25258LDJD062</t>
        </is>
      </c>
      <c r="T307" s="201" t="n">
        <v>60</v>
      </c>
      <c r="U307" s="58" t="inlineStr">
        <is>
          <t>01 UNIT HX340HD HYUNDAI CRAWLER EXCAVATOR 01 UNIT HYUNDAI VERTICAL HAMMER MODEL HDBB-165Z ( VOIR BL)</t>
        </is>
      </c>
      <c r="V307" s="67" t="n"/>
      <c r="W307" s="67" t="n"/>
      <c r="X307" s="62" t="inlineStr">
        <is>
          <t>N-OP</t>
        </is>
      </c>
      <c r="Y307" s="116">
        <f>F307/E307</f>
        <v/>
      </c>
      <c r="Z307" s="64">
        <f>E307-N307</f>
        <v/>
      </c>
      <c r="AA307" s="64" t="n">
        <v>2</v>
      </c>
    </row>
    <row r="308" ht="18" customHeight="1" s="202">
      <c r="A308" s="116" t="n">
        <v>20250330</v>
      </c>
      <c r="B308" s="117" t="inlineStr">
        <is>
          <t>STAR MYSTIC</t>
        </is>
      </c>
      <c r="C308" s="118" t="n">
        <v>46004</v>
      </c>
      <c r="D308" s="118" t="n">
        <v>46018</v>
      </c>
      <c r="E308" s="67" t="n">
        <v>2</v>
      </c>
      <c r="F308" s="119" t="n">
        <v>0</v>
      </c>
      <c r="G308" s="120" t="n">
        <v>6</v>
      </c>
      <c r="H308" s="121" t="inlineStr">
        <is>
          <t>BENSAID MOHAMMED</t>
        </is>
      </c>
      <c r="I308" s="121" t="inlineStr">
        <is>
          <t>COLIS</t>
        </is>
      </c>
      <c r="J308" s="117" t="inlineStr">
        <is>
          <t>COLIS</t>
        </is>
      </c>
      <c r="K308" s="48">
        <f>D308+8</f>
        <v/>
      </c>
      <c r="L308" s="48">
        <f>K308+60</f>
        <v/>
      </c>
      <c r="M308" s="71" t="n"/>
      <c r="N308" s="72">
        <f>E308</f>
        <v/>
      </c>
      <c r="O308" s="50">
        <f>F308/E308*N308</f>
        <v/>
      </c>
      <c r="P308" s="273">
        <f>G308/E308*N308</f>
        <v/>
      </c>
      <c r="Q308" s="224" t="n"/>
      <c r="R308" s="58" t="n"/>
      <c r="S308" s="200" t="inlineStr">
        <is>
          <t>SM25258LDJD062</t>
        </is>
      </c>
      <c r="T308" s="201" t="n">
        <v>60</v>
      </c>
      <c r="U308" s="58" t="n"/>
      <c r="V308" s="67" t="n"/>
      <c r="W308" s="67" t="n"/>
      <c r="X308" s="62" t="inlineStr">
        <is>
          <t>N-OP</t>
        </is>
      </c>
      <c r="Y308" s="116">
        <f>F308/E308</f>
        <v/>
      </c>
      <c r="Z308" s="64">
        <f>E308-N308</f>
        <v/>
      </c>
      <c r="AA308" s="64" t="n">
        <v>1</v>
      </c>
    </row>
    <row r="309" ht="18" customHeight="1" s="202">
      <c r="A309" s="116" t="n">
        <v>20250330</v>
      </c>
      <c r="B309" s="117" t="inlineStr">
        <is>
          <t>STAR MYSTIC</t>
        </is>
      </c>
      <c r="C309" s="118" t="n">
        <v>46004</v>
      </c>
      <c r="D309" s="118" t="n">
        <v>46018</v>
      </c>
      <c r="E309" s="67" t="n">
        <v>1</v>
      </c>
      <c r="F309" s="119" t="n">
        <v>34.15</v>
      </c>
      <c r="G309" s="120" t="n">
        <v>24</v>
      </c>
      <c r="H309" s="121" t="inlineStr">
        <is>
          <t>SARL LAGRA GRAND TRAVAUX</t>
        </is>
      </c>
      <c r="I309" s="121" t="inlineStr">
        <is>
          <t>EXCAVATEURS</t>
        </is>
      </c>
      <c r="J309" s="117" t="inlineStr">
        <is>
          <t>ENGINS</t>
        </is>
      </c>
      <c r="K309" s="48">
        <f>D309+8</f>
        <v/>
      </c>
      <c r="L309" s="48">
        <f>K309+60</f>
        <v/>
      </c>
      <c r="M309" s="71" t="n"/>
      <c r="N309" s="72">
        <f>E309</f>
        <v/>
      </c>
      <c r="O309" s="50">
        <f>F309/E309*N309</f>
        <v/>
      </c>
      <c r="P309" s="273">
        <f>G309/E309*N309</f>
        <v/>
      </c>
      <c r="Q309" s="224" t="n"/>
      <c r="R309" s="58" t="n"/>
      <c r="S309" s="200" t="inlineStr">
        <is>
          <t>SM25258LDJD103</t>
        </is>
      </c>
      <c r="T309" s="201" t="n">
        <v>94</v>
      </c>
      <c r="U309" s="58" t="inlineStr">
        <is>
          <t>01 UNIT HYUNDAI EXCAVATOR HX340HD ( VOIR BL)</t>
        </is>
      </c>
      <c r="V309" s="67" t="n"/>
      <c r="W309" s="67" t="n"/>
      <c r="X309" s="62" t="inlineStr">
        <is>
          <t>N-OP</t>
        </is>
      </c>
      <c r="Y309" s="116">
        <f>F309/E309</f>
        <v/>
      </c>
      <c r="Z309" s="64">
        <f>E309-N309</f>
        <v/>
      </c>
    </row>
    <row r="310" ht="18" customHeight="1" s="202">
      <c r="A310" s="116" t="n">
        <v>20250330</v>
      </c>
      <c r="B310" s="117" t="inlineStr">
        <is>
          <t>STAR MYSTIC</t>
        </is>
      </c>
      <c r="C310" s="118" t="n">
        <v>46004</v>
      </c>
      <c r="D310" s="118" t="n">
        <v>46018</v>
      </c>
      <c r="E310" s="67" t="n">
        <v>2</v>
      </c>
      <c r="F310" s="119" t="n">
        <v>0</v>
      </c>
      <c r="G310" s="120" t="n">
        <v>6</v>
      </c>
      <c r="H310" s="121" t="inlineStr">
        <is>
          <t>SARL LAGRA GRAND TRAVAUX</t>
        </is>
      </c>
      <c r="I310" s="121" t="inlineStr">
        <is>
          <t>COLIS</t>
        </is>
      </c>
      <c r="J310" s="117" t="inlineStr">
        <is>
          <t>COLIS</t>
        </is>
      </c>
      <c r="K310" s="48">
        <f>D310+8</f>
        <v/>
      </c>
      <c r="L310" s="48">
        <f>K310+60</f>
        <v/>
      </c>
      <c r="M310" s="71" t="n"/>
      <c r="N310" s="72">
        <f>E310</f>
        <v/>
      </c>
      <c r="O310" s="50">
        <f>F310/E310*N310</f>
        <v/>
      </c>
      <c r="P310" s="273">
        <f>G310/E310*N310</f>
        <v/>
      </c>
      <c r="Q310" s="224" t="n"/>
      <c r="R310" s="58" t="n"/>
      <c r="S310" s="200" t="inlineStr">
        <is>
          <t>SM25258LDJD103</t>
        </is>
      </c>
      <c r="T310" s="201" t="n">
        <v>94</v>
      </c>
      <c r="U310" s="58" t="n"/>
      <c r="V310" s="67" t="n"/>
      <c r="W310" s="67" t="n"/>
      <c r="X310" s="62" t="inlineStr">
        <is>
          <t>N-OP</t>
        </is>
      </c>
      <c r="Y310" s="116">
        <f>F310/E310</f>
        <v/>
      </c>
      <c r="Z310" s="64">
        <f>E310-N310</f>
        <v/>
      </c>
      <c r="AA310" s="64" t="n">
        <v>1</v>
      </c>
    </row>
    <row r="311" ht="18" customHeight="1" s="202">
      <c r="A311" s="116" t="n">
        <v>20250330</v>
      </c>
      <c r="B311" s="117" t="inlineStr">
        <is>
          <t>STAR MYSTIC</t>
        </is>
      </c>
      <c r="C311" s="118" t="n">
        <v>46004</v>
      </c>
      <c r="D311" s="118" t="n">
        <v>46018</v>
      </c>
      <c r="E311" s="67" t="n">
        <v>1</v>
      </c>
      <c r="F311" s="119" t="n">
        <v>20.5</v>
      </c>
      <c r="G311" s="120" t="n">
        <v>40</v>
      </c>
      <c r="H311" s="121" t="inlineStr">
        <is>
          <t>SARL ATIA MEHDI ET FRERES</t>
        </is>
      </c>
      <c r="I311" s="121" t="inlineStr">
        <is>
          <t>FINISHERS</t>
        </is>
      </c>
      <c r="J311" s="117" t="inlineStr">
        <is>
          <t>ENGINS</t>
        </is>
      </c>
      <c r="K311" s="48">
        <f>D311+8</f>
        <v/>
      </c>
      <c r="L311" s="48">
        <f>K311+60</f>
        <v/>
      </c>
      <c r="M311" s="71" t="n"/>
      <c r="N311" s="72">
        <f>E311</f>
        <v/>
      </c>
      <c r="O311" s="50">
        <f>F311/E311*N311</f>
        <v/>
      </c>
      <c r="P311" s="273">
        <f>G311/E311*N311</f>
        <v/>
      </c>
      <c r="Q311" s="224" t="n"/>
      <c r="R311" s="58" t="n"/>
      <c r="S311" s="200" t="inlineStr">
        <is>
          <t>SM25258LDJD117</t>
        </is>
      </c>
      <c r="T311" s="201" t="n"/>
      <c r="U311" s="58" t="inlineStr">
        <is>
          <t>01 UNIT XCMG ASPHALT CONCRETE PAVER RP603 (VOIR BL)</t>
        </is>
      </c>
      <c r="V311" s="67" t="n"/>
      <c r="W311" s="67" t="n"/>
      <c r="X311" s="62" t="inlineStr">
        <is>
          <t>N-OP</t>
        </is>
      </c>
      <c r="Y311" s="116">
        <f>F311/E311</f>
        <v/>
      </c>
      <c r="Z311" s="64">
        <f>E311-N311</f>
        <v/>
      </c>
    </row>
    <row r="312" ht="18" customHeight="1" s="202">
      <c r="A312" s="116" t="n">
        <v>20250330</v>
      </c>
      <c r="B312" s="117" t="inlineStr">
        <is>
          <t>STAR MYSTIC</t>
        </is>
      </c>
      <c r="C312" s="118" t="n">
        <v>46004</v>
      </c>
      <c r="D312" s="118" t="n">
        <v>46018</v>
      </c>
      <c r="E312" s="67" t="n">
        <v>2</v>
      </c>
      <c r="F312" s="119" t="n">
        <v>0</v>
      </c>
      <c r="G312" s="120" t="n">
        <v>6</v>
      </c>
      <c r="H312" s="121" t="inlineStr">
        <is>
          <t>SARL ATIA MEHDI ET FRERES</t>
        </is>
      </c>
      <c r="I312" s="121" t="inlineStr">
        <is>
          <t>COLIS</t>
        </is>
      </c>
      <c r="J312" s="117" t="inlineStr">
        <is>
          <t>COLIS</t>
        </is>
      </c>
      <c r="K312" s="48">
        <f>D312+8</f>
        <v/>
      </c>
      <c r="L312" s="48">
        <f>K312+60</f>
        <v/>
      </c>
      <c r="M312" s="71" t="n"/>
      <c r="N312" s="72">
        <f>E312</f>
        <v/>
      </c>
      <c r="O312" s="50">
        <f>F312/E312*N312</f>
        <v/>
      </c>
      <c r="P312" s="273">
        <f>G312/E312*N312</f>
        <v/>
      </c>
      <c r="Q312" s="224" t="n"/>
      <c r="R312" s="58" t="n"/>
      <c r="S312" s="200" t="inlineStr">
        <is>
          <t>SM25258LDJD117</t>
        </is>
      </c>
      <c r="T312" s="201" t="n"/>
      <c r="U312" s="58" t="n"/>
      <c r="V312" s="67" t="n"/>
      <c r="W312" s="67" t="n"/>
      <c r="X312" s="62" t="inlineStr">
        <is>
          <t>N-OP</t>
        </is>
      </c>
      <c r="Y312" s="116">
        <f>F312/E312</f>
        <v/>
      </c>
      <c r="Z312" s="64">
        <f>E312-N312</f>
        <v/>
      </c>
    </row>
    <row r="313" ht="18" customHeight="1" s="202">
      <c r="A313" s="116" t="n">
        <v>20250330</v>
      </c>
      <c r="B313" s="117" t="inlineStr">
        <is>
          <t>STAR MYSTIC</t>
        </is>
      </c>
      <c r="C313" s="118" t="n">
        <v>46004</v>
      </c>
      <c r="D313" s="118" t="n">
        <v>46018</v>
      </c>
      <c r="E313" s="67" t="n">
        <v>1</v>
      </c>
      <c r="F313" s="119" t="n">
        <v>11.67</v>
      </c>
      <c r="G313" s="120" t="n">
        <v>24</v>
      </c>
      <c r="H313" s="121" t="inlineStr">
        <is>
          <t>EURL BOUGHEZALA ENTERPRISES GENERAUX ET LOCATION MATERIELS</t>
        </is>
      </c>
      <c r="I313" s="121" t="inlineStr">
        <is>
          <t>CAMIONS</t>
        </is>
      </c>
      <c r="J313" s="117" t="inlineStr">
        <is>
          <t>LOURD</t>
        </is>
      </c>
      <c r="K313" s="48">
        <f>D313+8</f>
        <v/>
      </c>
      <c r="L313" s="48">
        <f>K313+60</f>
        <v/>
      </c>
      <c r="M313" s="71" t="n"/>
      <c r="N313" s="72">
        <f>E313</f>
        <v/>
      </c>
      <c r="O313" s="50">
        <f>F313/E313*N313</f>
        <v/>
      </c>
      <c r="P313" s="273">
        <f>G313/E313*N313</f>
        <v/>
      </c>
      <c r="Q313" s="224" t="n"/>
      <c r="R313" s="58" t="n"/>
      <c r="S313" s="200" t="inlineStr">
        <is>
          <t>SM25258LDJD121</t>
        </is>
      </c>
      <c r="T313" s="201" t="n"/>
      <c r="U313" s="58" t="inlineStr">
        <is>
          <t>01 UNIT SX5255GJBJR334 SHACMAN 6*4 F2000 MIX TRUCK ( VOIR BL)</t>
        </is>
      </c>
      <c r="V313" s="67" t="n"/>
      <c r="W313" s="67" t="n"/>
      <c r="X313" s="62" t="inlineStr">
        <is>
          <t>N-OP</t>
        </is>
      </c>
      <c r="Y313" s="116">
        <f>F313/E313</f>
        <v/>
      </c>
      <c r="Z313" s="64">
        <f>E313-N313</f>
        <v/>
      </c>
      <c r="AA313" s="64" t="n">
        <v>1</v>
      </c>
    </row>
    <row r="314" ht="18" customHeight="1" s="202">
      <c r="A314" s="116" t="n">
        <v>20250330</v>
      </c>
      <c r="B314" s="117" t="inlineStr">
        <is>
          <t>STAR MYSTIC</t>
        </is>
      </c>
      <c r="C314" s="118" t="n">
        <v>46004</v>
      </c>
      <c r="D314" s="118" t="n">
        <v>46018</v>
      </c>
      <c r="E314" s="67" t="n">
        <v>2</v>
      </c>
      <c r="F314" s="119" t="n">
        <v>32</v>
      </c>
      <c r="G314" s="120" t="n">
        <v>48</v>
      </c>
      <c r="H314" s="121" t="inlineStr">
        <is>
          <t>EURL EL TAHOURE GRANDS TRAVAUX PUBLICS HYDRAULIQUE ET CONSTRUCTION</t>
        </is>
      </c>
      <c r="I314" s="121" t="inlineStr">
        <is>
          <t>CAMIONS</t>
        </is>
      </c>
      <c r="J314" s="117" t="inlineStr">
        <is>
          <t>LOURD</t>
        </is>
      </c>
      <c r="K314" s="48">
        <f>D314+8</f>
        <v/>
      </c>
      <c r="L314" s="48">
        <f>K314+60</f>
        <v/>
      </c>
      <c r="M314" s="71" t="n"/>
      <c r="N314" s="72">
        <f>E314</f>
        <v/>
      </c>
      <c r="O314" s="50">
        <f>F314/E314*N314</f>
        <v/>
      </c>
      <c r="P314" s="273">
        <f>G314/E314*N314</f>
        <v/>
      </c>
      <c r="Q314" s="224" t="n"/>
      <c r="R314" s="58" t="n"/>
      <c r="S314" s="200" t="inlineStr">
        <is>
          <t>SM25258LDJD124A</t>
        </is>
      </c>
      <c r="T314" s="201" t="n"/>
      <c r="U314" s="58" t="inlineStr">
        <is>
          <t>02 UNITS SHACMAN 6X4 F2000 CAMION ( VOIR BL)</t>
        </is>
      </c>
      <c r="V314" s="67" t="n"/>
      <c r="W314" s="67" t="n"/>
      <c r="X314" s="62" t="inlineStr">
        <is>
          <t>N-OP</t>
        </is>
      </c>
      <c r="Y314" s="116">
        <f>F314/E314</f>
        <v/>
      </c>
      <c r="Z314" s="64">
        <f>E314-N314</f>
        <v/>
      </c>
    </row>
    <row r="315" ht="18" customHeight="1" s="202">
      <c r="A315" s="87" t="n">
        <v>20250337</v>
      </c>
      <c r="B315" s="88" t="inlineStr">
        <is>
          <t>LUCKY PROSPERITY</t>
        </is>
      </c>
      <c r="C315" s="190" t="n">
        <v>46010</v>
      </c>
      <c r="D315" s="190" t="n">
        <v>46019</v>
      </c>
      <c r="E315" s="191" t="n">
        <v>110</v>
      </c>
      <c r="F315" s="192" t="n">
        <v>613.819</v>
      </c>
      <c r="G315" s="193" t="n">
        <v>95.75832305795311</v>
      </c>
      <c r="H315" s="194" t="inlineStr">
        <is>
          <t>EURL AFROSTEEL</t>
        </is>
      </c>
      <c r="I315" s="194" t="inlineStr">
        <is>
          <t>BOBINES</t>
        </is>
      </c>
      <c r="J315" s="189" t="inlineStr">
        <is>
          <t>BOBINES</t>
        </is>
      </c>
      <c r="K315" s="203">
        <f>D315+8</f>
        <v/>
      </c>
      <c r="L315" s="203">
        <f>K315+60</f>
        <v/>
      </c>
      <c r="M315" s="195" t="n"/>
      <c r="N315" s="196">
        <f>E315-24-7-12</f>
        <v/>
      </c>
      <c r="O315" s="197">
        <f>F315/E315*N315</f>
        <v/>
      </c>
      <c r="P315" s="218">
        <f>G315/E315*N315</f>
        <v/>
      </c>
      <c r="Q315" s="257" t="n"/>
      <c r="R315" s="258" t="n"/>
      <c r="S315" s="260" t="inlineStr">
        <is>
          <t>SV25270CFDJDJ001</t>
        </is>
      </c>
      <c r="T315" s="261" t="n">
        <v>1</v>
      </c>
      <c r="U315" s="258" t="inlineStr">
        <is>
          <t>110 GALVANIZED STEEL STRIPS</t>
        </is>
      </c>
      <c r="V315" s="184" t="n"/>
      <c r="W315" s="184" t="n"/>
      <c r="X315" s="99" t="inlineStr">
        <is>
          <t>OPER</t>
        </is>
      </c>
      <c r="Y315" s="87">
        <f>F315/E315</f>
        <v/>
      </c>
      <c r="Z315" s="64">
        <f>E315-N315</f>
        <v/>
      </c>
    </row>
    <row r="316" ht="18" customHeight="1" s="202">
      <c r="A316" s="116" t="n">
        <v>20250337</v>
      </c>
      <c r="B316" s="117" t="inlineStr">
        <is>
          <t>LUCKY PROSPERITY</t>
        </is>
      </c>
      <c r="C316" s="118" t="n">
        <v>46010</v>
      </c>
      <c r="D316" s="118" t="n">
        <v>46019</v>
      </c>
      <c r="E316" s="67" t="n">
        <v>2998</v>
      </c>
      <c r="F316" s="119" t="n">
        <v>7814.826</v>
      </c>
      <c r="G316" s="120" t="n">
        <v>3616.04181324756</v>
      </c>
      <c r="H316" s="121" t="inlineStr">
        <is>
          <t>ENGTP / DIRECTION ENGINEERING / DEPARTEMENT PROCUR</t>
        </is>
      </c>
      <c r="I316" s="121" t="inlineStr">
        <is>
          <t>TUBES</t>
        </is>
      </c>
      <c r="J316" s="117" t="inlineStr">
        <is>
          <t>TUBES</t>
        </is>
      </c>
      <c r="K316" s="48">
        <f>D316+8</f>
        <v/>
      </c>
      <c r="L316" s="48">
        <f>K316+60</f>
        <v/>
      </c>
      <c r="M316" s="71" t="n"/>
      <c r="N316" s="72">
        <f>E316</f>
        <v/>
      </c>
      <c r="O316" s="50">
        <f>F316/E316*N316</f>
        <v/>
      </c>
      <c r="P316" s="273">
        <f>G316/E316*N316</f>
        <v/>
      </c>
      <c r="Q316" s="224" t="n"/>
      <c r="R316" s="58" t="n"/>
      <c r="S316" s="200" t="inlineStr">
        <is>
          <t>SV25270CFDJDJ006711</t>
        </is>
      </c>
      <c r="T316" s="201" t="n">
        <v>5</v>
      </c>
      <c r="U316" s="58" t="inlineStr">
        <is>
          <t>2998 PIPE API 5L GR X60 PSL2, SIZE 20'' EP. 17.48 MM, LSAW, COATED 3LPP</t>
        </is>
      </c>
      <c r="V316" s="67" t="n"/>
      <c r="W316" s="67" t="n"/>
      <c r="X316" s="62" t="inlineStr">
        <is>
          <t>N-OP</t>
        </is>
      </c>
      <c r="Y316" s="116">
        <f>F316/E316</f>
        <v/>
      </c>
      <c r="Z316" s="64">
        <f>E316-N316</f>
        <v/>
      </c>
    </row>
    <row r="317" ht="18" customHeight="1" s="202">
      <c r="A317" s="300" t="n">
        <v>20250331</v>
      </c>
      <c r="B317" s="301" t="inlineStr">
        <is>
          <t xml:space="preserve">SEA SILA </t>
        </is>
      </c>
      <c r="C317" s="302" t="n">
        <v>46006</v>
      </c>
      <c r="D317" s="302" t="n">
        <v>46021</v>
      </c>
      <c r="E317" s="303" t="n">
        <v>9949</v>
      </c>
      <c r="F317" s="304" t="n">
        <v>25826.953</v>
      </c>
      <c r="G317" s="305" t="n">
        <v>12000</v>
      </c>
      <c r="H317" s="306" t="inlineStr">
        <is>
          <t>ENGTP / DIRECTION ENGINEERING / DEPARTEMENT PROCUREMENT</t>
        </is>
      </c>
      <c r="I317" s="306" t="inlineStr">
        <is>
          <t>TUBES</t>
        </is>
      </c>
      <c r="J317" s="301" t="inlineStr">
        <is>
          <t>TUBES</t>
        </is>
      </c>
      <c r="K317" s="307">
        <f>D317+8</f>
        <v/>
      </c>
      <c r="L317" s="307">
        <f>K317+60</f>
        <v/>
      </c>
      <c r="M317" s="308" t="n"/>
      <c r="N317" s="309">
        <f>E317-18</f>
        <v/>
      </c>
      <c r="O317" s="310">
        <f>F317/E317*N317</f>
        <v/>
      </c>
      <c r="P317" s="311">
        <f>G317/E317*N317</f>
        <v/>
      </c>
      <c r="Q317" s="224" t="n"/>
      <c r="R317" s="58" t="n"/>
      <c r="S317" s="200" t="inlineStr">
        <is>
          <t>SS25290ZDJD001</t>
        </is>
      </c>
      <c r="T317" s="201" t="n">
        <v>119</v>
      </c>
      <c r="U317" s="58" t="inlineStr">
        <is>
          <t>PIPES ( VOIR BL)</t>
        </is>
      </c>
      <c r="V317" s="67" t="n"/>
      <c r="W317" s="67" t="n"/>
      <c r="X317" s="312" t="inlineStr">
        <is>
          <t>OPER</t>
        </is>
      </c>
      <c r="Y317" s="116">
        <f>F317/E317</f>
        <v/>
      </c>
      <c r="Z317" s="64">
        <f>E317-N317</f>
        <v/>
      </c>
      <c r="AA317" s="64" t="n">
        <v>2</v>
      </c>
    </row>
    <row r="318" ht="18" customHeight="1" s="202">
      <c r="A318" s="116" t="n">
        <v>20250331</v>
      </c>
      <c r="B318" s="117" t="inlineStr">
        <is>
          <t xml:space="preserve">SEA SILA </t>
        </is>
      </c>
      <c r="C318" s="118" t="n">
        <v>46006</v>
      </c>
      <c r="D318" s="118" t="n">
        <v>46021</v>
      </c>
      <c r="E318" s="67" t="n">
        <v>1</v>
      </c>
      <c r="F318" s="119" t="n">
        <v>26.327</v>
      </c>
      <c r="G318" s="120" t="n">
        <v>24</v>
      </c>
      <c r="H318" s="121" t="inlineStr">
        <is>
          <t>EURL SALDAE BUILDING</t>
        </is>
      </c>
      <c r="I318" s="121" t="inlineStr">
        <is>
          <t>BULLDOZERS</t>
        </is>
      </c>
      <c r="J318" s="117" t="inlineStr">
        <is>
          <t>ENGINS</t>
        </is>
      </c>
      <c r="K318" s="48">
        <f>D318+8</f>
        <v/>
      </c>
      <c r="L318" s="48">
        <f>K318+60</f>
        <v/>
      </c>
      <c r="M318" s="71" t="n"/>
      <c r="N318" s="72">
        <f>E318</f>
        <v/>
      </c>
      <c r="O318" s="50">
        <f>F318/E318*N318</f>
        <v/>
      </c>
      <c r="P318" s="273">
        <f>G318/E318*N318</f>
        <v/>
      </c>
      <c r="Q318" s="224" t="n"/>
      <c r="R318" s="58" t="n"/>
      <c r="S318" s="200" t="inlineStr">
        <is>
          <t>SS25290LDJD003</t>
        </is>
      </c>
      <c r="T318" s="201" t="n">
        <v>3</v>
      </c>
      <c r="U318" s="58" t="inlineStr">
        <is>
          <t>01 SET HAITUI HD22 BULLDOZER ( VOIR BL)</t>
        </is>
      </c>
      <c r="V318" s="67" t="n"/>
      <c r="W318" s="67" t="n"/>
      <c r="X318" s="62" t="inlineStr">
        <is>
          <t>N-OP</t>
        </is>
      </c>
      <c r="Y318" s="116">
        <f>F318/E318</f>
        <v/>
      </c>
      <c r="Z318" s="64">
        <f>E318-N318</f>
        <v/>
      </c>
      <c r="AA318" s="64" t="n">
        <v>1</v>
      </c>
    </row>
    <row r="319" ht="18" customHeight="1" s="202">
      <c r="A319" s="116" t="n">
        <v>20250331</v>
      </c>
      <c r="B319" s="117" t="inlineStr">
        <is>
          <t xml:space="preserve">SEA SILA </t>
        </is>
      </c>
      <c r="C319" s="118" t="n">
        <v>46006</v>
      </c>
      <c r="D319" s="118" t="n">
        <v>46021</v>
      </c>
      <c r="E319" s="67" t="n">
        <v>3</v>
      </c>
      <c r="F319" s="119" t="n">
        <v>0</v>
      </c>
      <c r="G319" s="120" t="n">
        <v>6</v>
      </c>
      <c r="H319" s="121" t="inlineStr">
        <is>
          <t>EURL SALDAE BUILDING</t>
        </is>
      </c>
      <c r="I319" s="121" t="inlineStr">
        <is>
          <t>COLIS</t>
        </is>
      </c>
      <c r="J319" s="117" t="inlineStr">
        <is>
          <t>COLIS</t>
        </is>
      </c>
      <c r="K319" s="48">
        <f>D319+8</f>
        <v/>
      </c>
      <c r="L319" s="48">
        <f>K319+60</f>
        <v/>
      </c>
      <c r="M319" s="71" t="n"/>
      <c r="N319" s="72">
        <f>E319</f>
        <v/>
      </c>
      <c r="O319" s="50">
        <f>F319/E319*N319</f>
        <v/>
      </c>
      <c r="P319" s="273">
        <f>G319/E319*N319</f>
        <v/>
      </c>
      <c r="Q319" s="224" t="n"/>
      <c r="R319" s="58" t="n"/>
      <c r="S319" s="200" t="inlineStr">
        <is>
          <t>SS25290LDJD003</t>
        </is>
      </c>
      <c r="T319" s="201" t="n">
        <v>3</v>
      </c>
      <c r="U319" s="58" t="n"/>
      <c r="V319" s="67" t="n"/>
      <c r="W319" s="67" t="n"/>
      <c r="X319" s="62" t="inlineStr">
        <is>
          <t>N-OP</t>
        </is>
      </c>
      <c r="Y319" s="116">
        <f>F319/E319</f>
        <v/>
      </c>
      <c r="Z319" s="64">
        <f>E319-N319</f>
        <v/>
      </c>
      <c r="AA319" s="64" t="n">
        <v>1</v>
      </c>
    </row>
    <row r="320" ht="18" customHeight="1" s="202">
      <c r="A320" s="116" t="n">
        <v>20250331</v>
      </c>
      <c r="B320" s="117" t="inlineStr">
        <is>
          <t xml:space="preserve">SEA SILA </t>
        </is>
      </c>
      <c r="C320" s="118" t="n">
        <v>46006</v>
      </c>
      <c r="D320" s="118" t="n">
        <v>46021</v>
      </c>
      <c r="E320" s="67" t="n">
        <v>1</v>
      </c>
      <c r="F320" s="119" t="n">
        <v>17.1</v>
      </c>
      <c r="G320" s="120" t="n">
        <v>9</v>
      </c>
      <c r="H320" s="121" t="inlineStr">
        <is>
          <t>EURL SALDAE BUILDING</t>
        </is>
      </c>
      <c r="I320" s="121" t="inlineStr">
        <is>
          <t>CHARGEURS</t>
        </is>
      </c>
      <c r="J320" s="117" t="inlineStr">
        <is>
          <t>ENGINS</t>
        </is>
      </c>
      <c r="K320" s="48">
        <f>D320+8</f>
        <v/>
      </c>
      <c r="L320" s="48">
        <f>K320+60</f>
        <v/>
      </c>
      <c r="M320" s="71" t="n"/>
      <c r="N320" s="72">
        <f>E320</f>
        <v/>
      </c>
      <c r="O320" s="50">
        <f>F320/E320*N320</f>
        <v/>
      </c>
      <c r="P320" s="273">
        <f>G320/E320*N320</f>
        <v/>
      </c>
      <c r="Q320" s="224" t="n"/>
      <c r="R320" s="58" t="n"/>
      <c r="S320" s="200" t="inlineStr">
        <is>
          <t>SS25290LDJD004</t>
        </is>
      </c>
      <c r="T320" s="201" t="n">
        <v>4</v>
      </c>
      <c r="U320" s="58" t="inlineStr">
        <is>
          <t>01 UNIT XCMG ZL50GN WHEEL LOADER ( VOIR BL)</t>
        </is>
      </c>
      <c r="V320" s="67" t="n"/>
      <c r="W320" s="67" t="n"/>
      <c r="X320" s="62" t="inlineStr">
        <is>
          <t>N-OP</t>
        </is>
      </c>
      <c r="Y320" s="116">
        <f>F320/E320</f>
        <v/>
      </c>
      <c r="Z320" s="64">
        <f>E320-N320</f>
        <v/>
      </c>
    </row>
    <row r="321" ht="18" customHeight="1" s="202">
      <c r="A321" s="116" t="n">
        <v>20250331</v>
      </c>
      <c r="B321" s="117" t="inlineStr">
        <is>
          <t xml:space="preserve">SEA SILA </t>
        </is>
      </c>
      <c r="C321" s="118" t="n">
        <v>46006</v>
      </c>
      <c r="D321" s="118" t="n">
        <v>46021</v>
      </c>
      <c r="E321" s="67" t="n">
        <v>4</v>
      </c>
      <c r="F321" s="119" t="n">
        <v>67.08</v>
      </c>
      <c r="G321" s="120" t="n">
        <v>96</v>
      </c>
      <c r="H321" s="121" t="inlineStr">
        <is>
          <t>SARL LOCA-TERR</t>
        </is>
      </c>
      <c r="I321" s="121" t="inlineStr">
        <is>
          <t>CAMIONS</t>
        </is>
      </c>
      <c r="J321" s="117" t="inlineStr">
        <is>
          <t>LOURD</t>
        </is>
      </c>
      <c r="K321" s="48">
        <f>D321+8</f>
        <v/>
      </c>
      <c r="L321" s="48">
        <f>K321+60</f>
        <v/>
      </c>
      <c r="M321" s="71" t="n"/>
      <c r="N321" s="72">
        <f>E321</f>
        <v/>
      </c>
      <c r="O321" s="50">
        <f>F321/E321*N321</f>
        <v/>
      </c>
      <c r="P321" s="273">
        <f>G321/E321*N321</f>
        <v/>
      </c>
      <c r="Q321" s="224" t="n"/>
      <c r="R321" s="58" t="n"/>
      <c r="S321" s="200" t="inlineStr">
        <is>
          <t>SS25290LDJD011</t>
        </is>
      </c>
      <c r="T321" s="201" t="n">
        <v>11</v>
      </c>
      <c r="U321" s="58" t="inlineStr">
        <is>
          <t>04 UNITS ZZ3317V326GB1 DUMP TRUCK ( VOIR BL)</t>
        </is>
      </c>
      <c r="V321" s="67" t="n"/>
      <c r="W321" s="67" t="n"/>
      <c r="X321" s="62" t="inlineStr">
        <is>
          <t>N-OP</t>
        </is>
      </c>
      <c r="Y321" s="116">
        <f>F321/E321</f>
        <v/>
      </c>
      <c r="Z321" s="64">
        <f>E321-N321</f>
        <v/>
      </c>
      <c r="AA321" s="64" t="n">
        <v>1</v>
      </c>
    </row>
    <row r="322" ht="18" customHeight="1" s="202">
      <c r="A322" s="116" t="n">
        <v>20250331</v>
      </c>
      <c r="B322" s="117" t="inlineStr">
        <is>
          <t xml:space="preserve">SEA SILA </t>
        </is>
      </c>
      <c r="C322" s="118" t="n">
        <v>46006</v>
      </c>
      <c r="D322" s="118" t="n">
        <v>46021</v>
      </c>
      <c r="E322" s="67" t="n">
        <v>4</v>
      </c>
      <c r="F322" s="119" t="n">
        <v>76.8</v>
      </c>
      <c r="G322" s="120" t="n">
        <v>96</v>
      </c>
      <c r="H322" s="121" t="inlineStr">
        <is>
          <t>EURL TOUAT GENERAL SOLUTIONS</t>
        </is>
      </c>
      <c r="I322" s="121" t="inlineStr">
        <is>
          <t>CAMIONS</t>
        </is>
      </c>
      <c r="J322" s="117" t="inlineStr">
        <is>
          <t>LOURD</t>
        </is>
      </c>
      <c r="K322" s="48">
        <f>D322+8</f>
        <v/>
      </c>
      <c r="L322" s="48">
        <f>K322+60</f>
        <v/>
      </c>
      <c r="M322" s="71" t="n"/>
      <c r="N322" s="72">
        <f>E322</f>
        <v/>
      </c>
      <c r="O322" s="50">
        <f>F322/E322*N322</f>
        <v/>
      </c>
      <c r="P322" s="273">
        <f>G322/E322*N322</f>
        <v/>
      </c>
      <c r="Q322" s="224" t="n"/>
      <c r="R322" s="58" t="n"/>
      <c r="S322" s="200" t="inlineStr">
        <is>
          <t>SS25290LDJD016/84/85</t>
        </is>
      </c>
      <c r="T322" s="201" t="n">
        <v>15</v>
      </c>
      <c r="U322" s="58" t="inlineStr">
        <is>
          <t>02 UNITS ZZ1257N464GB1 HOWO 6X4 20CBM WATER TRUCK 02 UNITS ZZ1257N464GB1 HOWO 6X4 10T TRUCK MOUNTED TRUCK 02 UNITS ZZ1187N461GB1HOWO 6X4 12CBM FUEL TRUCK ( VOIR BL)</t>
        </is>
      </c>
      <c r="V322" s="67" t="n"/>
      <c r="W322" s="67" t="n"/>
      <c r="X322" s="62" t="inlineStr">
        <is>
          <t>N-OP</t>
        </is>
      </c>
      <c r="Y322" s="116">
        <f>F322/E322</f>
        <v/>
      </c>
      <c r="Z322" s="64">
        <f>E322-N322</f>
        <v/>
      </c>
      <c r="AA322" s="64" t="n">
        <v>1</v>
      </c>
    </row>
    <row r="323" ht="18" customHeight="1" s="202">
      <c r="A323" s="116" t="n">
        <v>20250331</v>
      </c>
      <c r="B323" s="117" t="inlineStr">
        <is>
          <t xml:space="preserve">SEA SILA </t>
        </is>
      </c>
      <c r="C323" s="118" t="n">
        <v>46006</v>
      </c>
      <c r="D323" s="118" t="n">
        <v>46021</v>
      </c>
      <c r="E323" s="67" t="n">
        <v>2</v>
      </c>
      <c r="F323" s="119" t="n">
        <v>25.6</v>
      </c>
      <c r="G323" s="120" t="n">
        <v>120</v>
      </c>
      <c r="H323" s="121" t="inlineStr">
        <is>
          <t>EURL TOUAT GENERAL SOLUTIONS</t>
        </is>
      </c>
      <c r="I323" s="121" t="inlineStr">
        <is>
          <t>CAMION GRUE</t>
        </is>
      </c>
      <c r="J323" s="117" t="inlineStr">
        <is>
          <t>ENGINS</t>
        </is>
      </c>
      <c r="K323" s="48">
        <f>D323+8</f>
        <v/>
      </c>
      <c r="L323" s="48">
        <f>K323+60</f>
        <v/>
      </c>
      <c r="M323" s="71" t="n"/>
      <c r="N323" s="72">
        <f>E323</f>
        <v/>
      </c>
      <c r="O323" s="50">
        <f>F323/E323*N323</f>
        <v/>
      </c>
      <c r="P323" s="273">
        <f>G323/E323*N323</f>
        <v/>
      </c>
      <c r="Q323" s="224" t="n"/>
      <c r="R323" s="58" t="n"/>
      <c r="S323" s="200" t="inlineStr">
        <is>
          <t>SS25290LDJD016/84/85</t>
        </is>
      </c>
      <c r="T323" s="201" t="n">
        <v>15</v>
      </c>
      <c r="U323" s="58" t="n">
        <v>12.8</v>
      </c>
      <c r="V323" s="67" t="n"/>
      <c r="W323" s="67" t="n"/>
      <c r="X323" s="62" t="inlineStr">
        <is>
          <t>N-OP</t>
        </is>
      </c>
      <c r="Y323" s="116">
        <f>F323/E323</f>
        <v/>
      </c>
      <c r="Z323" s="64">
        <f>E323-N323</f>
        <v/>
      </c>
    </row>
    <row r="324" ht="18" customHeight="1" s="202">
      <c r="A324" s="116" t="n">
        <v>20250331</v>
      </c>
      <c r="B324" s="117" t="inlineStr">
        <is>
          <t xml:space="preserve">SEA SILA </t>
        </is>
      </c>
      <c r="C324" s="118" t="n">
        <v>46006</v>
      </c>
      <c r="D324" s="118" t="n">
        <v>46021</v>
      </c>
      <c r="E324" s="67" t="n">
        <v>1</v>
      </c>
      <c r="F324" s="119" t="n">
        <v>12.33</v>
      </c>
      <c r="G324" s="120" t="n">
        <v>24</v>
      </c>
      <c r="H324" s="121" t="inlineStr">
        <is>
          <t>DIAB SAAD</t>
        </is>
      </c>
      <c r="I324" s="121" t="inlineStr">
        <is>
          <t>CAMIONS</t>
        </is>
      </c>
      <c r="J324" s="117" t="inlineStr">
        <is>
          <t>LOURD</t>
        </is>
      </c>
      <c r="K324" s="48">
        <f>D324+8</f>
        <v/>
      </c>
      <c r="L324" s="48">
        <f>K324+60</f>
        <v/>
      </c>
      <c r="M324" s="71" t="n"/>
      <c r="N324" s="72">
        <f>E324</f>
        <v/>
      </c>
      <c r="O324" s="50">
        <f>F324/E324*N324</f>
        <v/>
      </c>
      <c r="P324" s="273">
        <f>G324/E324*N324</f>
        <v/>
      </c>
      <c r="Q324" s="224" t="n"/>
      <c r="R324" s="58" t="n"/>
      <c r="S324" s="200" t="inlineStr">
        <is>
          <t>SS25290LDJD017</t>
        </is>
      </c>
      <c r="T324" s="201" t="n">
        <v>16</v>
      </c>
      <c r="U324" s="58" t="inlineStr">
        <is>
          <t>01 UNIT SX3255JM384 DUMP TRUCK ( VOIR BL)</t>
        </is>
      </c>
      <c r="V324" s="67" t="n"/>
      <c r="W324" s="67" t="n"/>
      <c r="X324" s="62" t="inlineStr">
        <is>
          <t>N-OP</t>
        </is>
      </c>
      <c r="Y324" s="116">
        <f>F324/E324</f>
        <v/>
      </c>
      <c r="Z324" s="64">
        <f>E324-N324</f>
        <v/>
      </c>
      <c r="AA324" s="64" t="n">
        <v>2</v>
      </c>
    </row>
    <row r="325" ht="18" customHeight="1" s="202">
      <c r="A325" s="116" t="n">
        <v>20250331</v>
      </c>
      <c r="B325" s="117" t="inlineStr">
        <is>
          <t xml:space="preserve">SEA SILA </t>
        </is>
      </c>
      <c r="C325" s="118" t="n">
        <v>46006</v>
      </c>
      <c r="D325" s="118" t="n">
        <v>46021</v>
      </c>
      <c r="E325" s="67" t="n">
        <v>3</v>
      </c>
      <c r="F325" s="119" t="n">
        <v>31.0268571428571</v>
      </c>
      <c r="G325" s="120" t="n">
        <v>24</v>
      </c>
      <c r="H325" s="121" t="inlineStr">
        <is>
          <t>EURL SAVIB BENSAID MANSOUR</t>
        </is>
      </c>
      <c r="I325" s="121" t="inlineStr">
        <is>
          <t>RETROCHARGEURS</t>
        </is>
      </c>
      <c r="J325" s="117" t="inlineStr">
        <is>
          <t>ENGINS</t>
        </is>
      </c>
      <c r="K325" s="48">
        <f>D325+8</f>
        <v/>
      </c>
      <c r="L325" s="48">
        <f>K325+60</f>
        <v/>
      </c>
      <c r="M325" s="71" t="n"/>
      <c r="N325" s="72">
        <f>E325</f>
        <v/>
      </c>
      <c r="O325" s="50">
        <f>F325/E325*N325</f>
        <v/>
      </c>
      <c r="P325" s="273">
        <f>G325/E325*N325</f>
        <v/>
      </c>
      <c r="Q325" s="224" t="n"/>
      <c r="R325" s="58" t="n"/>
      <c r="S325" s="200" t="inlineStr">
        <is>
          <t>SS25290LDJD022A-C/E-</t>
        </is>
      </c>
      <c r="T325" s="201" t="n">
        <v>20</v>
      </c>
      <c r="U325" s="58" t="inlineStr">
        <is>
          <t>01 UNIT XCMG BACKHOE LOADER XC8-S2570 / 01 UNIT 3 TON COMPACTOR XCMG XMR303 /01 UNIT XCMG 5 TON WHEEL LOADER ZL50GN /02 UNITS CLW5080XLCQ6 ISUZU 5 TON REFRIGERATED TRUCK ( VOIR BL)</t>
        </is>
      </c>
      <c r="V325" s="67" t="n"/>
      <c r="W325" s="67" t="n"/>
      <c r="X325" s="62" t="inlineStr">
        <is>
          <t>N-OP</t>
        </is>
      </c>
      <c r="Y325" s="116">
        <f>F325/E325</f>
        <v/>
      </c>
      <c r="Z325" s="64">
        <f>E325-N325</f>
        <v/>
      </c>
      <c r="AA325" s="64" t="n">
        <v>2</v>
      </c>
    </row>
    <row r="326" ht="18" customHeight="1" s="202">
      <c r="A326" s="116" t="n">
        <v>20250331</v>
      </c>
      <c r="B326" s="117" t="inlineStr">
        <is>
          <t xml:space="preserve">SEA SILA </t>
        </is>
      </c>
      <c r="C326" s="118" t="n">
        <v>46006</v>
      </c>
      <c r="D326" s="118" t="n">
        <v>46021</v>
      </c>
      <c r="E326" s="67" t="n">
        <v>11</v>
      </c>
      <c r="F326" s="119" t="n">
        <v>113.765142857143</v>
      </c>
      <c r="G326" s="120" t="n">
        <v>264</v>
      </c>
      <c r="H326" s="121" t="inlineStr">
        <is>
          <t>EURL SAVIB BENSAID MANSOUR</t>
        </is>
      </c>
      <c r="I326" s="121" t="inlineStr">
        <is>
          <t>CAMIONS</t>
        </is>
      </c>
      <c r="J326" s="117" t="inlineStr">
        <is>
          <t>LOURD</t>
        </is>
      </c>
      <c r="K326" s="48">
        <f>D326+8</f>
        <v/>
      </c>
      <c r="L326" s="48">
        <f>K326+60</f>
        <v/>
      </c>
      <c r="M326" s="71" t="n"/>
      <c r="N326" s="72">
        <f>E326</f>
        <v/>
      </c>
      <c r="O326" s="50">
        <f>F326/E326*N326</f>
        <v/>
      </c>
      <c r="P326" s="273">
        <f>G326/E326*N326</f>
        <v/>
      </c>
      <c r="Q326" s="224" t="n"/>
      <c r="R326" s="58" t="n"/>
      <c r="S326" s="200" t="inlineStr">
        <is>
          <t>SS25290LDJD022A-C/E-</t>
        </is>
      </c>
      <c r="T326" s="201" t="n">
        <v>20</v>
      </c>
      <c r="U326" s="58" t="n"/>
      <c r="V326" s="67" t="n"/>
      <c r="W326" s="67" t="n"/>
      <c r="X326" s="62" t="inlineStr">
        <is>
          <t>N-OP</t>
        </is>
      </c>
      <c r="Y326" s="116">
        <f>F326/E326</f>
        <v/>
      </c>
      <c r="Z326" s="64">
        <f>E326-N326</f>
        <v/>
      </c>
    </row>
    <row r="327" ht="18" customHeight="1" s="202">
      <c r="A327" s="116" t="n">
        <v>20250331</v>
      </c>
      <c r="B327" s="117" t="inlineStr">
        <is>
          <t xml:space="preserve">SEA SILA </t>
        </is>
      </c>
      <c r="C327" s="118" t="n">
        <v>46006</v>
      </c>
      <c r="D327" s="118" t="n">
        <v>46021</v>
      </c>
      <c r="E327" s="67" t="n">
        <v>6</v>
      </c>
      <c r="F327" s="119" t="n">
        <v>0</v>
      </c>
      <c r="G327" s="120" t="n">
        <v>18</v>
      </c>
      <c r="H327" s="121" t="inlineStr">
        <is>
          <t>EURL SAVIB BENSAID MANSOUR</t>
        </is>
      </c>
      <c r="I327" s="121" t="inlineStr">
        <is>
          <t>COLIS</t>
        </is>
      </c>
      <c r="J327" s="117" t="inlineStr">
        <is>
          <t>COLIS</t>
        </is>
      </c>
      <c r="K327" s="48">
        <f>D327+8</f>
        <v/>
      </c>
      <c r="L327" s="48">
        <f>K327+60</f>
        <v/>
      </c>
      <c r="M327" s="71" t="n"/>
      <c r="N327" s="72">
        <f>E327</f>
        <v/>
      </c>
      <c r="O327" s="50">
        <f>F327/E327*N327</f>
        <v/>
      </c>
      <c r="P327" s="273">
        <f>G327/E327*N327</f>
        <v/>
      </c>
      <c r="Q327" s="224" t="n"/>
      <c r="R327" s="58" t="n"/>
      <c r="S327" s="200" t="inlineStr">
        <is>
          <t>SS25290LDJD022A-C/E-</t>
        </is>
      </c>
      <c r="T327" s="201" t="n">
        <v>20</v>
      </c>
      <c r="U327" s="58" t="n"/>
      <c r="V327" s="67" t="n"/>
      <c r="W327" s="67" t="n"/>
      <c r="X327" s="62" t="inlineStr">
        <is>
          <t>N-OP</t>
        </is>
      </c>
      <c r="Y327" s="116">
        <f>F327/E327</f>
        <v/>
      </c>
      <c r="Z327" s="64">
        <f>E327-N327</f>
        <v/>
      </c>
    </row>
    <row r="328" ht="18" customHeight="1" s="202">
      <c r="A328" s="116" t="n">
        <v>20250331</v>
      </c>
      <c r="B328" s="117" t="inlineStr">
        <is>
          <t xml:space="preserve">SEA SILA </t>
        </is>
      </c>
      <c r="C328" s="118" t="n">
        <v>46006</v>
      </c>
      <c r="D328" s="118" t="n">
        <v>46021</v>
      </c>
      <c r="E328" s="67" t="n">
        <v>4</v>
      </c>
      <c r="F328" s="119" t="n">
        <v>0.22</v>
      </c>
      <c r="G328" s="120" t="n">
        <v>20</v>
      </c>
      <c r="H328" s="121" t="inlineStr">
        <is>
          <t>EURL SAVIB BENSAID MANSOUR</t>
        </is>
      </c>
      <c r="I328" s="121" t="inlineStr">
        <is>
          <t>COLIS</t>
        </is>
      </c>
      <c r="J328" s="117" t="inlineStr">
        <is>
          <t>COLIS</t>
        </is>
      </c>
      <c r="K328" s="48">
        <f>D328+8</f>
        <v/>
      </c>
      <c r="L328" s="48">
        <f>K328+60</f>
        <v/>
      </c>
      <c r="M328" s="71" t="n"/>
      <c r="N328" s="72">
        <f>E328</f>
        <v/>
      </c>
      <c r="O328" s="50">
        <f>F328/E328*N328</f>
        <v/>
      </c>
      <c r="P328" s="273">
        <f>G328/E328*N328</f>
        <v/>
      </c>
      <c r="Q328" s="224" t="n"/>
      <c r="R328" s="58" t="n"/>
      <c r="S328" s="200" t="inlineStr">
        <is>
          <t>SS25290LDJD022D</t>
        </is>
      </c>
      <c r="T328" s="201" t="n">
        <v>21</v>
      </c>
      <c r="U328" s="58" t="inlineStr">
        <is>
          <t>OFFICE DESK /OFFICE CHAIR</t>
        </is>
      </c>
      <c r="V328" s="67" t="n"/>
      <c r="W328" s="67" t="n"/>
      <c r="X328" s="62" t="inlineStr">
        <is>
          <t>N-OP</t>
        </is>
      </c>
      <c r="Y328" s="116">
        <f>F328/E328</f>
        <v/>
      </c>
      <c r="Z328" s="64">
        <f>E328-N328</f>
        <v/>
      </c>
    </row>
    <row r="329" ht="18" customHeight="1" s="202">
      <c r="A329" s="106" t="n">
        <v>20250331</v>
      </c>
      <c r="B329" s="107" t="inlineStr">
        <is>
          <t xml:space="preserve">SEA SILA </t>
        </is>
      </c>
      <c r="C329" s="108" t="n">
        <v>46006</v>
      </c>
      <c r="D329" s="108" t="n">
        <v>46021</v>
      </c>
      <c r="E329" s="106" t="n">
        <v>1</v>
      </c>
      <c r="F329" s="106" t="n">
        <v>14.3628571428571</v>
      </c>
      <c r="G329" s="106" t="n">
        <v>24</v>
      </c>
      <c r="H329" s="109" t="inlineStr">
        <is>
          <t>MADI ABDELOUAHAB</t>
        </is>
      </c>
      <c r="I329" s="109" t="inlineStr">
        <is>
          <t>CHARGEURS</t>
        </is>
      </c>
      <c r="J329" s="107" t="inlineStr">
        <is>
          <t>ENGINS</t>
        </is>
      </c>
      <c r="K329" s="108">
        <f>D329+8</f>
        <v/>
      </c>
      <c r="L329" s="108">
        <f>K329+60</f>
        <v/>
      </c>
      <c r="M329" s="111" t="n"/>
      <c r="N329" s="112">
        <f>E329-1</f>
        <v/>
      </c>
      <c r="O329" s="113">
        <f>F329/E329*N329</f>
        <v/>
      </c>
      <c r="P329" s="112">
        <f>G329/E329*N329</f>
        <v/>
      </c>
      <c r="Q329" s="109" t="n"/>
      <c r="R329" s="109" t="n"/>
      <c r="S329" s="109" t="inlineStr">
        <is>
          <t>SS25290LDJD025</t>
        </is>
      </c>
      <c r="T329" s="114" t="n">
        <v>23</v>
      </c>
      <c r="U329" s="109" t="inlineStr">
        <is>
          <t>01 UNIT WHEEL LOADER XCMG ZL50GN 01 UNIT FORKLIFT HELI 3 TONS CPCD30 01 UNIT MOTOR GRADER GR215 01 UNIT XCMG COMPACTOR XP263 01 UNIT SHACMAN WATER TRUCK F2000 20M3 02 UNITS SHACMAN DUMPER TRUCK F2000</t>
        </is>
      </c>
      <c r="V329" s="106" t="n"/>
      <c r="W329" s="106" t="n"/>
      <c r="X329" s="106" t="inlineStr">
        <is>
          <t>SOLDEE</t>
        </is>
      </c>
      <c r="Y329" s="116">
        <f>F329/E329</f>
        <v/>
      </c>
      <c r="Z329" s="64">
        <f>E329-N329</f>
        <v/>
      </c>
    </row>
    <row r="330" ht="18" customHeight="1" s="202">
      <c r="A330" s="106" t="n">
        <v>20250331</v>
      </c>
      <c r="B330" s="107" t="inlineStr">
        <is>
          <t xml:space="preserve">SEA SILA </t>
        </is>
      </c>
      <c r="C330" s="108" t="n">
        <v>46006</v>
      </c>
      <c r="D330" s="108" t="n">
        <v>46021</v>
      </c>
      <c r="E330" s="106" t="n">
        <v>1</v>
      </c>
      <c r="F330" s="106" t="n">
        <v>14.3628571428571</v>
      </c>
      <c r="G330" s="106" t="n">
        <v>24</v>
      </c>
      <c r="H330" s="109" t="inlineStr">
        <is>
          <t>MADI ABDELOUAHAB</t>
        </is>
      </c>
      <c r="I330" s="109" t="inlineStr">
        <is>
          <t>CHARIOT ELEVATEUR</t>
        </is>
      </c>
      <c r="J330" s="107" t="inlineStr">
        <is>
          <t>ENGINS</t>
        </is>
      </c>
      <c r="K330" s="108">
        <f>D330+8</f>
        <v/>
      </c>
      <c r="L330" s="108">
        <f>K330+60</f>
        <v/>
      </c>
      <c r="M330" s="111" t="n"/>
      <c r="N330" s="112">
        <f>E330-1</f>
        <v/>
      </c>
      <c r="O330" s="113">
        <f>F330/E330*N330</f>
        <v/>
      </c>
      <c r="P330" s="112">
        <f>G330/E330*N330</f>
        <v/>
      </c>
      <c r="Q330" s="109" t="n"/>
      <c r="R330" s="109" t="n"/>
      <c r="S330" s="109" t="inlineStr">
        <is>
          <t>SS25290LDJD025</t>
        </is>
      </c>
      <c r="T330" s="114" t="n">
        <v>23</v>
      </c>
      <c r="U330" s="109" t="n"/>
      <c r="V330" s="106" t="n"/>
      <c r="W330" s="106" t="n"/>
      <c r="X330" s="106" t="inlineStr">
        <is>
          <t>SOLDEE</t>
        </is>
      </c>
      <c r="Y330" s="116">
        <f>F330/E330</f>
        <v/>
      </c>
      <c r="Z330" s="64">
        <f>E330-N330</f>
        <v/>
      </c>
    </row>
    <row r="331" ht="18" customHeight="1" s="202">
      <c r="A331" s="106" t="n">
        <v>20250331</v>
      </c>
      <c r="B331" s="107" t="inlineStr">
        <is>
          <t xml:space="preserve">SEA SILA </t>
        </is>
      </c>
      <c r="C331" s="108" t="n">
        <v>46006</v>
      </c>
      <c r="D331" s="108" t="n">
        <v>46021</v>
      </c>
      <c r="E331" s="106" t="n">
        <v>1</v>
      </c>
      <c r="F331" s="106" t="n">
        <v>14.3628571428571</v>
      </c>
      <c r="G331" s="106" t="n">
        <v>24</v>
      </c>
      <c r="H331" s="109" t="inlineStr">
        <is>
          <t>MADI ABDELOUAHAB</t>
        </is>
      </c>
      <c r="I331" s="109" t="inlineStr">
        <is>
          <t>COMPACTEURS</t>
        </is>
      </c>
      <c r="J331" s="107" t="inlineStr">
        <is>
          <t>ENGINS</t>
        </is>
      </c>
      <c r="K331" s="108">
        <f>D331+8</f>
        <v/>
      </c>
      <c r="L331" s="108">
        <f>K331+60</f>
        <v/>
      </c>
      <c r="M331" s="111" t="n"/>
      <c r="N331" s="112">
        <f>E331-1</f>
        <v/>
      </c>
      <c r="O331" s="113">
        <f>F331/E331*N331</f>
        <v/>
      </c>
      <c r="P331" s="112">
        <f>G331/E331*N331</f>
        <v/>
      </c>
      <c r="Q331" s="109" t="n"/>
      <c r="R331" s="109" t="n"/>
      <c r="S331" s="109" t="inlineStr">
        <is>
          <t>SS25290LDJD025</t>
        </is>
      </c>
      <c r="T331" s="114" t="n">
        <v>23</v>
      </c>
      <c r="U331" s="109" t="n"/>
      <c r="V331" s="106" t="n"/>
      <c r="W331" s="106" t="n"/>
      <c r="X331" s="106" t="inlineStr">
        <is>
          <t>SOLDEE</t>
        </is>
      </c>
      <c r="Y331" s="116">
        <f>F331/E331</f>
        <v/>
      </c>
      <c r="Z331" s="64">
        <f>E331-N331</f>
        <v/>
      </c>
      <c r="AA331" s="30" t="n"/>
    </row>
    <row r="332" ht="18" customHeight="1" s="202">
      <c r="A332" s="106" t="n">
        <v>20250331</v>
      </c>
      <c r="B332" s="107" t="inlineStr">
        <is>
          <t xml:space="preserve">SEA SILA </t>
        </is>
      </c>
      <c r="C332" s="108" t="n">
        <v>46006</v>
      </c>
      <c r="D332" s="108" t="n">
        <v>46021</v>
      </c>
      <c r="E332" s="106" t="n">
        <v>1</v>
      </c>
      <c r="F332" s="106" t="n">
        <v>14.3628571428571</v>
      </c>
      <c r="G332" s="106" t="n">
        <v>40</v>
      </c>
      <c r="H332" s="109" t="inlineStr">
        <is>
          <t>MADI ABDELOUAHAB</t>
        </is>
      </c>
      <c r="I332" s="109" t="inlineStr">
        <is>
          <t>NIVELEUSES</t>
        </is>
      </c>
      <c r="J332" s="107" t="inlineStr">
        <is>
          <t>ENGINS</t>
        </is>
      </c>
      <c r="K332" s="108">
        <f>D332+8</f>
        <v/>
      </c>
      <c r="L332" s="108">
        <f>K332+60</f>
        <v/>
      </c>
      <c r="M332" s="111" t="n"/>
      <c r="N332" s="112">
        <f>E332-1</f>
        <v/>
      </c>
      <c r="O332" s="113">
        <f>F332/E332*N332</f>
        <v/>
      </c>
      <c r="P332" s="112">
        <f>G332/E332*N332</f>
        <v/>
      </c>
      <c r="Q332" s="109" t="n"/>
      <c r="R332" s="109" t="n"/>
      <c r="S332" s="109" t="inlineStr">
        <is>
          <t>SS25290LDJD025</t>
        </is>
      </c>
      <c r="T332" s="114" t="n">
        <v>23</v>
      </c>
      <c r="U332" s="109" t="n"/>
      <c r="V332" s="106" t="n"/>
      <c r="W332" s="106" t="n"/>
      <c r="X332" s="106" t="inlineStr">
        <is>
          <t>SOLDEE</t>
        </is>
      </c>
      <c r="Y332" s="116">
        <f>F332/E332</f>
        <v/>
      </c>
      <c r="Z332" s="64">
        <f>E332-N332</f>
        <v/>
      </c>
      <c r="AA332" s="30" t="n"/>
    </row>
    <row r="333" ht="18" customHeight="1" s="202">
      <c r="A333" s="106" t="n">
        <v>20250331</v>
      </c>
      <c r="B333" s="107" t="inlineStr">
        <is>
          <t xml:space="preserve">SEA SILA </t>
        </is>
      </c>
      <c r="C333" s="108" t="n">
        <v>46006</v>
      </c>
      <c r="D333" s="108" t="n">
        <v>46021</v>
      </c>
      <c r="E333" s="106" t="n">
        <v>3</v>
      </c>
      <c r="F333" s="106" t="n">
        <v>43.0885714285714</v>
      </c>
      <c r="G333" s="106" t="n">
        <v>72</v>
      </c>
      <c r="H333" s="109" t="inlineStr">
        <is>
          <t>MADI ABDELOUAHAB</t>
        </is>
      </c>
      <c r="I333" s="109" t="inlineStr">
        <is>
          <t>CAMIONS</t>
        </is>
      </c>
      <c r="J333" s="107" t="inlineStr">
        <is>
          <t>LOURD</t>
        </is>
      </c>
      <c r="K333" s="108">
        <f>D333+8</f>
        <v/>
      </c>
      <c r="L333" s="108">
        <f>K333+60</f>
        <v/>
      </c>
      <c r="M333" s="111" t="n"/>
      <c r="N333" s="112">
        <f>E333-3</f>
        <v/>
      </c>
      <c r="O333" s="113">
        <f>F333/E333*N333</f>
        <v/>
      </c>
      <c r="P333" s="112">
        <f>G333/E333*N333</f>
        <v/>
      </c>
      <c r="Q333" s="109" t="n"/>
      <c r="R333" s="109" t="n"/>
      <c r="S333" s="109" t="inlineStr">
        <is>
          <t>SS25290LDJD025</t>
        </is>
      </c>
      <c r="T333" s="114" t="n">
        <v>23</v>
      </c>
      <c r="U333" s="109" t="n"/>
      <c r="V333" s="106" t="n"/>
      <c r="W333" s="106" t="n"/>
      <c r="X333" s="106" t="inlineStr">
        <is>
          <t>SOLDEE</t>
        </is>
      </c>
      <c r="Y333" s="116">
        <f>F333/E333</f>
        <v/>
      </c>
      <c r="Z333" s="30" t="n"/>
      <c r="AA333" s="30" t="n"/>
    </row>
    <row r="334" ht="18" customHeight="1" s="202">
      <c r="A334" s="106" t="n">
        <v>20250331</v>
      </c>
      <c r="B334" s="107" t="inlineStr">
        <is>
          <t xml:space="preserve">SEA SILA </t>
        </is>
      </c>
      <c r="C334" s="108" t="n">
        <v>46006</v>
      </c>
      <c r="D334" s="108" t="n">
        <v>46021</v>
      </c>
      <c r="E334" s="106" t="n">
        <v>3</v>
      </c>
      <c r="F334" s="106" t="n">
        <v>0</v>
      </c>
      <c r="G334" s="106" t="n">
        <v>9</v>
      </c>
      <c r="H334" s="109" t="inlineStr">
        <is>
          <t>MADI ABDELOUAHAB</t>
        </is>
      </c>
      <c r="I334" s="109" t="inlineStr">
        <is>
          <t>COLIS</t>
        </is>
      </c>
      <c r="J334" s="107" t="inlineStr">
        <is>
          <t>COLIS</t>
        </is>
      </c>
      <c r="K334" s="108">
        <f>D334+8</f>
        <v/>
      </c>
      <c r="L334" s="108">
        <f>K334+60</f>
        <v/>
      </c>
      <c r="M334" s="111" t="n"/>
      <c r="N334" s="112">
        <f>E334-3</f>
        <v/>
      </c>
      <c r="O334" s="113">
        <f>F334/E334*N334</f>
        <v/>
      </c>
      <c r="P334" s="112">
        <f>G334/E334*N334</f>
        <v/>
      </c>
      <c r="Q334" s="109" t="n"/>
      <c r="R334" s="109" t="n"/>
      <c r="S334" s="109" t="inlineStr">
        <is>
          <t>SS25290LDJD025</t>
        </is>
      </c>
      <c r="T334" s="114" t="n">
        <v>23</v>
      </c>
      <c r="U334" s="109" t="n"/>
      <c r="V334" s="106" t="n"/>
      <c r="W334" s="106" t="n"/>
      <c r="X334" s="106" t="inlineStr">
        <is>
          <t>SOLDEE</t>
        </is>
      </c>
      <c r="Y334" s="116">
        <f>F334/E334</f>
        <v/>
      </c>
      <c r="Z334" s="64">
        <f>E334-N334</f>
        <v/>
      </c>
      <c r="AA334" s="30" t="n"/>
    </row>
    <row r="335" ht="18" customHeight="1" s="202">
      <c r="A335" s="116" t="n">
        <v>20250331</v>
      </c>
      <c r="B335" s="117" t="inlineStr">
        <is>
          <t xml:space="preserve">SEA SILA </t>
        </is>
      </c>
      <c r="C335" s="118" t="n">
        <v>46006</v>
      </c>
      <c r="D335" s="118" t="n">
        <v>46021</v>
      </c>
      <c r="E335" s="67" t="n">
        <v>1</v>
      </c>
      <c r="F335" s="119" t="n">
        <v>16</v>
      </c>
      <c r="G335" s="120" t="n">
        <v>24</v>
      </c>
      <c r="H335" s="121" t="inlineStr">
        <is>
          <t>SARL EL MORDJANE SERVICES GENERALE</t>
        </is>
      </c>
      <c r="I335" s="121" t="inlineStr">
        <is>
          <t>COMPACTEURS</t>
        </is>
      </c>
      <c r="J335" s="117" t="inlineStr">
        <is>
          <t>ENGINS</t>
        </is>
      </c>
      <c r="K335" s="48">
        <f>D335+8</f>
        <v/>
      </c>
      <c r="L335" s="48">
        <f>K335+60</f>
        <v/>
      </c>
      <c r="M335" s="71" t="n"/>
      <c r="N335" s="72">
        <f>E335</f>
        <v/>
      </c>
      <c r="O335" s="50">
        <f>F335/E335*N335</f>
        <v/>
      </c>
      <c r="P335" s="273">
        <f>G335/E335*N335</f>
        <v/>
      </c>
      <c r="Q335" s="224" t="n"/>
      <c r="R335" s="58" t="n"/>
      <c r="S335" s="200" t="inlineStr">
        <is>
          <t>SS25290LDJD026</t>
        </is>
      </c>
      <c r="T335" s="201" t="n">
        <v>24</v>
      </c>
      <c r="U335" s="58" t="inlineStr">
        <is>
          <t>01 UNIT XCMG TYRE ROLLER XP163 ( VOIR BL)</t>
        </is>
      </c>
      <c r="V335" s="67" t="n"/>
      <c r="W335" s="67" t="n"/>
      <c r="X335" s="62" t="inlineStr">
        <is>
          <t>N-OP</t>
        </is>
      </c>
      <c r="Y335" s="116">
        <f>F335/E335</f>
        <v/>
      </c>
      <c r="Z335" s="64">
        <f>E335-N335</f>
        <v/>
      </c>
      <c r="AA335" s="30" t="n"/>
    </row>
    <row r="336" ht="18" customHeight="1" s="202">
      <c r="A336" s="116" t="n">
        <v>20250331</v>
      </c>
      <c r="B336" s="117" t="inlineStr">
        <is>
          <t xml:space="preserve">SEA SILA </t>
        </is>
      </c>
      <c r="C336" s="118" t="n">
        <v>46006</v>
      </c>
      <c r="D336" s="118" t="n">
        <v>46021</v>
      </c>
      <c r="E336" s="67" t="n">
        <v>2</v>
      </c>
      <c r="F336" s="119" t="n">
        <v>68.45</v>
      </c>
      <c r="G336" s="120" t="n">
        <v>48</v>
      </c>
      <c r="H336" s="121" t="inlineStr">
        <is>
          <t>SARL SOUMMAM SOUM</t>
        </is>
      </c>
      <c r="I336" s="121" t="inlineStr">
        <is>
          <t>EXCAVATEURS</t>
        </is>
      </c>
      <c r="J336" s="117" t="inlineStr">
        <is>
          <t>ENGINS</t>
        </is>
      </c>
      <c r="K336" s="48">
        <f>D336+8</f>
        <v/>
      </c>
      <c r="L336" s="48">
        <f>K336+60</f>
        <v/>
      </c>
      <c r="M336" s="71" t="n"/>
      <c r="N336" s="72">
        <f>E336</f>
        <v/>
      </c>
      <c r="O336" s="50">
        <f>F336/E336*N336</f>
        <v/>
      </c>
      <c r="P336" s="273">
        <f>G336/E336*N336</f>
        <v/>
      </c>
      <c r="Q336" s="224" t="n"/>
      <c r="R336" s="58" t="n"/>
      <c r="S336" s="200" t="inlineStr">
        <is>
          <t>SS25290LDJD028</t>
        </is>
      </c>
      <c r="T336" s="201" t="n">
        <v>26</v>
      </c>
      <c r="U336" s="58" t="inlineStr">
        <is>
          <t>02 UNITS HYUNDAI EXCAVATOR HX340HD ( VOIR BL)</t>
        </is>
      </c>
      <c r="V336" s="67" t="n"/>
      <c r="W336" s="67" t="n"/>
      <c r="X336" s="62" t="inlineStr">
        <is>
          <t>N-OP</t>
        </is>
      </c>
      <c r="Y336" s="116">
        <f>F336/E336</f>
        <v/>
      </c>
      <c r="Z336" s="64">
        <f>E336-N336</f>
        <v/>
      </c>
      <c r="AA336" s="30" t="n"/>
    </row>
    <row r="337" ht="18" customHeight="1" s="202">
      <c r="A337" s="116" t="n">
        <v>20250331</v>
      </c>
      <c r="B337" s="117" t="inlineStr">
        <is>
          <t xml:space="preserve">SEA SILA </t>
        </is>
      </c>
      <c r="C337" s="118" t="n">
        <v>46006</v>
      </c>
      <c r="D337" s="118" t="n">
        <v>46021</v>
      </c>
      <c r="E337" s="67" t="n">
        <v>4</v>
      </c>
      <c r="F337" s="119" t="n">
        <v>0</v>
      </c>
      <c r="G337" s="120" t="n">
        <v>12</v>
      </c>
      <c r="H337" s="121" t="inlineStr">
        <is>
          <t>SARL SOUMMAM SOUM</t>
        </is>
      </c>
      <c r="I337" s="121" t="inlineStr">
        <is>
          <t>COLIS</t>
        </is>
      </c>
      <c r="J337" s="117" t="inlineStr">
        <is>
          <t>COLIS</t>
        </is>
      </c>
      <c r="K337" s="48">
        <f>D337+8</f>
        <v/>
      </c>
      <c r="L337" s="48">
        <f>K337+60</f>
        <v/>
      </c>
      <c r="M337" s="71" t="n"/>
      <c r="N337" s="72">
        <f>E337</f>
        <v/>
      </c>
      <c r="O337" s="50">
        <f>F337/E337*N337</f>
        <v/>
      </c>
      <c r="P337" s="273">
        <f>G337/E337*N337</f>
        <v/>
      </c>
      <c r="Q337" s="224" t="n"/>
      <c r="R337" s="58" t="n"/>
      <c r="S337" s="200" t="inlineStr">
        <is>
          <t>SS25290LDJD028</t>
        </is>
      </c>
      <c r="T337" s="201" t="n">
        <v>26</v>
      </c>
      <c r="U337" s="58" t="n"/>
      <c r="V337" s="67" t="n"/>
      <c r="W337" s="67" t="n"/>
      <c r="X337" s="62" t="inlineStr">
        <is>
          <t>N-OP</t>
        </is>
      </c>
      <c r="Y337" s="116">
        <f>F337/E337</f>
        <v/>
      </c>
      <c r="Z337" s="64">
        <f>E337-N337</f>
        <v/>
      </c>
      <c r="AA337" s="30" t="n"/>
    </row>
    <row r="338" ht="18" customHeight="1" s="202">
      <c r="A338" s="116" t="n">
        <v>20250331</v>
      </c>
      <c r="B338" s="117" t="inlineStr">
        <is>
          <t xml:space="preserve">SEA SILA </t>
        </is>
      </c>
      <c r="C338" s="118" t="n">
        <v>46006</v>
      </c>
      <c r="D338" s="118" t="n">
        <v>46021</v>
      </c>
      <c r="E338" s="67" t="n">
        <v>1</v>
      </c>
      <c r="F338" s="119" t="n">
        <v>15</v>
      </c>
      <c r="G338" s="120" t="n">
        <v>24</v>
      </c>
      <c r="H338" s="121" t="inlineStr">
        <is>
          <t>BERDALI KHEDIDJA</t>
        </is>
      </c>
      <c r="I338" s="121" t="inlineStr">
        <is>
          <t>CAMIONS</t>
        </is>
      </c>
      <c r="J338" s="117" t="inlineStr">
        <is>
          <t>LOURD</t>
        </is>
      </c>
      <c r="K338" s="48">
        <f>D338+8</f>
        <v/>
      </c>
      <c r="L338" s="48">
        <f>K338+60</f>
        <v/>
      </c>
      <c r="M338" s="71" t="n"/>
      <c r="N338" s="72">
        <f>E338</f>
        <v/>
      </c>
      <c r="O338" s="50">
        <f>F338/E338*N338</f>
        <v/>
      </c>
      <c r="P338" s="273">
        <f>G338/E338*N338</f>
        <v/>
      </c>
      <c r="Q338" s="224" t="n"/>
      <c r="R338" s="58" t="n"/>
      <c r="S338" s="200" t="inlineStr">
        <is>
          <t>SS25290LDJD030</t>
        </is>
      </c>
      <c r="T338" s="201" t="n">
        <v>27</v>
      </c>
      <c r="U338" s="58" t="inlineStr">
        <is>
          <t>01 UNIT SX3255JM384 SHACMAN F2000 6X4 DUMP TRUCK ( VOIR BL)</t>
        </is>
      </c>
      <c r="V338" s="67" t="n"/>
      <c r="W338" s="67" t="n"/>
      <c r="X338" s="62" t="inlineStr">
        <is>
          <t>N-OP</t>
        </is>
      </c>
      <c r="Y338" s="116">
        <f>F338/E338</f>
        <v/>
      </c>
      <c r="Z338" s="64">
        <f>E338-N338</f>
        <v/>
      </c>
      <c r="AA338" s="30" t="n"/>
    </row>
    <row r="339" ht="18" customHeight="1" s="202">
      <c r="A339" s="116" t="n">
        <v>20250331</v>
      </c>
      <c r="B339" s="117" t="inlineStr">
        <is>
          <t xml:space="preserve">SEA SILA </t>
        </is>
      </c>
      <c r="C339" s="118" t="n">
        <v>46006</v>
      </c>
      <c r="D339" s="118" t="n">
        <v>46021</v>
      </c>
      <c r="E339" s="67" t="n">
        <v>1</v>
      </c>
      <c r="F339" s="119" t="n">
        <v>15</v>
      </c>
      <c r="G339" s="120" t="n">
        <v>24</v>
      </c>
      <c r="H339" s="121" t="inlineStr">
        <is>
          <t>EURL MECELTI CONSTRUCTION</t>
        </is>
      </c>
      <c r="I339" s="121" t="inlineStr">
        <is>
          <t>CAMIONS</t>
        </is>
      </c>
      <c r="J339" s="117" t="inlineStr">
        <is>
          <t>LOURD</t>
        </is>
      </c>
      <c r="K339" s="48">
        <f>D339+8</f>
        <v/>
      </c>
      <c r="L339" s="48">
        <f>K339+60</f>
        <v/>
      </c>
      <c r="M339" s="71" t="n"/>
      <c r="N339" s="72">
        <f>E339</f>
        <v/>
      </c>
      <c r="O339" s="50">
        <f>F339/E339*N339</f>
        <v/>
      </c>
      <c r="P339" s="273">
        <f>G339/E339*N339</f>
        <v/>
      </c>
      <c r="Q339" s="224" t="n"/>
      <c r="R339" s="58" t="n"/>
      <c r="S339" s="200" t="inlineStr">
        <is>
          <t>SS25290LDJD031</t>
        </is>
      </c>
      <c r="T339" s="201" t="n">
        <v>28</v>
      </c>
      <c r="U339" s="58" t="inlineStr">
        <is>
          <t>01 UNIT SX3255DR384 SHACMAN F3000 6*4 DUMP TRUCK 340HP ( VOIR BL)</t>
        </is>
      </c>
      <c r="V339" s="67" t="n"/>
      <c r="W339" s="67" t="n"/>
      <c r="X339" s="62" t="inlineStr">
        <is>
          <t>N-OP</t>
        </is>
      </c>
      <c r="Y339" s="116">
        <f>F339/E339</f>
        <v/>
      </c>
      <c r="Z339" s="64">
        <f>E339-N339</f>
        <v/>
      </c>
      <c r="AA339" s="30" t="n"/>
    </row>
    <row r="340" ht="18" customHeight="1" s="202">
      <c r="A340" s="116" t="n">
        <v>20250331</v>
      </c>
      <c r="B340" s="117" t="inlineStr">
        <is>
          <t xml:space="preserve">SEA SILA </t>
        </is>
      </c>
      <c r="C340" s="118" t="n">
        <v>46006</v>
      </c>
      <c r="D340" s="118" t="n">
        <v>46021</v>
      </c>
      <c r="E340" s="67" t="n">
        <v>2</v>
      </c>
      <c r="F340" s="119" t="n">
        <v>30</v>
      </c>
      <c r="G340" s="120" t="n">
        <v>48</v>
      </c>
      <c r="H340" s="121" t="inlineStr">
        <is>
          <t>FARAH ABDELHALIM</t>
        </is>
      </c>
      <c r="I340" s="121" t="inlineStr">
        <is>
          <t>CAMIONS</t>
        </is>
      </c>
      <c r="J340" s="117" t="inlineStr">
        <is>
          <t>LOURD</t>
        </is>
      </c>
      <c r="K340" s="48">
        <f>D340+8</f>
        <v/>
      </c>
      <c r="L340" s="48">
        <f>K340+60</f>
        <v/>
      </c>
      <c r="M340" s="71" t="n"/>
      <c r="N340" s="72">
        <f>E340</f>
        <v/>
      </c>
      <c r="O340" s="50">
        <f>F340/E340*N340</f>
        <v/>
      </c>
      <c r="P340" s="273">
        <f>G340/E340*N340</f>
        <v/>
      </c>
      <c r="Q340" s="224" t="n"/>
      <c r="R340" s="58" t="n"/>
      <c r="S340" s="200" t="inlineStr">
        <is>
          <t>SS25290LDJD033</t>
        </is>
      </c>
      <c r="T340" s="201" t="n">
        <v>30</v>
      </c>
      <c r="U340" s="58" t="inlineStr">
        <is>
          <t>02 UNITS SX3255JM384 SHACMAN F2000 6X4 DUMP TRUCK ( VOIR BL)</t>
        </is>
      </c>
      <c r="V340" s="67" t="n"/>
      <c r="W340" s="67" t="n"/>
      <c r="X340" s="62" t="inlineStr">
        <is>
          <t>N-OP</t>
        </is>
      </c>
      <c r="Y340" s="116">
        <f>F340/E340</f>
        <v/>
      </c>
      <c r="Z340" s="64">
        <f>E340-N340</f>
        <v/>
      </c>
      <c r="AA340" s="30" t="n"/>
    </row>
    <row r="341" ht="18" customHeight="1" s="202">
      <c r="A341" s="116" t="n">
        <v>20250331</v>
      </c>
      <c r="B341" s="117" t="inlineStr">
        <is>
          <t xml:space="preserve">SEA SILA </t>
        </is>
      </c>
      <c r="C341" s="118" t="n">
        <v>46006</v>
      </c>
      <c r="D341" s="118" t="n">
        <v>46021</v>
      </c>
      <c r="E341" s="67" t="n">
        <v>1</v>
      </c>
      <c r="F341" s="119" t="n">
        <v>14</v>
      </c>
      <c r="G341" s="120" t="n">
        <v>24</v>
      </c>
      <c r="H341" s="121" t="inlineStr">
        <is>
          <t>SARL MINKOM TRAVAUX PUBLICS</t>
        </is>
      </c>
      <c r="I341" s="121" t="inlineStr">
        <is>
          <t>COMPACTEURS</t>
        </is>
      </c>
      <c r="J341" s="117" t="inlineStr">
        <is>
          <t>ENGINS</t>
        </is>
      </c>
      <c r="K341" s="48">
        <f>D341+8</f>
        <v/>
      </c>
      <c r="L341" s="48">
        <f>K341+60</f>
        <v/>
      </c>
      <c r="M341" s="71" t="n"/>
      <c r="N341" s="72">
        <f>E341</f>
        <v/>
      </c>
      <c r="O341" s="50">
        <f>F341/E341*N341</f>
        <v/>
      </c>
      <c r="P341" s="273">
        <f>G341/E341*N341</f>
        <v/>
      </c>
      <c r="Q341" s="224" t="n"/>
      <c r="R341" s="58" t="n"/>
      <c r="S341" s="200" t="inlineStr">
        <is>
          <t>SS25290LDJD037B</t>
        </is>
      </c>
      <c r="T341" s="201" t="n">
        <v>35</v>
      </c>
      <c r="U341" s="58" t="inlineStr">
        <is>
          <t>01 UNIT XCMG MIX COMPACTOR XS143J ( VOIR BL)</t>
        </is>
      </c>
      <c r="V341" s="67" t="n"/>
      <c r="W341" s="67" t="n"/>
      <c r="X341" s="62" t="inlineStr">
        <is>
          <t>N-OP</t>
        </is>
      </c>
      <c r="Y341" s="116">
        <f>F341/E341</f>
        <v/>
      </c>
      <c r="Z341" s="64">
        <f>E341-N341</f>
        <v/>
      </c>
      <c r="AA341" s="30" t="n"/>
    </row>
    <row r="342" ht="18" customHeight="1" s="202">
      <c r="A342" s="116" t="n">
        <v>20250331</v>
      </c>
      <c r="B342" s="117" t="inlineStr">
        <is>
          <t xml:space="preserve">SEA SILA </t>
        </is>
      </c>
      <c r="C342" s="118" t="n">
        <v>46006</v>
      </c>
      <c r="D342" s="118" t="n">
        <v>46021</v>
      </c>
      <c r="E342" s="67" t="n">
        <v>1</v>
      </c>
      <c r="F342" s="119" t="n">
        <v>11.1666666666667</v>
      </c>
      <c r="G342" s="120" t="n">
        <v>18</v>
      </c>
      <c r="H342" s="121" t="inlineStr">
        <is>
          <t>SARL LES FRERES MECELTI</t>
        </is>
      </c>
      <c r="I342" s="121" t="inlineStr">
        <is>
          <t>CAMION TRACTEUR</t>
        </is>
      </c>
      <c r="J342" s="117" t="inlineStr">
        <is>
          <t>LOURD</t>
        </is>
      </c>
      <c r="K342" s="48">
        <f>D342+8</f>
        <v/>
      </c>
      <c r="L342" s="48">
        <f>K342+60</f>
        <v/>
      </c>
      <c r="M342" s="71" t="n"/>
      <c r="N342" s="72">
        <f>E342</f>
        <v/>
      </c>
      <c r="O342" s="50">
        <f>F342/E342*N342</f>
        <v/>
      </c>
      <c r="P342" s="273">
        <f>G342/E342*N342</f>
        <v/>
      </c>
      <c r="Q342" s="224" t="n"/>
      <c r="R342" s="58" t="n"/>
      <c r="S342" s="200" t="inlineStr">
        <is>
          <t>SS25290LDJD042/043</t>
        </is>
      </c>
      <c r="T342" s="201" t="n">
        <v>40</v>
      </c>
      <c r="U342" s="58" t="inlineStr">
        <is>
          <t>01 UNIT X3000 TRACOR TRUCK 6X4 FLAT CAB, 02 UNITS SX3255JM384 F2000 6X4 DUMP TRUCK 16M3 ( VOIR BL)</t>
        </is>
      </c>
      <c r="V342" s="67" t="n"/>
      <c r="W342" s="67" t="n"/>
      <c r="X342" s="62" t="inlineStr">
        <is>
          <t>N-OP</t>
        </is>
      </c>
      <c r="Y342" s="116">
        <f>F342/E342</f>
        <v/>
      </c>
      <c r="Z342" s="64">
        <f>E342-N342</f>
        <v/>
      </c>
      <c r="AA342" s="30" t="n"/>
    </row>
    <row r="343" ht="18" customHeight="1" s="202">
      <c r="A343" s="116" t="n">
        <v>20250331</v>
      </c>
      <c r="B343" s="117" t="inlineStr">
        <is>
          <t xml:space="preserve">SEA SILA </t>
        </is>
      </c>
      <c r="C343" s="118" t="n">
        <v>46006</v>
      </c>
      <c r="D343" s="118" t="n">
        <v>46021</v>
      </c>
      <c r="E343" s="67" t="n">
        <v>2</v>
      </c>
      <c r="F343" s="119" t="n">
        <v>22.3333333333333</v>
      </c>
      <c r="G343" s="120" t="n">
        <v>48</v>
      </c>
      <c r="H343" s="121" t="inlineStr">
        <is>
          <t>SARL LES FRERES MECELTI</t>
        </is>
      </c>
      <c r="I343" s="121" t="inlineStr">
        <is>
          <t>CAMIONS</t>
        </is>
      </c>
      <c r="J343" s="117" t="inlineStr">
        <is>
          <t>LOURD</t>
        </is>
      </c>
      <c r="K343" s="48">
        <f>D343+8</f>
        <v/>
      </c>
      <c r="L343" s="48">
        <f>K343+60</f>
        <v/>
      </c>
      <c r="M343" s="71" t="n"/>
      <c r="N343" s="72">
        <f>E343</f>
        <v/>
      </c>
      <c r="O343" s="50">
        <f>F343/E343*N343</f>
        <v/>
      </c>
      <c r="P343" s="273">
        <f>G343/E343*N343</f>
        <v/>
      </c>
      <c r="Q343" s="224" t="n"/>
      <c r="R343" s="58" t="n"/>
      <c r="S343" s="200" t="inlineStr">
        <is>
          <t>SS25290LDJD042/043</t>
        </is>
      </c>
      <c r="T343" s="201" t="n">
        <v>40</v>
      </c>
      <c r="U343" s="58" t="n"/>
      <c r="V343" s="67" t="n"/>
      <c r="W343" s="67" t="n"/>
      <c r="X343" s="62" t="inlineStr">
        <is>
          <t>N-OP</t>
        </is>
      </c>
      <c r="Y343" s="116">
        <f>F343/E343</f>
        <v/>
      </c>
      <c r="Z343" s="64">
        <f>E343-N343</f>
        <v/>
      </c>
      <c r="AA343" s="30" t="n"/>
    </row>
    <row r="344" ht="18" customHeight="1" s="202">
      <c r="A344" s="106" t="n">
        <v>20250331</v>
      </c>
      <c r="B344" s="107" t="inlineStr">
        <is>
          <t xml:space="preserve">SEA SILA </t>
        </is>
      </c>
      <c r="C344" s="108" t="n">
        <v>46006</v>
      </c>
      <c r="D344" s="108" t="n">
        <v>46021</v>
      </c>
      <c r="E344" s="106" t="n">
        <v>7</v>
      </c>
      <c r="F344" s="106" t="n">
        <v>292.18</v>
      </c>
      <c r="G344" s="106" t="n">
        <v>168</v>
      </c>
      <c r="H344" s="109" t="inlineStr">
        <is>
          <t>CSCEC ALGERIE</t>
        </is>
      </c>
      <c r="I344" s="109" t="inlineStr">
        <is>
          <t>EXCAVATEURS</t>
        </is>
      </c>
      <c r="J344" s="107" t="inlineStr">
        <is>
          <t>ENGINS</t>
        </is>
      </c>
      <c r="K344" s="108">
        <f>D344+8</f>
        <v/>
      </c>
      <c r="L344" s="108">
        <f>K344+60</f>
        <v/>
      </c>
      <c r="M344" s="111" t="n"/>
      <c r="N344" s="112">
        <f>E344-7</f>
        <v/>
      </c>
      <c r="O344" s="113">
        <f>F344/E344*N344</f>
        <v/>
      </c>
      <c r="P344" s="112">
        <f>G344/E344*N344</f>
        <v/>
      </c>
      <c r="Q344" s="109" t="n"/>
      <c r="R344" s="109" t="n"/>
      <c r="S344" s="109" t="inlineStr">
        <is>
          <t>SS25290LDJD044</t>
        </is>
      </c>
      <c r="T344" s="114" t="n">
        <v>41</v>
      </c>
      <c r="U344" s="109" t="inlineStr">
        <is>
          <t>07 UNITS EXCAVATRICE Ã CHENILLES ( VOIR BL)</t>
        </is>
      </c>
      <c r="V344" s="106" t="n"/>
      <c r="W344" s="106" t="n"/>
      <c r="X344" s="106" t="inlineStr">
        <is>
          <t>SOLDEE</t>
        </is>
      </c>
      <c r="Y344" s="116">
        <f>F344/E344</f>
        <v/>
      </c>
      <c r="Z344" s="30" t="n"/>
      <c r="AA344" s="64" t="n">
        <v>2</v>
      </c>
    </row>
    <row r="345" ht="18" customHeight="1" s="202">
      <c r="A345" s="116" t="n">
        <v>20250331</v>
      </c>
      <c r="B345" s="117" t="inlineStr">
        <is>
          <t xml:space="preserve">SEA SILA </t>
        </is>
      </c>
      <c r="C345" s="118" t="n">
        <v>46006</v>
      </c>
      <c r="D345" s="118" t="n">
        <v>46021</v>
      </c>
      <c r="E345" s="67" t="n">
        <v>16</v>
      </c>
      <c r="F345" s="119" t="n">
        <v>44.327</v>
      </c>
      <c r="G345" s="120" t="n">
        <v>50</v>
      </c>
      <c r="H345" s="121" t="inlineStr">
        <is>
          <t>CSCEC ALGERIE</t>
        </is>
      </c>
      <c r="I345" s="121" t="inlineStr">
        <is>
          <t>COLIS</t>
        </is>
      </c>
      <c r="J345" s="117" t="inlineStr">
        <is>
          <t>COLIS</t>
        </is>
      </c>
      <c r="K345" s="48">
        <f>D345+8</f>
        <v/>
      </c>
      <c r="L345" s="48">
        <f>K345+60</f>
        <v/>
      </c>
      <c r="M345" s="71" t="n"/>
      <c r="N345" s="72">
        <f>E345</f>
        <v/>
      </c>
      <c r="O345" s="50">
        <f>F345/E345*N345</f>
        <v/>
      </c>
      <c r="P345" s="273">
        <f>G345/E345*N345</f>
        <v/>
      </c>
      <c r="Q345" s="224" t="n"/>
      <c r="R345" s="58" t="n"/>
      <c r="S345" s="200" t="inlineStr">
        <is>
          <t>SS25290LDJD045</t>
        </is>
      </c>
      <c r="T345" s="201" t="n">
        <v>42</v>
      </c>
      <c r="U345" s="58" t="inlineStr">
        <is>
          <t>MATÃRIAUX DE CONSTRUCTION</t>
        </is>
      </c>
      <c r="V345" s="67" t="n"/>
      <c r="W345" s="67" t="n"/>
      <c r="X345" s="62" t="inlineStr">
        <is>
          <t>N-OP</t>
        </is>
      </c>
      <c r="Y345" s="116">
        <f>F345/E345</f>
        <v/>
      </c>
      <c r="Z345" s="64">
        <f>E345-N345</f>
        <v/>
      </c>
      <c r="AA345" s="64" t="n">
        <v>1</v>
      </c>
    </row>
    <row r="346" ht="18" customHeight="1" s="202">
      <c r="A346" s="188" t="n">
        <v>20250331</v>
      </c>
      <c r="B346" s="189" t="inlineStr">
        <is>
          <t xml:space="preserve">SEA SILA </t>
        </is>
      </c>
      <c r="C346" s="190" t="n">
        <v>46006</v>
      </c>
      <c r="D346" s="190" t="n">
        <v>46021</v>
      </c>
      <c r="E346" s="191" t="n">
        <v>2</v>
      </c>
      <c r="F346" s="192" t="n">
        <v>33.62</v>
      </c>
      <c r="G346" s="193" t="n">
        <v>48</v>
      </c>
      <c r="H346" s="194" t="inlineStr">
        <is>
          <t>SARL ABNAA SALMA TRAVAUX</t>
        </is>
      </c>
      <c r="I346" s="194" t="inlineStr">
        <is>
          <t>COMPACTEURS</t>
        </is>
      </c>
      <c r="J346" s="189" t="inlineStr">
        <is>
          <t>ENGINS</t>
        </is>
      </c>
      <c r="K346" s="203">
        <f>D346+8</f>
        <v/>
      </c>
      <c r="L346" s="203">
        <f>K346+60</f>
        <v/>
      </c>
      <c r="M346" s="195" t="n"/>
      <c r="N346" s="196">
        <f>E346-1</f>
        <v/>
      </c>
      <c r="O346" s="197">
        <f>F346/E346*N346</f>
        <v/>
      </c>
      <c r="P346" s="218">
        <f>G346/E346*N346</f>
        <v/>
      </c>
      <c r="Q346" s="224" t="n"/>
      <c r="R346" s="58" t="n"/>
      <c r="S346" s="200" t="inlineStr">
        <is>
          <t>SS25290LDJD058</t>
        </is>
      </c>
      <c r="T346" s="201" t="n">
        <v>53</v>
      </c>
      <c r="U346" s="58" t="inlineStr">
        <is>
          <t>01 UNIT XCMG ROAD ROLLER XS143J 01 UNIT XCMG COMPACTOR XP203 ( VOIR BL)</t>
        </is>
      </c>
      <c r="V346" s="67" t="n"/>
      <c r="W346" s="67" t="n"/>
      <c r="X346" s="99" t="inlineStr">
        <is>
          <t>OPER</t>
        </is>
      </c>
      <c r="Y346" s="116">
        <f>F346/E346</f>
        <v/>
      </c>
      <c r="Z346" s="64">
        <f>E346-N346</f>
        <v/>
      </c>
      <c r="AA346" s="64" t="n">
        <v>7</v>
      </c>
    </row>
    <row r="347" ht="18" customHeight="1" s="202">
      <c r="A347" s="116" t="n">
        <v>20250331</v>
      </c>
      <c r="B347" s="117" t="inlineStr">
        <is>
          <t xml:space="preserve">SEA SILA </t>
        </is>
      </c>
      <c r="C347" s="118" t="n">
        <v>46006</v>
      </c>
      <c r="D347" s="118" t="n">
        <v>46021</v>
      </c>
      <c r="E347" s="67" t="n">
        <v>1</v>
      </c>
      <c r="F347" s="119" t="n">
        <v>23.3</v>
      </c>
      <c r="G347" s="120" t="n">
        <v>40</v>
      </c>
      <c r="H347" s="121" t="inlineStr">
        <is>
          <t>EURL TAKITANTE HYDRO</t>
        </is>
      </c>
      <c r="I347" s="121" t="inlineStr">
        <is>
          <t>FOREUSES</t>
        </is>
      </c>
      <c r="J347" s="117" t="inlineStr">
        <is>
          <t>ENGINS</t>
        </is>
      </c>
      <c r="K347" s="48">
        <f>D347+8</f>
        <v/>
      </c>
      <c r="L347" s="48">
        <f>K347+60</f>
        <v/>
      </c>
      <c r="M347" s="71" t="n"/>
      <c r="N347" s="72">
        <f>E347</f>
        <v/>
      </c>
      <c r="O347" s="50">
        <f>F347/E347*N347</f>
        <v/>
      </c>
      <c r="P347" s="273">
        <f>G347/E347*N347</f>
        <v/>
      </c>
      <c r="Q347" s="224" t="n"/>
      <c r="R347" s="58" t="n"/>
      <c r="S347" s="200" t="inlineStr">
        <is>
          <t>SS25290LDJD067/068</t>
        </is>
      </c>
      <c r="T347" s="201" t="n">
        <v>61</v>
      </c>
      <c r="U347" s="58" t="inlineStr">
        <is>
          <t>01 UNIT FOREUSE DE PUITS D EAU XSL520 01 UNIT COMPRESSEUR A AIR LUY400-30 ( VOIR BL)</t>
        </is>
      </c>
      <c r="V347" s="67" t="n"/>
      <c r="W347" s="67" t="n"/>
      <c r="X347" s="62" t="inlineStr">
        <is>
          <t>N-OP</t>
        </is>
      </c>
      <c r="Y347" s="116">
        <f>F347/E347</f>
        <v/>
      </c>
      <c r="Z347" s="64">
        <f>E347-N347</f>
        <v/>
      </c>
      <c r="AA347" s="64" t="n">
        <v>1</v>
      </c>
    </row>
    <row r="348" ht="18" customHeight="1" s="202">
      <c r="A348" s="116" t="n">
        <v>20250331</v>
      </c>
      <c r="B348" s="117" t="inlineStr">
        <is>
          <t xml:space="preserve">SEA SILA </t>
        </is>
      </c>
      <c r="C348" s="118" t="n">
        <v>46006</v>
      </c>
      <c r="D348" s="118" t="n">
        <v>46021</v>
      </c>
      <c r="E348" s="67" t="n">
        <v>1</v>
      </c>
      <c r="F348" s="119" t="n">
        <v>0</v>
      </c>
      <c r="G348" s="120" t="n">
        <v>3</v>
      </c>
      <c r="H348" s="121" t="inlineStr">
        <is>
          <t>EURL TAKITANTE HYDRO</t>
        </is>
      </c>
      <c r="I348" s="121" t="inlineStr">
        <is>
          <t>COLIS</t>
        </is>
      </c>
      <c r="J348" s="117" t="inlineStr">
        <is>
          <t>COLIS</t>
        </is>
      </c>
      <c r="K348" s="48">
        <f>D348+8</f>
        <v/>
      </c>
      <c r="L348" s="48">
        <f>K348+60</f>
        <v/>
      </c>
      <c r="M348" s="71" t="n"/>
      <c r="N348" s="72">
        <f>E348</f>
        <v/>
      </c>
      <c r="O348" s="50">
        <f>F348/E348*N348</f>
        <v/>
      </c>
      <c r="P348" s="273">
        <f>G348/E348*N348</f>
        <v/>
      </c>
      <c r="Q348" s="224" t="n"/>
      <c r="R348" s="58" t="n"/>
      <c r="S348" s="200" t="inlineStr">
        <is>
          <t>SS25290LDJD067/068</t>
        </is>
      </c>
      <c r="T348" s="201" t="n">
        <v>61</v>
      </c>
      <c r="U348" s="58" t="n"/>
      <c r="V348" s="67" t="n"/>
      <c r="W348" s="67" t="n"/>
      <c r="X348" s="62" t="inlineStr">
        <is>
          <t>N-OP</t>
        </is>
      </c>
      <c r="Y348" s="116">
        <f>F348/E348</f>
        <v/>
      </c>
      <c r="Z348" s="64">
        <f>E348-N348</f>
        <v/>
      </c>
      <c r="AA348" s="64" t="n">
        <v>9</v>
      </c>
    </row>
    <row r="349" ht="18" customHeight="1" s="202">
      <c r="A349" s="116" t="n">
        <v>20250331</v>
      </c>
      <c r="B349" s="117" t="inlineStr">
        <is>
          <t xml:space="preserve">SEA SILA </t>
        </is>
      </c>
      <c r="C349" s="118" t="n">
        <v>46006</v>
      </c>
      <c r="D349" s="118" t="n">
        <v>46021</v>
      </c>
      <c r="E349" s="67" t="n">
        <v>1</v>
      </c>
      <c r="F349" s="119" t="n">
        <v>12.67</v>
      </c>
      <c r="G349" s="120" t="n">
        <v>24</v>
      </c>
      <c r="H349" s="121" t="inlineStr">
        <is>
          <t>DIDA FATAH</t>
        </is>
      </c>
      <c r="I349" s="121" t="inlineStr">
        <is>
          <t>CAMIONS</t>
        </is>
      </c>
      <c r="J349" s="117" t="inlineStr">
        <is>
          <t>LOURD</t>
        </is>
      </c>
      <c r="K349" s="48">
        <f>D349+8</f>
        <v/>
      </c>
      <c r="L349" s="48">
        <f>K349+60</f>
        <v/>
      </c>
      <c r="M349" s="71" t="n"/>
      <c r="N349" s="72">
        <f>E349</f>
        <v/>
      </c>
      <c r="O349" s="50">
        <f>F349/E349*N349</f>
        <v/>
      </c>
      <c r="P349" s="273">
        <f>G349/E349*N349</f>
        <v/>
      </c>
      <c r="Q349" s="224" t="n"/>
      <c r="R349" s="58" t="n"/>
      <c r="S349" s="200" t="inlineStr">
        <is>
          <t>SS25290LDJD074</t>
        </is>
      </c>
      <c r="T349" s="201" t="n">
        <v>67</v>
      </c>
      <c r="U349" s="58" t="inlineStr">
        <is>
          <t>01 UNIT SHACMAN F2000 6X4 DUMP TRUCK (VOIR BL)</t>
        </is>
      </c>
      <c r="V349" s="67" t="n"/>
      <c r="W349" s="67" t="n"/>
      <c r="X349" s="62" t="inlineStr">
        <is>
          <t>N-OP</t>
        </is>
      </c>
      <c r="Y349" s="116">
        <f>F349/E349</f>
        <v/>
      </c>
      <c r="Z349" s="64">
        <f>E349-N349</f>
        <v/>
      </c>
      <c r="AA349" s="30" t="n"/>
    </row>
    <row r="350" ht="18" customHeight="1" s="202">
      <c r="A350" s="116" t="n">
        <v>20250331</v>
      </c>
      <c r="B350" s="117" t="inlineStr">
        <is>
          <t xml:space="preserve">SEA SILA </t>
        </is>
      </c>
      <c r="C350" s="118" t="n">
        <v>46006</v>
      </c>
      <c r="D350" s="118" t="n">
        <v>46021</v>
      </c>
      <c r="E350" s="67" t="n">
        <v>1</v>
      </c>
      <c r="F350" s="119" t="n">
        <v>12.33</v>
      </c>
      <c r="G350" s="120" t="n">
        <v>24</v>
      </c>
      <c r="H350" s="121" t="inlineStr">
        <is>
          <t>BOUKHERBATA BACHIR</t>
        </is>
      </c>
      <c r="I350" s="121" t="inlineStr">
        <is>
          <t>CAMIONS</t>
        </is>
      </c>
      <c r="J350" s="117" t="inlineStr">
        <is>
          <t>LOURD</t>
        </is>
      </c>
      <c r="K350" s="48">
        <f>D350+8</f>
        <v/>
      </c>
      <c r="L350" s="48">
        <f>K350+60</f>
        <v/>
      </c>
      <c r="M350" s="71" t="n"/>
      <c r="N350" s="72">
        <f>E350</f>
        <v/>
      </c>
      <c r="O350" s="50">
        <f>F350/E350*N350</f>
        <v/>
      </c>
      <c r="P350" s="273">
        <f>G350/E350*N350</f>
        <v/>
      </c>
      <c r="Q350" s="224" t="n"/>
      <c r="R350" s="58" t="n"/>
      <c r="S350" s="200" t="inlineStr">
        <is>
          <t>SS25290LDJD086</t>
        </is>
      </c>
      <c r="T350" s="201" t="n">
        <v>77</v>
      </c>
      <c r="U350" s="58" t="inlineStr">
        <is>
          <t>01 UNIT SX3255JM384 SHACMAN F2000 6x4 DUMP TRUCK ( VOIR BL)</t>
        </is>
      </c>
      <c r="V350" s="67" t="n"/>
      <c r="W350" s="67" t="n"/>
      <c r="X350" s="62" t="inlineStr">
        <is>
          <t>N-OP</t>
        </is>
      </c>
      <c r="Y350" s="116">
        <f>F350/E350</f>
        <v/>
      </c>
      <c r="Z350" s="64">
        <f>E350-N350</f>
        <v/>
      </c>
      <c r="AA350" s="30" t="n"/>
    </row>
    <row r="351" ht="18" customHeight="1" s="202">
      <c r="A351" s="116" t="n">
        <v>20250331</v>
      </c>
      <c r="B351" s="117" t="inlineStr">
        <is>
          <t xml:space="preserve">SEA SILA </t>
        </is>
      </c>
      <c r="C351" s="118" t="n">
        <v>46006</v>
      </c>
      <c r="D351" s="118" t="n">
        <v>46021</v>
      </c>
      <c r="E351" s="67" t="n">
        <v>2</v>
      </c>
      <c r="F351" s="119" t="n">
        <v>7.64</v>
      </c>
      <c r="G351" s="120" t="n">
        <v>48</v>
      </c>
      <c r="H351" s="121" t="inlineStr">
        <is>
          <t>SARL BMS AS EL BI</t>
        </is>
      </c>
      <c r="I351" s="121" t="inlineStr">
        <is>
          <t>CAMIONS</t>
        </is>
      </c>
      <c r="J351" s="117" t="inlineStr">
        <is>
          <t>LOURD</t>
        </is>
      </c>
      <c r="K351" s="48">
        <f>D351+8</f>
        <v/>
      </c>
      <c r="L351" s="48">
        <f>K351+60</f>
        <v/>
      </c>
      <c r="M351" s="71" t="n"/>
      <c r="N351" s="72">
        <f>E351</f>
        <v/>
      </c>
      <c r="O351" s="50">
        <f>F351/E351*N351</f>
        <v/>
      </c>
      <c r="P351" s="273">
        <f>G351/E351*N351</f>
        <v/>
      </c>
      <c r="Q351" s="224" t="n"/>
      <c r="R351" s="58" t="n"/>
      <c r="S351" s="200" t="inlineStr">
        <is>
          <t>SS25290LDJD093B</t>
        </is>
      </c>
      <c r="T351" s="201" t="n">
        <v>83</v>
      </c>
      <c r="U351" s="58" t="inlineStr">
        <is>
          <t>02 UNITS CONTAINER TRUCK ( VOIR BL)</t>
        </is>
      </c>
      <c r="V351" s="67" t="n"/>
      <c r="W351" s="67" t="n"/>
      <c r="X351" s="62" t="inlineStr">
        <is>
          <t>N-OP</t>
        </is>
      </c>
      <c r="Y351" s="116">
        <f>F351/E351</f>
        <v/>
      </c>
      <c r="Z351" s="64">
        <f>E351-N351</f>
        <v/>
      </c>
      <c r="AA351" s="30" t="n"/>
    </row>
    <row r="352" ht="18" customHeight="1" s="202">
      <c r="A352" s="188" t="n">
        <v>20250331</v>
      </c>
      <c r="B352" s="189" t="inlineStr">
        <is>
          <t xml:space="preserve">SEA SILA </t>
        </is>
      </c>
      <c r="C352" s="190" t="n">
        <v>46006</v>
      </c>
      <c r="D352" s="190" t="n">
        <v>46021</v>
      </c>
      <c r="E352" s="191" t="n">
        <v>1</v>
      </c>
      <c r="F352" s="192" t="n">
        <v>17.4</v>
      </c>
      <c r="G352" s="193" t="n">
        <v>24</v>
      </c>
      <c r="H352" s="194" t="inlineStr">
        <is>
          <t>SARL SELKH ET FILS D'INVESTISSEMENT</t>
        </is>
      </c>
      <c r="I352" s="194" t="inlineStr">
        <is>
          <t>CHARGEURS</t>
        </is>
      </c>
      <c r="J352" s="189" t="inlineStr">
        <is>
          <t>ENGINS</t>
        </is>
      </c>
      <c r="K352" s="203">
        <f>D352+8</f>
        <v/>
      </c>
      <c r="L352" s="203">
        <f>K352+60</f>
        <v/>
      </c>
      <c r="M352" s="195" t="n"/>
      <c r="N352" s="196">
        <f>E352</f>
        <v/>
      </c>
      <c r="O352" s="197">
        <f>F352/E352*N352</f>
        <v/>
      </c>
      <c r="P352" s="198">
        <f>G352/E352*N352</f>
        <v/>
      </c>
      <c r="Q352" s="224" t="n"/>
      <c r="R352" s="58" t="n"/>
      <c r="S352" s="200" t="inlineStr">
        <is>
          <t>SS25290LDJD097</t>
        </is>
      </c>
      <c r="T352" s="201" t="n">
        <v>85</v>
      </c>
      <c r="U352" s="58" t="inlineStr">
        <is>
          <t>01 UNIT WHEEL LOADER ZL50GN ( VOIR BL)</t>
        </is>
      </c>
      <c r="V352" s="67" t="n"/>
      <c r="W352" s="67" t="n"/>
      <c r="X352" s="62" t="inlineStr">
        <is>
          <t>N-OP</t>
        </is>
      </c>
      <c r="Y352" s="116">
        <f>F352/E352</f>
        <v/>
      </c>
      <c r="Z352" s="64">
        <f>E352-N352</f>
        <v/>
      </c>
      <c r="AA352" s="30" t="n"/>
    </row>
    <row r="353" ht="18" customHeight="1" s="202">
      <c r="A353" s="188" t="n">
        <v>20250331</v>
      </c>
      <c r="B353" s="189" t="inlineStr">
        <is>
          <t xml:space="preserve">SEA SILA </t>
        </is>
      </c>
      <c r="C353" s="190" t="n">
        <v>46006</v>
      </c>
      <c r="D353" s="190" t="n">
        <v>46021</v>
      </c>
      <c r="E353" s="191" t="n">
        <v>2</v>
      </c>
      <c r="F353" s="192" t="n">
        <v>0</v>
      </c>
      <c r="G353" s="193" t="n">
        <v>6</v>
      </c>
      <c r="H353" s="194" t="inlineStr">
        <is>
          <t>SARL SELKH ET FILS D'INVESTISSEMENT</t>
        </is>
      </c>
      <c r="I353" s="194" t="inlineStr">
        <is>
          <t>COLIS</t>
        </is>
      </c>
      <c r="J353" s="189" t="inlineStr">
        <is>
          <t>COLIS</t>
        </is>
      </c>
      <c r="K353" s="203">
        <f>D353+8</f>
        <v/>
      </c>
      <c r="L353" s="203">
        <f>K353+60</f>
        <v/>
      </c>
      <c r="M353" s="195" t="n"/>
      <c r="N353" s="196">
        <f>E353</f>
        <v/>
      </c>
      <c r="O353" s="197">
        <f>F353/E353*N353</f>
        <v/>
      </c>
      <c r="P353" s="198">
        <f>G353/E353*N353</f>
        <v/>
      </c>
      <c r="Q353" s="224" t="n"/>
      <c r="R353" s="58" t="n"/>
      <c r="S353" s="200" t="inlineStr">
        <is>
          <t>SS25290LDJD097</t>
        </is>
      </c>
      <c r="T353" s="201" t="n">
        <v>85</v>
      </c>
      <c r="U353" s="58" t="n"/>
      <c r="V353" s="67" t="n"/>
      <c r="W353" s="67" t="n"/>
      <c r="X353" s="62" t="inlineStr">
        <is>
          <t>N-OP</t>
        </is>
      </c>
      <c r="Y353" s="116">
        <f>F353/E353</f>
        <v/>
      </c>
      <c r="Z353" s="64">
        <f>E353-N353</f>
        <v/>
      </c>
      <c r="AA353" s="30" t="n"/>
    </row>
    <row r="354" ht="18" customHeight="1" s="202">
      <c r="A354" s="106" t="n">
        <v>20250331</v>
      </c>
      <c r="B354" s="107" t="inlineStr">
        <is>
          <t xml:space="preserve">SEA SILA </t>
        </is>
      </c>
      <c r="C354" s="108" t="n">
        <v>46006</v>
      </c>
      <c r="D354" s="108" t="n">
        <v>46021</v>
      </c>
      <c r="E354" s="106" t="n">
        <v>2</v>
      </c>
      <c r="F354" s="106" t="n">
        <v>24</v>
      </c>
      <c r="G354" s="106" t="n">
        <v>48</v>
      </c>
      <c r="H354" s="109" t="inlineStr">
        <is>
          <t>SARL SELKH ET FILS D'INVESTISSEMENT</t>
        </is>
      </c>
      <c r="I354" s="109" t="inlineStr">
        <is>
          <t>CAMIONS</t>
        </is>
      </c>
      <c r="J354" s="107" t="inlineStr">
        <is>
          <t>LOURD</t>
        </is>
      </c>
      <c r="K354" s="108">
        <f>D354+8</f>
        <v/>
      </c>
      <c r="L354" s="108">
        <f>K354+60</f>
        <v/>
      </c>
      <c r="M354" s="111" t="n"/>
      <c r="N354" s="112">
        <f>E354-2</f>
        <v/>
      </c>
      <c r="O354" s="113">
        <f>F354/E354*N354</f>
        <v/>
      </c>
      <c r="P354" s="112">
        <f>G354/E354*N354</f>
        <v/>
      </c>
      <c r="Q354" s="109" t="n"/>
      <c r="R354" s="109" t="n"/>
      <c r="S354" s="109" t="inlineStr">
        <is>
          <t>SS25290LDJD098</t>
        </is>
      </c>
      <c r="T354" s="114" t="n">
        <v>86</v>
      </c>
      <c r="U354" s="109" t="inlineStr">
        <is>
          <t>02 UNITS SHACMANF2000 DUMP TRUCK ( VOIR BL)</t>
        </is>
      </c>
      <c r="V354" s="106" t="n"/>
      <c r="W354" s="106" t="n"/>
      <c r="X354" s="106" t="inlineStr">
        <is>
          <t>SOLDEE</t>
        </is>
      </c>
      <c r="Y354" s="116">
        <f>F354/E354</f>
        <v/>
      </c>
      <c r="Z354" s="30" t="n"/>
      <c r="AA354" s="30" t="n"/>
    </row>
    <row r="355" ht="18" customHeight="1" s="202">
      <c r="A355" s="116" t="n">
        <v>20250331</v>
      </c>
      <c r="B355" s="117" t="inlineStr">
        <is>
          <t xml:space="preserve">SEA SILA </t>
        </is>
      </c>
      <c r="C355" s="118" t="n">
        <v>46006</v>
      </c>
      <c r="D355" s="118" t="n">
        <v>46021</v>
      </c>
      <c r="E355" s="67" t="n">
        <v>1</v>
      </c>
      <c r="F355" s="119" t="n">
        <v>12.67</v>
      </c>
      <c r="G355" s="120" t="n">
        <v>24</v>
      </c>
      <c r="H355" s="121" t="inlineStr">
        <is>
          <t>KHETTAB NACEREDINE</t>
        </is>
      </c>
      <c r="I355" s="121" t="inlineStr">
        <is>
          <t>CAMIONS</t>
        </is>
      </c>
      <c r="J355" s="117" t="inlineStr">
        <is>
          <t>LOURD</t>
        </is>
      </c>
      <c r="K355" s="48">
        <f>D355+8</f>
        <v/>
      </c>
      <c r="L355" s="48">
        <f>K355+60</f>
        <v/>
      </c>
      <c r="M355" s="71" t="n"/>
      <c r="N355" s="72">
        <f>E355</f>
        <v/>
      </c>
      <c r="O355" s="50">
        <f>F355/E355*N355</f>
        <v/>
      </c>
      <c r="P355" s="273">
        <f>G355/E355*N355</f>
        <v/>
      </c>
      <c r="Q355" s="224" t="n"/>
      <c r="R355" s="58" t="n"/>
      <c r="S355" s="200" t="inlineStr">
        <is>
          <t>SS25290LDJD102B</t>
        </is>
      </c>
      <c r="T355" s="201" t="n">
        <v>90</v>
      </c>
      <c r="U355" s="58" t="inlineStr">
        <is>
          <t>01 UNIT SX3255JM384 SHACMAN DUMP TRUCK F2000 (VOIR BL)</t>
        </is>
      </c>
      <c r="V355" s="67" t="n"/>
      <c r="W355" s="67" t="n"/>
      <c r="X355" s="62" t="inlineStr">
        <is>
          <t>N-OP</t>
        </is>
      </c>
      <c r="Y355" s="116">
        <f>F355/E355</f>
        <v/>
      </c>
      <c r="Z355" s="64">
        <f>E355-N355</f>
        <v/>
      </c>
      <c r="AA355" s="30" t="n"/>
    </row>
    <row r="356" ht="18" customHeight="1" s="202">
      <c r="A356" s="116" t="n">
        <v>20250331</v>
      </c>
      <c r="B356" s="117" t="inlineStr">
        <is>
          <t xml:space="preserve">SEA SILA </t>
        </is>
      </c>
      <c r="C356" s="118" t="n">
        <v>46006</v>
      </c>
      <c r="D356" s="118" t="n">
        <v>46021</v>
      </c>
      <c r="E356" s="67" t="n">
        <v>1</v>
      </c>
      <c r="F356" s="119" t="n">
        <v>11.23</v>
      </c>
      <c r="G356" s="120" t="n">
        <v>24</v>
      </c>
      <c r="H356" s="121" t="inlineStr">
        <is>
          <t>SARL SOUMMAM SOUM</t>
        </is>
      </c>
      <c r="I356" s="121" t="inlineStr">
        <is>
          <t>REMORQUES</t>
        </is>
      </c>
      <c r="J356" s="117" t="inlineStr">
        <is>
          <t>LOURD</t>
        </is>
      </c>
      <c r="K356" s="48">
        <f>D356+8</f>
        <v/>
      </c>
      <c r="L356" s="48">
        <f>K356+60</f>
        <v/>
      </c>
      <c r="M356" s="71" t="n"/>
      <c r="N356" s="72">
        <f>E356</f>
        <v/>
      </c>
      <c r="O356" s="50">
        <f>F356/E356*N356</f>
        <v/>
      </c>
      <c r="P356" s="273">
        <f>G356/E356*N356</f>
        <v/>
      </c>
      <c r="Q356" s="224" t="n"/>
      <c r="R356" s="58" t="n"/>
      <c r="S356" s="200" t="inlineStr">
        <is>
          <t>SS25290LDJD116</t>
        </is>
      </c>
      <c r="T356" s="201" t="n">
        <v>101</v>
      </c>
      <c r="U356" s="58" t="inlineStr">
        <is>
          <t>01 UNIT CIMC LOWER BED SEMI-TRAILER ( VOIR BL)</t>
        </is>
      </c>
      <c r="V356" s="67" t="n"/>
      <c r="W356" s="67" t="n"/>
      <c r="X356" s="62" t="inlineStr">
        <is>
          <t>N-OP</t>
        </is>
      </c>
      <c r="Y356" s="116">
        <f>F356/E356</f>
        <v/>
      </c>
      <c r="Z356" s="64">
        <f>E356-N356</f>
        <v/>
      </c>
      <c r="AA356" s="64" t="n">
        <v>2</v>
      </c>
    </row>
    <row r="357" ht="18" customHeight="1" s="202">
      <c r="A357" s="116" t="n">
        <v>20250331</v>
      </c>
      <c r="B357" s="117" t="inlineStr">
        <is>
          <t xml:space="preserve">SEA SILA </t>
        </is>
      </c>
      <c r="C357" s="118" t="n">
        <v>46006</v>
      </c>
      <c r="D357" s="118" t="n">
        <v>46021</v>
      </c>
      <c r="E357" s="67" t="n">
        <v>1</v>
      </c>
      <c r="F357" s="119" t="n">
        <v>13.3</v>
      </c>
      <c r="G357" s="120" t="n">
        <v>24</v>
      </c>
      <c r="H357" s="121" t="inlineStr">
        <is>
          <t>OUERDI MADJID</t>
        </is>
      </c>
      <c r="I357" s="121" t="inlineStr">
        <is>
          <t>BUS</t>
        </is>
      </c>
      <c r="J357" s="117" t="inlineStr">
        <is>
          <t>UTILITAIRE</t>
        </is>
      </c>
      <c r="K357" s="48">
        <f>D357+8</f>
        <v/>
      </c>
      <c r="L357" s="48">
        <f>K357+60</f>
        <v/>
      </c>
      <c r="M357" s="71" t="n"/>
      <c r="N357" s="72">
        <f>E357</f>
        <v/>
      </c>
      <c r="O357" s="50">
        <f>F357/E357*N357</f>
        <v/>
      </c>
      <c r="P357" s="273">
        <f>G357/E357*N357</f>
        <v/>
      </c>
      <c r="Q357" s="224" t="n"/>
      <c r="R357" s="58" t="n"/>
      <c r="S357" s="200" t="inlineStr">
        <is>
          <t>SS25290LDJD121</t>
        </is>
      </c>
      <c r="T357" s="201" t="n">
        <v>105</v>
      </c>
      <c r="U357" s="58" t="inlineStr">
        <is>
          <t>01 UNIT HIGER AUTOCAR V11( VOIR BL)</t>
        </is>
      </c>
      <c r="V357" s="67" t="n"/>
      <c r="W357" s="67" t="n"/>
      <c r="X357" s="62" t="inlineStr">
        <is>
          <t>N-OP</t>
        </is>
      </c>
      <c r="Y357" s="116">
        <f>F357/E357</f>
        <v/>
      </c>
      <c r="Z357" s="64">
        <f>E357-N357</f>
        <v/>
      </c>
      <c r="AA357" s="30" t="n"/>
    </row>
    <row r="358" ht="18" customHeight="1" s="202">
      <c r="A358" s="106" t="n">
        <v>20250331</v>
      </c>
      <c r="B358" s="107" t="inlineStr">
        <is>
          <t xml:space="preserve">SEA SILA </t>
        </is>
      </c>
      <c r="C358" s="108" t="n">
        <v>46006</v>
      </c>
      <c r="D358" s="108" t="n">
        <v>46021</v>
      </c>
      <c r="E358" s="106" t="n">
        <v>33</v>
      </c>
      <c r="F358" s="106" t="n">
        <v>0.1605</v>
      </c>
      <c r="G358" s="106" t="n">
        <v>0</v>
      </c>
      <c r="H358" s="109" t="inlineStr">
        <is>
          <t>OUERDI MADJID</t>
        </is>
      </c>
      <c r="I358" s="109" t="inlineStr">
        <is>
          <t>COLIS</t>
        </is>
      </c>
      <c r="J358" s="107" t="inlineStr">
        <is>
          <t>COLIS</t>
        </is>
      </c>
      <c r="K358" s="108">
        <f>D358+8</f>
        <v/>
      </c>
      <c r="L358" s="108">
        <f>K358+60</f>
        <v/>
      </c>
      <c r="M358" s="111" t="n"/>
      <c r="N358" s="112">
        <f>E358-33</f>
        <v/>
      </c>
      <c r="O358" s="113">
        <f>F358/E358*N358</f>
        <v/>
      </c>
      <c r="P358" s="112">
        <f>G358/E358*N358</f>
        <v/>
      </c>
      <c r="Q358" s="109" t="n"/>
      <c r="R358" s="109" t="n"/>
      <c r="S358" s="109" t="inlineStr">
        <is>
          <t>SS25290LDJD124</t>
        </is>
      </c>
      <c r="T358" s="114" t="n">
        <v>108</v>
      </c>
      <c r="U358" s="109" t="inlineStr">
        <is>
          <t>SPARE PARTS FOR BUS</t>
        </is>
      </c>
      <c r="V358" s="106" t="n"/>
      <c r="W358" s="106" t="n"/>
      <c r="X358" s="106" t="inlineStr">
        <is>
          <t>SOLDEE</t>
        </is>
      </c>
      <c r="Y358" s="116">
        <f>F358/E358</f>
        <v/>
      </c>
      <c r="Z358" s="30" t="n"/>
      <c r="AA358" s="30" t="n"/>
    </row>
    <row r="359" ht="18" customHeight="1" s="202">
      <c r="A359" s="116" t="n">
        <v>20250331</v>
      </c>
      <c r="B359" s="117" t="inlineStr">
        <is>
          <t xml:space="preserve">SEA SILA </t>
        </is>
      </c>
      <c r="C359" s="118" t="n">
        <v>46006</v>
      </c>
      <c r="D359" s="118" t="n">
        <v>46021</v>
      </c>
      <c r="E359" s="67" t="n">
        <v>1</v>
      </c>
      <c r="F359" s="119" t="n">
        <v>40.005</v>
      </c>
      <c r="G359" s="120" t="n">
        <v>24</v>
      </c>
      <c r="H359" s="121" t="inlineStr">
        <is>
          <t>SARL MAZINE SERVICES</t>
        </is>
      </c>
      <c r="I359" s="121" t="inlineStr">
        <is>
          <t>BULLDOZERS</t>
        </is>
      </c>
      <c r="J359" s="117" t="inlineStr">
        <is>
          <t>ENGINS</t>
        </is>
      </c>
      <c r="K359" s="48">
        <f>D359+8</f>
        <v/>
      </c>
      <c r="L359" s="48">
        <f>K359+60</f>
        <v/>
      </c>
      <c r="M359" s="71" t="n"/>
      <c r="N359" s="72">
        <f>E359</f>
        <v/>
      </c>
      <c r="O359" s="50">
        <f>F359/E359*N359</f>
        <v/>
      </c>
      <c r="P359" s="273">
        <f>G359/E359*N359</f>
        <v/>
      </c>
      <c r="Q359" s="224" t="n"/>
      <c r="R359" s="58" t="n"/>
      <c r="S359" s="200" t="inlineStr">
        <is>
          <t>SS25290LDJD139</t>
        </is>
      </c>
      <c r="T359" s="201" t="n">
        <v>118</v>
      </c>
      <c r="U359" s="58" t="inlineStr">
        <is>
          <t>01 UNIT BULLDOZER SD32D,SHANTUI ( VOIR BL)</t>
        </is>
      </c>
      <c r="V359" s="67" t="n"/>
      <c r="W359" s="67" t="n"/>
      <c r="X359" s="62" t="inlineStr">
        <is>
          <t>N-OP</t>
        </is>
      </c>
      <c r="Y359" s="116">
        <f>F359/E359</f>
        <v/>
      </c>
      <c r="Z359" s="64">
        <f>E359-N359</f>
        <v/>
      </c>
      <c r="AA359" s="30" t="n"/>
    </row>
    <row r="360" ht="18" customHeight="1" s="202">
      <c r="A360" s="116" t="n">
        <v>20250331</v>
      </c>
      <c r="B360" s="117" t="inlineStr">
        <is>
          <t xml:space="preserve">SEA SILA </t>
        </is>
      </c>
      <c r="C360" s="118" t="n">
        <v>46006</v>
      </c>
      <c r="D360" s="118" t="n">
        <v>46021</v>
      </c>
      <c r="E360" s="67" t="n">
        <v>3</v>
      </c>
      <c r="F360" s="119" t="n">
        <v>0</v>
      </c>
      <c r="G360" s="120" t="n">
        <v>9</v>
      </c>
      <c r="H360" s="121" t="inlineStr">
        <is>
          <t>SARL MAZINE SERVICES</t>
        </is>
      </c>
      <c r="I360" s="121" t="inlineStr">
        <is>
          <t>COLIS</t>
        </is>
      </c>
      <c r="J360" s="117" t="inlineStr">
        <is>
          <t>COLIS</t>
        </is>
      </c>
      <c r="K360" s="48">
        <f>D360+8</f>
        <v/>
      </c>
      <c r="L360" s="48">
        <f>K360+60</f>
        <v/>
      </c>
      <c r="M360" s="71" t="n"/>
      <c r="N360" s="72">
        <f>E360</f>
        <v/>
      </c>
      <c r="O360" s="50">
        <f>F360/E360*N360</f>
        <v/>
      </c>
      <c r="P360" s="273">
        <f>G360/E360*N360</f>
        <v/>
      </c>
      <c r="Q360" s="224" t="n"/>
      <c r="R360" s="58" t="n"/>
      <c r="S360" s="200" t="inlineStr">
        <is>
          <t>SS25290LDJD139</t>
        </is>
      </c>
      <c r="T360" s="201" t="n">
        <v>118</v>
      </c>
      <c r="U360" s="58" t="n"/>
      <c r="V360" s="67" t="n"/>
      <c r="W360" s="67" t="n"/>
      <c r="X360" s="62" t="inlineStr">
        <is>
          <t>N-OP</t>
        </is>
      </c>
      <c r="Y360" s="116">
        <f>F360/E360</f>
        <v/>
      </c>
      <c r="Z360" s="64">
        <f>E360-N360</f>
        <v/>
      </c>
      <c r="AA360" s="30" t="n"/>
    </row>
    <row r="361" ht="18" customHeight="1" s="202">
      <c r="A361" s="87" t="n">
        <v>20250335</v>
      </c>
      <c r="B361" s="88" t="inlineStr">
        <is>
          <t>VENETIA</t>
        </is>
      </c>
      <c r="C361" s="89" t="n">
        <v>46009</v>
      </c>
      <c r="D361" s="89" t="n">
        <v>46021</v>
      </c>
      <c r="E361" s="209" t="n">
        <v>10</v>
      </c>
      <c r="F361" s="210" t="n">
        <v>85.035</v>
      </c>
      <c r="G361" s="211" t="n">
        <v>8.02083333333333</v>
      </c>
      <c r="H361" s="212" t="inlineStr">
        <is>
          <t>SARL GROUPE AMARA ACIER</t>
        </is>
      </c>
      <c r="I361" s="212" t="inlineStr">
        <is>
          <t>BOBINES</t>
        </is>
      </c>
      <c r="J361" s="207" t="inlineStr">
        <is>
          <t>BOBINES</t>
        </is>
      </c>
      <c r="K361" s="213">
        <f>D361+8</f>
        <v/>
      </c>
      <c r="L361" s="213">
        <f>K361+60</f>
        <v/>
      </c>
      <c r="M361" s="214" t="n"/>
      <c r="N361" s="215">
        <f>E361-5</f>
        <v/>
      </c>
      <c r="O361" s="216">
        <f>F361/E361*N361</f>
        <v/>
      </c>
      <c r="P361" s="218">
        <f>G361/E361*N361</f>
        <v/>
      </c>
      <c r="Q361" s="224" t="n"/>
      <c r="R361" s="58" t="n"/>
      <c r="S361" s="200" t="inlineStr">
        <is>
          <t>25021LDJ1501</t>
        </is>
      </c>
      <c r="T361" s="201" t="n">
        <v>21</v>
      </c>
      <c r="U361" s="58" t="inlineStr">
        <is>
          <t>HOT ROLLED STEEL COIL Q235 7-9T/COIL</t>
        </is>
      </c>
      <c r="V361" s="67" t="n"/>
      <c r="W361" s="67" t="n"/>
      <c r="X361" s="99" t="inlineStr">
        <is>
          <t>OPER</t>
        </is>
      </c>
      <c r="Y361" s="116">
        <f>F361/E361</f>
        <v/>
      </c>
      <c r="Z361" s="64">
        <f>E361-N361</f>
        <v/>
      </c>
      <c r="AA361" s="30" t="n"/>
    </row>
    <row r="362" ht="18" customHeight="1" s="202">
      <c r="A362" s="188" t="n">
        <v>20250335</v>
      </c>
      <c r="B362" s="189" t="inlineStr">
        <is>
          <t>VENETIA</t>
        </is>
      </c>
      <c r="C362" s="190" t="n">
        <v>46009</v>
      </c>
      <c r="D362" s="190" t="n">
        <v>46021</v>
      </c>
      <c r="E362" s="209" t="n">
        <v>249</v>
      </c>
      <c r="F362" s="210" t="n">
        <v>1051.696</v>
      </c>
      <c r="G362" s="211" t="n">
        <v>199.71875</v>
      </c>
      <c r="H362" s="212" t="inlineStr">
        <is>
          <t>STEEL SOLIDE EURL</t>
        </is>
      </c>
      <c r="I362" s="212" t="inlineStr">
        <is>
          <t>BOBINES</t>
        </is>
      </c>
      <c r="J362" s="207" t="inlineStr">
        <is>
          <t>BOBINES</t>
        </is>
      </c>
      <c r="K362" s="213">
        <f>D362+8</f>
        <v/>
      </c>
      <c r="L362" s="213">
        <f>K362+60</f>
        <v/>
      </c>
      <c r="M362" s="214" t="n"/>
      <c r="N362" s="215">
        <f>E362-20-67-24-120-11</f>
        <v/>
      </c>
      <c r="O362" s="216">
        <f>F362/E362*N362</f>
        <v/>
      </c>
      <c r="P362" s="218">
        <f>G362/E362*N362</f>
        <v/>
      </c>
      <c r="Q362" s="224" t="n"/>
      <c r="R362" s="58" t="n"/>
      <c r="S362" s="200" t="inlineStr">
        <is>
          <t>25021TDJ0101-107</t>
        </is>
      </c>
      <c r="T362" s="201" t="n">
        <v>62</v>
      </c>
      <c r="U362" s="58" t="inlineStr">
        <is>
          <t>PREPAINTED GALVANIZED STEEL COIL</t>
        </is>
      </c>
      <c r="V362" s="67" t="n"/>
      <c r="W362" s="67" t="n"/>
      <c r="X362" s="99" t="inlineStr">
        <is>
          <t>OPER</t>
        </is>
      </c>
      <c r="Y362" s="116">
        <f>F362/E362</f>
        <v/>
      </c>
      <c r="Z362" s="64">
        <f>E362-N362</f>
        <v/>
      </c>
      <c r="AA362" s="30" t="n"/>
    </row>
    <row r="363" ht="18" customHeight="1" s="202">
      <c r="A363" s="106" t="n">
        <v>20250335</v>
      </c>
      <c r="B363" s="107" t="inlineStr">
        <is>
          <t>VENETIA</t>
        </is>
      </c>
      <c r="C363" s="108" t="n">
        <v>46009</v>
      </c>
      <c r="D363" s="108" t="n">
        <v>46021</v>
      </c>
      <c r="E363" s="106" t="n">
        <v>2470</v>
      </c>
      <c r="F363" s="106" t="n">
        <v>990.9192</v>
      </c>
      <c r="G363" s="106" t="n">
        <v>500</v>
      </c>
      <c r="H363" s="109" t="inlineStr">
        <is>
          <t>SARL BENKHALFALLAH</t>
        </is>
      </c>
      <c r="I363" s="109" t="inlineStr">
        <is>
          <t>POUTRELLES</t>
        </is>
      </c>
      <c r="J363" s="107" t="inlineStr">
        <is>
          <t>POUTRELLES</t>
        </is>
      </c>
      <c r="K363" s="108">
        <f>D363+8</f>
        <v/>
      </c>
      <c r="L363" s="108">
        <f>K363+60</f>
        <v/>
      </c>
      <c r="M363" s="111" t="n"/>
      <c r="N363" s="112">
        <f>E363-154-176-150-118-1076-628-90-48-30</f>
        <v/>
      </c>
      <c r="O363" s="113">
        <f>F363/E363*N363</f>
        <v/>
      </c>
      <c r="P363" s="112">
        <f>G363/E363*N363</f>
        <v/>
      </c>
      <c r="Q363" s="109" t="n"/>
      <c r="R363" s="109" t="n"/>
      <c r="S363" s="109" t="inlineStr">
        <is>
          <t>25021TDJ0201</t>
        </is>
      </c>
      <c r="T363" s="114" t="n">
        <v>64</v>
      </c>
      <c r="U363" s="109" t="inlineStr">
        <is>
          <t>HOT ROLLED STEEL H-BEAM</t>
        </is>
      </c>
      <c r="V363" s="106" t="n"/>
      <c r="W363" s="106" t="n"/>
      <c r="X363" s="106" t="inlineStr">
        <is>
          <t>SOLDEE</t>
        </is>
      </c>
      <c r="Y363" s="116">
        <f>F363/E363</f>
        <v/>
      </c>
      <c r="Z363" s="30" t="n"/>
      <c r="AA363" s="30" t="n"/>
    </row>
    <row r="364" ht="18" customHeight="1" s="202">
      <c r="A364" s="106" t="n">
        <v>20250335</v>
      </c>
      <c r="B364" s="109" t="inlineStr">
        <is>
          <t>VENETIA</t>
        </is>
      </c>
      <c r="C364" s="259" t="n">
        <v>46009</v>
      </c>
      <c r="D364" s="259" t="n">
        <v>46021</v>
      </c>
      <c r="E364" s="106" t="n">
        <v>137</v>
      </c>
      <c r="F364" s="106" t="n">
        <v>152.75</v>
      </c>
      <c r="G364" s="106" t="n">
        <v>119.19</v>
      </c>
      <c r="H364" s="109" t="inlineStr">
        <is>
          <t>PLAST PACKAGING SARL</t>
        </is>
      </c>
      <c r="I364" s="109" t="inlineStr">
        <is>
          <t>PET RESIN EN BIG BAG</t>
        </is>
      </c>
      <c r="J364" s="109" t="inlineStr">
        <is>
          <t>BIG BAG</t>
        </is>
      </c>
      <c r="K364" s="259" t="n">
        <v>46029</v>
      </c>
      <c r="L364" s="259" t="n">
        <v>46089</v>
      </c>
      <c r="M364" s="109" t="n"/>
      <c r="N364" s="106">
        <f>E364-66-52-19</f>
        <v/>
      </c>
      <c r="O364" s="106">
        <f>F364/E364*N364</f>
        <v/>
      </c>
      <c r="P364" s="106">
        <f>G364/E364*N364</f>
        <v/>
      </c>
      <c r="Q364" s="109" t="n"/>
      <c r="R364" s="109" t="n"/>
      <c r="S364" s="109" t="inlineStr">
        <is>
          <t>25021LDJ2003</t>
        </is>
      </c>
      <c r="T364" s="114" t="n">
        <v>26</v>
      </c>
      <c r="U364" s="109" t="inlineStr">
        <is>
          <t>PET RESIN CZ302</t>
        </is>
      </c>
      <c r="V364" s="106" t="n"/>
      <c r="W364" s="106" t="n"/>
      <c r="X364" s="106" t="inlineStr">
        <is>
          <t>SOLDEE</t>
        </is>
      </c>
      <c r="Y364" s="116">
        <f>F364/E364</f>
        <v/>
      </c>
      <c r="Z364" s="30" t="n"/>
      <c r="AA364" s="30" t="n"/>
    </row>
    <row r="365" ht="18" customHeight="1" s="202">
      <c r="A365" s="188" t="n">
        <v>20250335</v>
      </c>
      <c r="B365" s="189" t="inlineStr">
        <is>
          <t>VENETIA</t>
        </is>
      </c>
      <c r="C365" s="190" t="n">
        <v>46009</v>
      </c>
      <c r="D365" s="190" t="n">
        <v>46021</v>
      </c>
      <c r="E365" s="191" t="n">
        <v>145</v>
      </c>
      <c r="F365" s="192" t="n">
        <v>260.2935</v>
      </c>
      <c r="G365" s="193" t="n">
        <v>126.15</v>
      </c>
      <c r="H365" s="194" t="inlineStr">
        <is>
          <t>SPA VERRE TECH</t>
        </is>
      </c>
      <c r="I365" s="194" t="inlineStr">
        <is>
          <t>COLIS</t>
        </is>
      </c>
      <c r="J365" s="189" t="inlineStr">
        <is>
          <t>COLIS</t>
        </is>
      </c>
      <c r="K365" s="203">
        <f>D365+8</f>
        <v/>
      </c>
      <c r="L365" s="203">
        <f>K365+60</f>
        <v/>
      </c>
      <c r="M365" s="195" t="n"/>
      <c r="N365" s="196">
        <f>E365-39-14-13-34-32-3</f>
        <v/>
      </c>
      <c r="O365" s="197">
        <f>F365/E365*N365</f>
        <v/>
      </c>
      <c r="P365" s="198">
        <f>G365/E365*N365</f>
        <v/>
      </c>
      <c r="Q365" s="224" t="n"/>
      <c r="R365" s="58" t="n"/>
      <c r="S365" s="200" t="inlineStr">
        <is>
          <t>25021LDJ2701</t>
        </is>
      </c>
      <c r="T365" s="201" t="n">
        <v>56</v>
      </c>
      <c r="U365" s="58" t="inlineStr">
        <is>
          <t>SILICA SAND TREATMENT LINE :PART 1/2 SILICA SAND CHEMICAL TREATMENT LINE :PART 1/2</t>
        </is>
      </c>
      <c r="V365" s="67" t="n"/>
      <c r="W365" s="67" t="n"/>
      <c r="X365" s="99" t="inlineStr">
        <is>
          <t>OPER</t>
        </is>
      </c>
      <c r="Y365" s="116">
        <f>F365/E365</f>
        <v/>
      </c>
      <c r="Z365" s="64">
        <f>E365-N365</f>
        <v/>
      </c>
      <c r="AA365" s="30" t="n"/>
    </row>
    <row r="366" ht="18" customHeight="1" s="202">
      <c r="A366" s="116" t="n">
        <v>20250335</v>
      </c>
      <c r="B366" s="117" t="inlineStr">
        <is>
          <t>VENETIA</t>
        </is>
      </c>
      <c r="C366" s="118" t="n">
        <v>46009</v>
      </c>
      <c r="D366" s="118" t="n">
        <v>46021</v>
      </c>
      <c r="E366" s="67" t="n">
        <v>2</v>
      </c>
      <c r="F366" s="119" t="n">
        <v>8.926</v>
      </c>
      <c r="G366" s="120" t="n">
        <v>20</v>
      </c>
      <c r="H366" s="121" t="inlineStr">
        <is>
          <t>SOCIETE ALGERIENNE DE L'ELECTRICITE ET DU GAZ -ENE</t>
        </is>
      </c>
      <c r="I366" s="121" t="inlineStr">
        <is>
          <t>COLIS</t>
        </is>
      </c>
      <c r="J366" s="117" t="inlineStr">
        <is>
          <t>COLIS</t>
        </is>
      </c>
      <c r="K366" s="48">
        <f>D366+8</f>
        <v/>
      </c>
      <c r="L366" s="48">
        <f>K366+60</f>
        <v/>
      </c>
      <c r="M366" s="71" t="n"/>
      <c r="N366" s="72">
        <f>E366</f>
        <v/>
      </c>
      <c r="O366" s="50">
        <f>F366/E366*N366</f>
        <v/>
      </c>
      <c r="P366" s="273">
        <f>G366/E366*N366</f>
        <v/>
      </c>
      <c r="Q366" s="224" t="n"/>
      <c r="R366" s="58" t="n"/>
      <c r="S366" s="200" t="inlineStr">
        <is>
          <t>25021LDJ0601A</t>
        </is>
      </c>
      <c r="T366" s="201" t="n">
        <v>5</v>
      </c>
      <c r="U366" s="58" t="inlineStr">
        <is>
          <t>TUBE AGS</t>
        </is>
      </c>
      <c r="V366" s="67" t="n"/>
      <c r="W366" s="67" t="n"/>
      <c r="X366" s="62" t="inlineStr">
        <is>
          <t>N-OP</t>
        </is>
      </c>
      <c r="Y366" s="116">
        <f>F366/E366</f>
        <v/>
      </c>
      <c r="Z366" s="64">
        <f>E366-N366</f>
        <v/>
      </c>
      <c r="AA366" s="30" t="n"/>
    </row>
    <row r="367" ht="18" customHeight="1" s="202">
      <c r="A367" s="116" t="n">
        <v>20250335</v>
      </c>
      <c r="B367" s="117" t="inlineStr">
        <is>
          <t>VENETIA</t>
        </is>
      </c>
      <c r="C367" s="118" t="n">
        <v>46009</v>
      </c>
      <c r="D367" s="118" t="n">
        <v>46021</v>
      </c>
      <c r="E367" s="67" t="n">
        <v>1</v>
      </c>
      <c r="F367" s="119" t="n">
        <v>2.363</v>
      </c>
      <c r="G367" s="120" t="n">
        <v>20</v>
      </c>
      <c r="H367" s="121" t="inlineStr">
        <is>
          <t>SOCIETE ALGERIENNE DE L'ELECTRICITE ET DU GAZ -ENE</t>
        </is>
      </c>
      <c r="I367" s="121" t="inlineStr">
        <is>
          <t>COLIS</t>
        </is>
      </c>
      <c r="J367" s="117" t="inlineStr">
        <is>
          <t>COLIS</t>
        </is>
      </c>
      <c r="K367" s="48">
        <f>D367+8</f>
        <v/>
      </c>
      <c r="L367" s="48">
        <f>K367+60</f>
        <v/>
      </c>
      <c r="M367" s="71" t="n"/>
      <c r="N367" s="72">
        <f>E367</f>
        <v/>
      </c>
      <c r="O367" s="50">
        <f>F367/E367*N367</f>
        <v/>
      </c>
      <c r="P367" s="273">
        <f>G367/E367*N367</f>
        <v/>
      </c>
      <c r="Q367" s="224" t="n"/>
      <c r="R367" s="58" t="n"/>
      <c r="S367" s="200" t="inlineStr">
        <is>
          <t>25021LDJ0601B</t>
        </is>
      </c>
      <c r="T367" s="201" t="n">
        <v>6</v>
      </c>
      <c r="U367" s="58" t="inlineStr">
        <is>
          <t>EXTENSION DES JEUX DE BARRES EXISTANTS</t>
        </is>
      </c>
      <c r="V367" s="67" t="n"/>
      <c r="W367" s="67" t="n"/>
      <c r="X367" s="62" t="inlineStr">
        <is>
          <t>N-OP</t>
        </is>
      </c>
      <c r="Y367" s="116">
        <f>F367/E367</f>
        <v/>
      </c>
      <c r="Z367" s="64">
        <f>E367-N367</f>
        <v/>
      </c>
      <c r="AA367" s="30" t="n"/>
    </row>
    <row r="368" ht="18" customHeight="1" s="202">
      <c r="A368" s="188" t="n">
        <v>20250335</v>
      </c>
      <c r="B368" s="189" t="inlineStr">
        <is>
          <t>VENETIA</t>
        </is>
      </c>
      <c r="C368" s="190" t="n">
        <v>46009</v>
      </c>
      <c r="D368" s="190" t="n">
        <v>46021</v>
      </c>
      <c r="E368" s="191" t="n">
        <v>3</v>
      </c>
      <c r="F368" s="192" t="n">
        <v>48</v>
      </c>
      <c r="G368" s="193" t="n">
        <v>72</v>
      </c>
      <c r="H368" s="194" t="inlineStr">
        <is>
          <t>SARL ABNAA SALMA TRAVAUX</t>
        </is>
      </c>
      <c r="I368" s="194" t="inlineStr">
        <is>
          <t>CAMIONS</t>
        </is>
      </c>
      <c r="J368" s="189" t="inlineStr">
        <is>
          <t>LOURD</t>
        </is>
      </c>
      <c r="K368" s="203">
        <f>D368+8</f>
        <v/>
      </c>
      <c r="L368" s="203">
        <f>K368+60</f>
        <v/>
      </c>
      <c r="M368" s="195" t="n"/>
      <c r="N368" s="196">
        <f>E368-1</f>
        <v/>
      </c>
      <c r="O368" s="197">
        <f>F368/E368*N368</f>
        <v/>
      </c>
      <c r="P368" s="198">
        <f>G368/E368*N368</f>
        <v/>
      </c>
      <c r="Q368" s="224" t="n"/>
      <c r="R368" s="58" t="n"/>
      <c r="S368" s="200" t="inlineStr">
        <is>
          <t>25021LDJ0801/02</t>
        </is>
      </c>
      <c r="T368" s="201" t="n">
        <v>11</v>
      </c>
      <c r="U368" s="58" t="inlineStr">
        <is>
          <t>02 UNITS DUMP TRUCK SX3255JM384 01 UNIT SPRINKLER SX5255GYSJM434 ( VOIR BL)</t>
        </is>
      </c>
      <c r="V368" s="67" t="n"/>
      <c r="W368" s="67" t="n"/>
      <c r="X368" s="99" t="inlineStr">
        <is>
          <t>OPER</t>
        </is>
      </c>
      <c r="Y368" s="116">
        <f>F368/E368</f>
        <v/>
      </c>
      <c r="Z368" s="64">
        <f>E368-N368</f>
        <v/>
      </c>
      <c r="AA368" s="30" t="n"/>
    </row>
    <row r="369" ht="18" customHeight="1" s="202">
      <c r="A369" s="116" t="n">
        <v>20250335</v>
      </c>
      <c r="B369" s="117" t="inlineStr">
        <is>
          <t>VENETIA</t>
        </is>
      </c>
      <c r="C369" s="118" t="n">
        <v>46009</v>
      </c>
      <c r="D369" s="118" t="n">
        <v>46021</v>
      </c>
      <c r="E369" s="67" t="n">
        <v>1</v>
      </c>
      <c r="F369" s="119" t="n">
        <v>33.174</v>
      </c>
      <c r="G369" s="120" t="n">
        <v>24</v>
      </c>
      <c r="H369" s="121" t="inlineStr">
        <is>
          <t>SARL SAFI SERVICE GENERAL</t>
        </is>
      </c>
      <c r="I369" s="121" t="inlineStr">
        <is>
          <t>EXCAVATEURS</t>
        </is>
      </c>
      <c r="J369" s="117" t="inlineStr">
        <is>
          <t>ENGINS</t>
        </is>
      </c>
      <c r="K369" s="48">
        <f>D369+8</f>
        <v/>
      </c>
      <c r="L369" s="48">
        <f>K369+60</f>
        <v/>
      </c>
      <c r="M369" s="71" t="n"/>
      <c r="N369" s="72">
        <f>E369</f>
        <v/>
      </c>
      <c r="O369" s="50">
        <f>F369/E369*N369</f>
        <v/>
      </c>
      <c r="P369" s="273">
        <f>G369/E369*N369</f>
        <v/>
      </c>
      <c r="Q369" s="224" t="n"/>
      <c r="R369" s="58" t="n"/>
      <c r="S369" s="200" t="inlineStr">
        <is>
          <t>25021LDJ2409</t>
        </is>
      </c>
      <c r="T369" s="201" t="n">
        <v>53</v>
      </c>
      <c r="U369" s="58" t="inlineStr">
        <is>
          <t>01 UNIT HYUNDAI EXCAVATOR HX340HD ( VOIR BL)</t>
        </is>
      </c>
      <c r="V369" s="67" t="n"/>
      <c r="W369" s="67" t="n"/>
      <c r="X369" s="62" t="inlineStr">
        <is>
          <t>N-OP</t>
        </is>
      </c>
      <c r="Y369" s="116">
        <f>F369/E369</f>
        <v/>
      </c>
      <c r="Z369" s="64">
        <f>E369-N369</f>
        <v/>
      </c>
      <c r="AA369" s="30" t="n"/>
    </row>
    <row r="370" ht="18" customHeight="1" s="202">
      <c r="A370" s="116" t="n">
        <v>20250335</v>
      </c>
      <c r="B370" s="117" t="inlineStr">
        <is>
          <t>VENETIA</t>
        </is>
      </c>
      <c r="C370" s="118" t="n">
        <v>46009</v>
      </c>
      <c r="D370" s="118" t="n">
        <v>46021</v>
      </c>
      <c r="E370" s="67" t="n">
        <v>2</v>
      </c>
      <c r="F370" s="119" t="n">
        <v>0</v>
      </c>
      <c r="G370" s="120" t="n">
        <v>6</v>
      </c>
      <c r="H370" s="121" t="inlineStr">
        <is>
          <t>SARL SAFI SERVICE GENERAL</t>
        </is>
      </c>
      <c r="I370" s="121" t="inlineStr">
        <is>
          <t>COLIS</t>
        </is>
      </c>
      <c r="J370" s="117" t="inlineStr">
        <is>
          <t>COLIS</t>
        </is>
      </c>
      <c r="K370" s="48">
        <f>D370+8</f>
        <v/>
      </c>
      <c r="L370" s="48">
        <f>K370+60</f>
        <v/>
      </c>
      <c r="M370" s="71" t="n"/>
      <c r="N370" s="72">
        <f>E370</f>
        <v/>
      </c>
      <c r="O370" s="50">
        <f>F370/E370*N370</f>
        <v/>
      </c>
      <c r="P370" s="273">
        <f>G370/E370*N370</f>
        <v/>
      </c>
      <c r="Q370" s="224" t="n"/>
      <c r="R370" s="58" t="n"/>
      <c r="S370" s="200" t="inlineStr">
        <is>
          <t>25021LDJ2409</t>
        </is>
      </c>
      <c r="T370" s="201" t="n">
        <v>53</v>
      </c>
      <c r="U370" s="58" t="n"/>
      <c r="V370" s="67" t="n"/>
      <c r="W370" s="67" t="n"/>
      <c r="X370" s="62" t="inlineStr">
        <is>
          <t>N-OP</t>
        </is>
      </c>
      <c r="Y370" s="116">
        <f>F370/E370</f>
        <v/>
      </c>
      <c r="Z370" s="64">
        <f>E370-N370</f>
        <v/>
      </c>
      <c r="AA370" s="30" t="n"/>
    </row>
    <row r="371" ht="18" customHeight="1" s="202">
      <c r="A371" s="206" t="n">
        <v>20250335</v>
      </c>
      <c r="B371" s="207" t="inlineStr">
        <is>
          <t>VENETIA</t>
        </is>
      </c>
      <c r="C371" s="208" t="n">
        <v>46009</v>
      </c>
      <c r="D371" s="208" t="n">
        <v>46021</v>
      </c>
      <c r="E371" s="209" t="n">
        <v>120</v>
      </c>
      <c r="F371" s="210" t="n">
        <v>876.131</v>
      </c>
      <c r="G371" s="211" t="n">
        <v>800</v>
      </c>
      <c r="H371" s="212" t="inlineStr">
        <is>
          <t>SPA CSCEC ALGERIE</t>
        </is>
      </c>
      <c r="I371" s="212" t="inlineStr">
        <is>
          <t>COLIS</t>
        </is>
      </c>
      <c r="J371" s="207" t="inlineStr">
        <is>
          <t>COLIS</t>
        </is>
      </c>
      <c r="K371" s="213">
        <f>D371+8</f>
        <v/>
      </c>
      <c r="L371" s="213">
        <f>K371+60</f>
        <v/>
      </c>
      <c r="M371" s="214" t="n"/>
      <c r="N371" s="215">
        <f>E371-5-12-20-15-51-4-6-3</f>
        <v/>
      </c>
      <c r="O371" s="216">
        <f>F371/E371*N371</f>
        <v/>
      </c>
      <c r="P371" s="218">
        <f>G371/E371*N371</f>
        <v/>
      </c>
      <c r="Q371" s="224" t="n"/>
      <c r="R371" s="58" t="n"/>
      <c r="S371" s="200" t="inlineStr">
        <is>
          <t>25021LDJ2801</t>
        </is>
      </c>
      <c r="T371" s="201" t="n">
        <v>57</v>
      </c>
      <c r="U371" s="58" t="inlineStr">
        <is>
          <t>CONSTRUCTION MATERIALS</t>
        </is>
      </c>
      <c r="V371" s="67" t="n"/>
      <c r="W371" s="67" t="n"/>
      <c r="X371" s="99" t="inlineStr">
        <is>
          <t>OPER</t>
        </is>
      </c>
      <c r="Y371" s="116">
        <f>F371/E371</f>
        <v/>
      </c>
      <c r="Z371" s="64">
        <f>E371-N371</f>
        <v/>
      </c>
      <c r="AA371" s="30" t="n"/>
    </row>
    <row r="372" ht="18" customHeight="1" s="202">
      <c r="A372" s="87" t="n">
        <v>20260014</v>
      </c>
      <c r="B372" s="88" t="inlineStr">
        <is>
          <t xml:space="preserve">TALI </t>
        </is>
      </c>
      <c r="C372" s="89" t="n">
        <v>46034</v>
      </c>
      <c r="D372" s="190" t="n">
        <v>46037</v>
      </c>
      <c r="E372" s="191" t="n">
        <v>1041</v>
      </c>
      <c r="F372" s="192" t="n">
        <v>2881.133</v>
      </c>
      <c r="G372" s="193" t="n">
        <v>1735</v>
      </c>
      <c r="H372" s="194" t="inlineStr">
        <is>
          <t>SARL BHR WOOD</t>
        </is>
      </c>
      <c r="I372" s="194" t="inlineStr">
        <is>
          <t>BOIS ROUGE</t>
        </is>
      </c>
      <c r="J372" s="189" t="inlineStr">
        <is>
          <t>BOIS</t>
        </is>
      </c>
      <c r="K372" s="203">
        <f>D372+8</f>
        <v/>
      </c>
      <c r="L372" s="203">
        <f>K372+60</f>
        <v/>
      </c>
      <c r="M372" s="195" t="inlineStr">
        <is>
          <t>26A0046000049ICS</t>
        </is>
      </c>
      <c r="N372" s="196">
        <f>E372-90-99-66-154-58-27-93-99-100-46-84-65-23</f>
        <v/>
      </c>
      <c r="O372" s="197">
        <f>F372/E372*N372</f>
        <v/>
      </c>
      <c r="P372" s="198">
        <f>G372/E372*N372</f>
        <v/>
      </c>
      <c r="Q372" s="224" t="n"/>
      <c r="R372" s="58" t="n"/>
      <c r="S372" s="200" t="inlineStr">
        <is>
          <t>OR 2</t>
        </is>
      </c>
      <c r="T372" s="201" t="n">
        <v>2</v>
      </c>
      <c r="U372" s="58" t="n"/>
      <c r="V372" s="67" t="n"/>
      <c r="W372" s="67" t="n"/>
      <c r="X372" s="99" t="inlineStr">
        <is>
          <t>OPER</t>
        </is>
      </c>
      <c r="Y372" s="116">
        <f>F372/E372</f>
        <v/>
      </c>
      <c r="Z372" s="64">
        <f>E372-N372</f>
        <v/>
      </c>
      <c r="AA372" s="30" t="n"/>
    </row>
    <row r="373" ht="18" customHeight="1" s="202">
      <c r="A373" s="188" t="n">
        <v>20260014</v>
      </c>
      <c r="B373" s="194" t="inlineStr">
        <is>
          <t xml:space="preserve">TALI </t>
        </is>
      </c>
      <c r="C373" s="262" t="n">
        <v>46034</v>
      </c>
      <c r="D373" s="262" t="n">
        <v>46037</v>
      </c>
      <c r="E373" s="188" t="n">
        <v>447</v>
      </c>
      <c r="F373" s="192" t="n">
        <v>1281.31</v>
      </c>
      <c r="G373" s="188" t="n">
        <v>745</v>
      </c>
      <c r="H373" s="194" t="inlineStr">
        <is>
          <t>SARL GROUP CBS IMP/EXP</t>
        </is>
      </c>
      <c r="I373" s="194" t="inlineStr">
        <is>
          <t>BOIS ROUGE</t>
        </is>
      </c>
      <c r="J373" s="194" t="inlineStr">
        <is>
          <t>BOIS</t>
        </is>
      </c>
      <c r="K373" s="203">
        <f>D373+8</f>
        <v/>
      </c>
      <c r="L373" s="203">
        <f>K373+60</f>
        <v/>
      </c>
      <c r="M373" s="194" t="inlineStr">
        <is>
          <t>26A0046000049ICS</t>
        </is>
      </c>
      <c r="N373" s="188">
        <f>E373-46-33-50-24-96-57-70-36</f>
        <v/>
      </c>
      <c r="O373" s="188">
        <f>F373/E373*N373</f>
        <v/>
      </c>
      <c r="P373" s="198">
        <f>G373/E373*N373</f>
        <v/>
      </c>
      <c r="Q373" s="224" t="n"/>
      <c r="R373" s="58" t="n"/>
      <c r="S373" s="200" t="inlineStr">
        <is>
          <t>OR 3</t>
        </is>
      </c>
      <c r="T373" s="201" t="n">
        <v>3</v>
      </c>
      <c r="U373" s="58" t="n"/>
      <c r="V373" s="67" t="n"/>
      <c r="W373" s="67" t="n"/>
      <c r="X373" s="99" t="inlineStr">
        <is>
          <t>OPER</t>
        </is>
      </c>
      <c r="Y373" s="116">
        <f>F373/E373</f>
        <v/>
      </c>
      <c r="Z373" s="64">
        <f>E373-N373</f>
        <v/>
      </c>
      <c r="AA373" s="30" t="n"/>
    </row>
    <row r="374" ht="18" customHeight="1" s="202">
      <c r="A374" s="188" t="n">
        <v>20260014</v>
      </c>
      <c r="B374" s="189" t="inlineStr">
        <is>
          <t xml:space="preserve">TALI </t>
        </is>
      </c>
      <c r="C374" s="190" t="n">
        <v>46034</v>
      </c>
      <c r="D374" s="190" t="n">
        <v>46037</v>
      </c>
      <c r="E374" s="191" t="n">
        <v>351</v>
      </c>
      <c r="F374" s="192" t="n">
        <v>831.795</v>
      </c>
      <c r="G374" s="193" t="n">
        <v>585</v>
      </c>
      <c r="H374" s="194" t="inlineStr">
        <is>
          <t>SARL AIDOUNI TRADING COMPANY</t>
        </is>
      </c>
      <c r="I374" s="194" t="inlineStr">
        <is>
          <t>BOIS ROUGE</t>
        </is>
      </c>
      <c r="J374" s="189" t="inlineStr">
        <is>
          <t>BOIS</t>
        </is>
      </c>
      <c r="K374" s="203">
        <f>D374+8</f>
        <v/>
      </c>
      <c r="L374" s="203">
        <f>K374+60</f>
        <v/>
      </c>
      <c r="M374" s="195" t="inlineStr">
        <is>
          <t>26A0046000049ICS</t>
        </is>
      </c>
      <c r="N374" s="196">
        <f>E374-50-36-9-58-36-65-17-59-12</f>
        <v/>
      </c>
      <c r="O374" s="197">
        <f>F374/E374*N374</f>
        <v/>
      </c>
      <c r="P374" s="198">
        <f>G374/E374*N374</f>
        <v/>
      </c>
      <c r="Q374" s="224" t="n"/>
      <c r="R374" s="58" t="n"/>
      <c r="S374" s="200" t="inlineStr">
        <is>
          <t>OR 5</t>
        </is>
      </c>
      <c r="T374" s="201" t="n">
        <v>5</v>
      </c>
      <c r="U374" s="58" t="n"/>
      <c r="V374" s="67" t="n"/>
      <c r="W374" s="67" t="n"/>
      <c r="X374" s="99" t="inlineStr">
        <is>
          <t>OPER</t>
        </is>
      </c>
      <c r="Y374" s="116">
        <f>F374/E374</f>
        <v/>
      </c>
      <c r="Z374" s="64">
        <f>E374-N374</f>
        <v/>
      </c>
      <c r="AA374" s="30" t="n"/>
    </row>
    <row r="375" ht="18" customHeight="1" s="202">
      <c r="A375" s="87" t="n">
        <v>20260023</v>
      </c>
      <c r="B375" s="88" t="inlineStr">
        <is>
          <t>ULTRA ESTERHAZY</t>
        </is>
      </c>
      <c r="C375" s="89" t="n">
        <v>46040</v>
      </c>
      <c r="D375" s="118" t="n">
        <v>46041</v>
      </c>
      <c r="E375" s="67" t="n">
        <v>80</v>
      </c>
      <c r="F375" s="119" t="n">
        <v>292.927</v>
      </c>
      <c r="G375" s="120" t="n">
        <v>10</v>
      </c>
      <c r="H375" s="121" t="inlineStr">
        <is>
          <t>SH ENI GROUPEMENT</t>
        </is>
      </c>
      <c r="I375" s="121" t="inlineStr">
        <is>
          <t>TUBES</t>
        </is>
      </c>
      <c r="J375" s="121" t="inlineStr">
        <is>
          <t>TUBES</t>
        </is>
      </c>
      <c r="K375" s="48">
        <f>D375+8</f>
        <v/>
      </c>
      <c r="L375" s="48">
        <f>K375+60</f>
        <v/>
      </c>
      <c r="M375" s="224" t="n"/>
      <c r="N375" s="72">
        <f>E375</f>
        <v/>
      </c>
      <c r="O375" s="50">
        <f>F375/E375*N375</f>
        <v/>
      </c>
      <c r="P375" s="273">
        <f>G375/E375*N375</f>
        <v/>
      </c>
      <c r="Q375" s="224" t="inlineStr">
        <is>
          <t xml:space="preserve">A COTE BUREU ALCES </t>
        </is>
      </c>
      <c r="R375" s="58" t="n"/>
      <c r="S375" s="200" t="n">
        <v>152442</v>
      </c>
      <c r="T375" s="201" t="n">
        <v>2</v>
      </c>
      <c r="U375" s="58" t="n"/>
      <c r="V375" s="67" t="n"/>
      <c r="W375" s="67" t="n"/>
      <c r="X375" s="62" t="inlineStr">
        <is>
          <t>N-OP</t>
        </is>
      </c>
      <c r="Y375" s="116">
        <f>F375/E375</f>
        <v/>
      </c>
      <c r="Z375" s="64">
        <f>E375-N375</f>
        <v/>
      </c>
      <c r="AA375" s="30" t="n"/>
    </row>
    <row r="376" ht="18" customHeight="1" s="202">
      <c r="A376" s="116" t="n">
        <v>20260023</v>
      </c>
      <c r="B376" s="117" t="inlineStr">
        <is>
          <t>ULTRA ESTERHAZY</t>
        </is>
      </c>
      <c r="C376" s="118" t="n">
        <v>46040</v>
      </c>
      <c r="D376" s="118" t="n">
        <v>46041</v>
      </c>
      <c r="E376" s="67" t="n">
        <v>5</v>
      </c>
      <c r="F376" s="119" t="n">
        <v>9.226000000000001</v>
      </c>
      <c r="G376" s="120" t="n">
        <v>6.02272727272727</v>
      </c>
      <c r="H376" s="121" t="inlineStr">
        <is>
          <t>SH ENI</t>
        </is>
      </c>
      <c r="I376" s="121" t="inlineStr">
        <is>
          <t>TUBES</t>
        </is>
      </c>
      <c r="J376" s="121" t="inlineStr">
        <is>
          <t>TUBES</t>
        </is>
      </c>
      <c r="K376" s="48">
        <f>D376+8</f>
        <v/>
      </c>
      <c r="L376" s="48">
        <f>K376+60</f>
        <v/>
      </c>
      <c r="M376" s="224" t="n"/>
      <c r="N376" s="72">
        <f>E376</f>
        <v/>
      </c>
      <c r="O376" s="50">
        <f>F376/E376*N376</f>
        <v/>
      </c>
      <c r="P376" s="273">
        <f>G376/E376*N376</f>
        <v/>
      </c>
      <c r="Q376" s="224" t="inlineStr">
        <is>
          <t xml:space="preserve">A COTE BUREU ALCES </t>
        </is>
      </c>
      <c r="R376" s="58" t="n"/>
      <c r="S376" s="200" t="n">
        <v>152443</v>
      </c>
      <c r="T376" s="201" t="n">
        <v>3</v>
      </c>
      <c r="U376" s="58" t="n"/>
      <c r="V376" s="67" t="n"/>
      <c r="W376" s="67" t="n"/>
      <c r="X376" s="62" t="inlineStr">
        <is>
          <t>N-OP</t>
        </is>
      </c>
      <c r="Y376" s="116">
        <f>F376/E376</f>
        <v/>
      </c>
      <c r="Z376" s="64">
        <f>E376-N376</f>
        <v/>
      </c>
      <c r="AA376" s="30" t="n"/>
    </row>
    <row r="377" ht="18" customHeight="1" s="202">
      <c r="A377" s="87" t="n">
        <v>20260024</v>
      </c>
      <c r="B377" s="88" t="inlineStr">
        <is>
          <t>AJOS</t>
        </is>
      </c>
      <c r="C377" s="89" t="n">
        <v>46044</v>
      </c>
      <c r="D377" s="190" t="n">
        <v>46045</v>
      </c>
      <c r="E377" s="191" t="n">
        <v>766</v>
      </c>
      <c r="F377" s="192" t="n">
        <v>3163.7</v>
      </c>
      <c r="G377" s="193" t="n">
        <v>670</v>
      </c>
      <c r="H377" s="194" t="inlineStr">
        <is>
          <t>GOLD METAL TOUALI SARL</t>
        </is>
      </c>
      <c r="I377" s="194" t="inlineStr">
        <is>
          <t>POUTRELLES</t>
        </is>
      </c>
      <c r="J377" s="194" t="inlineStr">
        <is>
          <t>POUTRELLES</t>
        </is>
      </c>
      <c r="K377" s="203">
        <f>D377+8</f>
        <v/>
      </c>
      <c r="L377" s="203">
        <f>K377+60</f>
        <v/>
      </c>
      <c r="M377" s="195" t="n"/>
      <c r="N377" s="196">
        <f>E377-242-23-33-35-57-172-34-121-19</f>
        <v/>
      </c>
      <c r="O377" s="197">
        <f>F377/E377*N377</f>
        <v/>
      </c>
      <c r="P377" s="198">
        <f>G377/E377*N377</f>
        <v/>
      </c>
      <c r="Q377" s="224" t="n"/>
      <c r="R377" s="58" t="n"/>
      <c r="S377" s="200" t="n">
        <v>1</v>
      </c>
      <c r="T377" s="201" t="n">
        <v>1</v>
      </c>
      <c r="U377" s="58" t="inlineStr">
        <is>
          <t>STEEL PROFILS</t>
        </is>
      </c>
      <c r="V377" s="67" t="n"/>
      <c r="W377" s="67" t="n"/>
      <c r="X377" s="99" t="inlineStr">
        <is>
          <t>OPER</t>
        </is>
      </c>
      <c r="Y377" s="116">
        <f>F377/E377</f>
        <v/>
      </c>
      <c r="Z377" s="64">
        <f>E377-N377</f>
        <v/>
      </c>
      <c r="AA377" s="30" t="n"/>
    </row>
    <row r="378" ht="18" customHeight="1" s="202">
      <c r="A378" s="87" t="n">
        <v>20260025</v>
      </c>
      <c r="B378" s="88" t="inlineStr">
        <is>
          <t>DOLFIJNGRACHT</t>
        </is>
      </c>
      <c r="C378" s="89" t="n">
        <v>46044</v>
      </c>
      <c r="D378" s="137" t="n">
        <v>46048</v>
      </c>
      <c r="E378" s="138" t="n">
        <v>11513</v>
      </c>
      <c r="F378" s="139" t="n">
        <v>8020.238</v>
      </c>
      <c r="G378" s="140" t="n">
        <v>9800</v>
      </c>
      <c r="H378" s="141" t="inlineStr">
        <is>
          <t>SH DP</t>
        </is>
      </c>
      <c r="I378" s="141" t="inlineStr">
        <is>
          <t>TUBES</t>
        </is>
      </c>
      <c r="J378" s="141" t="inlineStr">
        <is>
          <t>TUBES</t>
        </is>
      </c>
      <c r="K378" s="142">
        <f>D378+8</f>
        <v/>
      </c>
      <c r="L378" s="142">
        <f>K378+60</f>
        <v/>
      </c>
      <c r="M378" s="143" t="n"/>
      <c r="N378" s="144">
        <f>E378-9146-117</f>
        <v/>
      </c>
      <c r="O378" s="145">
        <f>F378/E378*N378</f>
        <v/>
      </c>
      <c r="P378" s="146">
        <f>G378/E378*N378</f>
        <v/>
      </c>
      <c r="Q378" s="224" t="inlineStr">
        <is>
          <t>POSTE 5+ROUTE ENTREE G.C+ZONE TUBES</t>
        </is>
      </c>
      <c r="R378" s="58" t="n"/>
      <c r="S378" s="200" t="inlineStr">
        <is>
          <t>SFFVDOVZDJ601001</t>
        </is>
      </c>
      <c r="T378" s="201" t="n">
        <v>1</v>
      </c>
      <c r="U378" s="58" t="inlineStr">
        <is>
          <t>11513 PIECES 9,253 LOOSE PIECES OF CASING "LOADING FROM OPEN 10 PACKAGES WITH 226 PIECES OF COUPLINGS TRUCK (IN THE RAIN)</t>
        </is>
      </c>
      <c r="V378" s="67" t="n"/>
      <c r="W378" s="67" t="n"/>
      <c r="X378" s="99" t="inlineStr">
        <is>
          <t>OPER</t>
        </is>
      </c>
      <c r="Y378" s="116">
        <f>F378/E378</f>
        <v/>
      </c>
      <c r="Z378" s="64">
        <f>E378-N378</f>
        <v/>
      </c>
      <c r="AA378" s="30" t="n"/>
    </row>
    <row r="379" ht="18" customHeight="1" s="202">
      <c r="A379" s="106" t="n">
        <v>20260017</v>
      </c>
      <c r="B379" s="107" t="inlineStr">
        <is>
          <t>CHANG HONG AN</t>
        </is>
      </c>
      <c r="C379" s="108" t="n">
        <v>46036</v>
      </c>
      <c r="D379" s="108" t="n">
        <v>46055</v>
      </c>
      <c r="E379" s="106" t="n">
        <v>1</v>
      </c>
      <c r="F379" s="106" t="n">
        <v>4</v>
      </c>
      <c r="G379" s="106" t="n">
        <v>24</v>
      </c>
      <c r="H379" s="109" t="inlineStr">
        <is>
          <t>HADFI BOUBAKER</t>
        </is>
      </c>
      <c r="I379" s="109" t="inlineStr">
        <is>
          <t>COLIS</t>
        </is>
      </c>
      <c r="J379" s="107" t="inlineStr">
        <is>
          <t>COLIS</t>
        </is>
      </c>
      <c r="K379" s="108">
        <f>D379+8</f>
        <v/>
      </c>
      <c r="L379" s="108">
        <f>K379+60</f>
        <v/>
      </c>
      <c r="M379" s="111" t="n"/>
      <c r="N379" s="112">
        <f>E379-1</f>
        <v/>
      </c>
      <c r="O379" s="113">
        <f>F379/E379*N379</f>
        <v/>
      </c>
      <c r="P379" s="112">
        <f>G379/E379*N379</f>
        <v/>
      </c>
      <c r="Q379" s="109" t="n"/>
      <c r="R379" s="109" t="n"/>
      <c r="S379" s="109" t="inlineStr">
        <is>
          <t>CA25307LDJD001</t>
        </is>
      </c>
      <c r="T379" s="114" t="n">
        <v>3</v>
      </c>
      <c r="U379" s="109" t="inlineStr">
        <is>
          <t>CONVEYOR PNEUMATIC</t>
        </is>
      </c>
      <c r="V379" s="106" t="n"/>
      <c r="W379" s="106" t="n"/>
      <c r="X379" s="106" t="inlineStr">
        <is>
          <t>SOLDEE</t>
        </is>
      </c>
      <c r="Y379" s="116">
        <f>F379/E379</f>
        <v/>
      </c>
      <c r="Z379" s="64">
        <f>E379-N379</f>
        <v/>
      </c>
      <c r="AA379" s="30" t="n"/>
    </row>
    <row r="380" ht="18" customHeight="1" s="202">
      <c r="A380" s="206" t="n">
        <v>20260017</v>
      </c>
      <c r="B380" s="207" t="inlineStr">
        <is>
          <t>CHANG HONG AN</t>
        </is>
      </c>
      <c r="C380" s="208" t="n">
        <v>46036</v>
      </c>
      <c r="D380" s="208" t="n">
        <v>46055</v>
      </c>
      <c r="E380" s="206" t="n">
        <v>35</v>
      </c>
      <c r="F380" s="206" t="n">
        <v>309.907</v>
      </c>
      <c r="G380" s="206" t="n">
        <v>360</v>
      </c>
      <c r="H380" s="212" t="inlineStr">
        <is>
          <t>ENSP SPA /DIVISION TRAVAUX DE SURFACE / DIRECTION</t>
        </is>
      </c>
      <c r="I380" s="212" t="inlineStr">
        <is>
          <t>REMORQUES</t>
        </is>
      </c>
      <c r="J380" s="207" t="inlineStr">
        <is>
          <t>LOURD</t>
        </is>
      </c>
      <c r="K380" s="208">
        <f>D380+8</f>
        <v/>
      </c>
      <c r="L380" s="208">
        <f>K380+60</f>
        <v/>
      </c>
      <c r="M380" s="263" t="n"/>
      <c r="N380" s="215">
        <f>E380-19-4-4</f>
        <v/>
      </c>
      <c r="O380" s="264">
        <f>F380/E380*N380</f>
        <v/>
      </c>
      <c r="P380" s="215">
        <f>G380/E380*N380</f>
        <v/>
      </c>
      <c r="Q380" s="224" t="n"/>
      <c r="R380" s="58" t="n"/>
      <c r="S380" s="200" t="inlineStr">
        <is>
          <t>CA25307LDJD003/004</t>
        </is>
      </c>
      <c r="T380" s="201" t="n">
        <v>4</v>
      </c>
      <c r="U380" s="58" t="inlineStr">
        <is>
          <t>15 UNITS TRAILER MOUNTED VACUUM TANK WITH SPARE PARTS ( VOIR BL)</t>
        </is>
      </c>
      <c r="V380" s="67" t="n"/>
      <c r="W380" s="67" t="n"/>
      <c r="X380" s="99" t="inlineStr">
        <is>
          <t>OPER</t>
        </is>
      </c>
      <c r="Y380" s="116">
        <f>F380/E380</f>
        <v/>
      </c>
      <c r="Z380" s="64">
        <f>E380-N380</f>
        <v/>
      </c>
      <c r="AA380" s="30" t="n"/>
    </row>
    <row r="381" ht="18" customHeight="1" s="202">
      <c r="A381" s="106" t="n">
        <v>20260017</v>
      </c>
      <c r="B381" s="107" t="inlineStr">
        <is>
          <t>CHANG HONG AN</t>
        </is>
      </c>
      <c r="C381" s="108" t="n">
        <v>46036</v>
      </c>
      <c r="D381" s="108" t="n">
        <v>46055</v>
      </c>
      <c r="E381" s="106" t="n">
        <v>9</v>
      </c>
      <c r="F381" s="106" t="n">
        <v>100</v>
      </c>
      <c r="G381" s="106" t="n">
        <v>216</v>
      </c>
      <c r="H381" s="109" t="inlineStr">
        <is>
          <t>SARL GTR EL DJAZIRA EL ARABIA</t>
        </is>
      </c>
      <c r="I381" s="109" t="inlineStr">
        <is>
          <t>CAMIONS</t>
        </is>
      </c>
      <c r="J381" s="107" t="inlineStr">
        <is>
          <t>LOURD</t>
        </is>
      </c>
      <c r="K381" s="108">
        <f>D381+8</f>
        <v/>
      </c>
      <c r="L381" s="108">
        <f>K381+60</f>
        <v/>
      </c>
      <c r="M381" s="111" t="n"/>
      <c r="N381" s="112">
        <f>E381-9</f>
        <v/>
      </c>
      <c r="O381" s="113">
        <f>F381/E381*N381</f>
        <v/>
      </c>
      <c r="P381" s="112">
        <f>G381/E381*N381</f>
        <v/>
      </c>
      <c r="Q381" s="109" t="n"/>
      <c r="R381" s="109" t="n"/>
      <c r="S381" s="109" t="inlineStr">
        <is>
          <t>CA25307LDJD009/010</t>
        </is>
      </c>
      <c r="T381" s="114" t="n">
        <v>8</v>
      </c>
      <c r="U381" s="109" t="inlineStr">
        <is>
          <t>03 UNITS HOWO TX 6X4 DUMP TRUCKS/06 UNITS HOWO TX 8X4 DUMP TRUCKS/01 UNIT LGMRT DRILLING RIG, MODEL ST 120 ( VOIR BL)</t>
        </is>
      </c>
      <c r="V381" s="106" t="n"/>
      <c r="W381" s="106" t="n"/>
      <c r="X381" s="106" t="inlineStr">
        <is>
          <t>SOLDEE</t>
        </is>
      </c>
      <c r="Y381" s="116">
        <f>F381/E381</f>
        <v/>
      </c>
      <c r="Z381" s="30" t="n"/>
      <c r="AA381" s="30" t="n"/>
    </row>
    <row r="382" ht="18" customHeight="1" s="202">
      <c r="A382" s="106" t="n">
        <v>20260017</v>
      </c>
      <c r="B382" s="107" t="inlineStr">
        <is>
          <t>CHANG HONG AN</t>
        </is>
      </c>
      <c r="C382" s="108" t="n">
        <v>46036</v>
      </c>
      <c r="D382" s="108" t="n">
        <v>46055</v>
      </c>
      <c r="E382" s="106" t="n">
        <v>1</v>
      </c>
      <c r="F382" s="106" t="n">
        <v>67.43899999999999</v>
      </c>
      <c r="G382" s="106" t="n">
        <v>40</v>
      </c>
      <c r="H382" s="109" t="inlineStr">
        <is>
          <t>SARL GTR EL DJAZIRA EL ARABIA</t>
        </is>
      </c>
      <c r="I382" s="109" t="inlineStr">
        <is>
          <t>MACHINE DE FORAGE</t>
        </is>
      </c>
      <c r="J382" s="107" t="inlineStr">
        <is>
          <t>ENGINS</t>
        </is>
      </c>
      <c r="K382" s="108">
        <f>D382+8</f>
        <v/>
      </c>
      <c r="L382" s="108">
        <f>K382+60</f>
        <v/>
      </c>
      <c r="M382" s="111" t="n"/>
      <c r="N382" s="112">
        <f>E382-1</f>
        <v/>
      </c>
      <c r="O382" s="113">
        <f>F382/E382*N382</f>
        <v/>
      </c>
      <c r="P382" s="112">
        <f>G382/E382*N382</f>
        <v/>
      </c>
      <c r="Q382" s="109" t="n"/>
      <c r="R382" s="109" t="n"/>
      <c r="S382" s="109" t="inlineStr">
        <is>
          <t>CA25307LDJD009/010</t>
        </is>
      </c>
      <c r="T382" s="114" t="n">
        <v>8</v>
      </c>
      <c r="U382" s="109" t="n"/>
      <c r="V382" s="106" t="n"/>
      <c r="W382" s="106" t="n"/>
      <c r="X382" s="106" t="inlineStr">
        <is>
          <t>SOLDEE</t>
        </is>
      </c>
      <c r="Y382" s="116">
        <f>F382/E382</f>
        <v/>
      </c>
      <c r="Z382" s="30" t="n"/>
      <c r="AA382" s="30" t="n"/>
    </row>
    <row r="383" ht="18" customHeight="1" s="202">
      <c r="A383" s="106" t="n">
        <v>20260017</v>
      </c>
      <c r="B383" s="107" t="inlineStr">
        <is>
          <t>CHANG HONG AN</t>
        </is>
      </c>
      <c r="C383" s="108" t="n">
        <v>46036</v>
      </c>
      <c r="D383" s="108" t="n">
        <v>46055</v>
      </c>
      <c r="E383" s="106" t="n">
        <v>6</v>
      </c>
      <c r="F383" s="106" t="n">
        <v>0</v>
      </c>
      <c r="G383" s="106" t="n">
        <v>25</v>
      </c>
      <c r="H383" s="109" t="inlineStr">
        <is>
          <t>SARL GTR EL DJAZIRA EL ARABIA</t>
        </is>
      </c>
      <c r="I383" s="109" t="inlineStr">
        <is>
          <t>COLIS</t>
        </is>
      </c>
      <c r="J383" s="107" t="inlineStr">
        <is>
          <t>COLIS</t>
        </is>
      </c>
      <c r="K383" s="108">
        <f>D383+8</f>
        <v/>
      </c>
      <c r="L383" s="108">
        <f>K383+60</f>
        <v/>
      </c>
      <c r="M383" s="111" t="n"/>
      <c r="N383" s="112">
        <f>E383-6</f>
        <v/>
      </c>
      <c r="O383" s="113">
        <f>F383/E383*N383</f>
        <v/>
      </c>
      <c r="P383" s="112">
        <f>G383/E383*N383</f>
        <v/>
      </c>
      <c r="Q383" s="109" t="n"/>
      <c r="R383" s="109" t="n"/>
      <c r="S383" s="109" t="inlineStr">
        <is>
          <t>CA25307LDJD009/010</t>
        </is>
      </c>
      <c r="T383" s="114" t="n">
        <v>8</v>
      </c>
      <c r="U383" s="109" t="n"/>
      <c r="V383" s="106" t="n"/>
      <c r="W383" s="106" t="n"/>
      <c r="X383" s="106" t="inlineStr">
        <is>
          <t>SOLDEE</t>
        </is>
      </c>
      <c r="Y383" s="116">
        <f>F383/E383</f>
        <v/>
      </c>
      <c r="Z383" s="30" t="n"/>
      <c r="AA383" s="30" t="n"/>
    </row>
    <row r="384" ht="18" customHeight="1" s="202">
      <c r="A384" s="206" t="n">
        <v>20260017</v>
      </c>
      <c r="B384" s="207" t="inlineStr">
        <is>
          <t>CHANG HONG AN</t>
        </is>
      </c>
      <c r="C384" s="208" t="n">
        <v>46036</v>
      </c>
      <c r="D384" s="208" t="n">
        <v>46055</v>
      </c>
      <c r="E384" s="209" t="n">
        <v>2</v>
      </c>
      <c r="F384" s="210" t="n">
        <v>1.81</v>
      </c>
      <c r="G384" s="211" t="n">
        <v>15</v>
      </c>
      <c r="H384" s="212" t="inlineStr">
        <is>
          <t>SH SINOPEC GROUP</t>
        </is>
      </c>
      <c r="I384" s="212" t="inlineStr">
        <is>
          <t>COLIS</t>
        </is>
      </c>
      <c r="J384" s="207" t="inlineStr">
        <is>
          <t>COLIS</t>
        </is>
      </c>
      <c r="K384" s="213">
        <f>D384+8</f>
        <v/>
      </c>
      <c r="L384" s="213">
        <f>K384+60</f>
        <v/>
      </c>
      <c r="M384" s="214" t="n"/>
      <c r="N384" s="215">
        <f>E384-1</f>
        <v/>
      </c>
      <c r="O384" s="216">
        <f>F384/E384*N384</f>
        <v/>
      </c>
      <c r="P384" s="218">
        <f>G384/E384*N384</f>
        <v/>
      </c>
      <c r="Q384" s="224" t="n"/>
      <c r="R384" s="58" t="n"/>
      <c r="S384" s="200" t="inlineStr">
        <is>
          <t>CA25307LDJD024</t>
        </is>
      </c>
      <c r="T384" s="201" t="n">
        <v>17</v>
      </c>
      <c r="U384" s="58" t="inlineStr">
        <is>
          <t>MATERIELS ET MATERIAUX ( VOIR BL)</t>
        </is>
      </c>
      <c r="V384" s="67" t="n"/>
      <c r="W384" s="67" t="n"/>
      <c r="X384" s="99" t="inlineStr">
        <is>
          <t>OPER</t>
        </is>
      </c>
      <c r="Y384" s="116">
        <f>F384/E384</f>
        <v/>
      </c>
      <c r="Z384" s="64">
        <f>E384-N384</f>
        <v/>
      </c>
      <c r="AA384" s="30" t="n"/>
    </row>
    <row r="385" ht="18" customHeight="1" s="202">
      <c r="A385" s="116" t="n">
        <v>20260017</v>
      </c>
      <c r="B385" s="117" t="inlineStr">
        <is>
          <t>CHANG HONG AN</t>
        </is>
      </c>
      <c r="C385" s="118" t="n">
        <v>46036</v>
      </c>
      <c r="D385" s="118" t="n">
        <v>46055</v>
      </c>
      <c r="E385" s="67" t="n">
        <v>2</v>
      </c>
      <c r="F385" s="119" t="n">
        <v>30</v>
      </c>
      <c r="G385" s="120" t="n">
        <v>48</v>
      </c>
      <c r="H385" s="121" t="inlineStr">
        <is>
          <t>BENSAID MOHAMMED</t>
        </is>
      </c>
      <c r="I385" s="121" t="inlineStr">
        <is>
          <t>CAMIONS</t>
        </is>
      </c>
      <c r="J385" s="117" t="inlineStr">
        <is>
          <t>LOURD</t>
        </is>
      </c>
      <c r="K385" s="48">
        <f>D385+8</f>
        <v/>
      </c>
      <c r="L385" s="48">
        <f>K385+60</f>
        <v/>
      </c>
      <c r="M385" s="71" t="n"/>
      <c r="N385" s="72">
        <f>E385</f>
        <v/>
      </c>
      <c r="O385" s="50">
        <f>F385/E385*N385</f>
        <v/>
      </c>
      <c r="P385" s="273">
        <f>G385/E385*N385</f>
        <v/>
      </c>
      <c r="Q385" s="224" t="n"/>
      <c r="R385" s="58" t="n"/>
      <c r="S385" s="200" t="inlineStr">
        <is>
          <t>CA25307LDJD034</t>
        </is>
      </c>
      <c r="T385" s="201" t="n">
        <v>27</v>
      </c>
      <c r="U385" s="58" t="inlineStr">
        <is>
          <t>02 UNITS SINOTRUK TX 6X4 DUMP TRUCK 380HP ( VOIR BL)</t>
        </is>
      </c>
      <c r="V385" s="67" t="n"/>
      <c r="W385" s="67" t="n"/>
      <c r="X385" s="62" t="inlineStr">
        <is>
          <t>N-OP</t>
        </is>
      </c>
      <c r="Y385" s="116">
        <f>F385/E385</f>
        <v/>
      </c>
      <c r="Z385" s="64">
        <f>E385-N385</f>
        <v/>
      </c>
      <c r="AA385" s="64" t="n">
        <v>3</v>
      </c>
    </row>
    <row r="386" ht="18" customHeight="1" s="202">
      <c r="A386" s="106" t="n">
        <v>20260017</v>
      </c>
      <c r="B386" s="107" t="inlineStr">
        <is>
          <t>CHANG HONG AN</t>
        </is>
      </c>
      <c r="C386" s="108" t="n">
        <v>46036</v>
      </c>
      <c r="D386" s="108" t="n">
        <v>46055</v>
      </c>
      <c r="E386" s="106" t="n">
        <v>9</v>
      </c>
      <c r="F386" s="106" t="n">
        <v>485.064</v>
      </c>
      <c r="G386" s="106" t="n">
        <v>540</v>
      </c>
      <c r="H386" s="109" t="inlineStr">
        <is>
          <t>SARL TELLI TRANS</t>
        </is>
      </c>
      <c r="I386" s="109" t="inlineStr">
        <is>
          <t>CAMION GRUE</t>
        </is>
      </c>
      <c r="J386" s="107" t="inlineStr">
        <is>
          <t>ENGINS</t>
        </is>
      </c>
      <c r="K386" s="108">
        <f>D386+8</f>
        <v/>
      </c>
      <c r="L386" s="108">
        <f>K386+60</f>
        <v/>
      </c>
      <c r="M386" s="111" t="n"/>
      <c r="N386" s="112">
        <f>E386-9</f>
        <v/>
      </c>
      <c r="O386" s="113">
        <f>F386/E386*N386</f>
        <v/>
      </c>
      <c r="P386" s="112">
        <f>G386/E386*N386</f>
        <v/>
      </c>
      <c r="Q386" s="109" t="n"/>
      <c r="R386" s="109" t="n"/>
      <c r="S386" s="109" t="inlineStr">
        <is>
          <t>CA25307LDJD042-051</t>
        </is>
      </c>
      <c r="T386" s="114" t="n">
        <v>33</v>
      </c>
      <c r="U386" s="109" t="inlineStr">
        <is>
          <t>05 UNITS SANY STC500C5-8 PRO TRUCK CRANE /01 UNIT STC1100T6 SANY 110TON TRUCK CRANE /01 UNIT SANY STH1256A TELESCOPIC HANDLER /01 UNIT SANY SIC130 13.6T INDUSTRIAL CRANE /01 UNIT SANY STC1300C7-8 TRUCK CRANE /01 UNIT SANY SAC2000</t>
        </is>
      </c>
      <c r="V386" s="106" t="n"/>
      <c r="W386" s="106" t="n"/>
      <c r="X386" s="106" t="inlineStr">
        <is>
          <t>SOLDEE</t>
        </is>
      </c>
      <c r="Y386" s="116">
        <f>F386/E386</f>
        <v/>
      </c>
      <c r="Z386" s="30" t="n"/>
      <c r="AA386" s="64" t="n">
        <v>3</v>
      </c>
    </row>
    <row r="387" ht="18" customHeight="1" s="202">
      <c r="A387" s="106" t="n">
        <v>20260017</v>
      </c>
      <c r="B387" s="107" t="inlineStr">
        <is>
          <t>CHANG HONG AN</t>
        </is>
      </c>
      <c r="C387" s="108" t="n">
        <v>46036</v>
      </c>
      <c r="D387" s="108" t="n">
        <v>46055</v>
      </c>
      <c r="E387" s="106" t="n">
        <v>1</v>
      </c>
      <c r="F387" s="106" t="n">
        <v>53.896</v>
      </c>
      <c r="G387" s="106" t="n">
        <v>24</v>
      </c>
      <c r="H387" s="109" t="inlineStr">
        <is>
          <t>SARL TELLI TRANS</t>
        </is>
      </c>
      <c r="I387" s="109" t="inlineStr">
        <is>
          <t>CHARIOT TÉLESCOPIQUE</t>
        </is>
      </c>
      <c r="J387" s="107" t="inlineStr">
        <is>
          <t>ENGINS</t>
        </is>
      </c>
      <c r="K387" s="108">
        <f>D387+8</f>
        <v/>
      </c>
      <c r="L387" s="108">
        <f>K387+60</f>
        <v/>
      </c>
      <c r="M387" s="111" t="n"/>
      <c r="N387" s="112">
        <f>E387-1</f>
        <v/>
      </c>
      <c r="O387" s="113">
        <f>F387/E387*N387</f>
        <v/>
      </c>
      <c r="P387" s="112">
        <f>G387/E387*N387</f>
        <v/>
      </c>
      <c r="Q387" s="109" t="n"/>
      <c r="R387" s="109" t="n"/>
      <c r="S387" s="109" t="inlineStr">
        <is>
          <t>CA25307LDJD042-051</t>
        </is>
      </c>
      <c r="T387" s="114" t="n">
        <v>33</v>
      </c>
      <c r="U387" s="109" t="n"/>
      <c r="V387" s="106" t="n"/>
      <c r="W387" s="106" t="n"/>
      <c r="X387" s="106" t="inlineStr">
        <is>
          <t>SOLDEE</t>
        </is>
      </c>
      <c r="Y387" s="116">
        <f>F387/E387</f>
        <v/>
      </c>
      <c r="Z387" s="30" t="n"/>
      <c r="AA387" s="30" t="n"/>
    </row>
    <row r="388" ht="18" customHeight="1" s="202">
      <c r="A388" s="116" t="n">
        <v>20260017</v>
      </c>
      <c r="B388" s="117" t="inlineStr">
        <is>
          <t>CHANG HONG AN</t>
        </is>
      </c>
      <c r="C388" s="118" t="n">
        <v>46036</v>
      </c>
      <c r="D388" s="118" t="n">
        <v>46055</v>
      </c>
      <c r="E388" s="67" t="n">
        <v>19</v>
      </c>
      <c r="F388" s="119" t="n">
        <v>0</v>
      </c>
      <c r="G388" s="120" t="n">
        <v>70</v>
      </c>
      <c r="H388" s="121" t="inlineStr">
        <is>
          <t>SARL TELLI TRANS</t>
        </is>
      </c>
      <c r="I388" s="121" t="inlineStr">
        <is>
          <t>COLIS</t>
        </is>
      </c>
      <c r="J388" s="117" t="inlineStr">
        <is>
          <t>COLIS</t>
        </is>
      </c>
      <c r="K388" s="48">
        <f>D388+8</f>
        <v/>
      </c>
      <c r="L388" s="48">
        <f>K388+60</f>
        <v/>
      </c>
      <c r="M388" s="71" t="n"/>
      <c r="N388" s="72">
        <f>E388</f>
        <v/>
      </c>
      <c r="O388" s="50">
        <f>F388/E388*N388</f>
        <v/>
      </c>
      <c r="P388" s="273">
        <f>G388/E388*N388</f>
        <v/>
      </c>
      <c r="Q388" s="224" t="n"/>
      <c r="R388" s="58" t="n"/>
      <c r="S388" s="200" t="inlineStr">
        <is>
          <t>CA25307LDJD042-051</t>
        </is>
      </c>
      <c r="T388" s="201" t="n">
        <v>33</v>
      </c>
      <c r="U388" s="58" t="n"/>
      <c r="V388" s="67" t="n"/>
      <c r="W388" s="67" t="n"/>
      <c r="X388" s="62" t="inlineStr">
        <is>
          <t>N-OP</t>
        </is>
      </c>
      <c r="Y388" s="116">
        <f>F388/E388</f>
        <v/>
      </c>
      <c r="Z388" s="64">
        <f>E388-N388</f>
        <v/>
      </c>
      <c r="AA388" s="30" t="n"/>
    </row>
    <row r="389" ht="18" customHeight="1" s="202">
      <c r="A389" s="106" t="n">
        <v>20260017</v>
      </c>
      <c r="B389" s="107" t="inlineStr">
        <is>
          <t>CHANG HONG AN</t>
        </is>
      </c>
      <c r="C389" s="108" t="n">
        <v>46036</v>
      </c>
      <c r="D389" s="108" t="n">
        <v>46055</v>
      </c>
      <c r="E389" s="106" t="n">
        <v>1</v>
      </c>
      <c r="F389" s="106" t="n">
        <v>14.32</v>
      </c>
      <c r="G389" s="106" t="n">
        <v>24</v>
      </c>
      <c r="H389" s="109" t="inlineStr">
        <is>
          <t>CHETITAH CHERIF</t>
        </is>
      </c>
      <c r="I389" s="109" t="inlineStr">
        <is>
          <t>CAMIONS</t>
        </is>
      </c>
      <c r="J389" s="107" t="inlineStr">
        <is>
          <t>LOURD</t>
        </is>
      </c>
      <c r="K389" s="108">
        <f>D389+8</f>
        <v/>
      </c>
      <c r="L389" s="108">
        <f>K389+60</f>
        <v/>
      </c>
      <c r="M389" s="111" t="n"/>
      <c r="N389" s="112">
        <f>E389-1</f>
        <v/>
      </c>
      <c r="O389" s="113">
        <f>F389/E389*N389</f>
        <v/>
      </c>
      <c r="P389" s="112">
        <f>G389/E389*N389</f>
        <v/>
      </c>
      <c r="Q389" s="109" t="n"/>
      <c r="R389" s="109" t="n"/>
      <c r="S389" s="109" t="inlineStr">
        <is>
          <t>CA25307LDJD055A</t>
        </is>
      </c>
      <c r="T389" s="114" t="n">
        <v>37</v>
      </c>
      <c r="U389" s="109" t="inlineStr">
        <is>
          <t>01 UNIT SINOTRUK HOWO TX 6X4 TIPPER TRUCK LHD-18 CBM ( VOIR BL)</t>
        </is>
      </c>
      <c r="V389" s="106" t="n"/>
      <c r="W389" s="106" t="n"/>
      <c r="X389" s="106" t="inlineStr">
        <is>
          <t>SOLDEE</t>
        </is>
      </c>
      <c r="Y389" s="116">
        <f>F389/E389</f>
        <v/>
      </c>
      <c r="Z389" s="30" t="n"/>
      <c r="AA389" s="30" t="n"/>
    </row>
    <row r="390" ht="18" customHeight="1" s="202">
      <c r="A390" s="116" t="n">
        <v>20260017</v>
      </c>
      <c r="B390" s="117" t="inlineStr">
        <is>
          <t>CHANG HONG AN</t>
        </is>
      </c>
      <c r="C390" s="118" t="n">
        <v>46036</v>
      </c>
      <c r="D390" s="118" t="n">
        <v>46055</v>
      </c>
      <c r="E390" s="67" t="n">
        <v>1</v>
      </c>
      <c r="F390" s="119" t="n">
        <v>0.31</v>
      </c>
      <c r="G390" s="120" t="n">
        <v>3</v>
      </c>
      <c r="H390" s="121" t="inlineStr">
        <is>
          <t>CHETITAH CHERIF</t>
        </is>
      </c>
      <c r="I390" s="121" t="inlineStr">
        <is>
          <t>COLIS</t>
        </is>
      </c>
      <c r="J390" s="117" t="inlineStr">
        <is>
          <t>COLIS</t>
        </is>
      </c>
      <c r="K390" s="48">
        <f>D390+8</f>
        <v/>
      </c>
      <c r="L390" s="48">
        <f>K390+60</f>
        <v/>
      </c>
      <c r="M390" s="71" t="n"/>
      <c r="N390" s="72">
        <f>E390</f>
        <v/>
      </c>
      <c r="O390" s="50">
        <f>F390/E390*N390</f>
        <v/>
      </c>
      <c r="P390" s="273">
        <f>G390/E390*N390</f>
        <v/>
      </c>
      <c r="Q390" s="224" t="n"/>
      <c r="R390" s="58" t="n"/>
      <c r="S390" s="200" t="inlineStr">
        <is>
          <t>CA25307LDJD085</t>
        </is>
      </c>
      <c r="T390" s="201" t="n">
        <v>62</v>
      </c>
      <c r="U390" s="58" t="inlineStr">
        <is>
          <t>SPARE PARTS FOR TRUCK</t>
        </is>
      </c>
      <c r="V390" s="67" t="n"/>
      <c r="W390" s="67" t="n"/>
      <c r="X390" s="62" t="inlineStr">
        <is>
          <t>N-OP</t>
        </is>
      </c>
      <c r="Y390" s="116">
        <f>F390/E390</f>
        <v/>
      </c>
      <c r="Z390" s="64">
        <f>E390-N390</f>
        <v/>
      </c>
      <c r="AA390" s="30" t="n"/>
    </row>
    <row r="391" ht="18" customHeight="1" s="202">
      <c r="A391" s="206" t="n">
        <v>20260017</v>
      </c>
      <c r="B391" s="207" t="inlineStr">
        <is>
          <t>CHANG HONG AN</t>
        </is>
      </c>
      <c r="C391" s="208" t="n">
        <v>46036</v>
      </c>
      <c r="D391" s="208" t="n">
        <v>46055</v>
      </c>
      <c r="E391" s="209" t="n">
        <v>2</v>
      </c>
      <c r="F391" s="210" t="n">
        <v>38.316</v>
      </c>
      <c r="G391" s="211" t="n">
        <v>40</v>
      </c>
      <c r="H391" s="212" t="inlineStr">
        <is>
          <t>LAFARGE CIMENT OGGAZ SPA</t>
        </is>
      </c>
      <c r="I391" s="212" t="inlineStr">
        <is>
          <t>MACHINE DE CONCASSEUR</t>
        </is>
      </c>
      <c r="J391" s="207" t="inlineStr">
        <is>
          <t>ENGINS</t>
        </is>
      </c>
      <c r="K391" s="213">
        <f>D391+8</f>
        <v/>
      </c>
      <c r="L391" s="213">
        <f>K391+60</f>
        <v/>
      </c>
      <c r="M391" s="214" t="n"/>
      <c r="N391" s="215">
        <f>E391-1</f>
        <v/>
      </c>
      <c r="O391" s="216">
        <f>F391/E391*N391</f>
        <v/>
      </c>
      <c r="P391" s="218">
        <f>G391/E391*N391</f>
        <v/>
      </c>
      <c r="Q391" s="224" t="n"/>
      <c r="R391" s="58" t="n"/>
      <c r="S391" s="200" t="inlineStr">
        <is>
          <t>CA25307LDJD058</t>
        </is>
      </c>
      <c r="T391" s="201" t="n">
        <v>40</v>
      </c>
      <c r="U391" s="58" t="inlineStr">
        <is>
          <t>TRACKED MOBILE JAW CRUSHER</t>
        </is>
      </c>
      <c r="V391" s="67" t="n"/>
      <c r="W391" s="67" t="n"/>
      <c r="X391" s="99" t="inlineStr">
        <is>
          <t>OPER</t>
        </is>
      </c>
      <c r="Y391" s="116">
        <f>F391/E391</f>
        <v/>
      </c>
      <c r="Z391" s="64">
        <f>E391-N391</f>
        <v/>
      </c>
      <c r="AA391" s="30" t="n"/>
    </row>
    <row r="392" ht="18" customHeight="1" s="202">
      <c r="A392" s="116" t="n">
        <v>20260017</v>
      </c>
      <c r="B392" s="117" t="inlineStr">
        <is>
          <t>CHANG HONG AN</t>
        </is>
      </c>
      <c r="C392" s="118" t="n">
        <v>46036</v>
      </c>
      <c r="D392" s="118" t="n">
        <v>46055</v>
      </c>
      <c r="E392" s="67" t="n">
        <v>2</v>
      </c>
      <c r="F392" s="119" t="n">
        <v>24.32</v>
      </c>
      <c r="G392" s="120" t="n">
        <v>48</v>
      </c>
      <c r="H392" s="121" t="inlineStr">
        <is>
          <t>SAIB ABDELMADJID</t>
        </is>
      </c>
      <c r="I392" s="121" t="inlineStr">
        <is>
          <t>CAMIONS</t>
        </is>
      </c>
      <c r="J392" s="117" t="inlineStr">
        <is>
          <t>LOURD</t>
        </is>
      </c>
      <c r="K392" s="48">
        <f>D392+8</f>
        <v/>
      </c>
      <c r="L392" s="48">
        <f>K392+60</f>
        <v/>
      </c>
      <c r="M392" s="71" t="n"/>
      <c r="N392" s="72">
        <f>E392</f>
        <v/>
      </c>
      <c r="O392" s="50">
        <f>F392/E392*N392</f>
        <v/>
      </c>
      <c r="P392" s="273">
        <f>G392/E392*N392</f>
        <v/>
      </c>
      <c r="Q392" s="224" t="n"/>
      <c r="R392" s="58" t="n"/>
      <c r="S392" s="200" t="inlineStr">
        <is>
          <t>CA25307LDJD074/075</t>
        </is>
      </c>
      <c r="T392" s="201" t="n">
        <v>52</v>
      </c>
      <c r="U392" s="58" t="inlineStr">
        <is>
          <t>01 UNIT SINOTRUK HOWO TX 6X4 TIPPER TRUCK LHD-18 CBM /01 UNIT SINOTRUK HOWO-T7H 6X4 TRACTOR TRUCK LHD</t>
        </is>
      </c>
      <c r="V392" s="67" t="n"/>
      <c r="W392" s="67" t="n"/>
      <c r="X392" s="62" t="inlineStr">
        <is>
          <t>N-OP</t>
        </is>
      </c>
      <c r="Y392" s="116">
        <f>F392/E392</f>
        <v/>
      </c>
      <c r="Z392" s="64">
        <f>E392-N392</f>
        <v/>
      </c>
      <c r="AA392" s="30" t="n"/>
    </row>
    <row r="393" ht="18" customHeight="1" s="202">
      <c r="A393" s="106" t="n">
        <v>20260017</v>
      </c>
      <c r="B393" s="107" t="inlineStr">
        <is>
          <t>CHANG HONG AN</t>
        </is>
      </c>
      <c r="C393" s="108" t="n">
        <v>46036</v>
      </c>
      <c r="D393" s="108" t="n">
        <v>46055</v>
      </c>
      <c r="E393" s="106" t="n">
        <v>1</v>
      </c>
      <c r="F393" s="106" t="n">
        <v>9</v>
      </c>
      <c r="G393" s="106" t="n">
        <v>18</v>
      </c>
      <c r="H393" s="109" t="inlineStr">
        <is>
          <t>EURL ICHOUL TRAVAUX PUBLICS</t>
        </is>
      </c>
      <c r="I393" s="109" t="inlineStr">
        <is>
          <t>CAMION TRACTEUR</t>
        </is>
      </c>
      <c r="J393" s="107" t="inlineStr">
        <is>
          <t>LOURD</t>
        </is>
      </c>
      <c r="K393" s="108">
        <f>D393+8</f>
        <v/>
      </c>
      <c r="L393" s="108">
        <f>K393+60</f>
        <v/>
      </c>
      <c r="M393" s="111" t="n"/>
      <c r="N393" s="112">
        <f>E393-1</f>
        <v/>
      </c>
      <c r="O393" s="113">
        <f>F393/E393*N393</f>
        <v/>
      </c>
      <c r="P393" s="112">
        <f>G393/E393*N393</f>
        <v/>
      </c>
      <c r="Q393" s="109" t="n"/>
      <c r="R393" s="109" t="n"/>
      <c r="S393" s="109" t="inlineStr">
        <is>
          <t>CA25307LDJD076</t>
        </is>
      </c>
      <c r="T393" s="114" t="n">
        <v>53</v>
      </c>
      <c r="U393" s="109" t="inlineStr">
        <is>
          <t>01 UNIT SINOTRUK TRACTOR TRUCK ( VOIR BL)</t>
        </is>
      </c>
      <c r="V393" s="106" t="n"/>
      <c r="W393" s="106" t="n"/>
      <c r="X393" s="106" t="inlineStr">
        <is>
          <t>SOLDEE</t>
        </is>
      </c>
      <c r="Y393" s="116">
        <f>F393/E393</f>
        <v/>
      </c>
      <c r="Z393" s="30" t="n"/>
      <c r="AA393" s="30" t="n"/>
    </row>
    <row r="394" ht="18" customHeight="1" s="202">
      <c r="A394" s="116" t="n">
        <v>20260017</v>
      </c>
      <c r="B394" s="117" t="inlineStr">
        <is>
          <t>CHANG HONG AN</t>
        </is>
      </c>
      <c r="C394" s="118" t="n">
        <v>46036</v>
      </c>
      <c r="D394" s="118" t="n">
        <v>46055</v>
      </c>
      <c r="E394" s="67" t="n">
        <v>1</v>
      </c>
      <c r="F394" s="119" t="n">
        <v>8.5</v>
      </c>
      <c r="G394" s="120" t="n">
        <v>18</v>
      </c>
      <c r="H394" s="121" t="inlineStr">
        <is>
          <t>SARL HIDHAB LAM</t>
        </is>
      </c>
      <c r="I394" s="121" t="inlineStr">
        <is>
          <t>CAMION TRACTEUR</t>
        </is>
      </c>
      <c r="J394" s="117" t="inlineStr">
        <is>
          <t>LOURD</t>
        </is>
      </c>
      <c r="K394" s="48">
        <f>D394+8</f>
        <v/>
      </c>
      <c r="L394" s="48">
        <f>K394+60</f>
        <v/>
      </c>
      <c r="M394" s="71" t="n"/>
      <c r="N394" s="72">
        <f>E394</f>
        <v/>
      </c>
      <c r="O394" s="50">
        <f>F394/E394*N394</f>
        <v/>
      </c>
      <c r="P394" s="273">
        <f>G394/E394*N394</f>
        <v/>
      </c>
      <c r="Q394" s="224" t="n"/>
      <c r="R394" s="58" t="n"/>
      <c r="S394" s="200" t="inlineStr">
        <is>
          <t>CA25307LDJD079</t>
        </is>
      </c>
      <c r="T394" s="201" t="n">
        <v>56</v>
      </c>
      <c r="U394" s="58" t="inlineStr">
        <is>
          <t>01 UNIT SINOTRUK SITRAK 6X4 540HP TRACTOR-AUTOMATIC GEARBOX LHD ( VOIR BL)</t>
        </is>
      </c>
      <c r="V394" s="67" t="n"/>
      <c r="W394" s="67" t="n"/>
      <c r="X394" s="62" t="inlineStr">
        <is>
          <t>N-OP</t>
        </is>
      </c>
      <c r="Y394" s="116">
        <f>F394/E394</f>
        <v/>
      </c>
      <c r="Z394" s="64">
        <f>E394-N394</f>
        <v/>
      </c>
      <c r="AA394" s="30" t="n"/>
    </row>
    <row r="395" ht="18" customHeight="1" s="202">
      <c r="A395" s="206" t="n">
        <v>20260017</v>
      </c>
      <c r="B395" s="207" t="inlineStr">
        <is>
          <t>CHANG HONG AN</t>
        </is>
      </c>
      <c r="C395" s="208" t="n">
        <v>46036</v>
      </c>
      <c r="D395" s="208" t="n">
        <v>46055</v>
      </c>
      <c r="E395" s="206" t="n">
        <v>1160</v>
      </c>
      <c r="F395" s="265" t="n">
        <v>1626.36</v>
      </c>
      <c r="G395" s="212" t="n">
        <v>501</v>
      </c>
      <c r="H395" s="212" t="inlineStr">
        <is>
          <t>SARL SOMIPAN</t>
        </is>
      </c>
      <c r="I395" s="212" t="inlineStr">
        <is>
          <t>MDF</t>
        </is>
      </c>
      <c r="J395" s="212" t="inlineStr">
        <is>
          <t>CTP</t>
        </is>
      </c>
      <c r="K395" s="213">
        <f>D395+8</f>
        <v/>
      </c>
      <c r="L395" s="213">
        <f>K395+60</f>
        <v/>
      </c>
      <c r="M395" s="206" t="n"/>
      <c r="N395" s="206">
        <f>E395-70-195-245-70-210-32-175-35-105</f>
        <v/>
      </c>
      <c r="O395" s="206">
        <f>F395/E395*N395</f>
        <v/>
      </c>
      <c r="P395" s="206">
        <f>G395/E395*N395</f>
        <v/>
      </c>
      <c r="Q395" s="224" t="n"/>
      <c r="R395" s="58" t="n"/>
      <c r="S395" s="200" t="inlineStr">
        <is>
          <t>CA25307LDJD026</t>
        </is>
      </c>
      <c r="T395" s="201" t="n">
        <v>19</v>
      </c>
      <c r="U395" s="58" t="inlineStr">
        <is>
          <t>MDF</t>
        </is>
      </c>
      <c r="V395" s="67" t="n"/>
      <c r="W395" s="67" t="n"/>
      <c r="X395" s="99" t="inlineStr">
        <is>
          <t>OPER</t>
        </is>
      </c>
      <c r="Y395" s="116">
        <f>F395/E395</f>
        <v/>
      </c>
      <c r="Z395" s="64">
        <f>E395-N395</f>
        <v/>
      </c>
      <c r="AA395" s="30" t="n"/>
    </row>
    <row r="396" ht="18" customHeight="1" s="202">
      <c r="A396" s="206" t="n">
        <v>20260017</v>
      </c>
      <c r="B396" s="207" t="inlineStr">
        <is>
          <t>CHANG HONG AN</t>
        </is>
      </c>
      <c r="C396" s="208" t="n">
        <v>46036</v>
      </c>
      <c r="D396" s="208" t="n">
        <v>46055</v>
      </c>
      <c r="E396" s="209" t="n">
        <v>420</v>
      </c>
      <c r="F396" s="210" t="n">
        <v>751.2</v>
      </c>
      <c r="G396" s="211" t="n">
        <v>181</v>
      </c>
      <c r="H396" s="212" t="inlineStr">
        <is>
          <t>SARL SOFISTAR TRADING</t>
        </is>
      </c>
      <c r="I396" s="212" t="inlineStr">
        <is>
          <t>MDF</t>
        </is>
      </c>
      <c r="J396" s="207" t="inlineStr">
        <is>
          <t>CTP</t>
        </is>
      </c>
      <c r="K396" s="213">
        <f>D396+8</f>
        <v/>
      </c>
      <c r="L396" s="213">
        <f>K396+60</f>
        <v/>
      </c>
      <c r="M396" s="214" t="n"/>
      <c r="N396" s="215">
        <f>E396-39-26-121-49-26-31-47</f>
        <v/>
      </c>
      <c r="O396" s="216">
        <f>F396/E396*N396</f>
        <v/>
      </c>
      <c r="P396" s="218">
        <f>G396/E396*N396</f>
        <v/>
      </c>
      <c r="Q396" s="224" t="n"/>
      <c r="R396" s="58" t="n"/>
      <c r="S396" s="200" t="inlineStr">
        <is>
          <t>CA25307LDJD027</t>
        </is>
      </c>
      <c r="T396" s="201" t="n">
        <v>20</v>
      </c>
      <c r="U396" s="58" t="inlineStr">
        <is>
          <t>FANCY MDF /MDF /MELAMINE PLYWOOD</t>
        </is>
      </c>
      <c r="V396" s="67" t="n"/>
      <c r="W396" s="67" t="n"/>
      <c r="X396" s="99" t="inlineStr">
        <is>
          <t>OPER</t>
        </is>
      </c>
      <c r="Y396" s="116">
        <f>F396/E396</f>
        <v/>
      </c>
      <c r="Z396" s="64">
        <f>E396-N396</f>
        <v/>
      </c>
      <c r="AA396" s="30" t="n"/>
    </row>
    <row r="397" ht="18" customHeight="1" s="202">
      <c r="A397" s="206" t="n">
        <v>20260017</v>
      </c>
      <c r="B397" s="207" t="inlineStr">
        <is>
          <t>CHANG HONG AN</t>
        </is>
      </c>
      <c r="C397" s="208" t="n">
        <v>46036</v>
      </c>
      <c r="D397" s="208" t="n">
        <v>46055</v>
      </c>
      <c r="E397" s="209" t="n">
        <v>660</v>
      </c>
      <c r="F397" s="210" t="n">
        <v>916.924</v>
      </c>
      <c r="G397" s="211" t="n">
        <v>285</v>
      </c>
      <c r="H397" s="212" t="inlineStr">
        <is>
          <t>EURL PANOTEC</t>
        </is>
      </c>
      <c r="I397" s="212" t="inlineStr">
        <is>
          <t>MDF</t>
        </is>
      </c>
      <c r="J397" s="207" t="inlineStr">
        <is>
          <t>CTP</t>
        </is>
      </c>
      <c r="K397" s="213">
        <f>D397+8</f>
        <v/>
      </c>
      <c r="L397" s="213">
        <f>K397+60</f>
        <v/>
      </c>
      <c r="M397" s="214" t="n"/>
      <c r="N397" s="215">
        <f>E397-120-127-40-33-47-33-86-64-95</f>
        <v/>
      </c>
      <c r="O397" s="216">
        <f>F397/E397*N397</f>
        <v/>
      </c>
      <c r="P397" s="218">
        <f>G397/E397*N397</f>
        <v/>
      </c>
      <c r="Q397" s="224" t="n"/>
      <c r="R397" s="58" t="n"/>
      <c r="S397" s="200" t="inlineStr">
        <is>
          <t>CA25307LDJD028</t>
        </is>
      </c>
      <c r="T397" s="201" t="n">
        <v>21</v>
      </c>
      <c r="U397" s="58" t="inlineStr">
        <is>
          <t>MDF / FANCY MDF</t>
        </is>
      </c>
      <c r="V397" s="67" t="n"/>
      <c r="W397" s="67" t="n"/>
      <c r="X397" s="99" t="inlineStr">
        <is>
          <t>OPER</t>
        </is>
      </c>
      <c r="Y397" s="116">
        <f>F397/E397</f>
        <v/>
      </c>
      <c r="Z397" s="64">
        <f>E397-N397</f>
        <v/>
      </c>
      <c r="AA397" s="30" t="n"/>
    </row>
    <row r="398" ht="18" customHeight="1" s="202">
      <c r="A398" s="206" t="n">
        <v>20260017</v>
      </c>
      <c r="B398" s="207" t="inlineStr">
        <is>
          <t>CHANG HONG AN</t>
        </is>
      </c>
      <c r="C398" s="208" t="n">
        <v>46036</v>
      </c>
      <c r="D398" s="208" t="n">
        <v>46055</v>
      </c>
      <c r="E398" s="209" t="n">
        <v>2179</v>
      </c>
      <c r="F398" s="210" t="n">
        <v>2136.08</v>
      </c>
      <c r="G398" s="211" t="n">
        <v>941</v>
      </c>
      <c r="H398" s="212" t="inlineStr">
        <is>
          <t>EPE ENAB SPA</t>
        </is>
      </c>
      <c r="I398" s="212" t="inlineStr">
        <is>
          <t>PLYWOOD</t>
        </is>
      </c>
      <c r="J398" s="207" t="inlineStr">
        <is>
          <t>CTP</t>
        </is>
      </c>
      <c r="K398" s="213">
        <f>D398+8</f>
        <v/>
      </c>
      <c r="L398" s="213">
        <f>K398+60</f>
        <v/>
      </c>
      <c r="M398" s="214" t="n"/>
      <c r="N398" s="215">
        <f>E398-130-234-217-208-140-180-208-182-208-208-103-42</f>
        <v/>
      </c>
      <c r="O398" s="216">
        <f>F398/E398*N398</f>
        <v/>
      </c>
      <c r="P398" s="218">
        <f>G398/E398*N398</f>
        <v/>
      </c>
      <c r="Q398" s="224" t="n"/>
      <c r="R398" s="58" t="n"/>
      <c r="S398" s="200" t="inlineStr">
        <is>
          <t>CA25307LDJD029</t>
        </is>
      </c>
      <c r="T398" s="201" t="n">
        <v>22</v>
      </c>
      <c r="U398" s="58" t="inlineStr">
        <is>
          <t>COMMERCIAL PLYWOOD</t>
        </is>
      </c>
      <c r="V398" s="67" t="n"/>
      <c r="W398" s="67" t="n"/>
      <c r="X398" s="99" t="inlineStr">
        <is>
          <t>OPER</t>
        </is>
      </c>
      <c r="Y398" s="116">
        <f>F398/E398</f>
        <v/>
      </c>
      <c r="Z398" s="64">
        <f>E398-N398</f>
        <v/>
      </c>
      <c r="AA398" s="64" t="n">
        <v>4</v>
      </c>
    </row>
    <row r="399" ht="18" customHeight="1" s="202">
      <c r="A399" s="106" t="n">
        <v>20260017</v>
      </c>
      <c r="B399" s="107" t="inlineStr">
        <is>
          <t>CHANG HONG AN</t>
        </is>
      </c>
      <c r="C399" s="108" t="n">
        <v>46036</v>
      </c>
      <c r="D399" s="108" t="n">
        <v>46055</v>
      </c>
      <c r="E399" s="106" t="n">
        <v>3276</v>
      </c>
      <c r="F399" s="106" t="n">
        <v>3448.712</v>
      </c>
      <c r="G399" s="106" t="n">
        <v>1414</v>
      </c>
      <c r="H399" s="109" t="inlineStr">
        <is>
          <t>EPE ENAB SPA</t>
        </is>
      </c>
      <c r="I399" s="109" t="inlineStr">
        <is>
          <t>FFP</t>
        </is>
      </c>
      <c r="J399" s="107" t="inlineStr">
        <is>
          <t>CTP</t>
        </is>
      </c>
      <c r="K399" s="108">
        <f>D399+8</f>
        <v/>
      </c>
      <c r="L399" s="108">
        <f>K399+60</f>
        <v/>
      </c>
      <c r="M399" s="111" t="n"/>
      <c r="N399" s="112">
        <f>E399-182-78-104-234-286-286-260-286-234-286-208-52-182-234-286-52-1-8-17</f>
        <v/>
      </c>
      <c r="O399" s="113">
        <f>F399/E399*N399</f>
        <v/>
      </c>
      <c r="P399" s="112">
        <f>G399/E399*N399</f>
        <v/>
      </c>
      <c r="Q399" s="109" t="n"/>
      <c r="R399" s="109" t="n"/>
      <c r="S399" s="109" t="inlineStr">
        <is>
          <t>CA25307LDJD030</t>
        </is>
      </c>
      <c r="T399" s="114" t="n">
        <v>23</v>
      </c>
      <c r="U399" s="109" t="inlineStr">
        <is>
          <t>FILM FACED PLYWOOD</t>
        </is>
      </c>
      <c r="V399" s="106" t="n"/>
      <c r="W399" s="106" t="n"/>
      <c r="X399" s="106" t="inlineStr">
        <is>
          <t>SOLDEE</t>
        </is>
      </c>
      <c r="Y399" s="116">
        <f>F399/E399</f>
        <v/>
      </c>
      <c r="Z399" s="30" t="n"/>
      <c r="AA399" s="30" t="n"/>
    </row>
    <row r="400" ht="18" customHeight="1" s="202">
      <c r="A400" s="116" t="n">
        <v>20260017</v>
      </c>
      <c r="B400" s="117" t="inlineStr">
        <is>
          <t>CHANG HONG AN</t>
        </is>
      </c>
      <c r="C400" s="118" t="n">
        <v>46036</v>
      </c>
      <c r="D400" s="118" t="n">
        <v>46055</v>
      </c>
      <c r="E400" s="67" t="n">
        <v>244</v>
      </c>
      <c r="F400" s="119" t="n">
        <v>663.688</v>
      </c>
      <c r="G400" s="120" t="n">
        <v>294</v>
      </c>
      <c r="H400" s="121" t="inlineStr">
        <is>
          <t>BERKINE GROUPEMENT</t>
        </is>
      </c>
      <c r="I400" s="121" t="inlineStr">
        <is>
          <t>TUBES</t>
        </is>
      </c>
      <c r="J400" s="117" t="inlineStr">
        <is>
          <t>TUBES</t>
        </is>
      </c>
      <c r="K400" s="48">
        <f>D400+8</f>
        <v/>
      </c>
      <c r="L400" s="48">
        <f>K400+60</f>
        <v/>
      </c>
      <c r="M400" s="71" t="n"/>
      <c r="N400" s="72">
        <f>E400</f>
        <v/>
      </c>
      <c r="O400" s="50">
        <f>F400/E400*N400</f>
        <v/>
      </c>
      <c r="P400" s="273">
        <f>G400/E400*N400</f>
        <v/>
      </c>
      <c r="Q400" s="224" t="inlineStr">
        <is>
          <t>ZONE TUBES</t>
        </is>
      </c>
      <c r="R400" s="58" t="n"/>
      <c r="S400" s="200" t="inlineStr">
        <is>
          <t>CA25307LDJD033</t>
        </is>
      </c>
      <c r="T400" s="201" t="n">
        <v>26</v>
      </c>
      <c r="U400" s="58" t="inlineStr">
        <is>
          <t>CASINGS /COUPLINGS</t>
        </is>
      </c>
      <c r="V400" s="67" t="n"/>
      <c r="W400" s="67" t="n"/>
      <c r="X400" s="62" t="inlineStr">
        <is>
          <t>N-OP</t>
        </is>
      </c>
      <c r="Y400" s="116">
        <f>F400/E400</f>
        <v/>
      </c>
      <c r="Z400" s="64">
        <f>E400-N400</f>
        <v/>
      </c>
      <c r="AA400" s="64" t="n">
        <v>6</v>
      </c>
    </row>
    <row r="401" ht="18" customHeight="1" s="202">
      <c r="A401" s="300" t="n">
        <v>20260017</v>
      </c>
      <c r="B401" s="301" t="inlineStr">
        <is>
          <t>CHANG HONG AN</t>
        </is>
      </c>
      <c r="C401" s="302" t="n">
        <v>46036</v>
      </c>
      <c r="D401" s="302" t="n">
        <v>46055</v>
      </c>
      <c r="E401" s="303" t="n">
        <v>1868</v>
      </c>
      <c r="F401" s="304" t="n">
        <v>5283.648</v>
      </c>
      <c r="G401" s="305" t="n">
        <v>2253</v>
      </c>
      <c r="H401" s="306" t="inlineStr">
        <is>
          <t>ENGTP SPA / ENTREPRISE NATIONALE DE GRANDS TRAVAUX PETROLIERS</t>
        </is>
      </c>
      <c r="I401" s="306" t="inlineStr">
        <is>
          <t>TUBES</t>
        </is>
      </c>
      <c r="J401" s="301" t="inlineStr">
        <is>
          <t>TUBES</t>
        </is>
      </c>
      <c r="K401" s="307">
        <f>D401+8</f>
        <v/>
      </c>
      <c r="L401" s="307">
        <f>K401+60</f>
        <v/>
      </c>
      <c r="M401" s="308" t="n"/>
      <c r="N401" s="309">
        <f>E401-5-84-24-42</f>
        <v/>
      </c>
      <c r="O401" s="310">
        <f>F401/E401*N401</f>
        <v/>
      </c>
      <c r="P401" s="311">
        <f>G401/E401*N401</f>
        <v/>
      </c>
      <c r="Q401" s="224" t="inlineStr">
        <is>
          <t>RORO</t>
        </is>
      </c>
      <c r="R401" s="58" t="n"/>
      <c r="S401" s="200" t="inlineStr">
        <is>
          <t>CA25307XDJD052</t>
        </is>
      </c>
      <c r="T401" s="201" t="n">
        <v>79</v>
      </c>
      <c r="U401" s="58" t="inlineStr">
        <is>
          <t>Line pipes</t>
        </is>
      </c>
      <c r="V401" s="67" t="n"/>
      <c r="W401" s="67" t="n"/>
      <c r="X401" s="312" t="inlineStr">
        <is>
          <t>OPER</t>
        </is>
      </c>
      <c r="Y401" s="116">
        <f>F401/E401</f>
        <v/>
      </c>
      <c r="Z401" s="64">
        <f>E401-N401</f>
        <v/>
      </c>
      <c r="AA401" s="30" t="n"/>
    </row>
    <row r="402" ht="18" customHeight="1" s="202">
      <c r="A402" s="206" t="n">
        <v>20260017</v>
      </c>
      <c r="B402" s="207" t="inlineStr">
        <is>
          <t>CHANG HONG AN</t>
        </is>
      </c>
      <c r="C402" s="208" t="n">
        <v>46036</v>
      </c>
      <c r="D402" s="208" t="n">
        <v>46055</v>
      </c>
      <c r="E402" s="209" t="n">
        <v>1555</v>
      </c>
      <c r="F402" s="210" t="n">
        <v>1214.96</v>
      </c>
      <c r="G402" s="211" t="n">
        <v>1241</v>
      </c>
      <c r="H402" s="212" t="inlineStr">
        <is>
          <t>SARL FRERES BOUKHERBATA</t>
        </is>
      </c>
      <c r="I402" s="212" t="inlineStr">
        <is>
          <t>POUTRELLES</t>
        </is>
      </c>
      <c r="J402" s="207" t="inlineStr">
        <is>
          <t>POUTRELLES</t>
        </is>
      </c>
      <c r="K402" s="213">
        <f>D402+8</f>
        <v/>
      </c>
      <c r="L402" s="213">
        <f>K402+60</f>
        <v/>
      </c>
      <c r="M402" s="214" t="n"/>
      <c r="N402" s="215">
        <f>E402-60-15-69-41-28-27</f>
        <v/>
      </c>
      <c r="O402" s="216">
        <f>F402/E402*N402</f>
        <v/>
      </c>
      <c r="P402" s="218">
        <f>G402/E402*N402</f>
        <v/>
      </c>
      <c r="Q402" s="224" t="inlineStr">
        <is>
          <t>DAWEAUO</t>
        </is>
      </c>
      <c r="R402" s="58" t="n"/>
      <c r="S402" s="200" t="inlineStr">
        <is>
          <t>CA25307LDJD023</t>
        </is>
      </c>
      <c r="T402" s="201" t="n">
        <v>16</v>
      </c>
      <c r="U402" s="58" t="inlineStr">
        <is>
          <t>PRIME HOT ROLLED IPE/HEA BEAMS</t>
        </is>
      </c>
      <c r="V402" s="67" t="n"/>
      <c r="W402" s="67" t="n"/>
      <c r="X402" s="99" t="inlineStr">
        <is>
          <t>OPER</t>
        </is>
      </c>
      <c r="Y402" s="116">
        <f>F402/E402</f>
        <v/>
      </c>
      <c r="Z402" s="64">
        <f>E402-N402</f>
        <v/>
      </c>
      <c r="AA402" s="30" t="n"/>
    </row>
    <row r="403" ht="18" customHeight="1" s="202">
      <c r="A403" s="106" t="n">
        <v>20260017</v>
      </c>
      <c r="B403" s="107" t="inlineStr">
        <is>
          <t>CHANG HONG AN</t>
        </is>
      </c>
      <c r="C403" s="108" t="n">
        <v>46036</v>
      </c>
      <c r="D403" s="108" t="n">
        <v>46055</v>
      </c>
      <c r="E403" s="106" t="n">
        <v>71</v>
      </c>
      <c r="F403" s="106" t="n">
        <v>570.689</v>
      </c>
      <c r="G403" s="106" t="n">
        <v>57</v>
      </c>
      <c r="H403" s="109" t="inlineStr">
        <is>
          <t>EURL ECOLOGE</t>
        </is>
      </c>
      <c r="I403" s="109" t="inlineStr">
        <is>
          <t>BOBINES</t>
        </is>
      </c>
      <c r="J403" s="107" t="inlineStr">
        <is>
          <t>BOBINES</t>
        </is>
      </c>
      <c r="K403" s="108">
        <f>D403+8</f>
        <v/>
      </c>
      <c r="L403" s="108">
        <f>K403+60</f>
        <v/>
      </c>
      <c r="M403" s="111" t="n"/>
      <c r="N403" s="112">
        <f>E403-50-21</f>
        <v/>
      </c>
      <c r="O403" s="113">
        <f>F403/E403*N403</f>
        <v/>
      </c>
      <c r="P403" s="112">
        <f>G403/E403*N403</f>
        <v/>
      </c>
      <c r="Q403" s="109" t="inlineStr">
        <is>
          <t>POSTE 5</t>
        </is>
      </c>
      <c r="R403" s="109" t="n"/>
      <c r="S403" s="109" t="inlineStr">
        <is>
          <t>CA25307XDJD004</t>
        </is>
      </c>
      <c r="T403" s="114" t="n">
        <v>65</v>
      </c>
      <c r="U403" s="109" t="inlineStr">
        <is>
          <t>HOT DIP GALVANIZED STEEL STRIP</t>
        </is>
      </c>
      <c r="V403" s="106" t="n"/>
      <c r="W403" s="106" t="n"/>
      <c r="X403" s="106" t="inlineStr">
        <is>
          <t>SOLDEE</t>
        </is>
      </c>
      <c r="Y403" s="116">
        <f>F403/E403</f>
        <v/>
      </c>
      <c r="Z403" s="30" t="n"/>
      <c r="AA403" s="30" t="n"/>
    </row>
    <row r="404" ht="18" customHeight="1" s="202">
      <c r="A404" s="206" t="n">
        <v>20260017</v>
      </c>
      <c r="B404" s="207" t="inlineStr">
        <is>
          <t>CHANG HONG AN</t>
        </is>
      </c>
      <c r="C404" s="208" t="n">
        <v>46036</v>
      </c>
      <c r="D404" s="208" t="n">
        <v>46055</v>
      </c>
      <c r="E404" s="209" t="n">
        <v>89</v>
      </c>
      <c r="F404" s="210" t="n">
        <v>667.721</v>
      </c>
      <c r="G404" s="211" t="n">
        <v>71</v>
      </c>
      <c r="H404" s="212" t="inlineStr">
        <is>
          <t>EURL ECOLOGE</t>
        </is>
      </c>
      <c r="I404" s="212" t="inlineStr">
        <is>
          <t>BOBINES</t>
        </is>
      </c>
      <c r="J404" s="207" t="inlineStr">
        <is>
          <t>BOBINES</t>
        </is>
      </c>
      <c r="K404" s="213">
        <f>D404+8</f>
        <v/>
      </c>
      <c r="L404" s="213">
        <f>K404+60</f>
        <v/>
      </c>
      <c r="M404" s="214" t="n"/>
      <c r="N404" s="215">
        <f>E404-42-13-20-12</f>
        <v/>
      </c>
      <c r="O404" s="216">
        <f>F404/E404*N404</f>
        <v/>
      </c>
      <c r="P404" s="218">
        <f>G404/E404*N404</f>
        <v/>
      </c>
      <c r="Q404" s="224" t="inlineStr">
        <is>
          <t>POSTE 5</t>
        </is>
      </c>
      <c r="R404" s="58" t="n"/>
      <c r="S404" s="200" t="inlineStr">
        <is>
          <t>CA25307XDJD005</t>
        </is>
      </c>
      <c r="T404" s="201" t="n">
        <v>66</v>
      </c>
      <c r="U404" s="58" t="inlineStr">
        <is>
          <t>HOT DIP GALVANIZED STEEL STRIP</t>
        </is>
      </c>
      <c r="V404" s="67" t="n"/>
      <c r="W404" s="67" t="n"/>
      <c r="X404" s="99" t="inlineStr">
        <is>
          <t>OPER</t>
        </is>
      </c>
      <c r="Y404" s="116">
        <f>F404/E404</f>
        <v/>
      </c>
      <c r="Z404" s="64">
        <f>E404-N404</f>
        <v/>
      </c>
      <c r="AA404" s="30" t="n"/>
    </row>
    <row r="405" ht="18" customHeight="1" s="202">
      <c r="A405" s="106" t="n">
        <v>20260017</v>
      </c>
      <c r="B405" s="107" t="inlineStr">
        <is>
          <t>CHANG HONG AN</t>
        </is>
      </c>
      <c r="C405" s="108" t="n">
        <v>46036</v>
      </c>
      <c r="D405" s="108" t="n">
        <v>46055</v>
      </c>
      <c r="E405" s="106" t="n">
        <v>32</v>
      </c>
      <c r="F405" s="106" t="n">
        <v>279.33</v>
      </c>
      <c r="G405" s="106" t="n">
        <v>26</v>
      </c>
      <c r="H405" s="109" t="inlineStr">
        <is>
          <t>SARL EXTRA METAL</t>
        </is>
      </c>
      <c r="I405" s="109" t="inlineStr">
        <is>
          <t>BOBINES</t>
        </is>
      </c>
      <c r="J405" s="107" t="inlineStr">
        <is>
          <t>BOBINES</t>
        </is>
      </c>
      <c r="K405" s="108">
        <f>D405+8</f>
        <v/>
      </c>
      <c r="L405" s="108">
        <f>K405+60</f>
        <v/>
      </c>
      <c r="M405" s="111" t="n"/>
      <c r="N405" s="112">
        <f>E405-32</f>
        <v/>
      </c>
      <c r="O405" s="113">
        <f>F405/E405*N405</f>
        <v/>
      </c>
      <c r="P405" s="112">
        <f>G405/E405*N405</f>
        <v/>
      </c>
      <c r="Q405" s="109" t="inlineStr">
        <is>
          <t>POSTE 5</t>
        </is>
      </c>
      <c r="R405" s="109" t="inlineStr">
        <is>
          <t>8 RED</t>
        </is>
      </c>
      <c r="S405" s="109" t="inlineStr">
        <is>
          <t>CA25307XDJD011</t>
        </is>
      </c>
      <c r="T405" s="114" t="n">
        <v>67</v>
      </c>
      <c r="U405" s="109" t="inlineStr">
        <is>
          <t>COLD ROLLED COILS</t>
        </is>
      </c>
      <c r="V405" s="106" t="n"/>
      <c r="W405" s="106" t="n"/>
      <c r="X405" s="106" t="inlineStr">
        <is>
          <t>SOLDEE</t>
        </is>
      </c>
      <c r="Y405" s="116">
        <f>F405/E405</f>
        <v/>
      </c>
      <c r="Z405" s="30" t="n"/>
      <c r="AA405" s="30" t="n"/>
    </row>
    <row r="406" ht="18" customHeight="1" s="202">
      <c r="A406" s="206" t="n">
        <v>20260017</v>
      </c>
      <c r="B406" s="207" t="inlineStr">
        <is>
          <t>CHANG HONG AN</t>
        </is>
      </c>
      <c r="C406" s="208" t="n">
        <v>46036</v>
      </c>
      <c r="D406" s="208" t="n">
        <v>46055</v>
      </c>
      <c r="E406" s="209" t="n">
        <v>306</v>
      </c>
      <c r="F406" s="210" t="n">
        <v>1471.611</v>
      </c>
      <c r="G406" s="211" t="n">
        <v>245</v>
      </c>
      <c r="H406" s="212" t="inlineStr">
        <is>
          <t>SARL EXTRA METAL</t>
        </is>
      </c>
      <c r="I406" s="212" t="inlineStr">
        <is>
          <t>BOBINES</t>
        </is>
      </c>
      <c r="J406" s="207" t="inlineStr">
        <is>
          <t>BOBINES</t>
        </is>
      </c>
      <c r="K406" s="213">
        <f>D406+8</f>
        <v/>
      </c>
      <c r="L406" s="213">
        <f>K406+60</f>
        <v/>
      </c>
      <c r="M406" s="214" t="n"/>
      <c r="N406" s="215">
        <f>E406-39-67-44-36-40-28-28-12</f>
        <v/>
      </c>
      <c r="O406" s="216">
        <f>F406/E406*N406</f>
        <v/>
      </c>
      <c r="P406" s="218">
        <f>G406/E406*N406</f>
        <v/>
      </c>
      <c r="Q406" s="224" t="inlineStr">
        <is>
          <t>POSTE 5</t>
        </is>
      </c>
      <c r="R406" s="58" t="inlineStr">
        <is>
          <t>8 RED</t>
        </is>
      </c>
      <c r="S406" s="200" t="inlineStr">
        <is>
          <t>CA25307XDJD015-17/42</t>
        </is>
      </c>
      <c r="T406" s="201" t="n">
        <v>69</v>
      </c>
      <c r="U406" s="58" t="inlineStr">
        <is>
          <t>HOT DIPPED GALVANISED STRIPS</t>
        </is>
      </c>
      <c r="V406" s="67" t="n"/>
      <c r="W406" s="67" t="n"/>
      <c r="X406" s="99" t="inlineStr">
        <is>
          <t>OPER</t>
        </is>
      </c>
      <c r="Y406" s="116">
        <f>F406/E406</f>
        <v/>
      </c>
      <c r="Z406" s="64">
        <f>E406-N406</f>
        <v/>
      </c>
      <c r="AA406" s="64" t="n">
        <v>1</v>
      </c>
    </row>
    <row r="407" ht="18" customHeight="1" s="202">
      <c r="A407" s="206" t="n">
        <v>20260017</v>
      </c>
      <c r="B407" s="207" t="inlineStr">
        <is>
          <t>CHANG HONG AN</t>
        </is>
      </c>
      <c r="C407" s="208" t="n">
        <v>46036</v>
      </c>
      <c r="D407" s="208" t="n">
        <v>46055</v>
      </c>
      <c r="E407" s="209" t="n">
        <v>362</v>
      </c>
      <c r="F407" s="210" t="n">
        <v>2395.558</v>
      </c>
      <c r="G407" s="211" t="n">
        <v>290</v>
      </c>
      <c r="H407" s="212" t="inlineStr">
        <is>
          <t>EURL ZOUAOUI TRAVAUX DE CONSTRUCTION</t>
        </is>
      </c>
      <c r="I407" s="212" t="inlineStr">
        <is>
          <t>BOBINES</t>
        </is>
      </c>
      <c r="J407" s="207" t="inlineStr">
        <is>
          <t>BOBINES</t>
        </is>
      </c>
      <c r="K407" s="213">
        <f>D407+8</f>
        <v/>
      </c>
      <c r="L407" s="213">
        <f>K407+60</f>
        <v/>
      </c>
      <c r="M407" s="214" t="n"/>
      <c r="N407" s="215">
        <f>E407-37-70-86-41-45-16-58</f>
        <v/>
      </c>
      <c r="O407" s="216">
        <f>F407/E407*N407</f>
        <v/>
      </c>
      <c r="P407" s="218">
        <f>G407/E407*N407</f>
        <v/>
      </c>
      <c r="Q407" s="224" t="inlineStr">
        <is>
          <t>POSTE 5</t>
        </is>
      </c>
      <c r="R407" s="58" t="inlineStr">
        <is>
          <t>P1</t>
        </is>
      </c>
      <c r="S407" s="200" t="inlineStr">
        <is>
          <t>CA25307XDJD021-030</t>
        </is>
      </c>
      <c r="T407" s="201" t="n">
        <v>72</v>
      </c>
      <c r="U407" s="58" t="inlineStr">
        <is>
          <t>PRE-PAINTED GALVANISED STEEL COILS</t>
        </is>
      </c>
      <c r="V407" s="67" t="n"/>
      <c r="W407" s="67" t="n"/>
      <c r="X407" s="99" t="inlineStr">
        <is>
          <t>OPER</t>
        </is>
      </c>
      <c r="Y407" s="116">
        <f>F407/E407</f>
        <v/>
      </c>
      <c r="Z407" s="64">
        <f>E407-N407</f>
        <v/>
      </c>
      <c r="AA407" s="30" t="n"/>
    </row>
    <row r="408" ht="18" customHeight="1" s="202">
      <c r="A408" s="106" t="n">
        <v>20260017</v>
      </c>
      <c r="B408" s="107" t="inlineStr">
        <is>
          <t>CHANG HONG AN</t>
        </is>
      </c>
      <c r="C408" s="108" t="n">
        <v>46036</v>
      </c>
      <c r="D408" s="108" t="n">
        <v>46055</v>
      </c>
      <c r="E408" s="106" t="n">
        <v>30</v>
      </c>
      <c r="F408" s="106" t="n">
        <v>197.07</v>
      </c>
      <c r="G408" s="106" t="n">
        <v>24</v>
      </c>
      <c r="H408" s="109" t="inlineStr">
        <is>
          <t>EUROPANNEAUX ALGERIE SARL</t>
        </is>
      </c>
      <c r="I408" s="109" t="inlineStr">
        <is>
          <t>BOBINES</t>
        </is>
      </c>
      <c r="J408" s="107" t="inlineStr">
        <is>
          <t>BOBINES</t>
        </is>
      </c>
      <c r="K408" s="108">
        <f>D408+8</f>
        <v/>
      </c>
      <c r="L408" s="108">
        <f>K408+60</f>
        <v/>
      </c>
      <c r="M408" s="111" t="n"/>
      <c r="N408" s="112">
        <f>E408-8-8-14</f>
        <v/>
      </c>
      <c r="O408" s="113">
        <f>F408/E408*N408</f>
        <v/>
      </c>
      <c r="P408" s="112">
        <f>G408/E408*N408</f>
        <v/>
      </c>
      <c r="Q408" s="109" t="inlineStr">
        <is>
          <t>POSTE 5</t>
        </is>
      </c>
      <c r="R408" s="109" t="n"/>
      <c r="S408" s="109" t="inlineStr">
        <is>
          <t>CA25307XDJD034</t>
        </is>
      </c>
      <c r="T408" s="114" t="n">
        <v>74</v>
      </c>
      <c r="U408" s="109" t="inlineStr">
        <is>
          <t>PREPAINTED STEEL COIL</t>
        </is>
      </c>
      <c r="V408" s="106" t="n"/>
      <c r="W408" s="106" t="n"/>
      <c r="X408" s="106" t="inlineStr">
        <is>
          <t>SOLDEE</t>
        </is>
      </c>
      <c r="Y408" s="116">
        <f>F408/E408</f>
        <v/>
      </c>
      <c r="Z408" s="30" t="n"/>
      <c r="AA408" s="30" t="n"/>
    </row>
    <row r="409" ht="18" customHeight="1" s="202">
      <c r="A409" s="106" t="n">
        <v>20260017</v>
      </c>
      <c r="B409" s="107" t="inlineStr">
        <is>
          <t>CHANG HONG AN</t>
        </is>
      </c>
      <c r="C409" s="108" t="n">
        <v>46036</v>
      </c>
      <c r="D409" s="108" t="n">
        <v>46055</v>
      </c>
      <c r="E409" s="106" t="n">
        <v>42</v>
      </c>
      <c r="F409" s="106" t="n">
        <v>302.149</v>
      </c>
      <c r="G409" s="106" t="n">
        <v>34</v>
      </c>
      <c r="H409" s="109" t="inlineStr">
        <is>
          <t>EUROPANNEAUX ALGERIE SARL</t>
        </is>
      </c>
      <c r="I409" s="109" t="inlineStr">
        <is>
          <t>BOBINES</t>
        </is>
      </c>
      <c r="J409" s="107" t="inlineStr">
        <is>
          <t>BOBINES</t>
        </is>
      </c>
      <c r="K409" s="108">
        <f>D409+8</f>
        <v/>
      </c>
      <c r="L409" s="108">
        <f>K409+60</f>
        <v/>
      </c>
      <c r="M409" s="111" t="n"/>
      <c r="N409" s="112">
        <f>E409-42</f>
        <v/>
      </c>
      <c r="O409" s="113">
        <f>F409/E409*N409</f>
        <v/>
      </c>
      <c r="P409" s="112">
        <f>G409/E409*N409</f>
        <v/>
      </c>
      <c r="Q409" s="109" t="inlineStr">
        <is>
          <t>POSTE 5</t>
        </is>
      </c>
      <c r="R409" s="109" t="n"/>
      <c r="S409" s="109" t="inlineStr">
        <is>
          <t>CA25307XDJD035</t>
        </is>
      </c>
      <c r="T409" s="114" t="n">
        <v>75</v>
      </c>
      <c r="U409" s="109" t="inlineStr">
        <is>
          <t>PREPAINTED STEEL COIL</t>
        </is>
      </c>
      <c r="V409" s="106" t="n"/>
      <c r="W409" s="106" t="n"/>
      <c r="X409" s="106" t="inlineStr">
        <is>
          <t>SOLDEE</t>
        </is>
      </c>
      <c r="Y409" s="116">
        <f>F409/E409</f>
        <v/>
      </c>
      <c r="Z409" s="30" t="n"/>
      <c r="AA409" s="30" t="n"/>
    </row>
    <row r="410" ht="18" customHeight="1" s="202">
      <c r="A410" s="106" t="n">
        <v>20260017</v>
      </c>
      <c r="B410" s="107" t="inlineStr">
        <is>
          <t>CHANG HONG AN</t>
        </is>
      </c>
      <c r="C410" s="108" t="n">
        <v>46036</v>
      </c>
      <c r="D410" s="108" t="n">
        <v>46055</v>
      </c>
      <c r="E410" s="106" t="n">
        <v>573</v>
      </c>
      <c r="F410" s="106" t="n">
        <v>3488.881</v>
      </c>
      <c r="G410" s="106" t="n">
        <v>460</v>
      </c>
      <c r="H410" s="109" t="inlineStr">
        <is>
          <t>BATICOMPOS SPA</t>
        </is>
      </c>
      <c r="I410" s="109" t="inlineStr">
        <is>
          <t>BOBINES</t>
        </is>
      </c>
      <c r="J410" s="107" t="inlineStr">
        <is>
          <t>BOBINES</t>
        </is>
      </c>
      <c r="K410" s="108">
        <f>D410+8</f>
        <v/>
      </c>
      <c r="L410" s="108">
        <f>K410+60</f>
        <v/>
      </c>
      <c r="M410" s="111" t="n"/>
      <c r="N410" s="112">
        <f>E410-88-54-78-8-78-80-79-54-54</f>
        <v/>
      </c>
      <c r="O410" s="113">
        <f>F410/E410*N410</f>
        <v/>
      </c>
      <c r="P410" s="112">
        <f>G410/E410*N410</f>
        <v/>
      </c>
      <c r="Q410" s="109" t="inlineStr">
        <is>
          <t>POSTE 5</t>
        </is>
      </c>
      <c r="R410" s="109" t="inlineStr">
        <is>
          <t>B BLUE</t>
        </is>
      </c>
      <c r="S410" s="109" t="inlineStr">
        <is>
          <t>CA25307XDJD043-51</t>
        </is>
      </c>
      <c r="T410" s="114" t="n">
        <v>78</v>
      </c>
      <c r="U410" s="109" t="inlineStr">
        <is>
          <t>BOBINES PRELAQUEES</t>
        </is>
      </c>
      <c r="V410" s="106" t="n"/>
      <c r="W410" s="106" t="n"/>
      <c r="X410" s="106" t="inlineStr">
        <is>
          <t>SOLDEE</t>
        </is>
      </c>
      <c r="Y410" s="116">
        <f>F410/E410</f>
        <v/>
      </c>
      <c r="Z410" s="30" t="n"/>
      <c r="AA410" s="30" t="n"/>
    </row>
    <row r="411" ht="18" customHeight="1" s="202">
      <c r="A411" s="106" t="n">
        <v>20260017</v>
      </c>
      <c r="B411" s="107" t="inlineStr">
        <is>
          <t>CHANG HONG AN</t>
        </is>
      </c>
      <c r="C411" s="108" t="n">
        <v>46036</v>
      </c>
      <c r="D411" s="108" t="n">
        <v>46055</v>
      </c>
      <c r="E411" s="106" t="n">
        <v>26</v>
      </c>
      <c r="F411" s="106" t="n">
        <v>145.56</v>
      </c>
      <c r="G411" s="106" t="n">
        <v>21</v>
      </c>
      <c r="H411" s="109" t="inlineStr">
        <is>
          <t>BATICOMPOS SPA</t>
        </is>
      </c>
      <c r="I411" s="109" t="inlineStr">
        <is>
          <t>BOBINES</t>
        </is>
      </c>
      <c r="J411" s="107" t="inlineStr">
        <is>
          <t>BOBINES</t>
        </is>
      </c>
      <c r="K411" s="108">
        <f>D411+8</f>
        <v/>
      </c>
      <c r="L411" s="108">
        <f>K411+60</f>
        <v/>
      </c>
      <c r="M411" s="111" t="n"/>
      <c r="N411" s="112">
        <f>E411-26</f>
        <v/>
      </c>
      <c r="O411" s="113">
        <f>F411/E411*N411</f>
        <v/>
      </c>
      <c r="P411" s="112">
        <f>G411/E411*N411</f>
        <v/>
      </c>
      <c r="Q411" s="109" t="inlineStr">
        <is>
          <t>POSTE 5</t>
        </is>
      </c>
      <c r="R411" s="109" t="inlineStr">
        <is>
          <t>B BLUE</t>
        </is>
      </c>
      <c r="S411" s="109" t="inlineStr">
        <is>
          <t>CA25307XDJD054</t>
        </is>
      </c>
      <c r="T411" s="114" t="n">
        <v>81</v>
      </c>
      <c r="U411" s="109" t="inlineStr">
        <is>
          <t>BOBINES PRELAQUEES</t>
        </is>
      </c>
      <c r="V411" s="106" t="n"/>
      <c r="W411" s="106" t="n"/>
      <c r="X411" s="106" t="inlineStr">
        <is>
          <t>SOLDEE</t>
        </is>
      </c>
      <c r="Y411" s="116">
        <f>F411/E411</f>
        <v/>
      </c>
      <c r="Z411" s="30" t="n"/>
      <c r="AA411" s="30" t="n"/>
    </row>
    <row r="412" ht="18" customHeight="1" s="202">
      <c r="A412" s="206" t="n">
        <v>20260017</v>
      </c>
      <c r="B412" s="207" t="inlineStr">
        <is>
          <t>CHANG HONG AN</t>
        </is>
      </c>
      <c r="C412" s="208" t="n">
        <v>46036</v>
      </c>
      <c r="D412" s="208" t="n">
        <v>46055</v>
      </c>
      <c r="E412" s="209" t="n">
        <v>70</v>
      </c>
      <c r="F412" s="210" t="n">
        <v>380.865</v>
      </c>
      <c r="G412" s="211" t="n">
        <v>56</v>
      </c>
      <c r="H412" s="212" t="inlineStr">
        <is>
          <t>SARL GLOBAL METAL</t>
        </is>
      </c>
      <c r="I412" s="212" t="inlineStr">
        <is>
          <t>BOBINES</t>
        </is>
      </c>
      <c r="J412" s="207" t="inlineStr">
        <is>
          <t>BOBINES</t>
        </is>
      </c>
      <c r="K412" s="213">
        <f>D412+8</f>
        <v/>
      </c>
      <c r="L412" s="213">
        <f>K412+60</f>
        <v/>
      </c>
      <c r="M412" s="214" t="n"/>
      <c r="N412" s="215">
        <f>E412-24-23-16</f>
        <v/>
      </c>
      <c r="O412" s="216">
        <f>F412/E412*N412</f>
        <v/>
      </c>
      <c r="P412" s="218">
        <f>G412/E412*N412</f>
        <v/>
      </c>
      <c r="Q412" s="224" t="inlineStr">
        <is>
          <t>POSTE 5</t>
        </is>
      </c>
      <c r="R412" s="58" t="inlineStr">
        <is>
          <t>G RED</t>
        </is>
      </c>
      <c r="S412" s="200" t="inlineStr">
        <is>
          <t>CA25307XDJD056/057</t>
        </is>
      </c>
      <c r="T412" s="201" t="n">
        <v>83</v>
      </c>
      <c r="U412" s="58" t="inlineStr">
        <is>
          <t>HOT DIP GALVANIZED STEEL STRIP</t>
        </is>
      </c>
      <c r="V412" s="67" t="n"/>
      <c r="W412" s="67" t="n"/>
      <c r="X412" s="99" t="inlineStr">
        <is>
          <t>OPER</t>
        </is>
      </c>
      <c r="Y412" s="116">
        <f>F412/E412</f>
        <v/>
      </c>
      <c r="Z412" s="64">
        <f>E412-N412</f>
        <v/>
      </c>
      <c r="AA412" s="64" t="n">
        <v>1</v>
      </c>
    </row>
    <row r="413" ht="15.75" customHeight="1" s="202">
      <c r="A413" s="106" t="n">
        <v>20260043</v>
      </c>
      <c r="B413" s="107" t="inlineStr">
        <is>
          <t>AQUARIUS HONOR</t>
        </is>
      </c>
      <c r="C413" s="108" t="n">
        <v>46057</v>
      </c>
      <c r="D413" s="108" t="n">
        <v>46063</v>
      </c>
      <c r="E413" s="106" t="n">
        <v>100</v>
      </c>
      <c r="F413" s="106" t="n">
        <v>315.976</v>
      </c>
      <c r="G413" s="106" t="n">
        <v>45</v>
      </c>
      <c r="H413" s="107" t="inlineStr">
        <is>
          <t>EURL SNT IMPORT &amp; EXPORT</t>
        </is>
      </c>
      <c r="I413" s="107" t="inlineStr">
        <is>
          <t>MDF</t>
        </is>
      </c>
      <c r="J413" s="107" t="inlineStr">
        <is>
          <t>CTP</t>
        </is>
      </c>
      <c r="K413" s="108">
        <f>D413+8</f>
        <v/>
      </c>
      <c r="L413" s="108">
        <f>K413+60</f>
        <v/>
      </c>
      <c r="M413" s="107" t="n"/>
      <c r="N413" s="112">
        <f>E413-34-51-15</f>
        <v/>
      </c>
      <c r="O413" s="113">
        <f>F413/E413*N413</f>
        <v/>
      </c>
      <c r="P413" s="112">
        <f>G413/E413*N413</f>
        <v/>
      </c>
      <c r="Q413" s="109" t="n"/>
      <c r="R413" s="107" t="n"/>
      <c r="S413" s="109" t="inlineStr">
        <is>
          <t>25032LDJ0801</t>
        </is>
      </c>
      <c r="T413" s="114" t="n">
        <v>15</v>
      </c>
      <c r="U413" s="109" t="inlineStr">
        <is>
          <t>MDF TWO SIDES—ONE SIDE PVC OTHER/ SIDE MELAMINE PAPER</t>
        </is>
      </c>
      <c r="V413" s="106" t="n"/>
      <c r="W413" s="106" t="n"/>
      <c r="X413" s="106" t="inlineStr">
        <is>
          <t>SOLDEE</t>
        </is>
      </c>
      <c r="Y413" s="116">
        <f>F413/E413</f>
        <v/>
      </c>
      <c r="AA413" s="64" t="n">
        <v>1</v>
      </c>
    </row>
    <row r="414" ht="15.75" customHeight="1" s="202">
      <c r="A414" s="106" t="n">
        <v>20260043</v>
      </c>
      <c r="B414" s="107" t="inlineStr">
        <is>
          <t>AQUARIUS HONOR</t>
        </is>
      </c>
      <c r="C414" s="108" t="n">
        <v>46057</v>
      </c>
      <c r="D414" s="108" t="n">
        <v>46063</v>
      </c>
      <c r="E414" s="106" t="n">
        <v>100</v>
      </c>
      <c r="F414" s="106" t="n">
        <v>315.976</v>
      </c>
      <c r="G414" s="106" t="n">
        <v>45</v>
      </c>
      <c r="H414" s="107" t="inlineStr">
        <is>
          <t>EURL SNT IMPORT &amp; EXPORT</t>
        </is>
      </c>
      <c r="I414" s="107" t="inlineStr">
        <is>
          <t>MDF</t>
        </is>
      </c>
      <c r="J414" s="107" t="inlineStr">
        <is>
          <t>CTP</t>
        </is>
      </c>
      <c r="K414" s="108">
        <f>D414+8</f>
        <v/>
      </c>
      <c r="L414" s="108">
        <f>K414+60</f>
        <v/>
      </c>
      <c r="M414" s="107" t="n"/>
      <c r="N414" s="112">
        <f>E414-44-56</f>
        <v/>
      </c>
      <c r="O414" s="113">
        <f>F414/E414*N414</f>
        <v/>
      </c>
      <c r="P414" s="112">
        <f>G414/E414*N414</f>
        <v/>
      </c>
      <c r="Q414" s="109" t="n"/>
      <c r="R414" s="107" t="n"/>
      <c r="S414" s="109" t="inlineStr">
        <is>
          <t>25032LDJ0802</t>
        </is>
      </c>
      <c r="T414" s="114" t="n">
        <v>16</v>
      </c>
      <c r="U414" s="109" t="inlineStr">
        <is>
          <t>MDF TWO SIDES—ONE SIDE PVC OTHER/SIDE MELAMINE PAPER</t>
        </is>
      </c>
      <c r="V414" s="106" t="n"/>
      <c r="W414" s="106" t="n"/>
      <c r="X414" s="106" t="inlineStr">
        <is>
          <t>SOLDEE</t>
        </is>
      </c>
      <c r="Y414" s="116">
        <f>F414/E414</f>
        <v/>
      </c>
      <c r="AA414" s="64" t="n">
        <v>31</v>
      </c>
    </row>
    <row r="415" ht="15.75" customHeight="1" s="202">
      <c r="A415" s="116" t="n">
        <v>20260043</v>
      </c>
      <c r="B415" s="117" t="inlineStr">
        <is>
          <t>AQUARIUS HONOR</t>
        </is>
      </c>
      <c r="C415" s="118" t="n">
        <v>46057</v>
      </c>
      <c r="D415" s="118" t="n">
        <v>46063</v>
      </c>
      <c r="E415" s="116" t="n">
        <v>1</v>
      </c>
      <c r="F415" s="119" t="n">
        <v>30</v>
      </c>
      <c r="G415" s="120" t="n">
        <v>24</v>
      </c>
      <c r="H415" s="117" t="inlineStr">
        <is>
          <t>ETBPH CHOUIK KAMEL</t>
        </is>
      </c>
      <c r="I415" s="117" t="inlineStr">
        <is>
          <t>CAMION POMPE A BETON</t>
        </is>
      </c>
      <c r="J415" s="117" t="inlineStr">
        <is>
          <t>LOURD</t>
        </is>
      </c>
      <c r="K415" s="48">
        <f>D415+8</f>
        <v/>
      </c>
      <c r="L415" s="48">
        <f>K415+60</f>
        <v/>
      </c>
      <c r="N415" s="72">
        <f>E415</f>
        <v/>
      </c>
      <c r="O415" s="50">
        <f>F415/E415*N415</f>
        <v/>
      </c>
      <c r="P415" s="273">
        <f>G415/E415*N415</f>
        <v/>
      </c>
      <c r="S415" s="200" t="inlineStr">
        <is>
          <t>25032LDJ0101</t>
        </is>
      </c>
      <c r="T415" s="201" t="n">
        <v>1</v>
      </c>
      <c r="U415" s="58" t="inlineStr">
        <is>
          <t>01 UNIT ZOOMLION 43M CONCRETE PUMP TRUCK (VOIR BL)</t>
        </is>
      </c>
      <c r="V415" s="67" t="n"/>
      <c r="W415" s="67" t="n"/>
      <c r="X415" s="62" t="inlineStr">
        <is>
          <t>N-OP</t>
        </is>
      </c>
      <c r="Y415" s="116">
        <f>F415/E415</f>
        <v/>
      </c>
      <c r="Z415" s="64">
        <f>E415-N415</f>
        <v/>
      </c>
      <c r="AA415" s="30" t="n"/>
    </row>
    <row r="416" ht="15.75" customHeight="1" s="202">
      <c r="A416" s="106" t="n">
        <v>20260043</v>
      </c>
      <c r="B416" s="107" t="inlineStr">
        <is>
          <t>AQUARIUS HONOR</t>
        </is>
      </c>
      <c r="C416" s="108" t="n">
        <v>46057</v>
      </c>
      <c r="D416" s="108" t="n">
        <v>46063</v>
      </c>
      <c r="E416" s="106" t="n">
        <v>3</v>
      </c>
      <c r="F416" s="106" t="n">
        <v>9.9</v>
      </c>
      <c r="G416" s="106" t="n">
        <v>72</v>
      </c>
      <c r="H416" s="107" t="inlineStr">
        <is>
          <t>SOCIETE GENERALE ALGERIE SPA LOCATAIRE SARL LOUAI</t>
        </is>
      </c>
      <c r="I416" s="107" t="inlineStr">
        <is>
          <t>CAMIONS</t>
        </is>
      </c>
      <c r="J416" s="107" t="inlineStr">
        <is>
          <t>LOURD</t>
        </is>
      </c>
      <c r="K416" s="108">
        <f>D416+8</f>
        <v/>
      </c>
      <c r="L416" s="108">
        <f>K416+60</f>
        <v/>
      </c>
      <c r="M416" s="107" t="n"/>
      <c r="N416" s="112">
        <f>E416-3</f>
        <v/>
      </c>
      <c r="O416" s="113">
        <f>F416/E416*N416</f>
        <v/>
      </c>
      <c r="P416" s="112">
        <f>G416/E416*N416</f>
        <v/>
      </c>
      <c r="Q416" s="109" t="n"/>
      <c r="R416" s="107" t="n"/>
      <c r="S416" s="109" t="inlineStr">
        <is>
          <t>25032LDJ0201</t>
        </is>
      </c>
      <c r="T416" s="114" t="n">
        <v>2</v>
      </c>
      <c r="U416" s="109" t="inlineStr">
        <is>
          <t>03 UNITS CAMION FRIGORIFIQUE ISUZU NPR 4X2 ( VOIR BL)</t>
        </is>
      </c>
      <c r="V416" s="106" t="n"/>
      <c r="W416" s="106" t="n"/>
      <c r="X416" s="106" t="inlineStr">
        <is>
          <t>SOLDEE</t>
        </is>
      </c>
      <c r="Y416" s="116">
        <f>F416/E416</f>
        <v/>
      </c>
      <c r="AA416" s="64" t="n">
        <v>3636</v>
      </c>
    </row>
    <row r="417" ht="15.75" customHeight="1" s="202">
      <c r="A417" s="116" t="n">
        <v>20260043</v>
      </c>
      <c r="B417" s="117" t="inlineStr">
        <is>
          <t>AQUARIUS HONOR</t>
        </is>
      </c>
      <c r="C417" s="118" t="n">
        <v>46057</v>
      </c>
      <c r="D417" s="118" t="n">
        <v>46063</v>
      </c>
      <c r="E417" s="116" t="n">
        <v>3</v>
      </c>
      <c r="F417" s="119" t="n">
        <v>7.95</v>
      </c>
      <c r="G417" s="120" t="n">
        <v>72</v>
      </c>
      <c r="H417" s="117" t="inlineStr">
        <is>
          <t>SOCIETE GENERALE ALGERIE SPA LOCATAIRE SARL LOUAI</t>
        </is>
      </c>
      <c r="I417" s="117" t="inlineStr">
        <is>
          <t>CAMIONS</t>
        </is>
      </c>
      <c r="J417" s="117" t="inlineStr">
        <is>
          <t>LOURD</t>
        </is>
      </c>
      <c r="K417" s="48">
        <f>D417+8</f>
        <v/>
      </c>
      <c r="L417" s="48">
        <f>K417+60</f>
        <v/>
      </c>
      <c r="N417" s="72">
        <f>E417</f>
        <v/>
      </c>
      <c r="O417" s="50">
        <f>F417/E417*N417</f>
        <v/>
      </c>
      <c r="P417" s="273">
        <f>G417/E417*N417</f>
        <v/>
      </c>
      <c r="S417" s="200" t="inlineStr">
        <is>
          <t>25032LDJ0202</t>
        </is>
      </c>
      <c r="T417" s="201" t="n">
        <v>3</v>
      </c>
      <c r="U417" s="58" t="inlineStr">
        <is>
          <t>03 UNITS CAMION FRIGORIFIQUE ISUZU NKR 4X2 ( VOIR BL)</t>
        </is>
      </c>
      <c r="V417" s="67" t="n"/>
      <c r="W417" s="67" t="n"/>
      <c r="X417" s="62" t="inlineStr">
        <is>
          <t>N-OP</t>
        </is>
      </c>
      <c r="Y417" s="116">
        <f>F417/E417</f>
        <v/>
      </c>
      <c r="Z417" s="64">
        <f>E417-N417</f>
        <v/>
      </c>
      <c r="AA417" s="30" t="n"/>
    </row>
    <row r="418" ht="15.75" customHeight="1" s="202">
      <c r="A418" s="116" t="n">
        <v>20260043</v>
      </c>
      <c r="B418" s="117" t="inlineStr">
        <is>
          <t>AQUARIUS HONOR</t>
        </is>
      </c>
      <c r="C418" s="118" t="n">
        <v>46057</v>
      </c>
      <c r="D418" s="118" t="n">
        <v>46063</v>
      </c>
      <c r="E418" s="116" t="n">
        <v>1</v>
      </c>
      <c r="F418" s="119" t="n">
        <v>5.95</v>
      </c>
      <c r="G418" s="120" t="n">
        <v>24</v>
      </c>
      <c r="H418" s="117" t="inlineStr">
        <is>
          <t>SARL ISOL ETANCH IMESSAOUDENE</t>
        </is>
      </c>
      <c r="I418" s="117" t="inlineStr">
        <is>
          <t>CAMIONS</t>
        </is>
      </c>
      <c r="J418" s="117" t="inlineStr">
        <is>
          <t>LOURD</t>
        </is>
      </c>
      <c r="K418" s="48">
        <f>D418+8</f>
        <v/>
      </c>
      <c r="L418" s="48">
        <f>K418+60</f>
        <v/>
      </c>
      <c r="N418" s="72">
        <f>E418</f>
        <v/>
      </c>
      <c r="O418" s="50">
        <f>F418/E418*N418</f>
        <v/>
      </c>
      <c r="P418" s="273">
        <f>G418/E418*N418</f>
        <v/>
      </c>
      <c r="S418" s="200" t="inlineStr">
        <is>
          <t>25032LDJ0601</t>
        </is>
      </c>
      <c r="T418" s="201" t="n">
        <v>6</v>
      </c>
      <c r="U418" s="58" t="inlineStr">
        <is>
          <t>01 UNIT CAMION ISUZU 12T ( VOIR BL)</t>
        </is>
      </c>
      <c r="V418" s="67" t="n"/>
      <c r="W418" s="67" t="n"/>
      <c r="X418" s="62" t="inlineStr">
        <is>
          <t>N-OP</t>
        </is>
      </c>
      <c r="Y418" s="116">
        <f>F418/E418</f>
        <v/>
      </c>
      <c r="Z418" s="64">
        <f>E418-N418</f>
        <v/>
      </c>
      <c r="AA418" s="64" t="n">
        <v>412</v>
      </c>
    </row>
    <row r="419" ht="15.75" customHeight="1" s="202">
      <c r="A419" s="116" t="n">
        <v>20260043</v>
      </c>
      <c r="B419" s="117" t="inlineStr">
        <is>
          <t>AQUARIUS HONOR</t>
        </is>
      </c>
      <c r="C419" s="118" t="n">
        <v>46057</v>
      </c>
      <c r="D419" s="118" t="n">
        <v>46063</v>
      </c>
      <c r="E419" s="116" t="n">
        <v>1</v>
      </c>
      <c r="F419" s="119" t="n">
        <v>9.68</v>
      </c>
      <c r="G419" s="120" t="n">
        <v>24</v>
      </c>
      <c r="H419" s="117" t="inlineStr">
        <is>
          <t>EURL ICHOUL TRAVAUX PUBLICS</t>
        </is>
      </c>
      <c r="I419" s="117" t="inlineStr">
        <is>
          <t>REMORQUES</t>
        </is>
      </c>
      <c r="J419" s="117" t="inlineStr">
        <is>
          <t>LOURD</t>
        </is>
      </c>
      <c r="K419" s="48">
        <f>D419+8</f>
        <v/>
      </c>
      <c r="L419" s="48">
        <f>K419+60</f>
        <v/>
      </c>
      <c r="N419" s="72">
        <f>E419</f>
        <v/>
      </c>
      <c r="O419" s="50">
        <f>F419/E419*N419</f>
        <v/>
      </c>
      <c r="P419" s="273">
        <f>G419/E419*N419</f>
        <v/>
      </c>
      <c r="S419" s="200" t="inlineStr">
        <is>
          <t>25032LDJ0702</t>
        </is>
      </c>
      <c r="T419" s="201" t="n">
        <v>8</v>
      </c>
      <c r="U419" s="58" t="inlineStr">
        <is>
          <t>01 UNIT POWDER TANK SEMI-TAILER WL9406GXH ( VOIR BL)</t>
        </is>
      </c>
      <c r="V419" s="67" t="n"/>
      <c r="W419" s="67" t="n"/>
      <c r="X419" s="62" t="inlineStr">
        <is>
          <t>N-OP</t>
        </is>
      </c>
      <c r="Y419" s="116">
        <f>F419/E419</f>
        <v/>
      </c>
      <c r="Z419" s="64">
        <f>E419-N419</f>
        <v/>
      </c>
      <c r="AA419" s="30" t="n"/>
    </row>
    <row r="420" ht="15.75" customHeight="1" s="202">
      <c r="A420" s="116" t="n">
        <v>20260043</v>
      </c>
      <c r="B420" s="117" t="inlineStr">
        <is>
          <t>AQUARIUS HONOR</t>
        </is>
      </c>
      <c r="C420" s="118" t="n">
        <v>46057</v>
      </c>
      <c r="D420" s="118" t="n">
        <v>46063</v>
      </c>
      <c r="E420" s="116" t="n">
        <v>1</v>
      </c>
      <c r="F420" s="119" t="n">
        <v>12.62</v>
      </c>
      <c r="G420" s="120" t="n">
        <v>24</v>
      </c>
      <c r="H420" s="117" t="inlineStr">
        <is>
          <t>SARL CHAHYGAZ</t>
        </is>
      </c>
      <c r="I420" s="117" t="inlineStr">
        <is>
          <t>CAMIONS</t>
        </is>
      </c>
      <c r="J420" s="117" t="inlineStr">
        <is>
          <t>LOURD</t>
        </is>
      </c>
      <c r="K420" s="48">
        <f>D420+8</f>
        <v/>
      </c>
      <c r="L420" s="48">
        <f>K420+60</f>
        <v/>
      </c>
      <c r="N420" s="72">
        <f>E420</f>
        <v/>
      </c>
      <c r="O420" s="50">
        <f>F420/E420*N420</f>
        <v/>
      </c>
      <c r="P420" s="273">
        <f>G420/E420*N420</f>
        <v/>
      </c>
      <c r="S420" s="200" t="inlineStr">
        <is>
          <t>25032LDJ0703</t>
        </is>
      </c>
      <c r="T420" s="201" t="n">
        <v>9</v>
      </c>
      <c r="U420" s="58" t="inlineStr">
        <is>
          <t>01 UNIT CAMION A BENNE SHACMAN F2000 DUMPER ( VOIR BL)</t>
        </is>
      </c>
      <c r="V420" s="67" t="n"/>
      <c r="W420" s="67" t="n"/>
      <c r="X420" s="62" t="inlineStr">
        <is>
          <t>N-OP</t>
        </is>
      </c>
      <c r="Y420" s="116">
        <f>F420/E420</f>
        <v/>
      </c>
      <c r="Z420" s="64">
        <f>E420-N420</f>
        <v/>
      </c>
      <c r="AA420" s="64" t="n">
        <v>212</v>
      </c>
    </row>
    <row r="421" ht="15.75" customHeight="1" s="202">
      <c r="A421" s="116" t="n">
        <v>20260043</v>
      </c>
      <c r="B421" s="117" t="inlineStr">
        <is>
          <t>AQUARIUS HONOR</t>
        </is>
      </c>
      <c r="C421" s="118" t="n">
        <v>46057</v>
      </c>
      <c r="D421" s="118" t="n">
        <v>46063</v>
      </c>
      <c r="E421" s="116" t="n">
        <v>1</v>
      </c>
      <c r="F421" s="119" t="n">
        <v>0</v>
      </c>
      <c r="G421" s="120" t="n">
        <v>5</v>
      </c>
      <c r="H421" s="117" t="inlineStr">
        <is>
          <t>SARL CHAHYGAZ</t>
        </is>
      </c>
      <c r="I421" s="117" t="inlineStr">
        <is>
          <t>COLIS</t>
        </is>
      </c>
      <c r="J421" s="117" t="inlineStr">
        <is>
          <t>COLIS</t>
        </is>
      </c>
      <c r="K421" s="48">
        <f>D421+8</f>
        <v/>
      </c>
      <c r="L421" s="48">
        <f>K421+60</f>
        <v/>
      </c>
      <c r="N421" s="72">
        <f>E421</f>
        <v/>
      </c>
      <c r="O421" s="50">
        <f>F421/E421*N421</f>
        <v/>
      </c>
      <c r="P421" s="273">
        <f>G421/E421*N421</f>
        <v/>
      </c>
      <c r="S421" s="200" t="inlineStr">
        <is>
          <t>25032LDJ0703</t>
        </is>
      </c>
      <c r="T421" s="201" t="n">
        <v>9</v>
      </c>
      <c r="U421" s="58" t="n"/>
      <c r="V421" s="67" t="n"/>
      <c r="W421" s="67" t="n"/>
      <c r="X421" s="62" t="inlineStr">
        <is>
          <t>N-OP</t>
        </is>
      </c>
      <c r="Y421" s="116">
        <f>F421/E421</f>
        <v/>
      </c>
      <c r="Z421" s="64">
        <f>E421-N421</f>
        <v/>
      </c>
      <c r="AA421" s="64" t="n">
        <v>398</v>
      </c>
    </row>
    <row r="422" ht="15.75" customHeight="1" s="202">
      <c r="A422" s="116" t="n">
        <v>20260043</v>
      </c>
      <c r="B422" s="117" t="inlineStr">
        <is>
          <t>AQUARIUS HONOR</t>
        </is>
      </c>
      <c r="C422" s="118" t="n">
        <v>46057</v>
      </c>
      <c r="D422" s="118" t="n">
        <v>46063</v>
      </c>
      <c r="E422" s="116" t="n">
        <v>1</v>
      </c>
      <c r="F422" s="119" t="n">
        <v>12</v>
      </c>
      <c r="G422" s="120" t="n">
        <v>24</v>
      </c>
      <c r="H422" s="117" t="inlineStr">
        <is>
          <t>ADJEMI MAHIEDDINE</t>
        </is>
      </c>
      <c r="I422" s="117" t="inlineStr">
        <is>
          <t>CAMIONS</t>
        </is>
      </c>
      <c r="J422" s="117" t="inlineStr">
        <is>
          <t>LOURD</t>
        </is>
      </c>
      <c r="K422" s="48">
        <f>D422+8</f>
        <v/>
      </c>
      <c r="L422" s="48">
        <f>K422+60</f>
        <v/>
      </c>
      <c r="N422" s="72">
        <f>E422</f>
        <v/>
      </c>
      <c r="O422" s="50">
        <f>F422/E422*N422</f>
        <v/>
      </c>
      <c r="P422" s="273">
        <f>G422/E422*N422</f>
        <v/>
      </c>
      <c r="S422" s="200" t="inlineStr">
        <is>
          <t>25032LDJ0704</t>
        </is>
      </c>
      <c r="T422" s="201" t="n">
        <v>10</v>
      </c>
      <c r="U422" s="58" t="inlineStr">
        <is>
          <t>01 UNIT SHACMAN F2000 DUMP TRUCK (VOIR BL）</t>
        </is>
      </c>
      <c r="V422" s="67" t="n"/>
      <c r="W422" s="67" t="n"/>
      <c r="X422" s="62" t="inlineStr">
        <is>
          <t>N-OP</t>
        </is>
      </c>
      <c r="Y422" s="116">
        <f>F422/E422</f>
        <v/>
      </c>
      <c r="Z422" s="64">
        <f>E422-N422</f>
        <v/>
      </c>
      <c r="AA422" s="30" t="n"/>
    </row>
    <row r="423" ht="15.75" customHeight="1" s="202">
      <c r="A423" s="106" t="n">
        <v>20260043</v>
      </c>
      <c r="B423" s="107" t="inlineStr">
        <is>
          <t>AQUARIUS HONOR</t>
        </is>
      </c>
      <c r="C423" s="108" t="n">
        <v>46057</v>
      </c>
      <c r="D423" s="108" t="n">
        <v>46063</v>
      </c>
      <c r="E423" s="106" t="n">
        <v>1</v>
      </c>
      <c r="F423" s="106" t="n">
        <v>9</v>
      </c>
      <c r="G423" s="106" t="n">
        <v>24</v>
      </c>
      <c r="H423" s="107" t="inlineStr">
        <is>
          <t>SARL RAHAL ABDESLAM</t>
        </is>
      </c>
      <c r="I423" s="107" t="inlineStr">
        <is>
          <t>CAMIONS</t>
        </is>
      </c>
      <c r="J423" s="107" t="inlineStr">
        <is>
          <t>LOURD</t>
        </is>
      </c>
      <c r="K423" s="108">
        <f>D423+8</f>
        <v/>
      </c>
      <c r="L423" s="108">
        <f>K423+60</f>
        <v/>
      </c>
      <c r="M423" s="107" t="n"/>
      <c r="N423" s="112">
        <f>E423-1</f>
        <v/>
      </c>
      <c r="O423" s="113">
        <f>F423/E423*N423</f>
        <v/>
      </c>
      <c r="P423" s="112">
        <f>G423/E423*N423</f>
        <v/>
      </c>
      <c r="Q423" s="109" t="n"/>
      <c r="R423" s="107" t="n"/>
      <c r="S423" s="109" t="inlineStr">
        <is>
          <t>25032LDJ0706</t>
        </is>
      </c>
      <c r="T423" s="114" t="n">
        <v>12</v>
      </c>
      <c r="U423" s="109" t="inlineStr">
        <is>
          <t>01 UNIT SINOTRUK SITRAK 6x4 TRACTOR-MANUAL GEARBOX LHD ( VOIR BL)</t>
        </is>
      </c>
      <c r="V423" s="106" t="n"/>
      <c r="W423" s="106" t="n"/>
      <c r="X423" s="106" t="inlineStr">
        <is>
          <t>SOLDEE</t>
        </is>
      </c>
      <c r="Y423" s="116">
        <f>F423/E423</f>
        <v/>
      </c>
      <c r="Z423" s="64">
        <f>E423-N423</f>
        <v/>
      </c>
      <c r="AA423" s="64" t="n">
        <v>240</v>
      </c>
    </row>
    <row r="424" ht="15.75" customHeight="1" s="202">
      <c r="A424" s="116" t="n">
        <v>20260043</v>
      </c>
      <c r="B424" s="117" t="inlineStr">
        <is>
          <t>AQUARIUS HONOR</t>
        </is>
      </c>
      <c r="C424" s="118" t="n">
        <v>46057</v>
      </c>
      <c r="D424" s="118" t="n">
        <v>46063</v>
      </c>
      <c r="E424" s="116" t="n">
        <v>1</v>
      </c>
      <c r="F424" s="119" t="n">
        <v>31</v>
      </c>
      <c r="G424" s="120" t="n">
        <v>60</v>
      </c>
      <c r="H424" s="117" t="inlineStr">
        <is>
          <t>BETTAYEB ABDELATIF</t>
        </is>
      </c>
      <c r="I424" s="117" t="inlineStr">
        <is>
          <t>CAMION GRUE</t>
        </is>
      </c>
      <c r="J424" s="117" t="inlineStr">
        <is>
          <t>ENGINS</t>
        </is>
      </c>
      <c r="K424" s="48">
        <f>D424+8</f>
        <v/>
      </c>
      <c r="L424" s="48">
        <f>K424+60</f>
        <v/>
      </c>
      <c r="N424" s="72">
        <f>E424</f>
        <v/>
      </c>
      <c r="O424" s="50">
        <f>F424/E424*N424</f>
        <v/>
      </c>
      <c r="P424" s="273">
        <f>G424/E424*N424</f>
        <v/>
      </c>
      <c r="S424" s="200" t="inlineStr">
        <is>
          <t>25032LDJ0708</t>
        </is>
      </c>
      <c r="T424" s="201" t="n">
        <v>14</v>
      </c>
      <c r="U424" s="58" t="inlineStr">
        <is>
          <t>01 UNIT XCMG TRUCK-MOUNTED CONCRETE PUMP XS43 ( VOIR BL)</t>
        </is>
      </c>
      <c r="V424" s="67" t="n"/>
      <c r="W424" s="67" t="n"/>
      <c r="X424" s="62" t="inlineStr">
        <is>
          <t>N-OP</t>
        </is>
      </c>
      <c r="Y424" s="116">
        <f>F424/E424</f>
        <v/>
      </c>
      <c r="Z424" s="64">
        <f>E424-N424</f>
        <v/>
      </c>
      <c r="AA424" s="64" t="n">
        <v>240</v>
      </c>
    </row>
    <row r="425" ht="15.75" customHeight="1" s="202">
      <c r="A425" s="106" t="n">
        <v>20260043</v>
      </c>
      <c r="B425" s="107" t="inlineStr">
        <is>
          <t>AQUARIUS HONOR</t>
        </is>
      </c>
      <c r="C425" s="108" t="n">
        <v>46057</v>
      </c>
      <c r="D425" s="108" t="n">
        <v>46063</v>
      </c>
      <c r="E425" s="106" t="n">
        <v>1</v>
      </c>
      <c r="F425" s="106" t="n">
        <v>13.5</v>
      </c>
      <c r="G425" s="106" t="n">
        <v>24</v>
      </c>
      <c r="H425" s="107" t="inlineStr">
        <is>
          <t>EURL CHARADI MOHAMED</t>
        </is>
      </c>
      <c r="I425" s="107" t="inlineStr">
        <is>
          <t>CAMIONS</t>
        </is>
      </c>
      <c r="J425" s="107" t="inlineStr">
        <is>
          <t>LOURD</t>
        </is>
      </c>
      <c r="K425" s="108">
        <f>D425+8</f>
        <v/>
      </c>
      <c r="L425" s="108">
        <f>K425+60</f>
        <v/>
      </c>
      <c r="M425" s="107" t="n"/>
      <c r="N425" s="112">
        <f>E425-1</f>
        <v/>
      </c>
      <c r="O425" s="113">
        <f>F425/E425*N425</f>
        <v/>
      </c>
      <c r="P425" s="112">
        <f>G425/E425*N425</f>
        <v/>
      </c>
      <c r="Q425" s="109" t="n"/>
      <c r="R425" s="107" t="n"/>
      <c r="S425" s="109" t="inlineStr">
        <is>
          <t>25032LDJ0901</t>
        </is>
      </c>
      <c r="T425" s="114" t="n">
        <v>17</v>
      </c>
      <c r="U425" s="109" t="inlineStr">
        <is>
          <t>01 UNIT SHACMAN F2000 WATER TRUCK (VOIR BL)</t>
        </is>
      </c>
      <c r="V425" s="106" t="n"/>
      <c r="W425" s="106" t="n"/>
      <c r="X425" s="106" t="inlineStr">
        <is>
          <t>SOLDEE</t>
        </is>
      </c>
      <c r="Y425" s="116">
        <f>F425/E425</f>
        <v/>
      </c>
      <c r="Z425" s="64">
        <f>E425-N425</f>
        <v/>
      </c>
      <c r="AA425" s="64" t="n">
        <v>60</v>
      </c>
    </row>
    <row r="426" ht="15.75" customHeight="1" s="202">
      <c r="A426" s="116" t="n">
        <v>20260043</v>
      </c>
      <c r="B426" s="117" t="inlineStr">
        <is>
          <t>AQUARIUS HONOR</t>
        </is>
      </c>
      <c r="C426" s="118" t="n">
        <v>46057</v>
      </c>
      <c r="D426" s="118" t="n">
        <v>46063</v>
      </c>
      <c r="E426" s="116" t="n">
        <v>1</v>
      </c>
      <c r="F426" s="119" t="n">
        <v>32.232</v>
      </c>
      <c r="G426" s="120" t="n">
        <v>60</v>
      </c>
      <c r="H426" s="117" t="inlineStr">
        <is>
          <t>SARL FILS BEKAKRA GRANDS TRAVAUX</t>
        </is>
      </c>
      <c r="I426" s="117" t="inlineStr">
        <is>
          <t>CAMION GRUE</t>
        </is>
      </c>
      <c r="J426" s="117" t="inlineStr">
        <is>
          <t>ENGINS</t>
        </is>
      </c>
      <c r="K426" s="48">
        <f>D426+8</f>
        <v/>
      </c>
      <c r="L426" s="48">
        <f>K426+60</f>
        <v/>
      </c>
      <c r="N426" s="72">
        <f>E426</f>
        <v/>
      </c>
      <c r="O426" s="50">
        <f>F426/E426*N426</f>
        <v/>
      </c>
      <c r="P426" s="273">
        <f>G426/E426*N426</f>
        <v/>
      </c>
      <c r="S426" s="200" t="inlineStr">
        <is>
          <t>25032LDJ1101/02</t>
        </is>
      </c>
      <c r="T426" s="201" t="n">
        <v>19</v>
      </c>
      <c r="U426" s="58" t="inlineStr">
        <is>
          <t>01 SET TRUCK CRANE STC250C5 + SPARE PARTS ( VOIR BL)</t>
        </is>
      </c>
      <c r="V426" s="67" t="n"/>
      <c r="W426" s="67" t="n"/>
      <c r="X426" s="62" t="inlineStr">
        <is>
          <t>N-OP</t>
        </is>
      </c>
      <c r="Y426" s="116">
        <f>F426/E426</f>
        <v/>
      </c>
      <c r="Z426" s="64">
        <f>E426-N426</f>
        <v/>
      </c>
      <c r="AA426" s="30" t="n"/>
    </row>
    <row r="427" ht="15.75" customHeight="1" s="202">
      <c r="A427" s="116" t="n">
        <v>20260043</v>
      </c>
      <c r="B427" s="117" t="inlineStr">
        <is>
          <t>AQUARIUS HONOR</t>
        </is>
      </c>
      <c r="C427" s="118" t="n">
        <v>46057</v>
      </c>
      <c r="D427" s="118" t="n">
        <v>46063</v>
      </c>
      <c r="E427" s="116" t="n">
        <v>4</v>
      </c>
      <c r="F427" s="119" t="n">
        <v>0</v>
      </c>
      <c r="G427" s="120" t="n">
        <v>20</v>
      </c>
      <c r="H427" s="117" t="inlineStr">
        <is>
          <t>SARL FILS BEKAKRA GRANDS TRAVAUX</t>
        </is>
      </c>
      <c r="I427" s="117" t="inlineStr">
        <is>
          <t>COLIS</t>
        </is>
      </c>
      <c r="J427" s="117" t="inlineStr">
        <is>
          <t>COLIS</t>
        </is>
      </c>
      <c r="K427" s="48">
        <f>D427+8</f>
        <v/>
      </c>
      <c r="L427" s="48">
        <f>K427+60</f>
        <v/>
      </c>
      <c r="N427" s="72">
        <f>E427</f>
        <v/>
      </c>
      <c r="O427" s="50">
        <f>F427/E427*N427</f>
        <v/>
      </c>
      <c r="P427" s="273">
        <f>G427/E427*N427</f>
        <v/>
      </c>
      <c r="S427" s="200" t="inlineStr">
        <is>
          <t>25032LDJ1101/02</t>
        </is>
      </c>
      <c r="T427" s="201" t="n">
        <v>19</v>
      </c>
      <c r="U427" s="58" t="n"/>
      <c r="V427" s="67" t="n"/>
      <c r="W427" s="67" t="n"/>
      <c r="X427" s="62" t="inlineStr">
        <is>
          <t>N-OP</t>
        </is>
      </c>
      <c r="Y427" s="116">
        <f>F427/E427</f>
        <v/>
      </c>
      <c r="Z427" s="64">
        <f>E427-N427</f>
        <v/>
      </c>
      <c r="AA427" s="30" t="n"/>
    </row>
    <row r="428" ht="15.75" customHeight="1" s="202">
      <c r="A428" s="116" t="n">
        <v>20260043</v>
      </c>
      <c r="B428" s="117" t="inlineStr">
        <is>
          <t>AQUARIUS HONOR</t>
        </is>
      </c>
      <c r="C428" s="118" t="n">
        <v>46057</v>
      </c>
      <c r="D428" s="118" t="n">
        <v>46063</v>
      </c>
      <c r="E428" s="116" t="n">
        <v>120</v>
      </c>
      <c r="F428" s="119" t="n">
        <v>1637.39</v>
      </c>
      <c r="G428" s="120" t="n">
        <v>2400</v>
      </c>
      <c r="H428" s="117" t="inlineStr">
        <is>
          <t>ENAFOR SPA / ENTREPRISE NATIONALE DE FORAGE SPA</t>
        </is>
      </c>
      <c r="I428" s="117" t="inlineStr">
        <is>
          <t>APPAREIL DE FORAGE</t>
        </is>
      </c>
      <c r="J428" s="117" t="inlineStr">
        <is>
          <t>COLIS</t>
        </is>
      </c>
      <c r="K428" s="48">
        <f>D428+8</f>
        <v/>
      </c>
      <c r="L428" s="48">
        <f>K428+60</f>
        <v/>
      </c>
      <c r="N428" s="72">
        <f>E428</f>
        <v/>
      </c>
      <c r="O428" s="50">
        <f>F428/E428*N428</f>
        <v/>
      </c>
      <c r="P428" s="273">
        <f>G428/E428*N428</f>
        <v/>
      </c>
      <c r="Q428" s="224" t="inlineStr">
        <is>
          <t>T BOIS</t>
        </is>
      </c>
      <c r="S428" s="200" t="inlineStr">
        <is>
          <t>25032QDJ0201</t>
        </is>
      </c>
      <c r="T428" s="201" t="n">
        <v>23</v>
      </c>
      <c r="U428" s="58" t="inlineStr">
        <is>
          <t>110 COLIS D’UN APPAREIL DE FORAGE 1000 HP FAST MOVING 10 TC SOC STC 162 COLIS</t>
        </is>
      </c>
      <c r="V428" s="67" t="n"/>
      <c r="W428" s="67" t="n"/>
      <c r="X428" s="62" t="inlineStr">
        <is>
          <t>N-OP</t>
        </is>
      </c>
      <c r="Y428" s="116">
        <f>F428/E428</f>
        <v/>
      </c>
      <c r="Z428" s="64">
        <f>E428-N428</f>
        <v/>
      </c>
      <c r="AA428" s="64" t="n">
        <v>200</v>
      </c>
    </row>
    <row r="429" ht="15.75" customHeight="1" s="202">
      <c r="A429" s="300" t="n">
        <v>20260043</v>
      </c>
      <c r="B429" s="301" t="inlineStr">
        <is>
          <t>AQUARIUS HONOR</t>
        </is>
      </c>
      <c r="C429" s="302" t="n">
        <v>46057</v>
      </c>
      <c r="D429" s="302" t="n">
        <v>46063</v>
      </c>
      <c r="E429" s="300" t="n">
        <v>107</v>
      </c>
      <c r="F429" s="304" t="n">
        <v>1556.6</v>
      </c>
      <c r="G429" s="305" t="n">
        <v>2100</v>
      </c>
      <c r="H429" s="301" t="inlineStr">
        <is>
          <t>ENAFOR SPA / ENTREPRISE NATIONALE DE FORAGE SPA</t>
        </is>
      </c>
      <c r="I429" s="301" t="inlineStr">
        <is>
          <t>APPAREIL DE FORAGE</t>
        </is>
      </c>
      <c r="J429" s="301" t="inlineStr">
        <is>
          <t>COLIS</t>
        </is>
      </c>
      <c r="K429" s="307">
        <f>D429+8</f>
        <v/>
      </c>
      <c r="L429" s="307">
        <f>K429+60</f>
        <v/>
      </c>
      <c r="M429" s="301" t="n"/>
      <c r="N429" s="309">
        <f>E429-16-17-29-12-10-1</f>
        <v/>
      </c>
      <c r="O429" s="310">
        <f>F429/E429*N429</f>
        <v/>
      </c>
      <c r="P429" s="311">
        <f>G429/E429*N429</f>
        <v/>
      </c>
      <c r="Q429" s="224" t="inlineStr">
        <is>
          <t>T BOIS</t>
        </is>
      </c>
      <c r="S429" s="200" t="inlineStr">
        <is>
          <t>25032QDJ0202</t>
        </is>
      </c>
      <c r="T429" s="201" t="n">
        <v>24</v>
      </c>
      <c r="U429" s="58" t="inlineStr">
        <is>
          <t>98 COLIS D’UN APPAREIL DE FORAGE 1000 HP FAST MOVING/ 09 TC SOC STC 162 COLIS</t>
        </is>
      </c>
      <c r="V429" s="67" t="n"/>
      <c r="W429" s="67" t="n"/>
      <c r="X429" s="312" t="inlineStr">
        <is>
          <t>OPER</t>
        </is>
      </c>
      <c r="Y429" s="116">
        <f>F429/E429</f>
        <v/>
      </c>
      <c r="Z429" s="64">
        <f>E429-N429</f>
        <v/>
      </c>
      <c r="AA429" s="64" t="n">
        <v>200</v>
      </c>
    </row>
    <row r="430" ht="18" customHeight="1" s="202">
      <c r="A430" s="87" t="n">
        <v>20260036</v>
      </c>
      <c r="B430" s="88" t="inlineStr">
        <is>
          <t>LIBRA HONOR</t>
        </is>
      </c>
      <c r="C430" s="89" t="n">
        <v>46052</v>
      </c>
      <c r="D430" s="89" t="n">
        <v>46071</v>
      </c>
      <c r="E430" s="184" t="n">
        <v>137</v>
      </c>
      <c r="F430" s="251" t="n">
        <v>152.755</v>
      </c>
      <c r="G430" s="252" t="n">
        <v>119.282970550576</v>
      </c>
      <c r="H430" s="253" t="inlineStr">
        <is>
          <t>SARL PLAST PACKAGING</t>
        </is>
      </c>
      <c r="I430" s="253" t="inlineStr">
        <is>
          <t>PET RESIN EN BIG BAG</t>
        </is>
      </c>
      <c r="J430" s="88" t="inlineStr">
        <is>
          <t>BIG BAG</t>
        </is>
      </c>
      <c r="K430" s="186">
        <f>D430+8</f>
        <v/>
      </c>
      <c r="L430" s="186">
        <f>K430+60</f>
        <v/>
      </c>
      <c r="M430" s="254" t="n"/>
      <c r="N430" s="215">
        <f>E430-81</f>
        <v/>
      </c>
      <c r="O430" s="216">
        <f>F430/E430*N430</f>
        <v/>
      </c>
      <c r="P430" s="218">
        <f>G430/E430*N430</f>
        <v/>
      </c>
      <c r="Q430" s="257" t="n"/>
      <c r="R430" s="258" t="n"/>
      <c r="S430" s="200" t="inlineStr">
        <is>
          <t>25030LYD0101</t>
        </is>
      </c>
      <c r="T430" s="201" t="n">
        <v>1</v>
      </c>
      <c r="U430" s="58" t="inlineStr">
        <is>
          <t>PET RESIN CZ302</t>
        </is>
      </c>
      <c r="V430" s="67" t="n"/>
      <c r="W430" s="67" t="n"/>
      <c r="X430" s="99" t="inlineStr">
        <is>
          <t>OPER</t>
        </is>
      </c>
      <c r="Y430" s="116">
        <f>F430/E430</f>
        <v/>
      </c>
      <c r="Z430" s="64">
        <f>E430-N430</f>
        <v/>
      </c>
      <c r="AA430" s="64" t="n">
        <v>44</v>
      </c>
    </row>
    <row r="431" ht="18" customHeight="1" s="202">
      <c r="A431" s="106" t="n">
        <v>20260036</v>
      </c>
      <c r="B431" s="107" t="inlineStr">
        <is>
          <t>LIBRA HONOR</t>
        </is>
      </c>
      <c r="C431" s="108" t="n">
        <v>46052</v>
      </c>
      <c r="D431" s="108" t="n">
        <v>46071</v>
      </c>
      <c r="E431" s="106" t="n">
        <v>137</v>
      </c>
      <c r="F431" s="106" t="n">
        <v>152.755</v>
      </c>
      <c r="G431" s="106" t="n">
        <v>119.282970550576</v>
      </c>
      <c r="H431" s="109" t="inlineStr">
        <is>
          <t>SARL PLAST PACKAGING</t>
        </is>
      </c>
      <c r="I431" s="109" t="inlineStr">
        <is>
          <t>PET RESIN EN BIG BAG</t>
        </is>
      </c>
      <c r="J431" s="107" t="inlineStr">
        <is>
          <t>BIG BAG</t>
        </is>
      </c>
      <c r="K431" s="108">
        <f>D431+8</f>
        <v/>
      </c>
      <c r="L431" s="108">
        <f>K431+60</f>
        <v/>
      </c>
      <c r="M431" s="111" t="n"/>
      <c r="N431" s="112">
        <f>E431-137</f>
        <v/>
      </c>
      <c r="O431" s="113">
        <f>F431/E431*N431</f>
        <v/>
      </c>
      <c r="P431" s="112">
        <f>G431/E431*N431</f>
        <v/>
      </c>
      <c r="Q431" s="109" t="n"/>
      <c r="R431" s="109" t="n"/>
      <c r="S431" s="109" t="inlineStr">
        <is>
          <t>25030LYD0102</t>
        </is>
      </c>
      <c r="T431" s="114" t="n">
        <v>2</v>
      </c>
      <c r="U431" s="109" t="inlineStr">
        <is>
          <t>PET RESIN CZ302</t>
        </is>
      </c>
      <c r="V431" s="106" t="n"/>
      <c r="W431" s="106" t="n"/>
      <c r="X431" s="106" t="inlineStr">
        <is>
          <t>SOLDEE</t>
        </is>
      </c>
      <c r="Y431" s="116">
        <f>F431/E431</f>
        <v/>
      </c>
      <c r="Z431" s="30" t="n"/>
      <c r="AA431" s="64" t="n">
        <v>244</v>
      </c>
    </row>
    <row r="432" ht="18" customHeight="1" s="202">
      <c r="A432" s="106" t="n">
        <v>20260036</v>
      </c>
      <c r="B432" s="107" t="inlineStr">
        <is>
          <t>LIBRA HONOR</t>
        </is>
      </c>
      <c r="C432" s="108" t="n">
        <v>46052</v>
      </c>
      <c r="D432" s="108" t="n">
        <v>46071</v>
      </c>
      <c r="E432" s="106" t="n">
        <v>364</v>
      </c>
      <c r="F432" s="106" t="n">
        <v>405.86</v>
      </c>
      <c r="G432" s="106" t="n">
        <v>316.927016645326</v>
      </c>
      <c r="H432" s="109" t="inlineStr">
        <is>
          <t>SARL JZ PRO EMBALLAGE</t>
        </is>
      </c>
      <c r="I432" s="109" t="inlineStr">
        <is>
          <t>PET RESIN EN BIG BAG</t>
        </is>
      </c>
      <c r="J432" s="107" t="inlineStr">
        <is>
          <t>BIG BAG</t>
        </is>
      </c>
      <c r="K432" s="108">
        <f>D432+8</f>
        <v/>
      </c>
      <c r="L432" s="108">
        <f>K432+60</f>
        <v/>
      </c>
      <c r="M432" s="111" t="n"/>
      <c r="N432" s="112">
        <f>E432-56-28-113-140-27</f>
        <v/>
      </c>
      <c r="O432" s="113">
        <f>F432/E432*N432</f>
        <v/>
      </c>
      <c r="P432" s="112">
        <f>G432/E432*N432</f>
        <v/>
      </c>
      <c r="Q432" s="109" t="n"/>
      <c r="R432" s="109" t="n"/>
      <c r="S432" s="109" t="inlineStr">
        <is>
          <t>25030LYD0103</t>
        </is>
      </c>
      <c r="T432" s="114" t="n">
        <v>3</v>
      </c>
      <c r="U432" s="109" t="inlineStr">
        <is>
          <t>PET RESIN CZ302</t>
        </is>
      </c>
      <c r="V432" s="106" t="n"/>
      <c r="W432" s="106" t="n"/>
      <c r="X432" s="106" t="inlineStr">
        <is>
          <t>SOLDEE</t>
        </is>
      </c>
      <c r="Y432" s="116">
        <f>F432/E432</f>
        <v/>
      </c>
      <c r="Z432" s="30" t="n"/>
      <c r="AA432" s="30" t="n"/>
    </row>
    <row r="433" ht="18" customHeight="1" s="202">
      <c r="A433" s="206" t="n">
        <v>20260036</v>
      </c>
      <c r="B433" s="207" t="inlineStr">
        <is>
          <t>LIBRA HONOR</t>
        </is>
      </c>
      <c r="C433" s="208" t="n">
        <v>46052</v>
      </c>
      <c r="D433" s="208" t="n">
        <v>46071</v>
      </c>
      <c r="E433" s="209" t="n">
        <v>910</v>
      </c>
      <c r="F433" s="210" t="n">
        <v>1014.65</v>
      </c>
      <c r="G433" s="211" t="n">
        <v>792.3175416133161</v>
      </c>
      <c r="H433" s="212" t="inlineStr">
        <is>
          <t>EURL PROFORM</t>
        </is>
      </c>
      <c r="I433" s="212" t="inlineStr">
        <is>
          <t>PET RESIN EN BIG BAG</t>
        </is>
      </c>
      <c r="J433" s="207" t="inlineStr">
        <is>
          <t>BIG BAG</t>
        </is>
      </c>
      <c r="K433" s="213">
        <f>D433+8</f>
        <v/>
      </c>
      <c r="L433" s="213">
        <f>K433+60</f>
        <v/>
      </c>
      <c r="M433" s="214" t="n"/>
      <c r="N433" s="215">
        <f>E433-140-112-224-168-56</f>
        <v/>
      </c>
      <c r="O433" s="216">
        <f>F433/E433*N433</f>
        <v/>
      </c>
      <c r="P433" s="218">
        <f>G433/E433*N433</f>
        <v/>
      </c>
      <c r="Q433" s="224" t="n"/>
      <c r="R433" s="58" t="n"/>
      <c r="S433" s="200" t="inlineStr">
        <is>
          <t>25030LYD0104</t>
        </is>
      </c>
      <c r="T433" s="201" t="n">
        <v>4</v>
      </c>
      <c r="U433" s="58" t="inlineStr">
        <is>
          <t>PET RESIN CZ302</t>
        </is>
      </c>
      <c r="V433" s="67" t="n"/>
      <c r="W433" s="67" t="n"/>
      <c r="X433" s="182" t="inlineStr">
        <is>
          <t>OPER</t>
        </is>
      </c>
      <c r="Y433" s="116">
        <f>F433/E433</f>
        <v/>
      </c>
      <c r="Z433" s="64">
        <f>E433-N433</f>
        <v/>
      </c>
      <c r="AA433" s="30" t="n"/>
    </row>
    <row r="434" ht="18" customHeight="1" s="202">
      <c r="A434" s="106" t="n">
        <v>20260036</v>
      </c>
      <c r="B434" s="107" t="inlineStr">
        <is>
          <t>LIBRA HONOR</t>
        </is>
      </c>
      <c r="C434" s="108" t="n">
        <v>46052</v>
      </c>
      <c r="D434" s="108" t="n">
        <v>46071</v>
      </c>
      <c r="E434" s="106" t="n">
        <v>400</v>
      </c>
      <c r="F434" s="106" t="n">
        <v>404</v>
      </c>
      <c r="G434" s="106" t="n">
        <v>348.271446862996</v>
      </c>
      <c r="H434" s="109" t="inlineStr">
        <is>
          <t>HAMTECH SARL</t>
        </is>
      </c>
      <c r="I434" s="109" t="inlineStr">
        <is>
          <t>PET RESIN EN BIG BAG</t>
        </is>
      </c>
      <c r="J434" s="107" t="inlineStr">
        <is>
          <t>BIG BAG</t>
        </is>
      </c>
      <c r="K434" s="108">
        <f>D434+8</f>
        <v/>
      </c>
      <c r="L434" s="108">
        <f>K434+60</f>
        <v/>
      </c>
      <c r="M434" s="111" t="n"/>
      <c r="N434" s="112">
        <f>E434-96-80-96-128</f>
        <v/>
      </c>
      <c r="O434" s="113">
        <f>F434/E434*N434</f>
        <v/>
      </c>
      <c r="P434" s="112">
        <f>G434/E434*N434</f>
        <v/>
      </c>
      <c r="Q434" s="109" t="n"/>
      <c r="R434" s="109" t="n"/>
      <c r="S434" s="109" t="inlineStr">
        <is>
          <t>25030TJD1201-3</t>
        </is>
      </c>
      <c r="T434" s="114" t="n">
        <v>128</v>
      </c>
      <c r="U434" s="109" t="inlineStr">
        <is>
          <t>PVC RESIN</t>
        </is>
      </c>
      <c r="V434" s="106" t="n"/>
      <c r="W434" s="106" t="n"/>
      <c r="X434" s="106" t="inlineStr">
        <is>
          <t>SOLDEE</t>
        </is>
      </c>
      <c r="Y434" s="116">
        <f>F434/E434</f>
        <v/>
      </c>
      <c r="Z434" s="30" t="n"/>
      <c r="AA434" s="30" t="n"/>
    </row>
    <row r="435" ht="18" customHeight="1" s="202">
      <c r="A435" s="313" t="n">
        <v>20260036</v>
      </c>
      <c r="B435" s="314" t="inlineStr">
        <is>
          <t>LIBRA HONOR</t>
        </is>
      </c>
      <c r="C435" s="315" t="n">
        <v>46052</v>
      </c>
      <c r="D435" s="315" t="n">
        <v>46071</v>
      </c>
      <c r="E435" s="313" t="n">
        <v>150</v>
      </c>
      <c r="F435" s="313" t="n">
        <v>166.5</v>
      </c>
      <c r="G435" s="313" t="n">
        <v>87</v>
      </c>
      <c r="H435" s="316" t="inlineStr">
        <is>
          <t>CHETIOUI RACHIDA</t>
        </is>
      </c>
      <c r="I435" s="316" t="inlineStr">
        <is>
          <t>MDF</t>
        </is>
      </c>
      <c r="J435" s="314" t="inlineStr">
        <is>
          <t>CTP</t>
        </is>
      </c>
      <c r="K435" s="315">
        <f>D435+8</f>
        <v/>
      </c>
      <c r="L435" s="315">
        <f>K435+60</f>
        <v/>
      </c>
      <c r="M435" s="317" t="n"/>
      <c r="N435" s="318">
        <f>E435-75-75</f>
        <v/>
      </c>
      <c r="O435" s="319">
        <f>F435/E435*N435</f>
        <v/>
      </c>
      <c r="P435" s="318">
        <f>G435/E435*N435</f>
        <v/>
      </c>
      <c r="Q435" s="316" t="n"/>
      <c r="R435" s="316" t="n"/>
      <c r="S435" s="316" t="inlineStr">
        <is>
          <t>25030LYD3501</t>
        </is>
      </c>
      <c r="T435" s="320" t="n">
        <v>83</v>
      </c>
      <c r="U435" s="316" t="inlineStr">
        <is>
          <t>PLAYWOOD BLACK FILMED</t>
        </is>
      </c>
      <c r="V435" s="313" t="n"/>
      <c r="W435" s="313" t="n"/>
      <c r="X435" s="321" t="inlineStr">
        <is>
          <t>SOLDEE</t>
        </is>
      </c>
      <c r="Y435" s="116">
        <f>F435/E435</f>
        <v/>
      </c>
      <c r="Z435" s="64">
        <f>E435-N435</f>
        <v/>
      </c>
      <c r="AA435" s="64" t="n">
        <v>62</v>
      </c>
    </row>
    <row r="436" ht="18" customHeight="1" s="202">
      <c r="A436" s="106" t="n">
        <v>20260036</v>
      </c>
      <c r="B436" s="107" t="inlineStr">
        <is>
          <t>LIBRA HONOR</t>
        </is>
      </c>
      <c r="C436" s="108" t="n">
        <v>46052</v>
      </c>
      <c r="D436" s="108" t="n">
        <v>46071</v>
      </c>
      <c r="E436" s="106" t="n">
        <v>135</v>
      </c>
      <c r="F436" s="106" t="n">
        <v>362.5877</v>
      </c>
      <c r="G436" s="106" t="n">
        <v>78.3</v>
      </c>
      <c r="H436" s="109" t="inlineStr">
        <is>
          <t>SARL TECHNOLOGIE K N M IMP EXP</t>
        </is>
      </c>
      <c r="I436" s="109" t="inlineStr">
        <is>
          <t>MDF</t>
        </is>
      </c>
      <c r="J436" s="107" t="inlineStr">
        <is>
          <t>CTP</t>
        </is>
      </c>
      <c r="K436" s="108">
        <f>D436+8</f>
        <v/>
      </c>
      <c r="L436" s="108">
        <f>K436+60</f>
        <v/>
      </c>
      <c r="M436" s="111" t="n"/>
      <c r="N436" s="112">
        <f>E436-122-13</f>
        <v/>
      </c>
      <c r="O436" s="113">
        <f>F436/E436*N436</f>
        <v/>
      </c>
      <c r="P436" s="112">
        <f>G436/E436*N436</f>
        <v/>
      </c>
      <c r="Q436" s="109" t="n"/>
      <c r="R436" s="109" t="n"/>
      <c r="S436" s="109" t="inlineStr">
        <is>
          <t>25030LYD0201</t>
        </is>
      </c>
      <c r="T436" s="114" t="n">
        <v>5</v>
      </c>
      <c r="U436" s="109" t="inlineStr">
        <is>
          <t>RAW SANDED MDF</t>
        </is>
      </c>
      <c r="V436" s="106" t="n"/>
      <c r="W436" s="106" t="n"/>
      <c r="X436" s="106" t="inlineStr">
        <is>
          <t>SOLDEE</t>
        </is>
      </c>
      <c r="Y436" s="116">
        <f>F436/E436</f>
        <v/>
      </c>
      <c r="Z436" s="30" t="n"/>
      <c r="AA436" s="30" t="n"/>
    </row>
    <row r="437" ht="15" customHeight="1" s="202">
      <c r="A437" s="106" t="n">
        <v>20260036</v>
      </c>
      <c r="B437" s="107" t="inlineStr">
        <is>
          <t>LIBRA HONOR</t>
        </is>
      </c>
      <c r="C437" s="108" t="n">
        <v>46052</v>
      </c>
      <c r="D437" s="108" t="n">
        <v>46071</v>
      </c>
      <c r="E437" s="106" t="n">
        <v>134</v>
      </c>
      <c r="F437" s="106" t="n">
        <v>288.7</v>
      </c>
      <c r="G437" s="106" t="n">
        <v>77.72</v>
      </c>
      <c r="H437" s="109" t="inlineStr">
        <is>
          <t>EURL PROMELAMINE</t>
        </is>
      </c>
      <c r="I437" s="109" t="inlineStr">
        <is>
          <t>MDF</t>
        </is>
      </c>
      <c r="J437" s="107" t="inlineStr">
        <is>
          <t>CTP</t>
        </is>
      </c>
      <c r="K437" s="108">
        <f>D437+8</f>
        <v/>
      </c>
      <c r="L437" s="108">
        <f>K437+60</f>
        <v/>
      </c>
      <c r="M437" s="111" t="n"/>
      <c r="N437" s="112">
        <f>E437-20-60-40-14</f>
        <v/>
      </c>
      <c r="O437" s="113">
        <f>F437/E437*N437</f>
        <v/>
      </c>
      <c r="P437" s="112">
        <f>G437/E437*N437</f>
        <v/>
      </c>
      <c r="Q437" s="109" t="n"/>
      <c r="R437" s="109" t="n"/>
      <c r="S437" s="109" t="inlineStr">
        <is>
          <t>25030LYD0204/205</t>
        </is>
      </c>
      <c r="T437" s="114" t="n">
        <v>7</v>
      </c>
      <c r="U437" s="109" t="inlineStr">
        <is>
          <t>PANNEAU MDF</t>
        </is>
      </c>
      <c r="V437" s="106" t="n"/>
      <c r="W437" s="106" t="n"/>
      <c r="X437" s="106" t="inlineStr">
        <is>
          <t>SOLDEE</t>
        </is>
      </c>
      <c r="Y437" s="116">
        <f>F437/E437</f>
        <v/>
      </c>
      <c r="Z437" s="30" t="n"/>
      <c r="AA437" s="64" t="n">
        <v>329</v>
      </c>
    </row>
    <row r="438" ht="15" customHeight="1" s="202">
      <c r="A438" s="116" t="n">
        <v>20260036</v>
      </c>
      <c r="B438" s="117" t="inlineStr">
        <is>
          <t>LIBRA HONOR</t>
        </is>
      </c>
      <c r="C438" s="118" t="n">
        <v>46052</v>
      </c>
      <c r="D438" s="118" t="n">
        <v>46071</v>
      </c>
      <c r="E438" s="67" t="n">
        <v>72</v>
      </c>
      <c r="F438" s="119" t="n">
        <v>146.68</v>
      </c>
      <c r="G438" s="120" t="n">
        <v>62.6610878661088</v>
      </c>
      <c r="H438" s="121" t="inlineStr">
        <is>
          <t>SARL SOUF METAL</t>
        </is>
      </c>
      <c r="I438" s="121" t="inlineStr">
        <is>
          <t>BOBINES</t>
        </is>
      </c>
      <c r="J438" s="117" t="inlineStr">
        <is>
          <t>BOBINES</t>
        </is>
      </c>
      <c r="K438" s="48">
        <f>D438+8</f>
        <v/>
      </c>
      <c r="L438" s="48">
        <f>K438+60</f>
        <v/>
      </c>
      <c r="M438" s="71" t="n"/>
      <c r="N438" s="72">
        <f>E438</f>
        <v/>
      </c>
      <c r="O438" s="50">
        <f>F438/E438*N438</f>
        <v/>
      </c>
      <c r="P438" s="273">
        <f>G438/E438*N438</f>
        <v/>
      </c>
      <c r="Q438" s="224" t="n"/>
      <c r="R438" s="58" t="n"/>
      <c r="S438" s="200" t="inlineStr">
        <is>
          <t>25030TJD1501</t>
        </is>
      </c>
      <c r="T438" s="201" t="n">
        <v>131</v>
      </c>
      <c r="U438" s="58" t="inlineStr">
        <is>
          <t>WIRE ROD</t>
        </is>
      </c>
      <c r="V438" s="67" t="n"/>
      <c r="W438" s="67" t="n"/>
      <c r="X438" s="62" t="inlineStr">
        <is>
          <t>N-OP</t>
        </is>
      </c>
      <c r="Y438" s="116">
        <f>F438/E438</f>
        <v/>
      </c>
      <c r="Z438" s="64">
        <f>E438-N438</f>
        <v/>
      </c>
      <c r="AA438" s="30" t="n"/>
    </row>
    <row r="439" ht="15.75" customHeight="1" s="202">
      <c r="A439" s="116" t="n">
        <v>20260036</v>
      </c>
      <c r="B439" s="117" t="inlineStr">
        <is>
          <t>LIBRA HONOR</t>
        </is>
      </c>
      <c r="C439" s="118" t="n">
        <v>46052</v>
      </c>
      <c r="D439" s="118" t="n">
        <v>46071</v>
      </c>
      <c r="E439" s="116" t="n">
        <v>2</v>
      </c>
      <c r="F439" s="119" t="n">
        <v>13.202</v>
      </c>
      <c r="G439" s="120" t="n">
        <v>1.74058577405858</v>
      </c>
      <c r="H439" s="117" t="inlineStr">
        <is>
          <t>BAG SPA -DIRECTION TECHNIQUE &amp; APPROVISIONNEMENT</t>
        </is>
      </c>
      <c r="I439" s="117" t="inlineStr">
        <is>
          <t>BOBINES</t>
        </is>
      </c>
      <c r="J439" s="117" t="inlineStr">
        <is>
          <t>BOBINES</t>
        </is>
      </c>
      <c r="K439" s="48">
        <f>D439+8</f>
        <v/>
      </c>
      <c r="L439" s="48">
        <f>K439+60</f>
        <v/>
      </c>
      <c r="M439" s="71" t="n"/>
      <c r="N439" s="72">
        <f>E439</f>
        <v/>
      </c>
      <c r="O439" s="50">
        <f>F439/E439*N439</f>
        <v/>
      </c>
      <c r="P439" s="273">
        <f>G439/E439*N439</f>
        <v/>
      </c>
      <c r="S439" s="189" t="inlineStr">
        <is>
          <t>25030LYD0403</t>
        </is>
      </c>
      <c r="T439" s="201" t="n">
        <v>12</v>
      </c>
      <c r="U439" s="117" t="inlineStr">
        <is>
          <t>HOT ROLLED STEEL COILS PICKLED AND OILED</t>
        </is>
      </c>
      <c r="X439" s="62" t="inlineStr">
        <is>
          <t>N-OP</t>
        </is>
      </c>
      <c r="Y439" s="116">
        <f>F439/E439</f>
        <v/>
      </c>
      <c r="Z439" s="64">
        <f>E439-N439</f>
        <v/>
      </c>
      <c r="AA439" s="64" t="n">
        <v>10</v>
      </c>
    </row>
    <row r="440" ht="15.75" customHeight="1" s="202">
      <c r="A440" s="209" t="n">
        <v>20260036</v>
      </c>
      <c r="B440" s="266" t="inlineStr">
        <is>
          <t>LIBRA HONOR</t>
        </is>
      </c>
      <c r="C440" s="213" t="n">
        <v>46052</v>
      </c>
      <c r="D440" s="213" t="n">
        <v>46071</v>
      </c>
      <c r="E440" s="209" t="n">
        <v>222</v>
      </c>
      <c r="F440" s="209" t="n">
        <v>1438.354</v>
      </c>
      <c r="G440" s="209" t="n">
        <v>193.205020920502</v>
      </c>
      <c r="H440" s="266" t="inlineStr">
        <is>
          <t>SARL SOUIPANEL</t>
        </is>
      </c>
      <c r="I440" s="266" t="inlineStr">
        <is>
          <t>BOBINES</t>
        </is>
      </c>
      <c r="J440" s="266" t="inlineStr">
        <is>
          <t>BOBINES</t>
        </is>
      </c>
      <c r="K440" s="213">
        <f>D440+8</f>
        <v/>
      </c>
      <c r="L440" s="213">
        <f>K440+60</f>
        <v/>
      </c>
      <c r="M440" s="267" t="n"/>
      <c r="N440" s="268">
        <f>E440-46-89-45-2</f>
        <v/>
      </c>
      <c r="O440" s="269">
        <f>F440/E440*N440</f>
        <v/>
      </c>
      <c r="P440" s="268">
        <f>G440/E440*N440</f>
        <v/>
      </c>
      <c r="S440" s="189" t="inlineStr">
        <is>
          <t>25030TJD0401-07</t>
        </is>
      </c>
      <c r="T440" s="201" t="n">
        <v>116</v>
      </c>
      <c r="U440" s="117" t="inlineStr">
        <is>
          <t>PREPAINTED STEEL COILS</t>
        </is>
      </c>
      <c r="X440" s="99" t="inlineStr">
        <is>
          <t>OPER</t>
        </is>
      </c>
      <c r="Y440" s="116">
        <f>F440/E440</f>
        <v/>
      </c>
      <c r="Z440" s="64">
        <f>E440-N440</f>
        <v/>
      </c>
      <c r="AA440" s="64" t="n">
        <v>468</v>
      </c>
    </row>
    <row r="441" ht="15.75" customHeight="1" s="202">
      <c r="A441" s="106" t="n">
        <v>20260036</v>
      </c>
      <c r="B441" s="107" t="inlineStr">
        <is>
          <t>LIBRA HONOR</t>
        </is>
      </c>
      <c r="C441" s="108" t="n">
        <v>46052</v>
      </c>
      <c r="D441" s="108" t="n">
        <v>46071</v>
      </c>
      <c r="E441" s="106" t="n">
        <v>105</v>
      </c>
      <c r="F441" s="106" t="n"/>
      <c r="G441" s="106" t="n"/>
      <c r="H441" s="107" t="inlineStr">
        <is>
          <t>SARL SOUIPANEL</t>
        </is>
      </c>
      <c r="I441" s="107" t="inlineStr">
        <is>
          <t>BOBINES</t>
        </is>
      </c>
      <c r="J441" s="107" t="inlineStr">
        <is>
          <t>BOBINES</t>
        </is>
      </c>
      <c r="K441" s="108">
        <f>D441+8</f>
        <v/>
      </c>
      <c r="L441" s="108">
        <f>K441+60</f>
        <v/>
      </c>
      <c r="M441" s="106" t="n"/>
      <c r="N441" s="112">
        <f>E441-24-7-8-46-20</f>
        <v/>
      </c>
      <c r="O441" s="113">
        <f>F441/E441*N441</f>
        <v/>
      </c>
      <c r="P441" s="112">
        <f>G441/E441*N441</f>
        <v/>
      </c>
      <c r="Q441" s="109" t="n"/>
      <c r="R441" s="107" t="n"/>
      <c r="S441" s="107" t="inlineStr">
        <is>
          <t>25030TJD0408/9/12</t>
        </is>
      </c>
      <c r="T441" s="114" t="n">
        <v>117</v>
      </c>
      <c r="U441" s="107" t="inlineStr">
        <is>
          <t>PREPAINTED STEEL COILS</t>
        </is>
      </c>
      <c r="V441" s="107" t="n"/>
      <c r="W441" s="107" t="n"/>
      <c r="X441" s="106" t="inlineStr">
        <is>
          <t>SOLDEE</t>
        </is>
      </c>
      <c r="Y441" s="116">
        <f>F441/E441</f>
        <v/>
      </c>
      <c r="AA441" s="64" t="n">
        <v>28</v>
      </c>
    </row>
    <row r="442" ht="15.75" customHeight="1" s="202">
      <c r="A442" s="106" t="n">
        <v>20260036</v>
      </c>
      <c r="B442" s="107" t="inlineStr">
        <is>
          <t>LIBRA HONOR</t>
        </is>
      </c>
      <c r="C442" s="108" t="n">
        <v>46052</v>
      </c>
      <c r="D442" s="108" t="n">
        <v>46071</v>
      </c>
      <c r="E442" s="106" t="n">
        <v>143</v>
      </c>
      <c r="F442" s="106" t="n">
        <v>697.52</v>
      </c>
      <c r="G442" s="106" t="n">
        <v>124.451882845188</v>
      </c>
      <c r="H442" s="107" t="inlineStr">
        <is>
          <t>SARL AL KIMA METAL</t>
        </is>
      </c>
      <c r="I442" s="107" t="inlineStr">
        <is>
          <t>BOBINES</t>
        </is>
      </c>
      <c r="J442" s="107" t="inlineStr">
        <is>
          <t>BOBINES</t>
        </is>
      </c>
      <c r="K442" s="108">
        <f>D442+8</f>
        <v/>
      </c>
      <c r="L442" s="108">
        <f>K442+60</f>
        <v/>
      </c>
      <c r="M442" s="111" t="n"/>
      <c r="N442" s="112">
        <f>E442-23-34-34-32-20</f>
        <v/>
      </c>
      <c r="O442" s="113">
        <f>F442/E442*N442</f>
        <v/>
      </c>
      <c r="P442" s="112">
        <f>G442/E442*N442</f>
        <v/>
      </c>
      <c r="Q442" s="109" t="n"/>
      <c r="R442" s="107" t="n"/>
      <c r="S442" s="107" t="inlineStr">
        <is>
          <t>25030TJD1002-1004</t>
        </is>
      </c>
      <c r="T442" s="114" t="n">
        <v>126</v>
      </c>
      <c r="U442" s="107" t="inlineStr">
        <is>
          <t>GALVANIZED STEEL STRIPS</t>
        </is>
      </c>
      <c r="V442" s="107" t="n"/>
      <c r="W442" s="107" t="n"/>
      <c r="X442" s="106" t="inlineStr">
        <is>
          <t>SOLDEE</t>
        </is>
      </c>
      <c r="Y442" s="116">
        <f>F442/E442</f>
        <v/>
      </c>
      <c r="AA442" s="64" t="n">
        <v>72</v>
      </c>
    </row>
    <row r="443" ht="15.75" customHeight="1" s="202">
      <c r="A443" s="116" t="n">
        <v>20260036</v>
      </c>
      <c r="B443" s="117" t="inlineStr">
        <is>
          <t>LIBRA HONOR</t>
        </is>
      </c>
      <c r="C443" s="118" t="n">
        <v>46052</v>
      </c>
      <c r="D443" s="118" t="n">
        <v>46071</v>
      </c>
      <c r="E443" s="116" t="n">
        <v>28</v>
      </c>
      <c r="F443" s="119" t="n">
        <v>53.86</v>
      </c>
      <c r="G443" s="120" t="n">
        <v>30</v>
      </c>
      <c r="H443" s="117" t="inlineStr">
        <is>
          <t>SARL SITIFIS OASIS INDUSTRIE</t>
        </is>
      </c>
      <c r="I443" s="117" t="inlineStr">
        <is>
          <t>TUBES</t>
        </is>
      </c>
      <c r="J443" s="117" t="inlineStr">
        <is>
          <t>TUBES</t>
        </is>
      </c>
      <c r="K443" s="48">
        <f>D443+8</f>
        <v/>
      </c>
      <c r="L443" s="48">
        <f>K443+60</f>
        <v/>
      </c>
      <c r="M443" s="71" t="n"/>
      <c r="N443" s="72">
        <f>E443</f>
        <v/>
      </c>
      <c r="O443" s="50">
        <f>F443/E443*N443</f>
        <v/>
      </c>
      <c r="P443" s="273">
        <f>G443/E443*N443</f>
        <v/>
      </c>
      <c r="S443" s="189" t="inlineStr">
        <is>
          <t>25030TJD0601</t>
        </is>
      </c>
      <c r="T443" s="201" t="n">
        <v>120</v>
      </c>
      <c r="U443" s="117" t="inlineStr">
        <is>
          <t>SMLS PIPE</t>
        </is>
      </c>
      <c r="X443" s="62" t="inlineStr">
        <is>
          <t>N-OP</t>
        </is>
      </c>
      <c r="Y443" s="116">
        <f>F443/E443</f>
        <v/>
      </c>
      <c r="Z443" s="64">
        <f>E443-N443</f>
        <v/>
      </c>
      <c r="AA443" s="30" t="n"/>
    </row>
    <row r="444" ht="15.75" customHeight="1" s="202">
      <c r="A444" s="116" t="n">
        <v>20260036</v>
      </c>
      <c r="B444" s="117" t="inlineStr">
        <is>
          <t>LIBRA HONOR</t>
        </is>
      </c>
      <c r="C444" s="118" t="n">
        <v>46052</v>
      </c>
      <c r="D444" s="118" t="n">
        <v>46071</v>
      </c>
      <c r="E444" s="116" t="n">
        <v>138</v>
      </c>
      <c r="F444" s="119" t="n">
        <v>343.695</v>
      </c>
      <c r="G444" s="120" t="n">
        <v>155</v>
      </c>
      <c r="H444" s="117" t="inlineStr">
        <is>
          <t>SARL TPL FABRICATION DES BOULONS VIS ET CLOUS</t>
        </is>
      </c>
      <c r="I444" s="117" t="inlineStr">
        <is>
          <t>FIL MACHINE</t>
        </is>
      </c>
      <c r="J444" s="117" t="inlineStr">
        <is>
          <t>FIL MACHINE</t>
        </is>
      </c>
      <c r="K444" s="48">
        <f>D444+8</f>
        <v/>
      </c>
      <c r="L444" s="48">
        <f>K444+60</f>
        <v/>
      </c>
      <c r="M444" s="71" t="n"/>
      <c r="N444" s="72">
        <f>E444</f>
        <v/>
      </c>
      <c r="O444" s="50">
        <f>F444/E444*N444</f>
        <v/>
      </c>
      <c r="P444" s="273">
        <f>G444/E444*N444</f>
        <v/>
      </c>
      <c r="S444" s="189" t="inlineStr">
        <is>
          <t>25030TJD0102</t>
        </is>
      </c>
      <c r="T444" s="201" t="n">
        <v>113</v>
      </c>
      <c r="U444" s="117" t="inlineStr">
        <is>
          <t>STEEL WIRE</t>
        </is>
      </c>
      <c r="X444" s="62" t="inlineStr">
        <is>
          <t>N-OP</t>
        </is>
      </c>
      <c r="Y444" s="116">
        <f>F444/E444</f>
        <v/>
      </c>
      <c r="Z444" s="64">
        <f>E444-N444</f>
        <v/>
      </c>
      <c r="AA444" s="30" t="n"/>
    </row>
    <row r="445" ht="15.75" customHeight="1" s="202">
      <c r="A445" s="116" t="n">
        <v>20260036</v>
      </c>
      <c r="B445" s="117" t="inlineStr">
        <is>
          <t>LIBRA HONOR</t>
        </is>
      </c>
      <c r="C445" s="118" t="n">
        <v>46052</v>
      </c>
      <c r="D445" s="118" t="n">
        <v>46071</v>
      </c>
      <c r="E445" s="116" t="n">
        <v>18</v>
      </c>
      <c r="F445" s="119" t="n">
        <v>186.6454</v>
      </c>
      <c r="G445" s="120" t="n">
        <v>90</v>
      </c>
      <c r="H445" s="117" t="inlineStr">
        <is>
          <t>GREAT WALL DRILLING COMPANY</t>
        </is>
      </c>
      <c r="I445" s="117" t="inlineStr">
        <is>
          <t>COLIS</t>
        </is>
      </c>
      <c r="J445" s="117" t="inlineStr">
        <is>
          <t>COLIS</t>
        </is>
      </c>
      <c r="K445" s="48">
        <f>D445+8</f>
        <v/>
      </c>
      <c r="L445" s="48">
        <f>K445+60</f>
        <v/>
      </c>
      <c r="M445" s="71" t="n"/>
      <c r="N445" s="72">
        <f>E445</f>
        <v/>
      </c>
      <c r="O445" s="50">
        <f>F445/E445*N445</f>
        <v/>
      </c>
      <c r="P445" s="273">
        <f>G445/E445*N445</f>
        <v/>
      </c>
      <c r="S445" s="189" t="inlineStr">
        <is>
          <t>25030TJD1101</t>
        </is>
      </c>
      <c r="T445" s="201" t="n">
        <v>127</v>
      </c>
      <c r="U445" s="117" t="inlineStr">
        <is>
          <t>CEMENTING EQUIPMENT AND ACCESSORIES ( VOIR BL)</t>
        </is>
      </c>
      <c r="X445" s="62" t="inlineStr">
        <is>
          <t>N-OP</t>
        </is>
      </c>
      <c r="Y445" s="116">
        <f>F445/E445</f>
        <v/>
      </c>
      <c r="Z445" s="64">
        <f>E445-N445</f>
        <v/>
      </c>
      <c r="AA445" s="30" t="n"/>
    </row>
    <row r="446" ht="15.75" customHeight="1" s="202">
      <c r="A446" s="116" t="n">
        <v>20260036</v>
      </c>
      <c r="B446" s="117" t="inlineStr">
        <is>
          <t>LIBRA HONOR</t>
        </is>
      </c>
      <c r="C446" s="118" t="n">
        <v>46052</v>
      </c>
      <c r="D446" s="118" t="n">
        <v>46071</v>
      </c>
      <c r="E446" s="116" t="n">
        <v>10</v>
      </c>
      <c r="F446" s="119" t="n">
        <v>18.15</v>
      </c>
      <c r="G446" s="120" t="n">
        <v>60</v>
      </c>
      <c r="H446" s="117" t="inlineStr">
        <is>
          <t>EURL AL TOILBA</t>
        </is>
      </c>
      <c r="I446" s="117" t="inlineStr">
        <is>
          <t>COLIS</t>
        </is>
      </c>
      <c r="J446" s="117" t="inlineStr">
        <is>
          <t>COLIS</t>
        </is>
      </c>
      <c r="K446" s="48">
        <f>D446+8</f>
        <v/>
      </c>
      <c r="L446" s="48">
        <f>K446+60</f>
        <v/>
      </c>
      <c r="M446" s="71" t="n"/>
      <c r="N446" s="72">
        <f>E446</f>
        <v/>
      </c>
      <c r="O446" s="50">
        <f>F446/E446*N446</f>
        <v/>
      </c>
      <c r="P446" s="273">
        <f>G446/E446*N446</f>
        <v/>
      </c>
      <c r="S446" s="189" t="inlineStr">
        <is>
          <t>25030LYD4602</t>
        </is>
      </c>
      <c r="T446" s="201" t="n">
        <v>105</v>
      </c>
      <c r="U446" s="117" t="inlineStr">
        <is>
          <t>DRILLING EQUIPPMENT ACCESSORIES ( VOIR BL)</t>
        </is>
      </c>
      <c r="X446" s="62" t="inlineStr">
        <is>
          <t>N-OP</t>
        </is>
      </c>
      <c r="Y446" s="116">
        <f>F446/E446</f>
        <v/>
      </c>
      <c r="Z446" s="64">
        <f>E446-N446</f>
        <v/>
      </c>
      <c r="AA446" s="64" t="n">
        <v>197</v>
      </c>
    </row>
    <row r="447" ht="15.75" customHeight="1" s="202">
      <c r="A447" s="116" t="n">
        <v>20260036</v>
      </c>
      <c r="B447" s="117" t="inlineStr">
        <is>
          <t>LIBRA HONOR</t>
        </is>
      </c>
      <c r="C447" s="118" t="n">
        <v>46052</v>
      </c>
      <c r="D447" s="118" t="n">
        <v>46071</v>
      </c>
      <c r="E447" s="116" t="n">
        <v>6</v>
      </c>
      <c r="F447" s="119" t="n">
        <v>61.5</v>
      </c>
      <c r="G447" s="120" t="n">
        <v>40</v>
      </c>
      <c r="H447" s="117" t="inlineStr">
        <is>
          <t>SPA VERRE TECH</t>
        </is>
      </c>
      <c r="I447" s="117" t="inlineStr">
        <is>
          <t>COLIS</t>
        </is>
      </c>
      <c r="J447" s="117" t="inlineStr">
        <is>
          <t>COLIS</t>
        </is>
      </c>
      <c r="K447" s="48">
        <f>D447+8</f>
        <v/>
      </c>
      <c r="L447" s="48">
        <f>K447+60</f>
        <v/>
      </c>
      <c r="M447" s="71" t="n"/>
      <c r="N447" s="72">
        <f>E447</f>
        <v/>
      </c>
      <c r="O447" s="50">
        <f>F447/E447*N447</f>
        <v/>
      </c>
      <c r="P447" s="273">
        <f>G447/E447*N447</f>
        <v/>
      </c>
      <c r="S447" s="189" t="inlineStr">
        <is>
          <t>25030LYD4701</t>
        </is>
      </c>
      <c r="T447" s="201" t="n">
        <v>106</v>
      </c>
      <c r="U447" s="117" t="inlineStr">
        <is>
          <t>SILICA SAND DRYING LINE PART 1/2 /SILICA SAND POWDER MAKING LINE PART 1/2</t>
        </is>
      </c>
      <c r="X447" s="62" t="inlineStr">
        <is>
          <t>N-OP</t>
        </is>
      </c>
      <c r="Y447" s="116">
        <f>F447/E447</f>
        <v/>
      </c>
      <c r="Z447" s="64">
        <f>E447-N447</f>
        <v/>
      </c>
      <c r="AA447" s="30" t="n"/>
    </row>
    <row r="448" ht="15.75" customHeight="1" s="202">
      <c r="A448" s="116" t="n">
        <v>20260036</v>
      </c>
      <c r="B448" s="117" t="inlineStr">
        <is>
          <t>LIBRA HONOR</t>
        </is>
      </c>
      <c r="C448" s="118" t="n">
        <v>46052</v>
      </c>
      <c r="D448" s="118" t="n">
        <v>46071</v>
      </c>
      <c r="E448" s="116" t="n">
        <v>2</v>
      </c>
      <c r="F448" s="119" t="n">
        <v>51</v>
      </c>
      <c r="G448" s="120" t="n">
        <v>24</v>
      </c>
      <c r="H448" s="117" t="inlineStr">
        <is>
          <t>SARL XINHUI GALVA</t>
        </is>
      </c>
      <c r="I448" s="117" t="inlineStr">
        <is>
          <t>COLIS</t>
        </is>
      </c>
      <c r="J448" s="117" t="inlineStr">
        <is>
          <t>COLIS</t>
        </is>
      </c>
      <c r="K448" s="48">
        <f>D448+8</f>
        <v/>
      </c>
      <c r="L448" s="48">
        <f>K448+60</f>
        <v/>
      </c>
      <c r="M448" s="71" t="n"/>
      <c r="N448" s="72">
        <f>E448</f>
        <v/>
      </c>
      <c r="O448" s="50">
        <f>F448/E448*N448</f>
        <v/>
      </c>
      <c r="P448" s="273">
        <f>G448/E448*N448</f>
        <v/>
      </c>
      <c r="S448" s="189" t="inlineStr">
        <is>
          <t>25030LYD4801</t>
        </is>
      </c>
      <c r="T448" s="201" t="n">
        <v>107</v>
      </c>
      <c r="U448" s="117" t="inlineStr">
        <is>
          <t>HOT-DIP GALVANIZING / EQUIPMENT</t>
        </is>
      </c>
      <c r="X448" s="62" t="inlineStr">
        <is>
          <t>N-OP</t>
        </is>
      </c>
      <c r="Y448" s="116">
        <f>F448/E448</f>
        <v/>
      </c>
      <c r="Z448" s="64">
        <f>E448-N448</f>
        <v/>
      </c>
      <c r="AA448" s="30" t="n"/>
    </row>
    <row r="449" ht="15.75" customHeight="1" s="202">
      <c r="A449" s="116" t="n">
        <v>20260036</v>
      </c>
      <c r="B449" s="117" t="inlineStr">
        <is>
          <t>LIBRA HONOR</t>
        </is>
      </c>
      <c r="C449" s="118" t="n">
        <v>46052</v>
      </c>
      <c r="D449" s="118" t="n">
        <v>46071</v>
      </c>
      <c r="E449" s="116" t="n">
        <v>2</v>
      </c>
      <c r="F449" s="119" t="n">
        <v>78</v>
      </c>
      <c r="G449" s="120" t="n">
        <v>24</v>
      </c>
      <c r="H449" s="117" t="inlineStr">
        <is>
          <t>EURL TECHNICAL MATERIAL SUPPLY TMS</t>
        </is>
      </c>
      <c r="I449" s="117" t="inlineStr">
        <is>
          <t>COLIS</t>
        </is>
      </c>
      <c r="J449" s="117" t="inlineStr">
        <is>
          <t>COLIS</t>
        </is>
      </c>
      <c r="K449" s="48">
        <f>D449+8</f>
        <v/>
      </c>
      <c r="L449" s="48">
        <f>K449+60</f>
        <v/>
      </c>
      <c r="M449" s="71" t="n"/>
      <c r="N449" s="72">
        <f>E449</f>
        <v/>
      </c>
      <c r="O449" s="50">
        <f>F449/E449*N449</f>
        <v/>
      </c>
      <c r="P449" s="273">
        <f>G449/E449*N449</f>
        <v/>
      </c>
      <c r="S449" s="189" t="inlineStr">
        <is>
          <t>25030LYD5001</t>
        </is>
      </c>
      <c r="T449" s="201" t="n">
        <v>110</v>
      </c>
      <c r="U449" s="117" t="inlineStr">
        <is>
          <t>01 TC N° PCIU8460050 STC MACHINE DE MOULAGE DE FONDERIE AVEC ACCESSOIRES</t>
        </is>
      </c>
      <c r="X449" s="62" t="inlineStr">
        <is>
          <t>N-OP</t>
        </is>
      </c>
      <c r="Y449" s="116">
        <f>F449/E449</f>
        <v/>
      </c>
      <c r="Z449" s="64">
        <f>E449-N449</f>
        <v/>
      </c>
      <c r="AA449" s="30" t="n"/>
    </row>
    <row r="450" ht="15.75" customHeight="1" s="202">
      <c r="A450" s="116" t="n">
        <v>20260036</v>
      </c>
      <c r="B450" s="117" t="inlineStr">
        <is>
          <t>LIBRA HONOR</t>
        </is>
      </c>
      <c r="C450" s="118" t="n">
        <v>46052</v>
      </c>
      <c r="D450" s="118" t="n">
        <v>46071</v>
      </c>
      <c r="E450" s="116" t="n">
        <v>5</v>
      </c>
      <c r="F450" s="119" t="n">
        <v>17.22</v>
      </c>
      <c r="G450" s="120" t="n">
        <v>30</v>
      </c>
      <c r="H450" s="117" t="inlineStr">
        <is>
          <t>SH CTIVITÉ RPC / DIVISION PETROCHIMIE CO</t>
        </is>
      </c>
      <c r="I450" s="117" t="inlineStr">
        <is>
          <t>COLIS</t>
        </is>
      </c>
      <c r="J450" s="117" t="inlineStr">
        <is>
          <t>COLIS</t>
        </is>
      </c>
      <c r="K450" s="48">
        <f>D450+8</f>
        <v/>
      </c>
      <c r="L450" s="48">
        <f>K450+60</f>
        <v/>
      </c>
      <c r="M450" s="71" t="n"/>
      <c r="N450" s="72">
        <f>E450</f>
        <v/>
      </c>
      <c r="O450" s="50">
        <f>F450/E450*N450</f>
        <v/>
      </c>
      <c r="P450" s="273">
        <f>G450/E450*N450</f>
        <v/>
      </c>
      <c r="S450" s="189" t="inlineStr">
        <is>
          <t>25030LYD2101</t>
        </is>
      </c>
      <c r="T450" s="201" t="n">
        <v>35</v>
      </c>
      <c r="U450" s="117" t="inlineStr">
        <is>
          <t>DEAERATOR / STUDS / NUT /BOLT /GASKET /WASHER /BLANK FLANGE/ LIQUID LEVEL GAUGE</t>
        </is>
      </c>
      <c r="X450" s="62" t="inlineStr">
        <is>
          <t>N-OP</t>
        </is>
      </c>
      <c r="Y450" s="116">
        <f>F450/E450</f>
        <v/>
      </c>
      <c r="Z450" s="64">
        <f>E450-N450</f>
        <v/>
      </c>
      <c r="AA450" s="64" t="n">
        <v>174</v>
      </c>
    </row>
    <row r="451" ht="15.75" customHeight="1" s="202">
      <c r="A451" s="116" t="n">
        <v>20260036</v>
      </c>
      <c r="B451" s="117" t="inlineStr">
        <is>
          <t>LIBRA HONOR</t>
        </is>
      </c>
      <c r="C451" s="118" t="n">
        <v>46052</v>
      </c>
      <c r="D451" s="118" t="n">
        <v>46071</v>
      </c>
      <c r="E451" s="116" t="n">
        <v>1</v>
      </c>
      <c r="F451" s="119" t="n">
        <v>17</v>
      </c>
      <c r="G451" s="120" t="n">
        <v>24</v>
      </c>
      <c r="H451" s="117" t="inlineStr">
        <is>
          <t>SINOPEC INTERNATIONAL PETROLUEM SERVICE CORPORATIO</t>
        </is>
      </c>
      <c r="I451" s="117" t="inlineStr">
        <is>
          <t>COLIS</t>
        </is>
      </c>
      <c r="J451" s="117" t="inlineStr">
        <is>
          <t>COLIS</t>
        </is>
      </c>
      <c r="K451" s="48">
        <f>D451+8</f>
        <v/>
      </c>
      <c r="L451" s="48">
        <f>K451+60</f>
        <v/>
      </c>
      <c r="M451" s="71" t="n"/>
      <c r="N451" s="72">
        <f>E451</f>
        <v/>
      </c>
      <c r="O451" s="50">
        <f>F451/E451*N451</f>
        <v/>
      </c>
      <c r="P451" s="273">
        <f>G451/E451*N451</f>
        <v/>
      </c>
      <c r="S451" s="189" t="inlineStr">
        <is>
          <t>25030LYD2201</t>
        </is>
      </c>
      <c r="T451" s="201" t="n">
        <v>36</v>
      </c>
      <c r="U451" s="117" t="inlineStr">
        <is>
          <t>GENERATORS AND ROOM</t>
        </is>
      </c>
      <c r="X451" s="62" t="inlineStr">
        <is>
          <t>N-OP</t>
        </is>
      </c>
      <c r="Y451" s="116">
        <f>F451/E451</f>
        <v/>
      </c>
      <c r="Z451" s="64">
        <f>E451-N451</f>
        <v/>
      </c>
      <c r="AA451" s="30" t="n"/>
    </row>
    <row r="452" ht="15.75" customHeight="1" s="202">
      <c r="A452" s="106" t="n">
        <v>20260036</v>
      </c>
      <c r="B452" s="107" t="inlineStr">
        <is>
          <t>LIBRA HONOR</t>
        </is>
      </c>
      <c r="C452" s="108" t="n">
        <v>46052</v>
      </c>
      <c r="D452" s="108" t="n">
        <v>46071</v>
      </c>
      <c r="E452" s="106" t="n">
        <v>1</v>
      </c>
      <c r="F452" s="106" t="n">
        <v>1.75</v>
      </c>
      <c r="G452" s="106" t="n">
        <v>24</v>
      </c>
      <c r="H452" s="107" t="inlineStr">
        <is>
          <t>SARL MAZINE SERVICES</t>
        </is>
      </c>
      <c r="I452" s="107" t="inlineStr">
        <is>
          <t>COLIS</t>
        </is>
      </c>
      <c r="J452" s="107" t="inlineStr">
        <is>
          <t>COLIS</t>
        </is>
      </c>
      <c r="K452" s="108">
        <f>D452+8</f>
        <v/>
      </c>
      <c r="L452" s="108">
        <f>K452+60</f>
        <v/>
      </c>
      <c r="M452" s="111" t="n"/>
      <c r="N452" s="112">
        <f>E452-1</f>
        <v/>
      </c>
      <c r="O452" s="113">
        <f>F452/E452*N452</f>
        <v/>
      </c>
      <c r="P452" s="112">
        <f>G452/E452*N452</f>
        <v/>
      </c>
      <c r="Q452" s="109" t="n"/>
      <c r="R452" s="107" t="n"/>
      <c r="S452" s="107" t="inlineStr">
        <is>
          <t>25030LYD3201</t>
        </is>
      </c>
      <c r="T452" s="114" t="n">
        <v>50</v>
      </c>
      <c r="U452" s="107" t="inlineStr">
        <is>
          <t>01 UNIT BREAK HAMMER HDBB-140Z80 ( VOIR BL)</t>
        </is>
      </c>
      <c r="V452" s="270" t="n"/>
      <c r="W452" s="270" t="n"/>
      <c r="X452" s="106" t="inlineStr">
        <is>
          <t>SOLDEE</t>
        </is>
      </c>
      <c r="Y452" s="116">
        <f>F452/E452</f>
        <v/>
      </c>
      <c r="AA452" s="30" t="n"/>
    </row>
    <row r="453" ht="15.75" customHeight="1" s="202">
      <c r="A453" s="116" t="n">
        <v>20260036</v>
      </c>
      <c r="B453" s="117" t="inlineStr">
        <is>
          <t>LIBRA HONOR</t>
        </is>
      </c>
      <c r="C453" s="118" t="n">
        <v>46052</v>
      </c>
      <c r="D453" s="118" t="n">
        <v>46071</v>
      </c>
      <c r="E453" s="116" t="n">
        <v>1</v>
      </c>
      <c r="F453" s="119" t="n">
        <v>3.2</v>
      </c>
      <c r="G453" s="120" t="n">
        <v>24</v>
      </c>
      <c r="H453" s="117" t="inlineStr">
        <is>
          <t>SARL CHAHYGAZ</t>
        </is>
      </c>
      <c r="I453" s="117" t="inlineStr">
        <is>
          <t>COLIS</t>
        </is>
      </c>
      <c r="J453" s="117" t="inlineStr">
        <is>
          <t>COLIS</t>
        </is>
      </c>
      <c r="K453" s="48">
        <f>D453+8</f>
        <v/>
      </c>
      <c r="L453" s="48">
        <f>K453+60</f>
        <v/>
      </c>
      <c r="M453" s="71" t="n"/>
      <c r="N453" s="72">
        <f>E453</f>
        <v/>
      </c>
      <c r="O453" s="50">
        <f>F453/E453*N453</f>
        <v/>
      </c>
      <c r="P453" s="273">
        <f>G453/E453*N453</f>
        <v/>
      </c>
      <c r="S453" s="189" t="inlineStr">
        <is>
          <t>25030LYD3237</t>
        </is>
      </c>
      <c r="T453" s="201" t="n">
        <v>80</v>
      </c>
      <c r="U453" s="117" t="inlineStr">
        <is>
          <t>01 UNIT BREAK HAMMER ( VOIR BL)</t>
        </is>
      </c>
      <c r="X453" s="62" t="inlineStr">
        <is>
          <t>N-OP</t>
        </is>
      </c>
      <c r="Y453" s="116">
        <f>F453/E453</f>
        <v/>
      </c>
      <c r="Z453" s="64">
        <f>E453-N453</f>
        <v/>
      </c>
    </row>
    <row r="454" ht="15.75" customHeight="1" s="202">
      <c r="A454" s="106" t="n">
        <v>20260036</v>
      </c>
      <c r="B454" s="107" t="inlineStr">
        <is>
          <t>LIBRA HONOR</t>
        </is>
      </c>
      <c r="C454" s="108" t="n">
        <v>46052</v>
      </c>
      <c r="D454" s="108" t="n">
        <v>46071</v>
      </c>
      <c r="E454" s="106" t="n">
        <v>12</v>
      </c>
      <c r="F454" s="106" t="n">
        <v>175.042</v>
      </c>
      <c r="G454" s="106" t="n">
        <v>96</v>
      </c>
      <c r="H454" s="107" t="inlineStr">
        <is>
          <t>SARL EL HIDHAB MOULDING PLASTIQUE</t>
        </is>
      </c>
      <c r="I454" s="107" t="inlineStr">
        <is>
          <t>COLIS</t>
        </is>
      </c>
      <c r="J454" s="107" t="inlineStr">
        <is>
          <t>COLIS</t>
        </is>
      </c>
      <c r="K454" s="108">
        <f>D454+8</f>
        <v/>
      </c>
      <c r="L454" s="108">
        <f>K454+60</f>
        <v/>
      </c>
      <c r="M454" s="111" t="n"/>
      <c r="N454" s="112">
        <f>E454-4-5-2-1</f>
        <v/>
      </c>
      <c r="O454" s="113">
        <f>F454/E454*N454</f>
        <v/>
      </c>
      <c r="P454" s="112">
        <f>G454/E454*N454</f>
        <v/>
      </c>
      <c r="Q454" s="109" t="n"/>
      <c r="R454" s="107" t="n"/>
      <c r="S454" s="107" t="inlineStr">
        <is>
          <t>25030LYD3301</t>
        </is>
      </c>
      <c r="T454" s="114" t="n">
        <v>81</v>
      </c>
      <c r="U454" s="107" t="inlineStr">
        <is>
          <t>90MM THREE-ROLL PLANETARY ROLLING MILL MACHINE WITH ACCESSORY 2200 COPPER TUBE SPINNER BLOCK WITH ACCESSORY COPPER TUBE SHAFT ANNEALING FURNACE WITH ACCESSORY</t>
        </is>
      </c>
      <c r="V454" s="270" t="n"/>
      <c r="W454" s="270" t="n"/>
      <c r="X454" s="106" t="inlineStr">
        <is>
          <t>SOLDEE</t>
        </is>
      </c>
      <c r="Y454" s="116">
        <f>F454/E454</f>
        <v/>
      </c>
      <c r="AA454" s="64" t="n">
        <v>1</v>
      </c>
    </row>
    <row r="455" ht="15.75" customHeight="1" s="202">
      <c r="A455" s="206" t="n">
        <v>20260036</v>
      </c>
      <c r="B455" s="207" t="inlineStr">
        <is>
          <t>LIBRA HONOR</t>
        </is>
      </c>
      <c r="C455" s="208" t="n">
        <v>46052</v>
      </c>
      <c r="D455" s="208" t="n">
        <v>46071</v>
      </c>
      <c r="E455" s="206" t="n">
        <v>225</v>
      </c>
      <c r="F455" s="210" t="n">
        <v>1040.231</v>
      </c>
      <c r="G455" s="211" t="n">
        <v>900</v>
      </c>
      <c r="H455" s="207" t="inlineStr">
        <is>
          <t>CHINA ROAD AND BRIDGE CORPORATION</t>
        </is>
      </c>
      <c r="I455" s="207" t="inlineStr">
        <is>
          <t>COLIS</t>
        </is>
      </c>
      <c r="J455" s="207" t="inlineStr">
        <is>
          <t>COLIS</t>
        </is>
      </c>
      <c r="K455" s="213">
        <f>D455+8</f>
        <v/>
      </c>
      <c r="L455" s="213">
        <f>K455+60</f>
        <v/>
      </c>
      <c r="M455" s="214" t="n"/>
      <c r="N455" s="215">
        <f>E455-5-14-24-33-44-73-26-3</f>
        <v/>
      </c>
      <c r="O455" s="216">
        <f>F455/E455*N455</f>
        <v/>
      </c>
      <c r="P455" s="218">
        <f>G455/E455*N455</f>
        <v/>
      </c>
      <c r="S455" s="189" t="inlineStr">
        <is>
          <t>25030TJD0201</t>
        </is>
      </c>
      <c r="T455" s="201" t="n">
        <v>114</v>
      </c>
      <c r="U455" s="117" t="inlineStr">
        <is>
          <t>HOLLOW PIER FORMWORK FLAT MODEL CONE PIER FORMWORK</t>
        </is>
      </c>
      <c r="X455" s="99" t="inlineStr">
        <is>
          <t>OPER</t>
        </is>
      </c>
      <c r="Y455" s="116">
        <f>F455/E455</f>
        <v/>
      </c>
      <c r="Z455" s="64">
        <f>E455-N455</f>
        <v/>
      </c>
    </row>
    <row r="456" ht="15.75" customHeight="1" s="202">
      <c r="A456" s="106" t="n">
        <v>20260036</v>
      </c>
      <c r="B456" s="107" t="inlineStr">
        <is>
          <t>LIBRA HONOR</t>
        </is>
      </c>
      <c r="C456" s="108" t="n">
        <v>46052</v>
      </c>
      <c r="D456" s="108" t="n">
        <v>46071</v>
      </c>
      <c r="E456" s="106" t="n">
        <v>143</v>
      </c>
      <c r="F456" s="106" t="n">
        <v>610.515</v>
      </c>
      <c r="G456" s="106" t="n">
        <v>550</v>
      </c>
      <c r="H456" s="107" t="inlineStr">
        <is>
          <t>CHINA ROAD AND BRIDGE CORPORATION</t>
        </is>
      </c>
      <c r="I456" s="107" t="inlineStr">
        <is>
          <t>COLIS</t>
        </is>
      </c>
      <c r="J456" s="107" t="inlineStr">
        <is>
          <t>COLIS</t>
        </is>
      </c>
      <c r="K456" s="108">
        <f>D456+8</f>
        <v/>
      </c>
      <c r="L456" s="108">
        <f>K456+60</f>
        <v/>
      </c>
      <c r="M456" s="111" t="n"/>
      <c r="N456" s="112">
        <f>E456-33-46-9-1-4-4-5-5-8-3-3-2-13-2-3-2</f>
        <v/>
      </c>
      <c r="O456" s="113">
        <f>F456/E456*N456</f>
        <v/>
      </c>
      <c r="P456" s="112">
        <f>G456/E456*N456</f>
        <v/>
      </c>
      <c r="Q456" s="109" t="n"/>
      <c r="R456" s="107" t="n"/>
      <c r="S456" s="107" t="inlineStr">
        <is>
          <t>25030LYD4901</t>
        </is>
      </c>
      <c r="T456" s="114" t="n">
        <v>108</v>
      </c>
      <c r="U456" s="107" t="inlineStr">
        <is>
          <t>GANTRY CRANE</t>
        </is>
      </c>
      <c r="V456" s="270" t="n"/>
      <c r="W456" s="270" t="n"/>
      <c r="X456" s="106" t="inlineStr">
        <is>
          <t>SOLDEE</t>
        </is>
      </c>
      <c r="Y456" s="116">
        <f>F456/E456</f>
        <v/>
      </c>
    </row>
    <row r="457" ht="15.75" customHeight="1" s="202">
      <c r="A457" s="206" t="n">
        <v>20260036</v>
      </c>
      <c r="B457" s="207" t="inlineStr">
        <is>
          <t>LIBRA HONOR</t>
        </is>
      </c>
      <c r="C457" s="208" t="n">
        <v>46052</v>
      </c>
      <c r="D457" s="208" t="n">
        <v>46071</v>
      </c>
      <c r="E457" s="206" t="n">
        <v>23</v>
      </c>
      <c r="F457" s="210" t="n">
        <v>458.56109</v>
      </c>
      <c r="G457" s="211" t="n">
        <v>80</v>
      </c>
      <c r="H457" s="207" t="inlineStr">
        <is>
          <t>CHINA ROAD AND BRIDGE CORPORATION</t>
        </is>
      </c>
      <c r="I457" s="207" t="inlineStr">
        <is>
          <t>COLIS</t>
        </is>
      </c>
      <c r="J457" s="207" t="inlineStr">
        <is>
          <t>COLIS</t>
        </is>
      </c>
      <c r="K457" s="213">
        <f>D457+8</f>
        <v/>
      </c>
      <c r="L457" s="213">
        <f>K457+60</f>
        <v/>
      </c>
      <c r="M457" s="214" t="n"/>
      <c r="N457" s="215">
        <f>E457-1-1-4-5-3-6-1-1</f>
        <v/>
      </c>
      <c r="O457" s="216">
        <f>F457/E457*N457</f>
        <v/>
      </c>
      <c r="P457" s="218">
        <f>G457/E457*N457</f>
        <v/>
      </c>
      <c r="S457" s="189" t="inlineStr">
        <is>
          <t>25030LYD4902</t>
        </is>
      </c>
      <c r="T457" s="201" t="n">
        <v>109</v>
      </c>
      <c r="U457" s="117" t="inlineStr">
        <is>
          <t>BRIDGE ERECTION MACHINE</t>
        </is>
      </c>
      <c r="X457" s="99" t="inlineStr">
        <is>
          <t>OPER</t>
        </is>
      </c>
      <c r="Y457" s="116">
        <f>F457/E457</f>
        <v/>
      </c>
      <c r="Z457" s="64">
        <f>E457-N457</f>
        <v/>
      </c>
    </row>
    <row r="458" ht="15.75" customHeight="1" s="202">
      <c r="A458" s="106" t="n">
        <v>20260036</v>
      </c>
      <c r="B458" s="107" t="inlineStr">
        <is>
          <t>LIBRA HONOR</t>
        </is>
      </c>
      <c r="C458" s="108" t="n">
        <v>46052</v>
      </c>
      <c r="D458" s="108" t="n">
        <v>46071</v>
      </c>
      <c r="E458" s="106" t="n">
        <v>2</v>
      </c>
      <c r="F458" s="106" t="n">
        <v>16.35</v>
      </c>
      <c r="G458" s="106" t="n">
        <v>48</v>
      </c>
      <c r="H458" s="107" t="inlineStr">
        <is>
          <t>CHINA ROAD AND BRIDGE CORPORATION</t>
        </is>
      </c>
      <c r="I458" s="107" t="inlineStr">
        <is>
          <t>POMPE A BETON</t>
        </is>
      </c>
      <c r="J458" s="107" t="inlineStr">
        <is>
          <t>LOURD</t>
        </is>
      </c>
      <c r="K458" s="108">
        <f>D458+8</f>
        <v/>
      </c>
      <c r="L458" s="108">
        <f>K458+60</f>
        <v/>
      </c>
      <c r="M458" s="111" t="n"/>
      <c r="N458" s="112">
        <f>E458-2</f>
        <v/>
      </c>
      <c r="O458" s="113">
        <f>F458/E458*N458</f>
        <v/>
      </c>
      <c r="P458" s="112">
        <f>G458/E458*N458</f>
        <v/>
      </c>
      <c r="Q458" s="109" t="n"/>
      <c r="R458" s="107" t="n"/>
      <c r="S458" s="107" t="inlineStr">
        <is>
          <t>25030LYD0901A</t>
        </is>
      </c>
      <c r="T458" s="114" t="n">
        <v>16</v>
      </c>
      <c r="U458" s="107" t="inlineStr">
        <is>
          <t>02 UNITS CONCRETE SPRAYING MACHINE/6 UNITS DIESEL FORKLIFT ( VOIR BL)</t>
        </is>
      </c>
      <c r="V458" s="270" t="n"/>
      <c r="W458" s="270" t="n"/>
      <c r="X458" s="106" t="inlineStr">
        <is>
          <t>SOLDEE</t>
        </is>
      </c>
      <c r="Y458" s="116">
        <f>F458/E458</f>
        <v/>
      </c>
    </row>
    <row r="459" ht="15.75" customHeight="1" s="202">
      <c r="A459" s="106" t="n">
        <v>20260036</v>
      </c>
      <c r="B459" s="107" t="inlineStr">
        <is>
          <t>LIBRA HONOR</t>
        </is>
      </c>
      <c r="C459" s="108" t="n">
        <v>46052</v>
      </c>
      <c r="D459" s="108" t="n">
        <v>46071</v>
      </c>
      <c r="E459" s="106" t="n">
        <v>6</v>
      </c>
      <c r="F459" s="106" t="n">
        <v>49.05</v>
      </c>
      <c r="G459" s="106" t="n">
        <v>144</v>
      </c>
      <c r="H459" s="107" t="inlineStr">
        <is>
          <t>CHINA ROAD AND BRIDGE CORPORATION</t>
        </is>
      </c>
      <c r="I459" s="107" t="inlineStr">
        <is>
          <t>CHARIOT ELEVATEUR</t>
        </is>
      </c>
      <c r="J459" s="107" t="inlineStr">
        <is>
          <t>ENGINS</t>
        </is>
      </c>
      <c r="K459" s="108">
        <f>D459+8</f>
        <v/>
      </c>
      <c r="L459" s="108">
        <f>K459+60</f>
        <v/>
      </c>
      <c r="M459" s="111" t="n"/>
      <c r="N459" s="112">
        <f>E459-6</f>
        <v/>
      </c>
      <c r="O459" s="113">
        <f>F459/E459*N459</f>
        <v/>
      </c>
      <c r="P459" s="112">
        <f>G459/E459*N459</f>
        <v/>
      </c>
      <c r="Q459" s="109" t="n"/>
      <c r="R459" s="107" t="n"/>
      <c r="S459" s="107" t="inlineStr">
        <is>
          <t>25030LYD0901A</t>
        </is>
      </c>
      <c r="T459" s="114" t="n">
        <v>16</v>
      </c>
      <c r="U459" s="107" t="inlineStr">
        <is>
          <t>02 UNITS CONCRETE SPRAYING MACHINE/6 UNITS DIESEL FORKLIFT ( VOIR BL)</t>
        </is>
      </c>
      <c r="V459" s="270" t="n"/>
      <c r="W459" s="270" t="n"/>
      <c r="X459" s="106" t="inlineStr">
        <is>
          <t>SOLDEE</t>
        </is>
      </c>
      <c r="Y459" s="116">
        <f>F459/E459</f>
        <v/>
      </c>
    </row>
    <row r="460" ht="15.75" customHeight="1" s="202">
      <c r="A460" s="106" t="n">
        <v>20260036</v>
      </c>
      <c r="B460" s="107" t="inlineStr">
        <is>
          <t>LIBRA HONOR</t>
        </is>
      </c>
      <c r="C460" s="108" t="n">
        <v>46052</v>
      </c>
      <c r="D460" s="108" t="n">
        <v>46071</v>
      </c>
      <c r="E460" s="106" t="n">
        <v>3</v>
      </c>
      <c r="F460" s="106" t="n">
        <v>0</v>
      </c>
      <c r="G460" s="106" t="n">
        <v>15</v>
      </c>
      <c r="H460" s="107" t="inlineStr">
        <is>
          <t>CHINA ROAD AND BRIDGE CORPORATION</t>
        </is>
      </c>
      <c r="I460" s="107" t="inlineStr">
        <is>
          <t>COLIS</t>
        </is>
      </c>
      <c r="J460" s="107" t="inlineStr">
        <is>
          <t>COLIS</t>
        </is>
      </c>
      <c r="K460" s="108">
        <f>D460+8</f>
        <v/>
      </c>
      <c r="L460" s="108">
        <f>K460+60</f>
        <v/>
      </c>
      <c r="M460" s="111" t="n"/>
      <c r="N460" s="112">
        <f>E460-3</f>
        <v/>
      </c>
      <c r="O460" s="113">
        <f>F460/E460*N460</f>
        <v/>
      </c>
      <c r="P460" s="112">
        <f>G460/E460*N460</f>
        <v/>
      </c>
      <c r="Q460" s="109" t="n"/>
      <c r="R460" s="107" t="n"/>
      <c r="S460" s="107" t="inlineStr">
        <is>
          <t>25030LYD0901A</t>
        </is>
      </c>
      <c r="T460" s="114" t="n">
        <v>16</v>
      </c>
      <c r="U460" s="107" t="n"/>
      <c r="V460" s="270" t="n"/>
      <c r="W460" s="270" t="n"/>
      <c r="X460" s="106" t="inlineStr">
        <is>
          <t>SOLDEE</t>
        </is>
      </c>
      <c r="Y460" s="116">
        <f>F460/E460</f>
        <v/>
      </c>
    </row>
    <row r="461" ht="15.75" customHeight="1" s="202">
      <c r="A461" s="116" t="n">
        <v>20260036</v>
      </c>
      <c r="B461" s="117" t="inlineStr">
        <is>
          <t>LIBRA HONOR</t>
        </is>
      </c>
      <c r="C461" s="118" t="n">
        <v>46052</v>
      </c>
      <c r="D461" s="118" t="n">
        <v>46071</v>
      </c>
      <c r="E461" s="116" t="n">
        <v>1</v>
      </c>
      <c r="F461" s="119" t="n">
        <v>0.2</v>
      </c>
      <c r="G461" s="120" t="n">
        <v>5</v>
      </c>
      <c r="H461" s="117" t="inlineStr">
        <is>
          <t>CHINA ROAD AND BRIDGE CORPORATION</t>
        </is>
      </c>
      <c r="I461" s="117" t="inlineStr">
        <is>
          <t>COLIS</t>
        </is>
      </c>
      <c r="J461" s="117" t="inlineStr">
        <is>
          <t>COLIS</t>
        </is>
      </c>
      <c r="K461" s="48">
        <f>D461+8</f>
        <v/>
      </c>
      <c r="L461" s="48">
        <f>K461+60</f>
        <v/>
      </c>
      <c r="M461" s="71" t="n"/>
      <c r="N461" s="72">
        <f>E461</f>
        <v/>
      </c>
      <c r="O461" s="50">
        <f>F461/E461*N461</f>
        <v/>
      </c>
      <c r="P461" s="273">
        <f>G461/E461*N461</f>
        <v/>
      </c>
      <c r="S461" s="189" t="inlineStr">
        <is>
          <t>25030LYD0901B</t>
        </is>
      </c>
      <c r="T461" s="201" t="n">
        <v>17</v>
      </c>
      <c r="U461" s="117" t="inlineStr">
        <is>
          <t>SPARE PARTS FOR FORKLIFT</t>
        </is>
      </c>
      <c r="X461" s="62" t="inlineStr">
        <is>
          <t>N-OP</t>
        </is>
      </c>
      <c r="Y461" s="116">
        <f>F461/E461</f>
        <v/>
      </c>
      <c r="Z461" s="64">
        <f>E461-N461</f>
        <v/>
      </c>
    </row>
    <row r="462" ht="15.75" customHeight="1" s="202">
      <c r="A462" s="116" t="n">
        <v>20260036</v>
      </c>
      <c r="B462" s="117" t="inlineStr">
        <is>
          <t>LIBRA HONOR</t>
        </is>
      </c>
      <c r="C462" s="118" t="n">
        <v>46052</v>
      </c>
      <c r="D462" s="118" t="n">
        <v>46071</v>
      </c>
      <c r="E462" s="116" t="n">
        <v>1</v>
      </c>
      <c r="F462" s="119" t="n">
        <v>35</v>
      </c>
      <c r="G462" s="120" t="n">
        <v>24</v>
      </c>
      <c r="H462" s="117" t="inlineStr">
        <is>
          <t>SARL HYDRO MINING</t>
        </is>
      </c>
      <c r="I462" s="117" t="inlineStr">
        <is>
          <t>EXCAVATEURS</t>
        </is>
      </c>
      <c r="J462" s="117" t="inlineStr">
        <is>
          <t>ENGINS</t>
        </is>
      </c>
      <c r="K462" s="48">
        <f>D462+8</f>
        <v/>
      </c>
      <c r="L462" s="48">
        <f>K462+60</f>
        <v/>
      </c>
      <c r="M462" s="71" t="n"/>
      <c r="N462" s="72">
        <f>E462</f>
        <v/>
      </c>
      <c r="O462" s="50">
        <f>F462/E462*N462</f>
        <v/>
      </c>
      <c r="P462" s="273">
        <f>G462/E462*N462</f>
        <v/>
      </c>
      <c r="S462" s="189" t="inlineStr">
        <is>
          <t>25030LYD1001</t>
        </is>
      </c>
      <c r="T462" s="201" t="n">
        <v>18</v>
      </c>
      <c r="U462" s="117" t="inlineStr">
        <is>
          <t>02 UNITS EXCAVATOR HX340HD ( VOIR BL)</t>
        </is>
      </c>
      <c r="X462" s="62" t="inlineStr">
        <is>
          <t>N-OP</t>
        </is>
      </c>
      <c r="Y462" s="116">
        <f>F462/E462</f>
        <v/>
      </c>
      <c r="Z462" s="64">
        <f>E462-N462</f>
        <v/>
      </c>
    </row>
    <row r="463" ht="15.75" customHeight="1" s="202">
      <c r="A463" s="116" t="n">
        <v>20260036</v>
      </c>
      <c r="B463" s="117" t="inlineStr">
        <is>
          <t>LIBRA HONOR</t>
        </is>
      </c>
      <c r="C463" s="118" t="n">
        <v>46052</v>
      </c>
      <c r="D463" s="118" t="n">
        <v>46071</v>
      </c>
      <c r="E463" s="116" t="n">
        <v>3</v>
      </c>
      <c r="F463" s="119" t="n">
        <v>39.19</v>
      </c>
      <c r="G463" s="120" t="n">
        <v>72</v>
      </c>
      <c r="H463" s="117" t="inlineStr">
        <is>
          <t>SARL ATIA MEHDI ET FRERES</t>
        </is>
      </c>
      <c r="I463" s="117" t="inlineStr">
        <is>
          <t>CAMIONS</t>
        </is>
      </c>
      <c r="J463" s="117" t="inlineStr">
        <is>
          <t>LOURD</t>
        </is>
      </c>
      <c r="K463" s="48">
        <f>D463+8</f>
        <v/>
      </c>
      <c r="L463" s="48">
        <f>K463+60</f>
        <v/>
      </c>
      <c r="M463" s="71" t="n"/>
      <c r="N463" s="72">
        <f>E463</f>
        <v/>
      </c>
      <c r="O463" s="50">
        <f>F463/E463*N463</f>
        <v/>
      </c>
      <c r="P463" s="273">
        <f>G463/E463*N463</f>
        <v/>
      </c>
      <c r="S463" s="189" t="inlineStr">
        <is>
          <t>25030LYD1101B/1103</t>
        </is>
      </c>
      <c r="T463" s="201" t="n">
        <v>20</v>
      </c>
      <c r="U463" s="117" t="inlineStr">
        <is>
          <t>01 UNIT SHACMAN F2000 6*4 SPRINKLER TRUCK 01 UNIT SHACMAN F2000 6*4 MIXER TRUCK 01 UNIT SHACMAN F2000 6*4 CARGO TRUCK ( VOIR BL)</t>
        </is>
      </c>
      <c r="X463" s="62" t="inlineStr">
        <is>
          <t>N-OP</t>
        </is>
      </c>
      <c r="Y463" s="116">
        <f>F463/E463</f>
        <v/>
      </c>
      <c r="Z463" s="64">
        <f>E463-N463</f>
        <v/>
      </c>
      <c r="AA463" s="64" t="n">
        <v>90</v>
      </c>
    </row>
    <row r="464" ht="15.75" customHeight="1" s="202">
      <c r="A464" s="116" t="n">
        <v>20260036</v>
      </c>
      <c r="B464" s="117" t="inlineStr">
        <is>
          <t>LIBRA HONOR</t>
        </is>
      </c>
      <c r="C464" s="118" t="n">
        <v>46052</v>
      </c>
      <c r="D464" s="118" t="n">
        <v>46071</v>
      </c>
      <c r="E464" s="116" t="n">
        <v>1</v>
      </c>
      <c r="F464" s="119" t="n">
        <v>12.33</v>
      </c>
      <c r="G464" s="120" t="n">
        <v>24</v>
      </c>
      <c r="H464" s="117" t="inlineStr">
        <is>
          <t>BEN AMOR ABDESSAMIA</t>
        </is>
      </c>
      <c r="I464" s="117" t="inlineStr">
        <is>
          <t>CAMIONS</t>
        </is>
      </c>
      <c r="J464" s="117" t="inlineStr">
        <is>
          <t>LOURD</t>
        </is>
      </c>
      <c r="K464" s="48">
        <f>D464+8</f>
        <v/>
      </c>
      <c r="L464" s="48">
        <f>K464+60</f>
        <v/>
      </c>
      <c r="M464" s="71" t="n"/>
      <c r="N464" s="72">
        <f>E464</f>
        <v/>
      </c>
      <c r="O464" s="50">
        <f>F464/E464*N464</f>
        <v/>
      </c>
      <c r="P464" s="273">
        <f>G464/E464*N464</f>
        <v/>
      </c>
      <c r="S464" s="189" t="inlineStr">
        <is>
          <t>25030LYD1101C</t>
        </is>
      </c>
      <c r="T464" s="201" t="n">
        <v>21</v>
      </c>
      <c r="U464" s="117" t="inlineStr">
        <is>
          <t>01 UNIT SHACMAN F2000 6*4 DUMP TRUCK (VOIR BL)</t>
        </is>
      </c>
      <c r="X464" s="62" t="inlineStr">
        <is>
          <t>N-OP</t>
        </is>
      </c>
      <c r="Y464" s="116">
        <f>F464/E464</f>
        <v/>
      </c>
      <c r="Z464" s="64">
        <f>E464-N464</f>
        <v/>
      </c>
      <c r="AA464" s="64" t="n">
        <v>1</v>
      </c>
    </row>
    <row r="465" ht="15.75" customHeight="1" s="202">
      <c r="A465" s="106" t="n">
        <v>20260036</v>
      </c>
      <c r="B465" s="107" t="inlineStr">
        <is>
          <t>LIBRA HONOR</t>
        </is>
      </c>
      <c r="C465" s="108" t="n">
        <v>46052</v>
      </c>
      <c r="D465" s="108" t="n">
        <v>46071</v>
      </c>
      <c r="E465" s="106" t="n">
        <v>2</v>
      </c>
      <c r="F465" s="106" t="n">
        <v>25.66</v>
      </c>
      <c r="G465" s="106" t="n">
        <v>48</v>
      </c>
      <c r="H465" s="107" t="inlineStr">
        <is>
          <t>DJEGHEL ABDELKADER</t>
        </is>
      </c>
      <c r="I465" s="107" t="inlineStr">
        <is>
          <t>CAMIONS</t>
        </is>
      </c>
      <c r="J465" s="107" t="inlineStr">
        <is>
          <t>LOURD</t>
        </is>
      </c>
      <c r="K465" s="108">
        <f>D465+8</f>
        <v/>
      </c>
      <c r="L465" s="108">
        <f>K465+60</f>
        <v/>
      </c>
      <c r="M465" s="111" t="n"/>
      <c r="N465" s="112">
        <f>E465-2</f>
        <v/>
      </c>
      <c r="O465" s="113">
        <f>F465/E465*N465</f>
        <v/>
      </c>
      <c r="P465" s="112">
        <f>G465/E465*N465</f>
        <v/>
      </c>
      <c r="Q465" s="109" t="n"/>
      <c r="R465" s="107" t="n"/>
      <c r="S465" s="107" t="inlineStr">
        <is>
          <t>25030LYD1104/1105</t>
        </is>
      </c>
      <c r="T465" s="114" t="n">
        <v>22</v>
      </c>
      <c r="U465" s="107" t="inlineStr">
        <is>
          <t>01 UNIT SHACMAN F2000 6*4 SPRINKLER TRUCK 01 UNIT SHACMAN F2000 6*4 DUMP TRUCK ( VOIR BL)</t>
        </is>
      </c>
      <c r="V465" s="270" t="n"/>
      <c r="W465" s="270" t="n"/>
      <c r="X465" s="106" t="inlineStr">
        <is>
          <t>SOLDEE</t>
        </is>
      </c>
      <c r="Y465" s="116">
        <f>F465/E465</f>
        <v/>
      </c>
      <c r="Z465" s="64">
        <f>E465-N465</f>
        <v/>
      </c>
    </row>
    <row r="466" ht="15.75" customHeight="1" s="202">
      <c r="A466" s="106" t="n">
        <v>20260036</v>
      </c>
      <c r="B466" s="107" t="inlineStr">
        <is>
          <t>LIBRA HONOR</t>
        </is>
      </c>
      <c r="C466" s="108" t="n">
        <v>46052</v>
      </c>
      <c r="D466" s="108" t="n">
        <v>46071</v>
      </c>
      <c r="E466" s="106" t="n">
        <v>2</v>
      </c>
      <c r="F466" s="106" t="n">
        <v>46.48</v>
      </c>
      <c r="G466" s="106" t="n">
        <v>48</v>
      </c>
      <c r="H466" s="107" t="inlineStr">
        <is>
          <t>SARL SNOUSSI COMPANY ENGIN IMP/EXP</t>
        </is>
      </c>
      <c r="I466" s="107" t="inlineStr">
        <is>
          <t>EXCAVATEURS</t>
        </is>
      </c>
      <c r="J466" s="107" t="inlineStr">
        <is>
          <t>ENGINS</t>
        </is>
      </c>
      <c r="K466" s="108">
        <f>D466+8</f>
        <v/>
      </c>
      <c r="L466" s="108">
        <f>K466+60</f>
        <v/>
      </c>
      <c r="M466" s="111" t="n"/>
      <c r="N466" s="112">
        <f>E466-2</f>
        <v/>
      </c>
      <c r="O466" s="113">
        <f>F466/E466*N466</f>
        <v/>
      </c>
      <c r="P466" s="112">
        <f>G466/E466*N466</f>
        <v/>
      </c>
      <c r="Q466" s="109" t="n"/>
      <c r="R466" s="107" t="n"/>
      <c r="S466" s="107" t="inlineStr">
        <is>
          <t>25030LYD1201/1202A</t>
        </is>
      </c>
      <c r="T466" s="114" t="n">
        <v>24</v>
      </c>
      <c r="U466" s="107" t="inlineStr">
        <is>
          <t>01 UNIT HYUNDAI HX340HD EXCAVATOR WITH SPARE PARTS 01 UNIT SHACMAN F2000 DUMP TRUCK ( VOIR BL)</t>
        </is>
      </c>
      <c r="V466" s="270" t="n"/>
      <c r="W466" s="270" t="n"/>
      <c r="X466" s="106" t="inlineStr">
        <is>
          <t>SOLDEE</t>
        </is>
      </c>
      <c r="Y466" s="116">
        <f>F466/E466</f>
        <v/>
      </c>
    </row>
    <row r="467" ht="15.75" customHeight="1" s="202">
      <c r="A467" s="116" t="n">
        <v>20260036</v>
      </c>
      <c r="B467" s="117" t="inlineStr">
        <is>
          <t>LIBRA HONOR</t>
        </is>
      </c>
      <c r="C467" s="118" t="n">
        <v>46052</v>
      </c>
      <c r="D467" s="118" t="n">
        <v>46071</v>
      </c>
      <c r="E467" s="116" t="n">
        <v>2</v>
      </c>
      <c r="F467" s="119" t="n">
        <v>0</v>
      </c>
      <c r="G467" s="120" t="n">
        <v>10</v>
      </c>
      <c r="H467" s="117" t="inlineStr">
        <is>
          <t>SARL SNOUSSI COMPANY ENGIN IMP/EXP</t>
        </is>
      </c>
      <c r="I467" s="117" t="inlineStr">
        <is>
          <t>COLIS</t>
        </is>
      </c>
      <c r="J467" s="117" t="inlineStr">
        <is>
          <t>COLIS</t>
        </is>
      </c>
      <c r="K467" s="48">
        <f>D467+8</f>
        <v/>
      </c>
      <c r="L467" s="48">
        <f>K467+60</f>
        <v/>
      </c>
      <c r="M467" s="71" t="n"/>
      <c r="N467" s="72">
        <f>E467</f>
        <v/>
      </c>
      <c r="O467" s="50">
        <f>F467/E467*N467</f>
        <v/>
      </c>
      <c r="P467" s="273">
        <f>G467/E467*N467</f>
        <v/>
      </c>
      <c r="S467" s="189" t="inlineStr">
        <is>
          <t>25030LYD1201/1202A</t>
        </is>
      </c>
      <c r="T467" s="201" t="n">
        <v>24</v>
      </c>
      <c r="X467" s="62" t="inlineStr">
        <is>
          <t>N-OP</t>
        </is>
      </c>
      <c r="Y467" s="116">
        <f>F467/E467</f>
        <v/>
      </c>
      <c r="Z467" s="64">
        <f>E467-N467</f>
        <v/>
      </c>
    </row>
    <row r="468" ht="15.75" customHeight="1" s="202">
      <c r="A468" s="106" t="n">
        <v>20260036</v>
      </c>
      <c r="B468" s="107" t="inlineStr">
        <is>
          <t>LIBRA HONOR</t>
        </is>
      </c>
      <c r="C468" s="108" t="n">
        <v>46052</v>
      </c>
      <c r="D468" s="108" t="n">
        <v>46071</v>
      </c>
      <c r="E468" s="106" t="n">
        <v>1</v>
      </c>
      <c r="F468" s="106" t="n">
        <v>39.15</v>
      </c>
      <c r="G468" s="106" t="n">
        <v>24</v>
      </c>
      <c r="H468" s="107" t="inlineStr">
        <is>
          <t>SARL SNOUSSI COMPANY ENGIN IMP/EXP</t>
        </is>
      </c>
      <c r="I468" s="107" t="inlineStr">
        <is>
          <t>EXCAVATEURS</t>
        </is>
      </c>
      <c r="J468" s="107" t="inlineStr">
        <is>
          <t>ENGINS</t>
        </is>
      </c>
      <c r="K468" s="108">
        <f>D468+8</f>
        <v/>
      </c>
      <c r="L468" s="108">
        <f>K468+60</f>
        <v/>
      </c>
      <c r="M468" s="111" t="n"/>
      <c r="N468" s="112">
        <f>E468-1</f>
        <v/>
      </c>
      <c r="O468" s="113">
        <f>F468/E468*N468</f>
        <v/>
      </c>
      <c r="P468" s="112">
        <f>G468/E468*N468</f>
        <v/>
      </c>
      <c r="Q468" s="109" t="n"/>
      <c r="R468" s="107" t="n"/>
      <c r="S468" s="107" t="inlineStr">
        <is>
          <t>25030LYD1202B/1203</t>
        </is>
      </c>
      <c r="T468" s="114" t="n">
        <v>25</v>
      </c>
      <c r="U468" s="107" t="inlineStr">
        <is>
          <t>01 UNIT HYUNDAI HX340HD EXCAVATOR WITH SPARE PARTS 02 UNITS BREAKER HYUNDAI HDBB-165Z-NW ( VOIR BL)</t>
        </is>
      </c>
      <c r="V468" s="270" t="n"/>
      <c r="W468" s="270" t="n"/>
      <c r="X468" s="106" t="inlineStr">
        <is>
          <t>SOLDEE</t>
        </is>
      </c>
      <c r="Y468" s="116">
        <f>F468/E468</f>
        <v/>
      </c>
    </row>
    <row r="469" ht="15.75" customHeight="1" s="202">
      <c r="A469" s="106" t="n">
        <v>20260036</v>
      </c>
      <c r="B469" s="107" t="inlineStr">
        <is>
          <t>LIBRA HONOR</t>
        </is>
      </c>
      <c r="C469" s="108" t="n">
        <v>46052</v>
      </c>
      <c r="D469" s="108" t="n">
        <v>46071</v>
      </c>
      <c r="E469" s="106" t="n">
        <v>4</v>
      </c>
      <c r="F469" s="106" t="n">
        <v>0</v>
      </c>
      <c r="G469" s="106" t="n">
        <v>16</v>
      </c>
      <c r="H469" s="107" t="inlineStr">
        <is>
          <t>SARL SNOUSSI COMPANY ENGIN IMP/EXP</t>
        </is>
      </c>
      <c r="I469" s="107" t="inlineStr">
        <is>
          <t>COLIS</t>
        </is>
      </c>
      <c r="J469" s="107" t="inlineStr">
        <is>
          <t>COLIS</t>
        </is>
      </c>
      <c r="K469" s="108">
        <f>D469+8</f>
        <v/>
      </c>
      <c r="L469" s="108">
        <f>K469+60</f>
        <v/>
      </c>
      <c r="M469" s="111" t="n"/>
      <c r="N469" s="112">
        <f>E469-4</f>
        <v/>
      </c>
      <c r="O469" s="113">
        <f>F469/E469*N469</f>
        <v/>
      </c>
      <c r="P469" s="112">
        <f>G469/E469*N469</f>
        <v/>
      </c>
      <c r="Q469" s="109" t="n"/>
      <c r="R469" s="107" t="n"/>
      <c r="S469" s="107" t="inlineStr">
        <is>
          <t>25030LYD1202B/1203</t>
        </is>
      </c>
      <c r="T469" s="114" t="n">
        <v>25</v>
      </c>
      <c r="U469" s="107" t="n"/>
      <c r="V469" s="270" t="n"/>
      <c r="W469" s="270" t="n"/>
      <c r="X469" s="106" t="inlineStr">
        <is>
          <t>SOLDEE</t>
        </is>
      </c>
      <c r="Y469" s="116">
        <f>F469/E469</f>
        <v/>
      </c>
    </row>
    <row r="470" ht="15.75" customHeight="1" s="202">
      <c r="A470" s="116" t="n">
        <v>20260036</v>
      </c>
      <c r="B470" s="117" t="inlineStr">
        <is>
          <t>LIBRA HONOR</t>
        </is>
      </c>
      <c r="C470" s="118" t="n">
        <v>46052</v>
      </c>
      <c r="D470" s="118" t="n">
        <v>46071</v>
      </c>
      <c r="E470" s="116" t="n">
        <v>1</v>
      </c>
      <c r="F470" s="119" t="n">
        <v>23.8</v>
      </c>
      <c r="G470" s="120" t="n">
        <v>24</v>
      </c>
      <c r="H470" s="117" t="inlineStr">
        <is>
          <t>BENABED ABDELKADER</t>
        </is>
      </c>
      <c r="I470" s="117" t="inlineStr">
        <is>
          <t>EXCAVATEURS</t>
        </is>
      </c>
      <c r="J470" s="117" t="inlineStr">
        <is>
          <t>ENGINS</t>
        </is>
      </c>
      <c r="K470" s="48">
        <f>D470+8</f>
        <v/>
      </c>
      <c r="L470" s="48">
        <f>K470+60</f>
        <v/>
      </c>
      <c r="M470" s="71" t="n"/>
      <c r="N470" s="72">
        <f>E470</f>
        <v/>
      </c>
      <c r="O470" s="50">
        <f>F470/E470*N470</f>
        <v/>
      </c>
      <c r="P470" s="273">
        <f>G470/E470*N470</f>
        <v/>
      </c>
      <c r="S470" s="189" t="inlineStr">
        <is>
          <t>25030LYD1301</t>
        </is>
      </c>
      <c r="T470" s="201" t="n">
        <v>26</v>
      </c>
      <c r="U470" s="117" t="inlineStr">
        <is>
          <t>01 UNIT EXCAVATORS XCMG XE200 GA + HAMMER MS35AT ( VOIR BL )</t>
        </is>
      </c>
      <c r="X470" s="62" t="inlineStr">
        <is>
          <t>N-OP</t>
        </is>
      </c>
      <c r="Y470" s="116">
        <f>F470/E470</f>
        <v/>
      </c>
      <c r="Z470" s="64">
        <f>E470-N470</f>
        <v/>
      </c>
      <c r="AA470" s="64" t="n">
        <v>6</v>
      </c>
    </row>
    <row r="471" ht="15.75" customHeight="1" s="202">
      <c r="A471" s="116" t="n">
        <v>20260036</v>
      </c>
      <c r="B471" s="117" t="inlineStr">
        <is>
          <t>LIBRA HONOR</t>
        </is>
      </c>
      <c r="C471" s="118" t="n">
        <v>46052</v>
      </c>
      <c r="D471" s="118" t="n">
        <v>46071</v>
      </c>
      <c r="E471" s="116" t="n">
        <v>1</v>
      </c>
      <c r="F471" s="119" t="n">
        <v>0</v>
      </c>
      <c r="G471" s="120" t="n">
        <v>5</v>
      </c>
      <c r="H471" s="117" t="inlineStr">
        <is>
          <t>BENABED ABDELKADER</t>
        </is>
      </c>
      <c r="I471" s="117" t="inlineStr">
        <is>
          <t>COLIS</t>
        </is>
      </c>
      <c r="J471" s="117" t="inlineStr">
        <is>
          <t>COLIS</t>
        </is>
      </c>
      <c r="K471" s="48">
        <f>D471+8</f>
        <v/>
      </c>
      <c r="L471" s="48">
        <f>K471+60</f>
        <v/>
      </c>
      <c r="M471" s="71" t="n"/>
      <c r="N471" s="72">
        <f>E471</f>
        <v/>
      </c>
      <c r="O471" s="50">
        <f>F471/E471*N471</f>
        <v/>
      </c>
      <c r="P471" s="273">
        <f>G471/E471*N471</f>
        <v/>
      </c>
      <c r="S471" s="189" t="inlineStr">
        <is>
          <t>25030LYD1301</t>
        </is>
      </c>
      <c r="T471" s="201" t="n">
        <v>26</v>
      </c>
      <c r="X471" s="62" t="inlineStr">
        <is>
          <t>N-OP</t>
        </is>
      </c>
      <c r="Y471" s="116">
        <f>F471/E471</f>
        <v/>
      </c>
      <c r="Z471" s="64">
        <f>E471-N471</f>
        <v/>
      </c>
      <c r="AA471" s="64" t="n">
        <v>2</v>
      </c>
    </row>
    <row r="472" ht="15.75" customHeight="1" s="202">
      <c r="A472" s="116" t="n">
        <v>20260036</v>
      </c>
      <c r="B472" s="117" t="inlineStr">
        <is>
          <t>LIBRA HONOR</t>
        </is>
      </c>
      <c r="C472" s="118" t="n">
        <v>46052</v>
      </c>
      <c r="D472" s="118" t="n">
        <v>46071</v>
      </c>
      <c r="E472" s="116" t="n">
        <v>4</v>
      </c>
      <c r="F472" s="119" t="n">
        <v>159.58</v>
      </c>
      <c r="G472" s="120" t="n">
        <v>20</v>
      </c>
      <c r="H472" s="117" t="inlineStr">
        <is>
          <t>SARL ETOILE PLASTIQUE</t>
        </is>
      </c>
      <c r="I472" s="117" t="inlineStr">
        <is>
          <t>COLIS</t>
        </is>
      </c>
      <c r="J472" s="117" t="inlineStr">
        <is>
          <t>COLIS</t>
        </is>
      </c>
      <c r="K472" s="48">
        <f>D472+8</f>
        <v/>
      </c>
      <c r="L472" s="48">
        <f>K472+60</f>
        <v/>
      </c>
      <c r="M472" s="71" t="n"/>
      <c r="N472" s="72">
        <f>E472</f>
        <v/>
      </c>
      <c r="O472" s="50">
        <f>F472/E472*N472</f>
        <v/>
      </c>
      <c r="P472" s="273">
        <f>G472/E472*N472</f>
        <v/>
      </c>
      <c r="S472" s="189" t="inlineStr">
        <is>
          <t>25030LYD1401</t>
        </is>
      </c>
      <c r="T472" s="201" t="n">
        <v>27</v>
      </c>
      <c r="U472" s="117" t="inlineStr">
        <is>
          <t>PART OF DKM 3350 TWO PLATEN INJECTION MACHINE WITH MAGNETIC PLATEN(380V 50HZ)</t>
        </is>
      </c>
      <c r="X472" s="62" t="inlineStr">
        <is>
          <t>N-OP</t>
        </is>
      </c>
      <c r="Y472" s="116">
        <f>F472/E472</f>
        <v/>
      </c>
      <c r="Z472" s="64">
        <f>E472-N472</f>
        <v/>
      </c>
      <c r="AA472" s="64" t="n">
        <v>5</v>
      </c>
    </row>
    <row r="473" ht="15.75" customHeight="1" s="202">
      <c r="A473" s="116" t="n">
        <v>20260036</v>
      </c>
      <c r="B473" s="117" t="inlineStr">
        <is>
          <t>LIBRA HONOR</t>
        </is>
      </c>
      <c r="C473" s="118" t="n">
        <v>46052</v>
      </c>
      <c r="D473" s="118" t="n">
        <v>46071</v>
      </c>
      <c r="E473" s="116" t="n">
        <v>1</v>
      </c>
      <c r="F473" s="119" t="n">
        <v>4.3</v>
      </c>
      <c r="G473" s="120" t="n">
        <v>24</v>
      </c>
      <c r="H473" s="117" t="inlineStr">
        <is>
          <t>REZZAG ZAHAF Mohammed Imad Eddine</t>
        </is>
      </c>
      <c r="I473" s="117" t="inlineStr">
        <is>
          <t>CAMIONS</t>
        </is>
      </c>
      <c r="J473" s="117" t="inlineStr">
        <is>
          <t>LOURD</t>
        </is>
      </c>
      <c r="K473" s="48">
        <f>D473+8</f>
        <v/>
      </c>
      <c r="L473" s="48">
        <f>K473+60</f>
        <v/>
      </c>
      <c r="M473" s="71" t="n"/>
      <c r="N473" s="72">
        <f>E473</f>
        <v/>
      </c>
      <c r="O473" s="50">
        <f>F473/E473*N473</f>
        <v/>
      </c>
      <c r="P473" s="273">
        <f>G473/E473*N473</f>
        <v/>
      </c>
      <c r="S473" s="189" t="inlineStr">
        <is>
          <t>25030LYD1501</t>
        </is>
      </c>
      <c r="T473" s="201" t="n">
        <v>28</v>
      </c>
      <c r="U473" s="117" t="inlineStr">
        <is>
          <t>01 UNIT AERIAL WORK PLATFORM TRUCK ( VOIR BL)</t>
        </is>
      </c>
      <c r="X473" s="62" t="inlineStr">
        <is>
          <t>N-OP</t>
        </is>
      </c>
      <c r="Y473" s="116">
        <f>F473/E473</f>
        <v/>
      </c>
      <c r="Z473" s="64">
        <f>E473-N473</f>
        <v/>
      </c>
    </row>
    <row r="474" ht="15.75" customHeight="1" s="202">
      <c r="A474" s="106" t="n">
        <v>20260036</v>
      </c>
      <c r="B474" s="107" t="inlineStr">
        <is>
          <t>LIBRA HONOR</t>
        </is>
      </c>
      <c r="C474" s="108" t="n">
        <v>46052</v>
      </c>
      <c r="D474" s="108" t="n">
        <v>46071</v>
      </c>
      <c r="E474" s="106" t="n">
        <v>2</v>
      </c>
      <c r="F474" s="106" t="n">
        <v>88.303</v>
      </c>
      <c r="G474" s="106" t="n">
        <v>48</v>
      </c>
      <c r="H474" s="107" t="inlineStr">
        <is>
          <t>STATION AGREGATS AZROU SPA</t>
        </is>
      </c>
      <c r="I474" s="107" t="inlineStr">
        <is>
          <t>EXCAVATEURS</t>
        </is>
      </c>
      <c r="J474" s="107" t="inlineStr">
        <is>
          <t>ENGINS</t>
        </is>
      </c>
      <c r="K474" s="108">
        <f>D474+8</f>
        <v/>
      </c>
      <c r="L474" s="108">
        <f>K474+60</f>
        <v/>
      </c>
      <c r="M474" s="111" t="n"/>
      <c r="N474" s="112">
        <f>E474-2</f>
        <v/>
      </c>
      <c r="O474" s="113">
        <f>F474/E474*N474</f>
        <v/>
      </c>
      <c r="P474" s="112">
        <f>G474/E474*N474</f>
        <v/>
      </c>
      <c r="Q474" s="109" t="n"/>
      <c r="R474" s="107" t="n"/>
      <c r="S474" s="107" t="inlineStr">
        <is>
          <t>25030LYD1701AB</t>
        </is>
      </c>
      <c r="T474" s="114" t="n">
        <v>30</v>
      </c>
      <c r="U474" s="107" t="inlineStr">
        <is>
          <t>01 UNIT CRAWLER EXCAVATOR CLG952EHD 01 UNIT CRAWLER EXCAVATOR CLG936E SPARE PARTS ( VOIR BL)</t>
        </is>
      </c>
      <c r="V474" s="270" t="n"/>
      <c r="W474" s="270" t="n"/>
      <c r="X474" s="106" t="inlineStr">
        <is>
          <t>SOLDEE</t>
        </is>
      </c>
      <c r="Y474" s="116">
        <f>F474/E474</f>
        <v/>
      </c>
    </row>
    <row r="475" ht="15.75" customHeight="1" s="202">
      <c r="A475" s="106" t="n">
        <v>20260036</v>
      </c>
      <c r="B475" s="107" t="inlineStr">
        <is>
          <t>LIBRA HONOR</t>
        </is>
      </c>
      <c r="C475" s="108" t="n">
        <v>46052</v>
      </c>
      <c r="D475" s="108" t="n">
        <v>46071</v>
      </c>
      <c r="E475" s="106" t="n">
        <v>12</v>
      </c>
      <c r="F475" s="106" t="n">
        <v>0</v>
      </c>
      <c r="G475" s="106" t="n">
        <v>40</v>
      </c>
      <c r="H475" s="107" t="inlineStr">
        <is>
          <t>STATION AGREGATS AZROU SPA</t>
        </is>
      </c>
      <c r="I475" s="107" t="inlineStr">
        <is>
          <t>COLIS</t>
        </is>
      </c>
      <c r="J475" s="107" t="inlineStr">
        <is>
          <t>COLIS</t>
        </is>
      </c>
      <c r="K475" s="108">
        <f>D475+8</f>
        <v/>
      </c>
      <c r="L475" s="108">
        <f>K475+60</f>
        <v/>
      </c>
      <c r="M475" s="111" t="n"/>
      <c r="N475" s="112">
        <f>E475-9-3</f>
        <v/>
      </c>
      <c r="O475" s="113">
        <f>F475/E475*N475</f>
        <v/>
      </c>
      <c r="P475" s="112">
        <f>G475/E475*N475</f>
        <v/>
      </c>
      <c r="Q475" s="109" t="n"/>
      <c r="R475" s="107" t="n"/>
      <c r="S475" s="107" t="inlineStr">
        <is>
          <t>25030LYD1701AB</t>
        </is>
      </c>
      <c r="T475" s="114" t="n">
        <v>30</v>
      </c>
      <c r="U475" s="107" t="n"/>
      <c r="V475" s="270" t="n"/>
      <c r="W475" s="270" t="n"/>
      <c r="X475" s="106" t="inlineStr">
        <is>
          <t>SOLDEE</t>
        </is>
      </c>
      <c r="Y475" s="116">
        <f>F475/E475</f>
        <v/>
      </c>
    </row>
    <row r="476" ht="15.75" customHeight="1" s="202">
      <c r="A476" s="116" t="n">
        <v>20260036</v>
      </c>
      <c r="B476" s="117" t="inlineStr">
        <is>
          <t>LIBRA HONOR</t>
        </is>
      </c>
      <c r="C476" s="118" t="n">
        <v>46052</v>
      </c>
      <c r="D476" s="118" t="n">
        <v>46071</v>
      </c>
      <c r="E476" s="116" t="n">
        <v>1</v>
      </c>
      <c r="F476" s="119" t="n">
        <v>25.873</v>
      </c>
      <c r="G476" s="120" t="n">
        <v>24</v>
      </c>
      <c r="H476" s="117" t="inlineStr">
        <is>
          <t>EURL ECOLOG</t>
        </is>
      </c>
      <c r="I476" s="117" t="inlineStr">
        <is>
          <t>EXCAVATEURS</t>
        </is>
      </c>
      <c r="J476" s="117" t="inlineStr">
        <is>
          <t>ENGINS</t>
        </is>
      </c>
      <c r="K476" s="48">
        <f>D476+8</f>
        <v/>
      </c>
      <c r="L476" s="48">
        <f>K476+60</f>
        <v/>
      </c>
      <c r="M476" s="71" t="n"/>
      <c r="N476" s="72">
        <f>E476</f>
        <v/>
      </c>
      <c r="O476" s="50">
        <f>F476/E476*N476</f>
        <v/>
      </c>
      <c r="P476" s="273">
        <f>G476/E476*N476</f>
        <v/>
      </c>
      <c r="S476" s="189" t="inlineStr">
        <is>
          <t>25030LYD1802</t>
        </is>
      </c>
      <c r="T476" s="201" t="n">
        <v>32</v>
      </c>
      <c r="U476" s="117" t="inlineStr">
        <is>
          <t>01 UNIT ZOOMLION CRAWLER EXCAVATOR ZE245G ( VOIR BL)</t>
        </is>
      </c>
      <c r="X476" s="62" t="inlineStr">
        <is>
          <t>N-OP</t>
        </is>
      </c>
      <c r="Y476" s="116">
        <f>F476/E476</f>
        <v/>
      </c>
      <c r="Z476" s="64">
        <f>E476-N476</f>
        <v/>
      </c>
    </row>
    <row r="477" ht="15.75" customHeight="1" s="202">
      <c r="A477" s="106" t="n">
        <v>20260036</v>
      </c>
      <c r="B477" s="107" t="inlineStr">
        <is>
          <t>LIBRA HONOR</t>
        </is>
      </c>
      <c r="C477" s="108" t="n">
        <v>46052</v>
      </c>
      <c r="D477" s="108" t="n">
        <v>46071</v>
      </c>
      <c r="E477" s="106" t="n">
        <v>1</v>
      </c>
      <c r="F477" s="106" t="n">
        <v>0</v>
      </c>
      <c r="G477" s="106" t="n">
        <v>5</v>
      </c>
      <c r="H477" s="107" t="inlineStr">
        <is>
          <t>EURL ECOLOG</t>
        </is>
      </c>
      <c r="I477" s="107" t="inlineStr">
        <is>
          <t>COLIS</t>
        </is>
      </c>
      <c r="J477" s="107" t="inlineStr">
        <is>
          <t>COLIS</t>
        </is>
      </c>
      <c r="K477" s="108">
        <f>D477+8</f>
        <v/>
      </c>
      <c r="L477" s="108">
        <f>K477+60</f>
        <v/>
      </c>
      <c r="M477" s="111" t="n"/>
      <c r="N477" s="112">
        <f>E477-1</f>
        <v/>
      </c>
      <c r="O477" s="113">
        <f>F477/E477*N477</f>
        <v/>
      </c>
      <c r="P477" s="112">
        <f>G477/E477*N477</f>
        <v/>
      </c>
      <c r="Q477" s="109" t="n"/>
      <c r="R477" s="107" t="n"/>
      <c r="S477" s="107" t="inlineStr">
        <is>
          <t>25030LYD1802</t>
        </is>
      </c>
      <c r="T477" s="114" t="n">
        <v>32</v>
      </c>
      <c r="U477" s="107" t="n"/>
      <c r="V477" s="270" t="n"/>
      <c r="W477" s="270" t="n"/>
      <c r="X477" s="106" t="inlineStr">
        <is>
          <t>SOLDEE</t>
        </is>
      </c>
      <c r="Y477" s="116">
        <f>F477/E477</f>
        <v/>
      </c>
      <c r="AA477" s="64" t="n">
        <v>1</v>
      </c>
    </row>
    <row r="478" ht="15.75" customHeight="1" s="202">
      <c r="A478" s="116" t="n">
        <v>20260036</v>
      </c>
      <c r="B478" s="117" t="inlineStr">
        <is>
          <t>LIBRA HONOR</t>
        </is>
      </c>
      <c r="C478" s="118" t="n">
        <v>46052</v>
      </c>
      <c r="D478" s="118" t="n">
        <v>46071</v>
      </c>
      <c r="E478" s="116" t="n">
        <v>1</v>
      </c>
      <c r="F478" s="119" t="n">
        <v>293.635</v>
      </c>
      <c r="G478" s="120" t="n">
        <v>60</v>
      </c>
      <c r="H478" s="117" t="inlineStr">
        <is>
          <t>EURL ENGIN PLU</t>
        </is>
      </c>
      <c r="I478" s="117" t="inlineStr">
        <is>
          <t>CAMION GRUE</t>
        </is>
      </c>
      <c r="J478" s="117" t="inlineStr">
        <is>
          <t>ENGINS</t>
        </is>
      </c>
      <c r="K478" s="48">
        <f>D478+8</f>
        <v/>
      </c>
      <c r="L478" s="48">
        <f>K478+60</f>
        <v/>
      </c>
      <c r="M478" s="71" t="n"/>
      <c r="N478" s="72">
        <f>E478</f>
        <v/>
      </c>
      <c r="O478" s="50">
        <f>F478/E478*N478</f>
        <v/>
      </c>
      <c r="P478" s="273">
        <f>G478/E478*N478</f>
        <v/>
      </c>
      <c r="S478" s="189" t="inlineStr">
        <is>
          <t>25030LYD1803/04</t>
        </is>
      </c>
      <c r="T478" s="201" t="n">
        <v>33</v>
      </c>
      <c r="U478" s="117" t="inlineStr">
        <is>
          <t>01 UNIT ZOOMLION ALL TERRAIN CRANE ZAT6000V WITH ACCESSORIES ( VOIR BL)</t>
        </is>
      </c>
      <c r="X478" s="62" t="inlineStr">
        <is>
          <t>N-OP</t>
        </is>
      </c>
      <c r="Y478" s="116">
        <f>F478/E478</f>
        <v/>
      </c>
      <c r="Z478" s="64">
        <f>E478-N478</f>
        <v/>
      </c>
    </row>
    <row r="479" ht="15.75" customHeight="1" s="202">
      <c r="A479" s="106" t="n">
        <v>20260036</v>
      </c>
      <c r="B479" s="107" t="inlineStr">
        <is>
          <t>LIBRA HONOR</t>
        </is>
      </c>
      <c r="C479" s="108" t="n">
        <v>46052</v>
      </c>
      <c r="D479" s="108" t="n">
        <v>46071</v>
      </c>
      <c r="E479" s="106" t="n">
        <v>30</v>
      </c>
      <c r="F479" s="106" t="n">
        <v>0</v>
      </c>
      <c r="G479" s="106" t="n">
        <v>150</v>
      </c>
      <c r="H479" s="107" t="inlineStr">
        <is>
          <t>EURL ENGIN PLU</t>
        </is>
      </c>
      <c r="I479" s="107" t="inlineStr">
        <is>
          <t>COLIS</t>
        </is>
      </c>
      <c r="J479" s="107" t="inlineStr">
        <is>
          <t>COLIS</t>
        </is>
      </c>
      <c r="K479" s="108">
        <f>D479+8</f>
        <v/>
      </c>
      <c r="L479" s="108">
        <f>K479+60</f>
        <v/>
      </c>
      <c r="M479" s="111" t="n"/>
      <c r="N479" s="112">
        <f>E479-1-16-6-6-1</f>
        <v/>
      </c>
      <c r="O479" s="113">
        <f>F479/E479*N479</f>
        <v/>
      </c>
      <c r="P479" s="112">
        <f>G479/E479*N479</f>
        <v/>
      </c>
      <c r="Q479" s="109" t="n"/>
      <c r="R479" s="107" t="n"/>
      <c r="S479" s="107" t="inlineStr">
        <is>
          <t>25030LYD1803/04</t>
        </is>
      </c>
      <c r="T479" s="114" t="n">
        <v>33</v>
      </c>
      <c r="U479" s="107" t="n"/>
      <c r="V479" s="270" t="n"/>
      <c r="W479" s="270" t="n"/>
      <c r="X479" s="106" t="inlineStr">
        <is>
          <t>SOLDEE</t>
        </is>
      </c>
      <c r="Y479" s="116">
        <f>F479/E479</f>
        <v/>
      </c>
    </row>
    <row r="480" ht="15.75" customHeight="1" s="202">
      <c r="A480" s="106" t="n">
        <v>20260036</v>
      </c>
      <c r="B480" s="107" t="inlineStr">
        <is>
          <t>LIBRA HONOR</t>
        </is>
      </c>
      <c r="C480" s="108" t="n">
        <v>46052</v>
      </c>
      <c r="D480" s="108" t="n">
        <v>46071</v>
      </c>
      <c r="E480" s="106" t="n">
        <v>1</v>
      </c>
      <c r="F480" s="106" t="n">
        <v>77.59</v>
      </c>
      <c r="G480" s="106" t="n">
        <v>60</v>
      </c>
      <c r="H480" s="107" t="inlineStr">
        <is>
          <t>SARL MAZINE SERVICES</t>
        </is>
      </c>
      <c r="I480" s="107" t="inlineStr">
        <is>
          <t>CAMION GRUE</t>
        </is>
      </c>
      <c r="J480" s="107" t="inlineStr">
        <is>
          <t>ENGINS</t>
        </is>
      </c>
      <c r="K480" s="108">
        <f>D480+8</f>
        <v/>
      </c>
      <c r="L480" s="108">
        <f>K480+60</f>
        <v/>
      </c>
      <c r="M480" s="111" t="n"/>
      <c r="N480" s="112">
        <f>E480-1</f>
        <v/>
      </c>
      <c r="O480" s="113">
        <f>F480/E480*N480</f>
        <v/>
      </c>
      <c r="P480" s="112">
        <f>G480/E480*N480</f>
        <v/>
      </c>
      <c r="Q480" s="109" t="n"/>
      <c r="R480" s="107" t="n"/>
      <c r="S480" s="107" t="inlineStr">
        <is>
          <t>25030LYD2001</t>
        </is>
      </c>
      <c r="T480" s="114" t="n">
        <v>34</v>
      </c>
      <c r="U480" s="107" t="inlineStr">
        <is>
          <t>01 UNIT XCMG TRUCK CRANE XCT100L7_1( VOIR BL)</t>
        </is>
      </c>
      <c r="V480" s="270" t="n"/>
      <c r="W480" s="270" t="n"/>
      <c r="X480" s="106" t="inlineStr">
        <is>
          <t>SOLDEE</t>
        </is>
      </c>
      <c r="Y480" s="116">
        <f>F480/E480</f>
        <v/>
      </c>
    </row>
    <row r="481" ht="15.75" customHeight="1" s="202">
      <c r="A481" s="106" t="n">
        <v>20260036</v>
      </c>
      <c r="B481" s="107" t="inlineStr">
        <is>
          <t>LIBRA HONOR</t>
        </is>
      </c>
      <c r="C481" s="108" t="n">
        <v>46052</v>
      </c>
      <c r="D481" s="108" t="n">
        <v>46071</v>
      </c>
      <c r="E481" s="106" t="n">
        <v>10</v>
      </c>
      <c r="F481" s="106" t="n">
        <v>0</v>
      </c>
      <c r="G481" s="106" t="n">
        <v>40</v>
      </c>
      <c r="H481" s="107" t="inlineStr">
        <is>
          <t>SARL MAZINE SERVICES</t>
        </is>
      </c>
      <c r="I481" s="107" t="inlineStr">
        <is>
          <t>COLIS</t>
        </is>
      </c>
      <c r="J481" s="107" t="inlineStr">
        <is>
          <t>COLIS</t>
        </is>
      </c>
      <c r="K481" s="108">
        <f>D481+8</f>
        <v/>
      </c>
      <c r="L481" s="108">
        <f>K481+60</f>
        <v/>
      </c>
      <c r="M481" s="111" t="n"/>
      <c r="N481" s="112">
        <f>E481-10</f>
        <v/>
      </c>
      <c r="O481" s="113">
        <f>F481/E481*N481</f>
        <v/>
      </c>
      <c r="P481" s="112">
        <f>G481/E481*N481</f>
        <v/>
      </c>
      <c r="Q481" s="109" t="n"/>
      <c r="R481" s="107" t="n"/>
      <c r="S481" s="107" t="inlineStr">
        <is>
          <t>25030LYD2001</t>
        </is>
      </c>
      <c r="T481" s="114" t="n">
        <v>34</v>
      </c>
      <c r="U481" s="107" t="n"/>
      <c r="V481" s="270" t="n"/>
      <c r="W481" s="270" t="n"/>
      <c r="X481" s="106" t="inlineStr">
        <is>
          <t>SOLDEE</t>
        </is>
      </c>
      <c r="Y481" s="116">
        <f>F481/E481</f>
        <v/>
      </c>
    </row>
    <row r="482" ht="15.75" customHeight="1" s="202">
      <c r="A482" s="106" t="n">
        <v>20260036</v>
      </c>
      <c r="B482" s="107" t="inlineStr">
        <is>
          <t>LIBRA HONOR</t>
        </is>
      </c>
      <c r="C482" s="108" t="n">
        <v>46052</v>
      </c>
      <c r="D482" s="108" t="n">
        <v>46071</v>
      </c>
      <c r="E482" s="106" t="n">
        <v>3</v>
      </c>
      <c r="F482" s="106" t="n">
        <v>80.3169230769231</v>
      </c>
      <c r="G482" s="106" t="n">
        <v>72</v>
      </c>
      <c r="H482" s="107" t="inlineStr">
        <is>
          <t>SPA CSCEC ALGERIE</t>
        </is>
      </c>
      <c r="I482" s="107" t="inlineStr">
        <is>
          <t>CHARGEURS</t>
        </is>
      </c>
      <c r="J482" s="107" t="inlineStr">
        <is>
          <t>ENGINS</t>
        </is>
      </c>
      <c r="K482" s="108">
        <f>D482+8</f>
        <v/>
      </c>
      <c r="L482" s="108">
        <f>K482+60</f>
        <v/>
      </c>
      <c r="M482" s="111" t="n"/>
      <c r="N482" s="112">
        <f>E482-3</f>
        <v/>
      </c>
      <c r="O482" s="113">
        <f>F482/E482*N482</f>
        <v/>
      </c>
      <c r="P482" s="112">
        <f>G482/E482*N482</f>
        <v/>
      </c>
      <c r="Q482" s="109" t="n"/>
      <c r="R482" s="107" t="n"/>
      <c r="S482" s="107" t="inlineStr">
        <is>
          <t>25030LYD2401</t>
        </is>
      </c>
      <c r="T482" s="114" t="n">
        <v>38</v>
      </c>
      <c r="U482" s="107" t="inlineStr">
        <is>
          <t>01 UNIT CHARGEUSE CLG870H /01 UNIT SYM5393JQZ GRUE AUTOMOBILE 50T 01 UNIT CAMION POMPE A BETON ( VOIR BL)</t>
        </is>
      </c>
      <c r="V482" s="270" t="n"/>
      <c r="W482" s="270" t="n"/>
      <c r="X482" s="106" t="inlineStr">
        <is>
          <t>SOLDEE</t>
        </is>
      </c>
      <c r="Y482" s="116">
        <f>F482/E482</f>
        <v/>
      </c>
    </row>
    <row r="483" ht="15.75" customHeight="1" s="202">
      <c r="A483" s="116" t="n">
        <v>20260036</v>
      </c>
      <c r="B483" s="117" t="inlineStr">
        <is>
          <t>LIBRA HONOR</t>
        </is>
      </c>
      <c r="C483" s="118" t="n">
        <v>46052</v>
      </c>
      <c r="D483" s="118" t="n">
        <v>46071</v>
      </c>
      <c r="E483" s="116" t="n">
        <v>3</v>
      </c>
      <c r="F483" s="119" t="n">
        <v>80.3169230769231</v>
      </c>
      <c r="G483" s="120" t="n">
        <v>72</v>
      </c>
      <c r="H483" s="117" t="inlineStr">
        <is>
          <t>CSCEC ALGERIE</t>
        </is>
      </c>
      <c r="I483" s="117" t="inlineStr">
        <is>
          <t>COMPACTEURS</t>
        </is>
      </c>
      <c r="J483" s="117" t="inlineStr">
        <is>
          <t>ENGINS</t>
        </is>
      </c>
      <c r="K483" s="48">
        <f>D483+8</f>
        <v/>
      </c>
      <c r="L483" s="48">
        <f>K483+60</f>
        <v/>
      </c>
      <c r="M483" s="71" t="n"/>
      <c r="N483" s="72">
        <f>E483</f>
        <v/>
      </c>
      <c r="O483" s="50">
        <f>F483/E483*N483</f>
        <v/>
      </c>
      <c r="P483" s="273">
        <f>G483/E483*N483</f>
        <v/>
      </c>
      <c r="S483" s="189" t="inlineStr">
        <is>
          <t>25030LYD2402</t>
        </is>
      </c>
      <c r="T483" s="201" t="n">
        <v>39</v>
      </c>
      <c r="U483" s="117" t="inlineStr">
        <is>
          <t>03 UNITS ROULEAU COMPRESSEUR 03 UNITS CHARGEUSE 05 UNITS GRUE AUTOMOBILE 5 T 02 UNITS CAMION A BETON ( VOIR BL)</t>
        </is>
      </c>
      <c r="X483" s="62" t="inlineStr">
        <is>
          <t>N-OP</t>
        </is>
      </c>
      <c r="Y483" s="116">
        <f>F483/E483</f>
        <v/>
      </c>
      <c r="Z483" s="64">
        <f>E483-N483</f>
        <v/>
      </c>
    </row>
    <row r="484" ht="15.75" customHeight="1" s="202">
      <c r="A484" s="116" t="n">
        <v>20260036</v>
      </c>
      <c r="B484" s="117" t="inlineStr">
        <is>
          <t>LIBRA HONOR</t>
        </is>
      </c>
      <c r="C484" s="118" t="n">
        <v>46052</v>
      </c>
      <c r="D484" s="118" t="n">
        <v>46071</v>
      </c>
      <c r="E484" s="116" t="n">
        <v>3</v>
      </c>
      <c r="F484" s="119" t="n">
        <v>80.3169230769231</v>
      </c>
      <c r="G484" s="120" t="n">
        <v>72</v>
      </c>
      <c r="H484" s="117" t="inlineStr">
        <is>
          <t>CSCEC ALGERIE</t>
        </is>
      </c>
      <c r="I484" s="117" t="inlineStr">
        <is>
          <t>CHARGEURS</t>
        </is>
      </c>
      <c r="J484" s="117" t="inlineStr">
        <is>
          <t>ENGINS</t>
        </is>
      </c>
      <c r="K484" s="48">
        <f>D484+8</f>
        <v/>
      </c>
      <c r="L484" s="48">
        <f>K484+60</f>
        <v/>
      </c>
      <c r="M484" s="71" t="n"/>
      <c r="N484" s="72">
        <f>E484</f>
        <v/>
      </c>
      <c r="O484" s="50">
        <f>F484/E484*N484</f>
        <v/>
      </c>
      <c r="P484" s="273">
        <f>G484/E484*N484</f>
        <v/>
      </c>
      <c r="S484" s="189" t="inlineStr">
        <is>
          <t>25030LYD2402</t>
        </is>
      </c>
      <c r="T484" s="201" t="n">
        <v>39</v>
      </c>
      <c r="X484" s="62" t="inlineStr">
        <is>
          <t>N-OP</t>
        </is>
      </c>
      <c r="Y484" s="116">
        <f>F484/E484</f>
        <v/>
      </c>
      <c r="Z484" s="64">
        <f>E484-N484</f>
        <v/>
      </c>
    </row>
    <row r="485" ht="15.75" customHeight="1" s="202">
      <c r="A485" s="116" t="n">
        <v>20260036</v>
      </c>
      <c r="B485" s="117" t="inlineStr">
        <is>
          <t>LIBRA HONOR</t>
        </is>
      </c>
      <c r="C485" s="118" t="n">
        <v>46052</v>
      </c>
      <c r="D485" s="118" t="n">
        <v>46071</v>
      </c>
      <c r="E485" s="116" t="n">
        <v>5</v>
      </c>
      <c r="F485" s="119" t="n">
        <v>133.861538461538</v>
      </c>
      <c r="G485" s="120" t="n">
        <v>180</v>
      </c>
      <c r="H485" s="117" t="inlineStr">
        <is>
          <t>CSCEC ALGERIE</t>
        </is>
      </c>
      <c r="I485" s="117" t="inlineStr">
        <is>
          <t>CAMION GRUE</t>
        </is>
      </c>
      <c r="J485" s="117" t="inlineStr">
        <is>
          <t>ENGINS</t>
        </is>
      </c>
      <c r="K485" s="48">
        <f>D485+8</f>
        <v/>
      </c>
      <c r="L485" s="48">
        <f>K485+60</f>
        <v/>
      </c>
      <c r="M485" s="71" t="n"/>
      <c r="N485" s="72">
        <f>E485</f>
        <v/>
      </c>
      <c r="O485" s="50">
        <f>F485/E485*N485</f>
        <v/>
      </c>
      <c r="P485" s="273">
        <f>G485/E485*N485</f>
        <v/>
      </c>
      <c r="S485" s="189" t="inlineStr">
        <is>
          <t>25030LYD2402</t>
        </is>
      </c>
      <c r="T485" s="201" t="n">
        <v>39</v>
      </c>
      <c r="X485" s="62" t="inlineStr">
        <is>
          <t>N-OP</t>
        </is>
      </c>
      <c r="Y485" s="116">
        <f>F485/E485</f>
        <v/>
      </c>
      <c r="Z485" s="64">
        <f>E485-N485</f>
        <v/>
      </c>
    </row>
    <row r="486" ht="15.75" customHeight="1" s="202">
      <c r="A486" s="116" t="n">
        <v>20260036</v>
      </c>
      <c r="B486" s="117" t="inlineStr">
        <is>
          <t>LIBRA HONOR</t>
        </is>
      </c>
      <c r="C486" s="118" t="n">
        <v>46052</v>
      </c>
      <c r="D486" s="118" t="n">
        <v>46071</v>
      </c>
      <c r="E486" s="116" t="n">
        <v>2</v>
      </c>
      <c r="F486" s="119" t="n">
        <v>53.5446153846154</v>
      </c>
      <c r="G486" s="120" t="n">
        <v>48</v>
      </c>
      <c r="H486" s="117" t="inlineStr">
        <is>
          <t>CSCEC ALGERIE</t>
        </is>
      </c>
      <c r="I486" s="117" t="inlineStr">
        <is>
          <t>CAMIONS</t>
        </is>
      </c>
      <c r="J486" s="117" t="inlineStr">
        <is>
          <t>LOURD</t>
        </is>
      </c>
      <c r="K486" s="48">
        <f>D486+8</f>
        <v/>
      </c>
      <c r="L486" s="48">
        <f>K486+60</f>
        <v/>
      </c>
      <c r="M486" s="71" t="n"/>
      <c r="N486" s="72">
        <f>E486</f>
        <v/>
      </c>
      <c r="O486" s="50">
        <f>F486/E486*N486</f>
        <v/>
      </c>
      <c r="P486" s="273">
        <f>G486/E486*N486</f>
        <v/>
      </c>
      <c r="S486" s="189" t="inlineStr">
        <is>
          <t>25030LYD2402</t>
        </is>
      </c>
      <c r="T486" s="201" t="n">
        <v>39</v>
      </c>
      <c r="X486" s="62" t="inlineStr">
        <is>
          <t>N-OP</t>
        </is>
      </c>
      <c r="Y486" s="116">
        <f>F486/E486</f>
        <v/>
      </c>
      <c r="Z486" s="64">
        <f>E486-N486</f>
        <v/>
      </c>
      <c r="AA486" s="64" t="n">
        <v>2</v>
      </c>
    </row>
    <row r="487" ht="15.75" customHeight="1" s="202">
      <c r="A487" s="106" t="n">
        <v>20260036</v>
      </c>
      <c r="B487" s="107" t="inlineStr">
        <is>
          <t>LIBRA HONOR</t>
        </is>
      </c>
      <c r="C487" s="108" t="n">
        <v>46052</v>
      </c>
      <c r="D487" s="108" t="n">
        <v>46071</v>
      </c>
      <c r="E487" s="106" t="n">
        <v>17</v>
      </c>
      <c r="F487" s="106" t="n">
        <v>2.065</v>
      </c>
      <c r="G487" s="106" t="n">
        <v>50</v>
      </c>
      <c r="H487" s="107" t="inlineStr">
        <is>
          <t>CSCEC ALGERIE</t>
        </is>
      </c>
      <c r="I487" s="107" t="inlineStr">
        <is>
          <t>COLIS</t>
        </is>
      </c>
      <c r="J487" s="107" t="inlineStr">
        <is>
          <t>COLIS</t>
        </is>
      </c>
      <c r="K487" s="108">
        <f>D487+8</f>
        <v/>
      </c>
      <c r="L487" s="108">
        <f>K487+60</f>
        <v/>
      </c>
      <c r="M487" s="111" t="n"/>
      <c r="N487" s="112">
        <f>E487-17</f>
        <v/>
      </c>
      <c r="O487" s="113">
        <f>F487/E487*N487</f>
        <v/>
      </c>
      <c r="P487" s="112">
        <f>G487/E487*N487</f>
        <v/>
      </c>
      <c r="Q487" s="109" t="n"/>
      <c r="R487" s="107" t="n"/>
      <c r="S487" s="107" t="inlineStr">
        <is>
          <t>25030LYD2403</t>
        </is>
      </c>
      <c r="T487" s="114" t="n">
        <v>40</v>
      </c>
      <c r="U487" s="107" t="inlineStr">
        <is>
          <t>MATERIAUX DE CONSTRUCTION</t>
        </is>
      </c>
      <c r="V487" s="270" t="n"/>
      <c r="W487" s="270" t="n"/>
      <c r="X487" s="106" t="inlineStr">
        <is>
          <t>SOLDEE</t>
        </is>
      </c>
      <c r="Y487" s="116">
        <f>F487/E487</f>
        <v/>
      </c>
      <c r="AA487" s="64" t="n">
        <v>2</v>
      </c>
    </row>
    <row r="488" ht="15.75" customHeight="1" s="202">
      <c r="A488" s="116" t="n">
        <v>20260036</v>
      </c>
      <c r="B488" s="117" t="inlineStr">
        <is>
          <t>LIBRA HONOR</t>
        </is>
      </c>
      <c r="C488" s="118" t="n">
        <v>46052</v>
      </c>
      <c r="D488" s="118" t="n">
        <v>46071</v>
      </c>
      <c r="E488" s="116" t="n">
        <v>6</v>
      </c>
      <c r="F488" s="119" t="n">
        <v>73.62</v>
      </c>
      <c r="G488" s="120" t="n">
        <v>144</v>
      </c>
      <c r="H488" s="117" t="inlineStr">
        <is>
          <t>SOCIETE GENERALE ALGERIE SPA PC CAPS IMPORT EXPOR</t>
        </is>
      </c>
      <c r="I488" s="117" t="inlineStr">
        <is>
          <t>CAMIONS</t>
        </is>
      </c>
      <c r="J488" s="117" t="inlineStr">
        <is>
          <t>LOURD</t>
        </is>
      </c>
      <c r="K488" s="48">
        <f>D488+8</f>
        <v/>
      </c>
      <c r="L488" s="48">
        <f>K488+60</f>
        <v/>
      </c>
      <c r="M488" s="71" t="n"/>
      <c r="N488" s="72">
        <f>E488</f>
        <v/>
      </c>
      <c r="O488" s="50">
        <f>F488/E488*N488</f>
        <v/>
      </c>
      <c r="P488" s="273">
        <f>G488/E488*N488</f>
        <v/>
      </c>
      <c r="S488" s="189" t="inlineStr">
        <is>
          <t>25030LYD2701/02/03</t>
        </is>
      </c>
      <c r="T488" s="201" t="n">
        <v>44</v>
      </c>
      <c r="U488" s="117" t="inlineStr">
        <is>
          <t>06 UNITS HOWO SINOTRUCK DUMP TRUCK ( VOIR BL)</t>
        </is>
      </c>
      <c r="X488" s="62" t="inlineStr">
        <is>
          <t>N-OP</t>
        </is>
      </c>
      <c r="Y488" s="116">
        <f>F488/E488</f>
        <v/>
      </c>
      <c r="Z488" s="64">
        <f>E488-N488</f>
        <v/>
      </c>
      <c r="AA488" s="64" t="n">
        <v>1</v>
      </c>
    </row>
    <row r="489" ht="15.75" customHeight="1" s="202">
      <c r="A489" s="116" t="n">
        <v>20260036</v>
      </c>
      <c r="B489" s="117" t="inlineStr">
        <is>
          <t>LIBRA HONOR</t>
        </is>
      </c>
      <c r="C489" s="118" t="n">
        <v>46052</v>
      </c>
      <c r="D489" s="118" t="n">
        <v>46071</v>
      </c>
      <c r="E489" s="116" t="n">
        <v>2</v>
      </c>
      <c r="F489" s="119" t="n">
        <v>87.2</v>
      </c>
      <c r="G489" s="120" t="n">
        <v>120</v>
      </c>
      <c r="H489" s="117" t="inlineStr">
        <is>
          <t>SARL TRANS AIDLI</t>
        </is>
      </c>
      <c r="I489" s="117" t="inlineStr">
        <is>
          <t>CAMION GRUE</t>
        </is>
      </c>
      <c r="J489" s="117" t="inlineStr">
        <is>
          <t>ENGINS</t>
        </is>
      </c>
      <c r="K489" s="48">
        <f>D489+8</f>
        <v/>
      </c>
      <c r="L489" s="48">
        <f>K489+60</f>
        <v/>
      </c>
      <c r="M489" s="71" t="n"/>
      <c r="N489" s="72">
        <f>E489</f>
        <v/>
      </c>
      <c r="O489" s="50">
        <f>F489/E489*N489</f>
        <v/>
      </c>
      <c r="P489" s="273">
        <f>G489/E489*N489</f>
        <v/>
      </c>
      <c r="S489" s="189" t="inlineStr">
        <is>
          <t>25030LYD2901</t>
        </is>
      </c>
      <c r="T489" s="201" t="n">
        <v>45</v>
      </c>
      <c r="U489" s="117" t="inlineStr">
        <is>
          <t>02 UNITS XCMG TRUCK CRANE QY60KH( VOIR BL)</t>
        </is>
      </c>
      <c r="X489" s="62" t="inlineStr">
        <is>
          <t>N-OP</t>
        </is>
      </c>
      <c r="Y489" s="116">
        <f>F489/E489</f>
        <v/>
      </c>
      <c r="Z489" s="64">
        <f>E489-N489</f>
        <v/>
      </c>
    </row>
    <row r="490" ht="15.75" customHeight="1" s="202">
      <c r="A490" s="106" t="n">
        <v>20260036</v>
      </c>
      <c r="B490" s="107" t="inlineStr">
        <is>
          <t>LIBRA HONOR</t>
        </is>
      </c>
      <c r="C490" s="108" t="n">
        <v>46052</v>
      </c>
      <c r="D490" s="108" t="n">
        <v>46071</v>
      </c>
      <c r="E490" s="106" t="n">
        <v>1</v>
      </c>
      <c r="F490" s="106" t="n">
        <v>42.2</v>
      </c>
      <c r="G490" s="106" t="n">
        <v>60</v>
      </c>
      <c r="H490" s="107" t="inlineStr">
        <is>
          <t>BRIK ABDELHAFID</t>
        </is>
      </c>
      <c r="I490" s="107" t="inlineStr">
        <is>
          <t>CAMION GRUE</t>
        </is>
      </c>
      <c r="J490" s="107" t="inlineStr">
        <is>
          <t>ENGINS</t>
        </is>
      </c>
      <c r="K490" s="108">
        <f>D490+8</f>
        <v/>
      </c>
      <c r="L490" s="108">
        <f>K490+60</f>
        <v/>
      </c>
      <c r="M490" s="111" t="n"/>
      <c r="N490" s="112">
        <f>E490-1</f>
        <v/>
      </c>
      <c r="O490" s="113">
        <f>F490/E490*N490</f>
        <v/>
      </c>
      <c r="P490" s="112">
        <f>G490/E490*N490</f>
        <v/>
      </c>
      <c r="Q490" s="109" t="n"/>
      <c r="R490" s="107" t="n"/>
      <c r="S490" s="107" t="inlineStr">
        <is>
          <t>25030LYD2902</t>
        </is>
      </c>
      <c r="T490" s="114" t="n">
        <v>46</v>
      </c>
      <c r="U490" s="107" t="inlineStr">
        <is>
          <t>01 UNIT TRUCK CRANE XCMG QY50KD ( VOIR BL)</t>
        </is>
      </c>
      <c r="V490" s="270" t="n"/>
      <c r="W490" s="270" t="n"/>
      <c r="X490" s="106" t="inlineStr">
        <is>
          <t>SOLDEE</t>
        </is>
      </c>
      <c r="Y490" s="116">
        <f>F490/E490</f>
        <v/>
      </c>
    </row>
    <row r="491" ht="15.75" customHeight="1" s="202">
      <c r="A491" s="106" t="n">
        <v>20260036</v>
      </c>
      <c r="B491" s="107" t="inlineStr">
        <is>
          <t>LIBRA HONOR</t>
        </is>
      </c>
      <c r="C491" s="108" t="n">
        <v>46052</v>
      </c>
      <c r="D491" s="108" t="n">
        <v>46071</v>
      </c>
      <c r="E491" s="106" t="n">
        <v>1</v>
      </c>
      <c r="F491" s="106" t="n">
        <v>36.3</v>
      </c>
      <c r="G491" s="106" t="n">
        <v>24</v>
      </c>
      <c r="H491" s="107" t="inlineStr">
        <is>
          <t>SAADAOUI HADJ</t>
        </is>
      </c>
      <c r="I491" s="107" t="inlineStr">
        <is>
          <t>EXCAVATEURS</t>
        </is>
      </c>
      <c r="J491" s="107" t="inlineStr">
        <is>
          <t>ENGINS</t>
        </is>
      </c>
      <c r="K491" s="108">
        <f>D491+8</f>
        <v/>
      </c>
      <c r="L491" s="108">
        <f>K491+60</f>
        <v/>
      </c>
      <c r="M491" s="111" t="n"/>
      <c r="N491" s="112">
        <f>E491-1</f>
        <v/>
      </c>
      <c r="O491" s="113">
        <f>F491/E491*N491</f>
        <v/>
      </c>
      <c r="P491" s="112">
        <f>G491/E491*N491</f>
        <v/>
      </c>
      <c r="Q491" s="109" t="n"/>
      <c r="R491" s="107" t="n"/>
      <c r="S491" s="107" t="inlineStr">
        <is>
          <t>25030LYD3001</t>
        </is>
      </c>
      <c r="T491" s="114" t="n">
        <v>47</v>
      </c>
      <c r="U491" s="107" t="inlineStr">
        <is>
          <t>01 UNIT HYNDAI HX340HD CRAWLER EXCAVATOR MS700H BREAKER ( VOIR BL)</t>
        </is>
      </c>
      <c r="V491" s="270" t="n"/>
      <c r="W491" s="270" t="n"/>
      <c r="X491" s="106" t="inlineStr">
        <is>
          <t>SOLDEE</t>
        </is>
      </c>
      <c r="Y491" s="116">
        <f>F491/E491</f>
        <v/>
      </c>
      <c r="AA491" s="64" t="n">
        <v>1</v>
      </c>
    </row>
    <row r="492" ht="15.75" customHeight="1" s="202">
      <c r="A492" s="106" t="n">
        <v>20260036</v>
      </c>
      <c r="B492" s="107" t="inlineStr">
        <is>
          <t>LIBRA HONOR</t>
        </is>
      </c>
      <c r="C492" s="108" t="n">
        <v>46052</v>
      </c>
      <c r="D492" s="108" t="n">
        <v>46071</v>
      </c>
      <c r="E492" s="106" t="n">
        <v>5</v>
      </c>
      <c r="F492" s="106" t="n">
        <v>0</v>
      </c>
      <c r="G492" s="106" t="n">
        <v>25</v>
      </c>
      <c r="H492" s="107" t="inlineStr">
        <is>
          <t>SAADAOUI HADJ</t>
        </is>
      </c>
      <c r="I492" s="107" t="inlineStr">
        <is>
          <t>COLIS</t>
        </is>
      </c>
      <c r="J492" s="107" t="inlineStr">
        <is>
          <t>COLIS</t>
        </is>
      </c>
      <c r="K492" s="108">
        <f>D492+8</f>
        <v/>
      </c>
      <c r="L492" s="108">
        <f>K492+60</f>
        <v/>
      </c>
      <c r="M492" s="111" t="n"/>
      <c r="N492" s="112">
        <f>E492-5</f>
        <v/>
      </c>
      <c r="O492" s="113">
        <f>F492/E492*N492</f>
        <v/>
      </c>
      <c r="P492" s="112">
        <f>G492/E492*N492</f>
        <v/>
      </c>
      <c r="Q492" s="109" t="n"/>
      <c r="R492" s="107" t="n"/>
      <c r="S492" s="107" t="inlineStr">
        <is>
          <t>25030LYD3001</t>
        </is>
      </c>
      <c r="T492" s="114" t="n">
        <v>47</v>
      </c>
      <c r="U492" s="107" t="n"/>
      <c r="V492" s="270" t="n"/>
      <c r="W492" s="270" t="n"/>
      <c r="X492" s="106" t="inlineStr">
        <is>
          <t>SOLDEE</t>
        </is>
      </c>
      <c r="Y492" s="116">
        <f>F492/E492</f>
        <v/>
      </c>
      <c r="AA492" s="64" t="n">
        <v>1</v>
      </c>
    </row>
    <row r="493" ht="15.75" customHeight="1" s="202">
      <c r="A493" s="116" t="n">
        <v>20260036</v>
      </c>
      <c r="B493" s="117" t="inlineStr">
        <is>
          <t>LIBRA HONOR</t>
        </is>
      </c>
      <c r="C493" s="118" t="n">
        <v>46052</v>
      </c>
      <c r="D493" s="118" t="n">
        <v>46071</v>
      </c>
      <c r="E493" s="116" t="n">
        <v>2</v>
      </c>
      <c r="F493" s="119" t="n">
        <v>72.59999999999999</v>
      </c>
      <c r="G493" s="120" t="n">
        <v>48</v>
      </c>
      <c r="H493" s="117" t="inlineStr">
        <is>
          <t>SPA SOFINANCE P/C OULMI MOHAMMED LAMINE</t>
        </is>
      </c>
      <c r="I493" s="117" t="inlineStr">
        <is>
          <t>EXCAVATEURS</t>
        </is>
      </c>
      <c r="J493" s="117" t="inlineStr">
        <is>
          <t>ENGINS</t>
        </is>
      </c>
      <c r="K493" s="48">
        <f>D493+8</f>
        <v/>
      </c>
      <c r="L493" s="48">
        <f>K493+60</f>
        <v/>
      </c>
      <c r="M493" s="71" t="n"/>
      <c r="N493" s="72">
        <f>E493</f>
        <v/>
      </c>
      <c r="O493" s="50">
        <f>F493/E493*N493</f>
        <v/>
      </c>
      <c r="P493" s="273">
        <f>G493/E493*N493</f>
        <v/>
      </c>
      <c r="S493" s="189" t="inlineStr">
        <is>
          <t>25030LYD3002</t>
        </is>
      </c>
      <c r="T493" s="201" t="n">
        <v>48</v>
      </c>
      <c r="U493" s="117" t="inlineStr">
        <is>
          <t>02 UNITS DX360LCA EXCAVATORS ( VOIR BL)</t>
        </is>
      </c>
      <c r="X493" s="62" t="inlineStr">
        <is>
          <t>N-OP</t>
        </is>
      </c>
      <c r="Y493" s="116">
        <f>F493/E493</f>
        <v/>
      </c>
      <c r="Z493" s="64">
        <f>E493-N493</f>
        <v/>
      </c>
    </row>
    <row r="494" ht="15.75" customHeight="1" s="202">
      <c r="A494" s="106" t="n">
        <v>20260036</v>
      </c>
      <c r="B494" s="107" t="inlineStr">
        <is>
          <t>LIBRA HONOR</t>
        </is>
      </c>
      <c r="C494" s="108" t="n">
        <v>46052</v>
      </c>
      <c r="D494" s="108" t="n">
        <v>46071</v>
      </c>
      <c r="E494" s="106" t="n">
        <v>8</v>
      </c>
      <c r="F494" s="106" t="n">
        <v>0</v>
      </c>
      <c r="G494" s="106" t="n">
        <v>40</v>
      </c>
      <c r="H494" s="107" t="inlineStr">
        <is>
          <t>SPA SOFINANCE P/C OULMI MOHAMMED LAMINE</t>
        </is>
      </c>
      <c r="I494" s="107" t="inlineStr">
        <is>
          <t>COLIS</t>
        </is>
      </c>
      <c r="J494" s="107" t="inlineStr">
        <is>
          <t>COLIS</t>
        </is>
      </c>
      <c r="K494" s="108">
        <f>D494+8</f>
        <v/>
      </c>
      <c r="L494" s="108">
        <f>K494+60</f>
        <v/>
      </c>
      <c r="M494" s="111" t="n"/>
      <c r="N494" s="112">
        <f>E494-4-4</f>
        <v/>
      </c>
      <c r="O494" s="113">
        <f>F494/E494*N494</f>
        <v/>
      </c>
      <c r="P494" s="112">
        <f>G494/E494*N494</f>
        <v/>
      </c>
      <c r="Q494" s="109" t="n"/>
      <c r="R494" s="107" t="n"/>
      <c r="S494" s="107" t="inlineStr">
        <is>
          <t>25030LYD3002</t>
        </is>
      </c>
      <c r="T494" s="114" t="n">
        <v>48</v>
      </c>
      <c r="U494" s="107" t="n"/>
      <c r="V494" s="270" t="n"/>
      <c r="W494" s="270" t="n"/>
      <c r="X494" s="106" t="inlineStr">
        <is>
          <t>SOLDEE</t>
        </is>
      </c>
      <c r="Y494" s="116">
        <f>F494/E494</f>
        <v/>
      </c>
    </row>
    <row r="495" ht="15.75" customHeight="1" s="202">
      <c r="A495" s="116" t="n">
        <v>20260036</v>
      </c>
      <c r="B495" s="117" t="inlineStr">
        <is>
          <t>LIBRA HONOR</t>
        </is>
      </c>
      <c r="C495" s="118" t="n">
        <v>46052</v>
      </c>
      <c r="D495" s="118" t="n">
        <v>46071</v>
      </c>
      <c r="E495" s="116" t="n">
        <v>3</v>
      </c>
      <c r="F495" s="119" t="n">
        <v>97.64</v>
      </c>
      <c r="G495" s="120" t="n">
        <v>72</v>
      </c>
      <c r="H495" s="117" t="inlineStr">
        <is>
          <t>DJEBARI LAHBIB</t>
        </is>
      </c>
      <c r="I495" s="117" t="inlineStr">
        <is>
          <t>EXCAVATEURS</t>
        </is>
      </c>
      <c r="J495" s="117" t="inlineStr">
        <is>
          <t>ENGINS</t>
        </is>
      </c>
      <c r="K495" s="48">
        <f>D495+8</f>
        <v/>
      </c>
      <c r="L495" s="48">
        <f>K495+60</f>
        <v/>
      </c>
      <c r="M495" s="71" t="n"/>
      <c r="N495" s="72">
        <f>E495</f>
        <v/>
      </c>
      <c r="O495" s="50">
        <f>F495/E495*N495</f>
        <v/>
      </c>
      <c r="P495" s="273">
        <f>G495/E495*N495</f>
        <v/>
      </c>
      <c r="S495" s="189" t="inlineStr">
        <is>
          <t>25030LYD3101</t>
        </is>
      </c>
      <c r="T495" s="201" t="n">
        <v>49</v>
      </c>
      <c r="U495" s="117" t="inlineStr">
        <is>
          <t>01 UNIT HYUNDAI CRAWLER EXCAVATOR HX375L WITH RIGHT ANGLE HAMMER /01 UNIT ZOOMLION 50 M CONCRETE PUMP 01 UNIT HYUNDAI WHEEL LOADER ( VOIR BL)</t>
        </is>
      </c>
      <c r="X495" s="62" t="inlineStr">
        <is>
          <t>N-OP</t>
        </is>
      </c>
      <c r="Y495" s="116">
        <f>F495/E495</f>
        <v/>
      </c>
      <c r="Z495" s="64">
        <f>E495-N495</f>
        <v/>
      </c>
    </row>
    <row r="496" ht="15.75" customHeight="1" s="202">
      <c r="A496" s="116" t="n">
        <v>20260036</v>
      </c>
      <c r="B496" s="117" t="inlineStr">
        <is>
          <t>LIBRA HONOR</t>
        </is>
      </c>
      <c r="C496" s="118" t="n">
        <v>46052</v>
      </c>
      <c r="D496" s="118" t="n">
        <v>46071</v>
      </c>
      <c r="E496" s="116" t="n">
        <v>6</v>
      </c>
      <c r="F496" s="119" t="n">
        <v>0</v>
      </c>
      <c r="G496" s="120" t="n">
        <v>30</v>
      </c>
      <c r="H496" s="117" t="inlineStr">
        <is>
          <t>DJEBARI LAHBIB</t>
        </is>
      </c>
      <c r="I496" s="117" t="inlineStr">
        <is>
          <t>COLIS</t>
        </is>
      </c>
      <c r="J496" s="117" t="inlineStr">
        <is>
          <t>COLIS</t>
        </is>
      </c>
      <c r="K496" s="48">
        <f>D496+8</f>
        <v/>
      </c>
      <c r="L496" s="48">
        <f>K496+60</f>
        <v/>
      </c>
      <c r="M496" s="71" t="n"/>
      <c r="N496" s="72">
        <f>E496</f>
        <v/>
      </c>
      <c r="O496" s="50">
        <f>F496/E496*N496</f>
        <v/>
      </c>
      <c r="P496" s="273">
        <f>G496/E496*N496</f>
        <v/>
      </c>
      <c r="S496" s="189" t="inlineStr">
        <is>
          <t>25030LYD3101</t>
        </is>
      </c>
      <c r="T496" s="201" t="n">
        <v>49</v>
      </c>
      <c r="X496" s="62" t="inlineStr">
        <is>
          <t>N-OP</t>
        </is>
      </c>
      <c r="Y496" s="116">
        <f>F496/E496</f>
        <v/>
      </c>
      <c r="Z496" s="64">
        <f>E496-N496</f>
        <v/>
      </c>
    </row>
    <row r="497" ht="15.75" customHeight="1" s="202">
      <c r="A497" s="106" t="n">
        <v>20260036</v>
      </c>
      <c r="B497" s="107" t="inlineStr">
        <is>
          <t>LIBRA HONOR</t>
        </is>
      </c>
      <c r="C497" s="108" t="n">
        <v>46052</v>
      </c>
      <c r="D497" s="108" t="n">
        <v>46071</v>
      </c>
      <c r="E497" s="106" t="n">
        <v>2</v>
      </c>
      <c r="F497" s="106" t="n">
        <v>24.66</v>
      </c>
      <c r="G497" s="106" t="n">
        <v>48</v>
      </c>
      <c r="H497" s="107" t="inlineStr">
        <is>
          <t>EURL ICHOUL TRAVAUX PUBLICS</t>
        </is>
      </c>
      <c r="I497" s="107" t="inlineStr">
        <is>
          <t>CAMIONS</t>
        </is>
      </c>
      <c r="J497" s="107" t="inlineStr">
        <is>
          <t>LOURD</t>
        </is>
      </c>
      <c r="K497" s="108">
        <f>D497+8</f>
        <v/>
      </c>
      <c r="L497" s="108">
        <f>K497+60</f>
        <v/>
      </c>
      <c r="M497" s="111" t="n"/>
      <c r="N497" s="112">
        <f>E497-2</f>
        <v/>
      </c>
      <c r="O497" s="113">
        <f>F497/E497*N497</f>
        <v/>
      </c>
      <c r="P497" s="112">
        <f>G497/E497*N497</f>
        <v/>
      </c>
      <c r="Q497" s="109" t="n"/>
      <c r="R497" s="107" t="n"/>
      <c r="S497" s="107" t="inlineStr">
        <is>
          <t>25030LYD3202</t>
        </is>
      </c>
      <c r="T497" s="114" t="n">
        <v>51</v>
      </c>
      <c r="U497" s="107" t="inlineStr">
        <is>
          <t>02 UNITS SHACMAN F2000 6X4 DUMP TRUCK ( VOIR BL)</t>
        </is>
      </c>
      <c r="V497" s="270" t="n"/>
      <c r="W497" s="270" t="n"/>
      <c r="X497" s="106" t="inlineStr">
        <is>
          <t>SOLDEE</t>
        </is>
      </c>
      <c r="Y497" s="116">
        <f>F497/E497</f>
        <v/>
      </c>
      <c r="AA497" s="64" t="n">
        <v>1</v>
      </c>
    </row>
    <row r="498" ht="15.75" customHeight="1" s="202">
      <c r="A498" s="116" t="n">
        <v>20260036</v>
      </c>
      <c r="B498" s="117" t="inlineStr">
        <is>
          <t>LIBRA HONOR</t>
        </is>
      </c>
      <c r="C498" s="118" t="n">
        <v>46052</v>
      </c>
      <c r="D498" s="118" t="n">
        <v>46071</v>
      </c>
      <c r="E498" s="116" t="n">
        <v>1</v>
      </c>
      <c r="F498" s="119" t="n">
        <v>35.844</v>
      </c>
      <c r="G498" s="120" t="n">
        <v>24</v>
      </c>
      <c r="H498" s="117" t="inlineStr">
        <is>
          <t>SARL SOCIETE SAHARI MULTI SERVICES</t>
        </is>
      </c>
      <c r="I498" s="117" t="inlineStr">
        <is>
          <t>EXCAVATEURS</t>
        </is>
      </c>
      <c r="J498" s="117" t="inlineStr">
        <is>
          <t>ENGINS</t>
        </is>
      </c>
      <c r="K498" s="48">
        <f>D498+8</f>
        <v/>
      </c>
      <c r="L498" s="48">
        <f>K498+60</f>
        <v/>
      </c>
      <c r="M498" s="71" t="n"/>
      <c r="N498" s="72">
        <f>E498</f>
        <v/>
      </c>
      <c r="O498" s="50">
        <f>F498/E498*N498</f>
        <v/>
      </c>
      <c r="P498" s="273">
        <f>G498/E498*N498</f>
        <v/>
      </c>
      <c r="S498" s="189" t="inlineStr">
        <is>
          <t>25030LYD3203</t>
        </is>
      </c>
      <c r="T498" s="201" t="n">
        <v>52</v>
      </c>
      <c r="U498" s="117" t="inlineStr">
        <is>
          <t>01 UNIT HYUNDAI EXCAVATOR HX340HD 01 UNIT BOX TYPE HAMMER ( VOIR BL)</t>
        </is>
      </c>
      <c r="X498" s="62" t="inlineStr">
        <is>
          <t>N-OP</t>
        </is>
      </c>
      <c r="Y498" s="116">
        <f>F498/E498</f>
        <v/>
      </c>
      <c r="Z498" s="64">
        <f>E498-N498</f>
        <v/>
      </c>
    </row>
    <row r="499" ht="15.75" customHeight="1" s="202">
      <c r="A499" s="116" t="n">
        <v>20260036</v>
      </c>
      <c r="B499" s="117" t="inlineStr">
        <is>
          <t>LIBRA HONOR</t>
        </is>
      </c>
      <c r="C499" s="118" t="n">
        <v>46052</v>
      </c>
      <c r="D499" s="118" t="n">
        <v>46071</v>
      </c>
      <c r="E499" s="116" t="n">
        <v>3</v>
      </c>
      <c r="F499" s="119" t="n">
        <v>0</v>
      </c>
      <c r="G499" s="120" t="n">
        <v>15</v>
      </c>
      <c r="H499" s="117" t="inlineStr">
        <is>
          <t>SARL SOCIETE SAHARI MULTI SERVICES</t>
        </is>
      </c>
      <c r="I499" s="117" t="inlineStr">
        <is>
          <t>COLIS</t>
        </is>
      </c>
      <c r="J499" s="117" t="inlineStr">
        <is>
          <t>COLIS</t>
        </is>
      </c>
      <c r="K499" s="48">
        <f>D499+8</f>
        <v/>
      </c>
      <c r="L499" s="48">
        <f>K499+60</f>
        <v/>
      </c>
      <c r="M499" s="71" t="n"/>
      <c r="N499" s="72">
        <f>E499</f>
        <v/>
      </c>
      <c r="O499" s="50">
        <f>F499/E499*N499</f>
        <v/>
      </c>
      <c r="P499" s="273">
        <f>G499/E499*N499</f>
        <v/>
      </c>
      <c r="S499" s="189" t="inlineStr">
        <is>
          <t>25030LYD3203</t>
        </is>
      </c>
      <c r="T499" s="201" t="n">
        <v>52</v>
      </c>
      <c r="X499" s="62" t="inlineStr">
        <is>
          <t>N-OP</t>
        </is>
      </c>
      <c r="Y499" s="116">
        <f>F499/E499</f>
        <v/>
      </c>
      <c r="Z499" s="64">
        <f>E499-N499</f>
        <v/>
      </c>
    </row>
    <row r="500" ht="15.75" customHeight="1" s="202">
      <c r="A500" s="106" t="n">
        <v>20260036</v>
      </c>
      <c r="B500" s="107" t="inlineStr">
        <is>
          <t>LIBRA HONOR</t>
        </is>
      </c>
      <c r="C500" s="108" t="n">
        <v>46052</v>
      </c>
      <c r="D500" s="108" t="n">
        <v>46071</v>
      </c>
      <c r="E500" s="106" t="n">
        <v>2</v>
      </c>
      <c r="F500" s="106" t="n">
        <v>72.3</v>
      </c>
      <c r="G500" s="106" t="n">
        <v>48</v>
      </c>
      <c r="H500" s="107" t="inlineStr">
        <is>
          <t>EURL LE PANIER DE FRUITS IMPEX</t>
        </is>
      </c>
      <c r="I500" s="107" t="inlineStr">
        <is>
          <t>EXCAVATEURS</t>
        </is>
      </c>
      <c r="J500" s="107" t="inlineStr">
        <is>
          <t>ENGINS</t>
        </is>
      </c>
      <c r="K500" s="108">
        <f>D500+8</f>
        <v/>
      </c>
      <c r="L500" s="108">
        <f>K500+60</f>
        <v/>
      </c>
      <c r="M500" s="111" t="n"/>
      <c r="N500" s="112">
        <f>E500-2</f>
        <v/>
      </c>
      <c r="O500" s="113">
        <f>F500/E500*N500</f>
        <v/>
      </c>
      <c r="P500" s="112">
        <f>G500/E500*N500</f>
        <v/>
      </c>
      <c r="Q500" s="109" t="n"/>
      <c r="R500" s="107" t="n"/>
      <c r="S500" s="107" t="inlineStr">
        <is>
          <t>25030LYD3206</t>
        </is>
      </c>
      <c r="T500" s="114" t="n">
        <v>55</v>
      </c>
      <c r="U500" s="107" t="inlineStr">
        <is>
          <t>02 UNITS HYUNDAI EXCAVATOR + 02 HYUNDAI HAMMER ( VOIR BL)</t>
        </is>
      </c>
      <c r="V500" s="270" t="n"/>
      <c r="W500" s="270" t="n"/>
      <c r="X500" s="106" t="inlineStr">
        <is>
          <t>SOLDEE</t>
        </is>
      </c>
      <c r="Y500" s="116">
        <f>F500/E500</f>
        <v/>
      </c>
    </row>
    <row r="501" ht="15.75" customHeight="1" s="202">
      <c r="A501" s="188" t="n">
        <v>20260036</v>
      </c>
      <c r="B501" s="189" t="inlineStr">
        <is>
          <t>LIBRA HONOR</t>
        </is>
      </c>
      <c r="C501" s="190" t="n">
        <v>46052</v>
      </c>
      <c r="D501" s="190" t="n">
        <v>46071</v>
      </c>
      <c r="E501" s="188" t="n">
        <v>4</v>
      </c>
      <c r="F501" s="192" t="n">
        <v>0</v>
      </c>
      <c r="G501" s="193" t="n">
        <v>20</v>
      </c>
      <c r="H501" s="189" t="inlineStr">
        <is>
          <t>EURL LE PANIER DE FRUITS IMPEX</t>
        </is>
      </c>
      <c r="I501" s="189" t="inlineStr">
        <is>
          <t>COLIS</t>
        </is>
      </c>
      <c r="J501" s="189" t="inlineStr">
        <is>
          <t>COLIS</t>
        </is>
      </c>
      <c r="K501" s="203">
        <f>D501+8</f>
        <v/>
      </c>
      <c r="L501" s="203">
        <f>K501+60</f>
        <v/>
      </c>
      <c r="M501" s="195" t="n"/>
      <c r="N501" s="196">
        <f>E501</f>
        <v/>
      </c>
      <c r="O501" s="197">
        <f>F501/E501*N501</f>
        <v/>
      </c>
      <c r="P501" s="198">
        <f>G501/E501*N501</f>
        <v/>
      </c>
      <c r="S501" s="189" t="inlineStr">
        <is>
          <t>25030LYD3206</t>
        </is>
      </c>
      <c r="T501" s="201" t="n">
        <v>55</v>
      </c>
      <c r="X501" s="62" t="inlineStr">
        <is>
          <t>N-OP</t>
        </is>
      </c>
      <c r="Y501" s="116">
        <f>F501/E501</f>
        <v/>
      </c>
      <c r="Z501" s="64">
        <f>E501-N501</f>
        <v/>
      </c>
    </row>
    <row r="502" ht="15.75" customHeight="1" s="202">
      <c r="A502" s="106" t="n">
        <v>20260036</v>
      </c>
      <c r="B502" s="107" t="inlineStr">
        <is>
          <t>LIBRA HONOR</t>
        </is>
      </c>
      <c r="C502" s="108" t="n">
        <v>46052</v>
      </c>
      <c r="D502" s="108" t="n">
        <v>46071</v>
      </c>
      <c r="E502" s="106" t="n">
        <v>1</v>
      </c>
      <c r="F502" s="106" t="n">
        <v>37</v>
      </c>
      <c r="G502" s="106" t="n">
        <v>24</v>
      </c>
      <c r="H502" s="107" t="inlineStr">
        <is>
          <t>COMMERCANT/ENTREPRENEUR YAHIA CHERIF ABDERRAZAK</t>
        </is>
      </c>
      <c r="I502" s="107" t="inlineStr">
        <is>
          <t>EXCAVATEURS</t>
        </is>
      </c>
      <c r="J502" s="107" t="inlineStr">
        <is>
          <t>ENGINS</t>
        </is>
      </c>
      <c r="K502" s="108">
        <f>D502+8</f>
        <v/>
      </c>
      <c r="L502" s="108">
        <f>K502+60</f>
        <v/>
      </c>
      <c r="M502" s="111" t="n"/>
      <c r="N502" s="112">
        <f>E502-1</f>
        <v/>
      </c>
      <c r="O502" s="113">
        <f>F502/E502*N502</f>
        <v/>
      </c>
      <c r="P502" s="112">
        <f>G502/E502*N502</f>
        <v/>
      </c>
      <c r="Q502" s="109" t="n"/>
      <c r="R502" s="107" t="n"/>
      <c r="S502" s="107" t="inlineStr">
        <is>
          <t>25030LYD3211</t>
        </is>
      </c>
      <c r="T502" s="114" t="n">
        <v>60</v>
      </c>
      <c r="U502" s="107" t="inlineStr">
        <is>
          <t>01 UNIT PELLE HYDRAULIQUE SUR CHENILLE HYUNDAI CRAWLER EXCAVATOR HX340HD + 01 HAMMER 01 UNIT HX340HD HYUNDAI CRAWLER EXCAVATOR + 01 HAMMER ( VOIR BL)</t>
        </is>
      </c>
      <c r="V502" s="270" t="n"/>
      <c r="W502" s="270" t="n"/>
      <c r="X502" s="106" t="inlineStr">
        <is>
          <t>SOLDEE</t>
        </is>
      </c>
      <c r="Y502" s="116">
        <f>F502/E502</f>
        <v/>
      </c>
      <c r="Z502" s="64">
        <f>E502-N502</f>
        <v/>
      </c>
    </row>
    <row r="503" ht="15.75" customHeight="1" s="202">
      <c r="A503" s="106" t="n">
        <v>20260036</v>
      </c>
      <c r="B503" s="107" t="inlineStr">
        <is>
          <t>LIBRA HONOR</t>
        </is>
      </c>
      <c r="C503" s="108" t="n">
        <v>46052</v>
      </c>
      <c r="D503" s="108" t="n">
        <v>46071</v>
      </c>
      <c r="E503" s="106" t="n">
        <v>2</v>
      </c>
      <c r="F503" s="106" t="n">
        <v>0</v>
      </c>
      <c r="G503" s="106" t="n">
        <v>10</v>
      </c>
      <c r="H503" s="107" t="inlineStr">
        <is>
          <t>COMMERCANT/ENTREPRENEUR YAHIA CHERIF ABDERRAZAK</t>
        </is>
      </c>
      <c r="I503" s="107" t="inlineStr">
        <is>
          <t>COLIS</t>
        </is>
      </c>
      <c r="J503" s="107" t="inlineStr">
        <is>
          <t>COLIS</t>
        </is>
      </c>
      <c r="K503" s="108">
        <f>D503+8</f>
        <v/>
      </c>
      <c r="L503" s="108">
        <f>K503+60</f>
        <v/>
      </c>
      <c r="M503" s="111" t="n"/>
      <c r="N503" s="112">
        <f>E503-2</f>
        <v/>
      </c>
      <c r="O503" s="113">
        <f>F503/E503*N503</f>
        <v/>
      </c>
      <c r="P503" s="112">
        <f>G503/E503*N503</f>
        <v/>
      </c>
      <c r="Q503" s="109" t="n"/>
      <c r="R503" s="107" t="n"/>
      <c r="S503" s="107" t="inlineStr">
        <is>
          <t>25030LYD3211</t>
        </is>
      </c>
      <c r="T503" s="114" t="n">
        <v>60</v>
      </c>
      <c r="U503" s="107" t="n"/>
      <c r="V503" s="270" t="n"/>
      <c r="W503" s="270" t="n"/>
      <c r="X503" s="106" t="inlineStr">
        <is>
          <t>SOLDEE</t>
        </is>
      </c>
      <c r="Y503" s="116">
        <f>F503/E503</f>
        <v/>
      </c>
      <c r="Z503" s="64">
        <f>E503-N503</f>
        <v/>
      </c>
    </row>
    <row r="504" ht="15.75" customHeight="1" s="202">
      <c r="A504" s="116" t="n">
        <v>20260036</v>
      </c>
      <c r="B504" s="117" t="inlineStr">
        <is>
          <t>LIBRA HONOR</t>
        </is>
      </c>
      <c r="C504" s="118" t="n">
        <v>46052</v>
      </c>
      <c r="D504" s="118" t="n">
        <v>46071</v>
      </c>
      <c r="E504" s="116" t="n">
        <v>2</v>
      </c>
      <c r="F504" s="119" t="n">
        <v>60.16</v>
      </c>
      <c r="G504" s="120" t="n">
        <v>48</v>
      </c>
      <c r="H504" s="117" t="inlineStr">
        <is>
          <t>SARL ELWAHA SERVICES ET COMMERCES</t>
        </is>
      </c>
      <c r="I504" s="117" t="inlineStr">
        <is>
          <t>CHARIOT ELEVATEUR</t>
        </is>
      </c>
      <c r="J504" s="117" t="inlineStr">
        <is>
          <t>ENGINS</t>
        </is>
      </c>
      <c r="K504" s="48">
        <f>D504+8</f>
        <v/>
      </c>
      <c r="L504" s="48">
        <f>K504+60</f>
        <v/>
      </c>
      <c r="M504" s="71" t="n"/>
      <c r="N504" s="72">
        <f>E504</f>
        <v/>
      </c>
      <c r="O504" s="50">
        <f>F504/E504*N504</f>
        <v/>
      </c>
      <c r="P504" s="273">
        <f>G504/E504*N504</f>
        <v/>
      </c>
      <c r="S504" s="189" t="inlineStr">
        <is>
          <t>25030LYD3215</t>
        </is>
      </c>
      <c r="T504" s="201" t="n">
        <v>61</v>
      </c>
      <c r="U504" s="117" t="inlineStr">
        <is>
          <t>02 UNITS 16T DIESEL FORKLIFT HNF-160 ( VOIR BL)</t>
        </is>
      </c>
      <c r="X504" s="62" t="inlineStr">
        <is>
          <t>N-OP</t>
        </is>
      </c>
      <c r="Y504" s="116">
        <f>F504/E504</f>
        <v/>
      </c>
      <c r="Z504" s="64">
        <f>E504-N504</f>
        <v/>
      </c>
    </row>
    <row r="505" ht="15.75" customHeight="1" s="202">
      <c r="A505" s="116" t="n">
        <v>20260036</v>
      </c>
      <c r="B505" s="117" t="inlineStr">
        <is>
          <t>LIBRA HONOR</t>
        </is>
      </c>
      <c r="C505" s="118" t="n">
        <v>46052</v>
      </c>
      <c r="D505" s="118" t="n">
        <v>46071</v>
      </c>
      <c r="E505" s="116" t="n">
        <v>1</v>
      </c>
      <c r="F505" s="119" t="n">
        <v>25.47</v>
      </c>
      <c r="G505" s="120" t="n">
        <v>60</v>
      </c>
      <c r="H505" s="117" t="inlineStr">
        <is>
          <t>MERZOUK LAHLOU</t>
        </is>
      </c>
      <c r="I505" s="117" t="inlineStr">
        <is>
          <t>CAMION GRUE</t>
        </is>
      </c>
      <c r="J505" s="117" t="inlineStr">
        <is>
          <t>ENGINS</t>
        </is>
      </c>
      <c r="K505" s="48">
        <f>D505+8</f>
        <v/>
      </c>
      <c r="L505" s="48">
        <f>K505+60</f>
        <v/>
      </c>
      <c r="M505" s="71" t="n"/>
      <c r="N505" s="72">
        <f>E505</f>
        <v/>
      </c>
      <c r="O505" s="50">
        <f>F505/E505*N505</f>
        <v/>
      </c>
      <c r="P505" s="273">
        <f>G505/E505*N505</f>
        <v/>
      </c>
      <c r="S505" s="189" t="inlineStr">
        <is>
          <t>25030LYD3216</t>
        </is>
      </c>
      <c r="T505" s="201" t="n">
        <v>62</v>
      </c>
      <c r="U505" s="117" t="inlineStr">
        <is>
          <t>01 UNIT XCMG TRUCK MOUNTED CONERETE BOOM PUMP XS37 ( VOIR BL)</t>
        </is>
      </c>
      <c r="X505" s="62" t="inlineStr">
        <is>
          <t>N-OP</t>
        </is>
      </c>
      <c r="Y505" s="116">
        <f>F505/E505</f>
        <v/>
      </c>
      <c r="Z505" s="64">
        <f>E505-N505</f>
        <v/>
      </c>
    </row>
    <row r="506" ht="15.75" customHeight="1" s="202">
      <c r="A506" s="106" t="n">
        <v>20260036</v>
      </c>
      <c r="B506" s="107" t="inlineStr">
        <is>
          <t>LIBRA HONOR</t>
        </is>
      </c>
      <c r="C506" s="108" t="n">
        <v>46052</v>
      </c>
      <c r="D506" s="108" t="n">
        <v>46071</v>
      </c>
      <c r="E506" s="106" t="n">
        <v>1</v>
      </c>
      <c r="F506" s="106" t="n">
        <v>37.091</v>
      </c>
      <c r="G506" s="106" t="n">
        <v>24</v>
      </c>
      <c r="H506" s="107" t="inlineStr">
        <is>
          <t>SARL FRERES BOUHANOUNE</t>
        </is>
      </c>
      <c r="I506" s="107" t="inlineStr">
        <is>
          <t>EXCAVATEURS</t>
        </is>
      </c>
      <c r="J506" s="107" t="inlineStr">
        <is>
          <t>ENGINS</t>
        </is>
      </c>
      <c r="K506" s="108">
        <f>D506+8</f>
        <v/>
      </c>
      <c r="L506" s="108">
        <f>K506+60</f>
        <v/>
      </c>
      <c r="M506" s="111" t="n"/>
      <c r="N506" s="112">
        <f>E506-1</f>
        <v/>
      </c>
      <c r="O506" s="113">
        <f>F506/E506*N506</f>
        <v/>
      </c>
      <c r="P506" s="112">
        <f>G506/E506*N506</f>
        <v/>
      </c>
      <c r="Q506" s="109" t="n"/>
      <c r="R506" s="107" t="n"/>
      <c r="S506" s="107" t="inlineStr">
        <is>
          <t>25030LYD3217</t>
        </is>
      </c>
      <c r="T506" s="114" t="n">
        <v>63</v>
      </c>
      <c r="U506" s="107" t="inlineStr">
        <is>
          <t>01 UNIT XCMG EXCAVATOR XE335G WITH HAMMER (VOIR BL)</t>
        </is>
      </c>
      <c r="V506" s="270" t="n"/>
      <c r="W506" s="270" t="n"/>
      <c r="X506" s="106" t="inlineStr">
        <is>
          <t>SOLDEE</t>
        </is>
      </c>
      <c r="Y506" s="116">
        <f>F506/E506</f>
        <v/>
      </c>
    </row>
    <row r="507" ht="15.75" customHeight="1" s="202">
      <c r="A507" s="106" t="n">
        <v>20260036</v>
      </c>
      <c r="B507" s="107" t="inlineStr">
        <is>
          <t>LIBRA HONOR</t>
        </is>
      </c>
      <c r="C507" s="108" t="n">
        <v>46052</v>
      </c>
      <c r="D507" s="108" t="n">
        <v>46071</v>
      </c>
      <c r="E507" s="106" t="n">
        <v>2</v>
      </c>
      <c r="F507" s="106" t="n">
        <v>0</v>
      </c>
      <c r="G507" s="106" t="n">
        <v>10</v>
      </c>
      <c r="H507" s="107" t="inlineStr">
        <is>
          <t>SARL FRERES BOUHANOUNE</t>
        </is>
      </c>
      <c r="I507" s="107" t="inlineStr">
        <is>
          <t>COLIS</t>
        </is>
      </c>
      <c r="J507" s="107" t="inlineStr">
        <is>
          <t>COLIS</t>
        </is>
      </c>
      <c r="K507" s="108">
        <f>D507+8</f>
        <v/>
      </c>
      <c r="L507" s="108">
        <f>K507+60</f>
        <v/>
      </c>
      <c r="M507" s="111" t="n"/>
      <c r="N507" s="112">
        <f>E507-2</f>
        <v/>
      </c>
      <c r="O507" s="113">
        <f>F507/E507*N507</f>
        <v/>
      </c>
      <c r="P507" s="112">
        <f>G507/E507*N507</f>
        <v/>
      </c>
      <c r="Q507" s="109" t="n"/>
      <c r="R507" s="107" t="n"/>
      <c r="S507" s="107" t="inlineStr">
        <is>
          <t>25030LYD3217</t>
        </is>
      </c>
      <c r="T507" s="114" t="n">
        <v>63</v>
      </c>
      <c r="U507" s="107" t="n"/>
      <c r="V507" s="270" t="n"/>
      <c r="W507" s="270" t="n"/>
      <c r="X507" s="106" t="inlineStr">
        <is>
          <t>SOLDEE</t>
        </is>
      </c>
      <c r="Y507" s="116">
        <f>F507/E507</f>
        <v/>
      </c>
    </row>
    <row r="508" ht="15.75" customHeight="1" s="202">
      <c r="A508" s="206" t="n">
        <v>20260036</v>
      </c>
      <c r="B508" s="207" t="inlineStr">
        <is>
          <t>LIBRA HONOR</t>
        </is>
      </c>
      <c r="C508" s="208" t="n">
        <v>46052</v>
      </c>
      <c r="D508" s="208" t="n">
        <v>46071</v>
      </c>
      <c r="E508" s="206" t="n">
        <v>3</v>
      </c>
      <c r="F508" s="210" t="n">
        <v>63.6</v>
      </c>
      <c r="G508" s="211" t="n">
        <v>72</v>
      </c>
      <c r="H508" s="207" t="inlineStr">
        <is>
          <t>AICHE OUSSAMA</t>
        </is>
      </c>
      <c r="I508" s="207" t="inlineStr">
        <is>
          <t>COMPACTEURS</t>
        </is>
      </c>
      <c r="J508" s="207" t="inlineStr">
        <is>
          <t>ENGINS</t>
        </is>
      </c>
      <c r="K508" s="213">
        <f>D508+8</f>
        <v/>
      </c>
      <c r="L508" s="213">
        <f>K508+60</f>
        <v/>
      </c>
      <c r="M508" s="214" t="n"/>
      <c r="N508" s="215">
        <f>E508-2</f>
        <v/>
      </c>
      <c r="O508" s="216">
        <f>F508/E508*N508</f>
        <v/>
      </c>
      <c r="P508" s="218">
        <f>G508/E508*N508</f>
        <v/>
      </c>
      <c r="S508" s="189" t="inlineStr">
        <is>
          <t>25030LYD3218</t>
        </is>
      </c>
      <c r="T508" s="201" t="n">
        <v>64</v>
      </c>
      <c r="U508" s="117" t="inlineStr">
        <is>
          <t>02 UNITS XCMG ROAD ROLLER XS203J+ XP263S 01 UNIT XCMG MOTOR GRADER GR215 ( VOIR BL)</t>
        </is>
      </c>
      <c r="X508" s="99" t="inlineStr">
        <is>
          <t>OPER</t>
        </is>
      </c>
      <c r="Y508" s="116">
        <f>F508/E508</f>
        <v/>
      </c>
      <c r="Z508" s="64">
        <f>E508-N508</f>
        <v/>
      </c>
    </row>
    <row r="509" ht="15.75" customHeight="1" s="202">
      <c r="A509" s="116" t="n">
        <v>20260036</v>
      </c>
      <c r="B509" s="117" t="inlineStr">
        <is>
          <t>LIBRA HONOR</t>
        </is>
      </c>
      <c r="C509" s="118" t="n">
        <v>46052</v>
      </c>
      <c r="D509" s="118" t="n">
        <v>46071</v>
      </c>
      <c r="E509" s="116" t="n">
        <v>2</v>
      </c>
      <c r="F509" s="119" t="n">
        <v>0</v>
      </c>
      <c r="G509" s="120" t="n">
        <v>10</v>
      </c>
      <c r="H509" s="117" t="inlineStr">
        <is>
          <t>AICHE OUSSAMA</t>
        </is>
      </c>
      <c r="I509" s="117" t="inlineStr">
        <is>
          <t>COLIS</t>
        </is>
      </c>
      <c r="J509" s="117" t="inlineStr">
        <is>
          <t>COLIS</t>
        </is>
      </c>
      <c r="K509" s="48">
        <f>D509+8</f>
        <v/>
      </c>
      <c r="L509" s="48">
        <f>K509+60</f>
        <v/>
      </c>
      <c r="M509" s="71" t="n"/>
      <c r="N509" s="72">
        <f>E509</f>
        <v/>
      </c>
      <c r="O509" s="50">
        <f>F509/E509*N509</f>
        <v/>
      </c>
      <c r="P509" s="273">
        <f>G509/E509*N509</f>
        <v/>
      </c>
      <c r="S509" s="189" t="inlineStr">
        <is>
          <t>25030LYD3218</t>
        </is>
      </c>
      <c r="T509" s="201" t="n">
        <v>64</v>
      </c>
      <c r="X509" s="62" t="inlineStr">
        <is>
          <t>N-OP</t>
        </is>
      </c>
      <c r="Y509" s="116">
        <f>F509/E509</f>
        <v/>
      </c>
      <c r="Z509" s="64">
        <f>E509-N509</f>
        <v/>
      </c>
    </row>
    <row r="510" ht="15.75" customHeight="1" s="202">
      <c r="A510" s="106" t="n">
        <v>20260036</v>
      </c>
      <c r="B510" s="107" t="inlineStr">
        <is>
          <t>LIBRA HONOR</t>
        </is>
      </c>
      <c r="C510" s="108" t="n">
        <v>46052</v>
      </c>
      <c r="D510" s="108" t="n">
        <v>46071</v>
      </c>
      <c r="E510" s="106" t="n">
        <v>1</v>
      </c>
      <c r="F510" s="106" t="n">
        <v>33.87</v>
      </c>
      <c r="G510" s="106" t="n">
        <v>60</v>
      </c>
      <c r="H510" s="107" t="inlineStr">
        <is>
          <t>EURL EL TAHALIA IMPORT EXPORT</t>
        </is>
      </c>
      <c r="I510" s="107" t="inlineStr">
        <is>
          <t>CAMION GRUE</t>
        </is>
      </c>
      <c r="J510" s="107" t="inlineStr">
        <is>
          <t>ENGINS</t>
        </is>
      </c>
      <c r="K510" s="108">
        <f>D510+8</f>
        <v/>
      </c>
      <c r="L510" s="108">
        <f>K510+60</f>
        <v/>
      </c>
      <c r="M510" s="111" t="n"/>
      <c r="N510" s="112">
        <f>E510-1</f>
        <v/>
      </c>
      <c r="O510" s="113">
        <f>F510/E510*N510</f>
        <v/>
      </c>
      <c r="P510" s="112">
        <f>G510/E510*N510</f>
        <v/>
      </c>
      <c r="Q510" s="109" t="n"/>
      <c r="R510" s="107" t="n"/>
      <c r="S510" s="107" t="inlineStr">
        <is>
          <t>25030LYD3219</t>
        </is>
      </c>
      <c r="T510" s="114" t="n">
        <v>65</v>
      </c>
      <c r="U510" s="107" t="inlineStr">
        <is>
          <t>01 UNIT ZOOMLION CONCRETE PUMP TRUCK ( VOIR BL)</t>
        </is>
      </c>
      <c r="V510" s="270" t="n"/>
      <c r="W510" s="270" t="n"/>
      <c r="X510" s="106" t="inlineStr">
        <is>
          <t>SOLDEE</t>
        </is>
      </c>
      <c r="Y510" s="116">
        <f>F510/E510</f>
        <v/>
      </c>
      <c r="Z510" s="64">
        <f>E510-N510</f>
        <v/>
      </c>
      <c r="AA510" s="64" t="n">
        <v>12</v>
      </c>
    </row>
    <row r="511" ht="15.75" customHeight="1" s="202">
      <c r="A511" s="116" t="n">
        <v>20260036</v>
      </c>
      <c r="B511" s="117" t="inlineStr">
        <is>
          <t>LIBRA HONOR</t>
        </is>
      </c>
      <c r="C511" s="118" t="n">
        <v>46052</v>
      </c>
      <c r="D511" s="118" t="n">
        <v>46071</v>
      </c>
      <c r="E511" s="116" t="n">
        <v>1</v>
      </c>
      <c r="F511" s="119" t="n">
        <v>34.38</v>
      </c>
      <c r="G511" s="120" t="n">
        <v>24</v>
      </c>
      <c r="H511" s="117" t="inlineStr">
        <is>
          <t>SARL CHAHYGAZ</t>
        </is>
      </c>
      <c r="I511" s="117" t="inlineStr">
        <is>
          <t>EXCAVATEURS</t>
        </is>
      </c>
      <c r="J511" s="117" t="inlineStr">
        <is>
          <t>ENGINS</t>
        </is>
      </c>
      <c r="K511" s="48">
        <f>D511+8</f>
        <v/>
      </c>
      <c r="L511" s="48">
        <f>K511+60</f>
        <v/>
      </c>
      <c r="M511" s="71" t="n"/>
      <c r="N511" s="72">
        <f>E511</f>
        <v/>
      </c>
      <c r="O511" s="50">
        <f>F511/E511*N511</f>
        <v/>
      </c>
      <c r="P511" s="273">
        <f>G511/E511*N511</f>
        <v/>
      </c>
      <c r="S511" s="189" t="inlineStr">
        <is>
          <t>25030LYD3221</t>
        </is>
      </c>
      <c r="T511" s="201" t="n">
        <v>67</v>
      </c>
      <c r="U511" s="117" t="inlineStr">
        <is>
          <t>01 UNIT POCLAIN SUR CHENILLE HYUNDAI CRAWLER EXCAVATOR ( VOIR BL)</t>
        </is>
      </c>
      <c r="X511" s="62" t="inlineStr">
        <is>
          <t>N-OP</t>
        </is>
      </c>
      <c r="Y511" s="116">
        <f>F511/E511</f>
        <v/>
      </c>
      <c r="Z511" s="64">
        <f>E511-N511</f>
        <v/>
      </c>
    </row>
    <row r="512" ht="15.75" customHeight="1" s="202">
      <c r="A512" s="116" t="n">
        <v>20260036</v>
      </c>
      <c r="B512" s="117" t="inlineStr">
        <is>
          <t>LIBRA HONOR</t>
        </is>
      </c>
      <c r="C512" s="118" t="n">
        <v>46052</v>
      </c>
      <c r="D512" s="118" t="n">
        <v>46071</v>
      </c>
      <c r="E512" s="116" t="n">
        <v>3</v>
      </c>
      <c r="F512" s="119" t="n">
        <v>0</v>
      </c>
      <c r="G512" s="120" t="n">
        <v>15</v>
      </c>
      <c r="H512" s="117" t="inlineStr">
        <is>
          <t>SARL CHAHYGAZ</t>
        </is>
      </c>
      <c r="I512" s="117" t="inlineStr">
        <is>
          <t>COLIS</t>
        </is>
      </c>
      <c r="J512" s="117" t="inlineStr">
        <is>
          <t>COLIS</t>
        </is>
      </c>
      <c r="K512" s="48">
        <f>D512+8</f>
        <v/>
      </c>
      <c r="L512" s="48">
        <f>K512+60</f>
        <v/>
      </c>
      <c r="M512" s="71" t="n"/>
      <c r="N512" s="72">
        <f>E512</f>
        <v/>
      </c>
      <c r="O512" s="50">
        <f>F512/E512*N512</f>
        <v/>
      </c>
      <c r="P512" s="273">
        <f>G512/E512*N512</f>
        <v/>
      </c>
      <c r="S512" s="189" t="inlineStr">
        <is>
          <t>25030LYD3221</t>
        </is>
      </c>
      <c r="T512" s="201" t="n">
        <v>67</v>
      </c>
      <c r="X512" s="62" t="inlineStr">
        <is>
          <t>N-OP</t>
        </is>
      </c>
      <c r="Y512" s="116">
        <f>F512/E512</f>
        <v/>
      </c>
      <c r="Z512" s="64">
        <f>E512-N512</f>
        <v/>
      </c>
    </row>
    <row r="513" ht="15.75" customHeight="1" s="202">
      <c r="A513" s="116" t="n">
        <v>20260036</v>
      </c>
      <c r="B513" s="117" t="inlineStr">
        <is>
          <t>LIBRA HONOR</t>
        </is>
      </c>
      <c r="C513" s="118" t="n">
        <v>46052</v>
      </c>
      <c r="D513" s="118" t="n">
        <v>46071</v>
      </c>
      <c r="E513" s="116" t="n">
        <v>1</v>
      </c>
      <c r="F513" s="119" t="n">
        <v>12</v>
      </c>
      <c r="G513" s="120" t="n">
        <v>24</v>
      </c>
      <c r="H513" s="117" t="inlineStr">
        <is>
          <t>SARL MS INJAZCOM</t>
        </is>
      </c>
      <c r="I513" s="117" t="inlineStr">
        <is>
          <t>CAMIONS</t>
        </is>
      </c>
      <c r="J513" s="117" t="inlineStr">
        <is>
          <t>LOURD</t>
        </is>
      </c>
      <c r="K513" s="48">
        <f>D513+8</f>
        <v/>
      </c>
      <c r="L513" s="48">
        <f>K513+60</f>
        <v/>
      </c>
      <c r="M513" s="71" t="n"/>
      <c r="N513" s="72">
        <f>E513</f>
        <v/>
      </c>
      <c r="O513" s="50">
        <f>F513/E513*N513</f>
        <v/>
      </c>
      <c r="P513" s="273">
        <f>G513/E513*N513</f>
        <v/>
      </c>
      <c r="S513" s="189" t="inlineStr">
        <is>
          <t>25030LYD3223B</t>
        </is>
      </c>
      <c r="T513" s="201" t="n">
        <v>69</v>
      </c>
      <c r="U513" s="117" t="inlineStr">
        <is>
          <t>01 UNIT SHACMAN DUMP F2000 ( VOIR BL)</t>
        </is>
      </c>
      <c r="X513" s="62" t="inlineStr">
        <is>
          <t>N-OP</t>
        </is>
      </c>
      <c r="Y513" s="116">
        <f>F513/E513</f>
        <v/>
      </c>
      <c r="Z513" s="64">
        <f>E513-N513</f>
        <v/>
      </c>
      <c r="AA513" s="64" t="n">
        <v>275</v>
      </c>
    </row>
    <row r="514" ht="15.75" customHeight="1" s="202">
      <c r="A514" s="106" t="n">
        <v>20260036</v>
      </c>
      <c r="B514" s="107" t="inlineStr">
        <is>
          <t>LIBRA HONOR</t>
        </is>
      </c>
      <c r="C514" s="108" t="n">
        <v>46052</v>
      </c>
      <c r="D514" s="108" t="n">
        <v>46071</v>
      </c>
      <c r="E514" s="106" t="n">
        <v>1</v>
      </c>
      <c r="F514" s="106" t="n">
        <v>30</v>
      </c>
      <c r="G514" s="106" t="n">
        <v>24</v>
      </c>
      <c r="H514" s="107" t="inlineStr">
        <is>
          <t>ENTREPRISE BELOUNIS REDA</t>
        </is>
      </c>
      <c r="I514" s="107" t="inlineStr">
        <is>
          <t>COMPACTEURS</t>
        </is>
      </c>
      <c r="J514" s="107" t="inlineStr">
        <is>
          <t>ENGINS</t>
        </is>
      </c>
      <c r="K514" s="108">
        <f>D514+8</f>
        <v/>
      </c>
      <c r="L514" s="108">
        <f>K514+60</f>
        <v/>
      </c>
      <c r="M514" s="111" t="n"/>
      <c r="N514" s="112">
        <f>E514-1</f>
        <v/>
      </c>
      <c r="O514" s="113">
        <f>F514/E514*N514</f>
        <v/>
      </c>
      <c r="P514" s="112">
        <f>G514/E514*N514</f>
        <v/>
      </c>
      <c r="Q514" s="109" t="n"/>
      <c r="R514" s="107" t="n"/>
      <c r="S514" s="107" t="inlineStr">
        <is>
          <t>25030LYD3227</t>
        </is>
      </c>
      <c r="T514" s="114" t="n">
        <v>73</v>
      </c>
      <c r="U514" s="107" t="inlineStr">
        <is>
          <t>01 UNIT XCMG ROAD ROLLER XP303 ( VOIR BL)</t>
        </is>
      </c>
      <c r="V514" s="270" t="n"/>
      <c r="W514" s="270" t="n"/>
      <c r="X514" s="106" t="inlineStr">
        <is>
          <t>SOLDEE</t>
        </is>
      </c>
      <c r="Y514" s="116">
        <f>F514/E514</f>
        <v/>
      </c>
      <c r="AA514" s="64" t="n">
        <v>73</v>
      </c>
    </row>
    <row r="515" ht="15.75" customHeight="1" s="202">
      <c r="A515" s="116" t="n">
        <v>20260036</v>
      </c>
      <c r="B515" s="117" t="inlineStr">
        <is>
          <t>LIBRA HONOR</t>
        </is>
      </c>
      <c r="C515" s="118" t="n">
        <v>46052</v>
      </c>
      <c r="D515" s="118" t="n">
        <v>46071</v>
      </c>
      <c r="E515" s="116" t="n">
        <v>1</v>
      </c>
      <c r="F515" s="119" t="n">
        <v>33.205</v>
      </c>
      <c r="G515" s="120" t="n">
        <v>24</v>
      </c>
      <c r="H515" s="117" t="inlineStr">
        <is>
          <t>ENTREPRISE SALHI IMANE</t>
        </is>
      </c>
      <c r="I515" s="117" t="inlineStr">
        <is>
          <t>CAMION GRUE</t>
        </is>
      </c>
      <c r="J515" s="117" t="inlineStr">
        <is>
          <t>ENGINS</t>
        </is>
      </c>
      <c r="K515" s="48">
        <f>D515+8</f>
        <v/>
      </c>
      <c r="L515" s="48">
        <f>K515+60</f>
        <v/>
      </c>
      <c r="M515" s="71" t="n"/>
      <c r="N515" s="72">
        <f>E515</f>
        <v/>
      </c>
      <c r="O515" s="50">
        <f>F515/E515*N515</f>
        <v/>
      </c>
      <c r="P515" s="273">
        <f>G515/E515*N515</f>
        <v/>
      </c>
      <c r="S515" s="189" t="inlineStr">
        <is>
          <t>25030LYD3228</t>
        </is>
      </c>
      <c r="T515" s="201" t="n">
        <v>74</v>
      </c>
      <c r="U515" s="117" t="inlineStr">
        <is>
          <t>01 UNIT XCMG QY30K5C TRUCK CRANE ( VOIR BL)</t>
        </is>
      </c>
      <c r="X515" s="62" t="inlineStr">
        <is>
          <t>N-OP</t>
        </is>
      </c>
      <c r="Y515" s="116">
        <f>F515/E515</f>
        <v/>
      </c>
      <c r="Z515" s="64">
        <f>E515-N515</f>
        <v/>
      </c>
      <c r="AA515" s="64" t="n">
        <v>443</v>
      </c>
    </row>
    <row r="516" ht="15.75" customHeight="1" s="202">
      <c r="A516" s="116" t="n">
        <v>20260036</v>
      </c>
      <c r="B516" s="117" t="inlineStr">
        <is>
          <t>LIBRA HONOR</t>
        </is>
      </c>
      <c r="C516" s="118" t="n">
        <v>46052</v>
      </c>
      <c r="D516" s="118" t="n">
        <v>46071</v>
      </c>
      <c r="E516" s="116" t="n">
        <v>1</v>
      </c>
      <c r="F516" s="119" t="n">
        <v>0</v>
      </c>
      <c r="G516" s="120" t="n">
        <v>5</v>
      </c>
      <c r="H516" s="117" t="inlineStr">
        <is>
          <t>ENTREPRISE SALHI IMANE</t>
        </is>
      </c>
      <c r="I516" s="117" t="inlineStr">
        <is>
          <t>COLIS</t>
        </is>
      </c>
      <c r="J516" s="117" t="inlineStr">
        <is>
          <t>COLIS</t>
        </is>
      </c>
      <c r="K516" s="48">
        <f>D516+8</f>
        <v/>
      </c>
      <c r="L516" s="48">
        <f>K516+60</f>
        <v/>
      </c>
      <c r="M516" s="71" t="n"/>
      <c r="N516" s="72">
        <f>E516</f>
        <v/>
      </c>
      <c r="O516" s="50">
        <f>F516/E516*N516</f>
        <v/>
      </c>
      <c r="P516" s="273">
        <f>G516/E516*N516</f>
        <v/>
      </c>
      <c r="S516" s="189" t="inlineStr">
        <is>
          <t>25030LYD3228</t>
        </is>
      </c>
      <c r="T516" s="201" t="n">
        <v>74</v>
      </c>
      <c r="X516" s="62" t="inlineStr">
        <is>
          <t>N-OP</t>
        </is>
      </c>
      <c r="Y516" s="116">
        <f>F516/E516</f>
        <v/>
      </c>
      <c r="Z516" s="64">
        <f>E516-N516</f>
        <v/>
      </c>
    </row>
    <row r="517" ht="15.75" customHeight="1" s="202">
      <c r="A517" s="106" t="n">
        <v>20260036</v>
      </c>
      <c r="B517" s="107" t="inlineStr">
        <is>
          <t>LIBRA HONOR</t>
        </is>
      </c>
      <c r="C517" s="108" t="n">
        <v>46052</v>
      </c>
      <c r="D517" s="108" t="n">
        <v>46071</v>
      </c>
      <c r="E517" s="106" t="n">
        <v>1</v>
      </c>
      <c r="F517" s="106" t="n">
        <v>13.5</v>
      </c>
      <c r="G517" s="106" t="n">
        <v>24</v>
      </c>
      <c r="H517" s="107" t="inlineStr">
        <is>
          <t>ENTREPRISE BELOUNIS REDA</t>
        </is>
      </c>
      <c r="I517" s="107" t="inlineStr">
        <is>
          <t>CAMIONS</t>
        </is>
      </c>
      <c r="J517" s="107" t="inlineStr">
        <is>
          <t>LOURD</t>
        </is>
      </c>
      <c r="K517" s="108">
        <f>D517+8</f>
        <v/>
      </c>
      <c r="L517" s="108">
        <f>K517+60</f>
        <v/>
      </c>
      <c r="M517" s="111" t="n"/>
      <c r="N517" s="112">
        <f>E517-1</f>
        <v/>
      </c>
      <c r="O517" s="113">
        <f>F517/E517*N517</f>
        <v/>
      </c>
      <c r="P517" s="112">
        <f>G517/E517*N517</f>
        <v/>
      </c>
      <c r="Q517" s="109" t="n"/>
      <c r="R517" s="107" t="n"/>
      <c r="S517" s="107" t="inlineStr">
        <is>
          <t>25030LYD3229</t>
        </is>
      </c>
      <c r="T517" s="114" t="n">
        <v>75</v>
      </c>
      <c r="U517" s="107" t="inlineStr">
        <is>
          <t>01 UNIT SINOTRUK HOWO.TX 6x4 TIPPER TRUCK ( VOIR BL)</t>
        </is>
      </c>
      <c r="V517" s="270" t="n"/>
      <c r="W517" s="270" t="n"/>
      <c r="X517" s="106" t="inlineStr">
        <is>
          <t>SOLDEE</t>
        </is>
      </c>
      <c r="Y517" s="116">
        <f>F517/E517</f>
        <v/>
      </c>
      <c r="AA517" s="64" t="n">
        <v>340</v>
      </c>
    </row>
    <row r="518" ht="15.75" customHeight="1" s="202">
      <c r="A518" s="106" t="n">
        <v>20260036</v>
      </c>
      <c r="B518" s="107" t="inlineStr">
        <is>
          <t>LIBRA HONOR</t>
        </is>
      </c>
      <c r="C518" s="108" t="n">
        <v>46052</v>
      </c>
      <c r="D518" s="108" t="n">
        <v>46071</v>
      </c>
      <c r="E518" s="106" t="n">
        <v>2</v>
      </c>
      <c r="F518" s="106" t="n">
        <v>66.348</v>
      </c>
      <c r="G518" s="106" t="n">
        <v>48</v>
      </c>
      <c r="H518" s="107" t="inlineStr">
        <is>
          <t>BOURAS ABDERRAOUF</t>
        </is>
      </c>
      <c r="I518" s="107" t="inlineStr">
        <is>
          <t>EXCAVATEURS</t>
        </is>
      </c>
      <c r="J518" s="107" t="inlineStr">
        <is>
          <t>ENGINS</t>
        </is>
      </c>
      <c r="K518" s="108">
        <f>D518+8</f>
        <v/>
      </c>
      <c r="L518" s="108">
        <f>K518+60</f>
        <v/>
      </c>
      <c r="M518" s="111" t="n"/>
      <c r="N518" s="112">
        <f>E518-2</f>
        <v/>
      </c>
      <c r="O518" s="113">
        <f>F518/E518*N518</f>
        <v/>
      </c>
      <c r="P518" s="112">
        <f>G518/E518*N518</f>
        <v/>
      </c>
      <c r="Q518" s="109" t="n"/>
      <c r="R518" s="107" t="n"/>
      <c r="S518" s="107" t="inlineStr">
        <is>
          <t>25030LYD3231</t>
        </is>
      </c>
      <c r="T518" s="114" t="n">
        <v>76</v>
      </c>
      <c r="U518" s="107" t="inlineStr">
        <is>
          <t>02 UNITS HYUNDAI EXCAVATOR HX340HD ( VOIR BL)</t>
        </is>
      </c>
      <c r="V518" s="270" t="n"/>
      <c r="W518" s="270" t="n"/>
      <c r="X518" s="106" t="inlineStr">
        <is>
          <t>SOLDEE</t>
        </is>
      </c>
      <c r="Y518" s="116">
        <f>F518/E518</f>
        <v/>
      </c>
    </row>
    <row r="519" ht="15.75" customHeight="1" s="202">
      <c r="A519" s="116" t="n">
        <v>20260036</v>
      </c>
      <c r="B519" s="117" t="inlineStr">
        <is>
          <t>LIBRA HONOR</t>
        </is>
      </c>
      <c r="C519" s="118" t="n">
        <v>46052</v>
      </c>
      <c r="D519" s="118" t="n">
        <v>46071</v>
      </c>
      <c r="E519" s="116" t="n">
        <v>4</v>
      </c>
      <c r="F519" s="119" t="n">
        <v>0</v>
      </c>
      <c r="G519" s="120" t="n">
        <v>16</v>
      </c>
      <c r="H519" s="117" t="inlineStr">
        <is>
          <t>BOURAS ABDERRAOUF</t>
        </is>
      </c>
      <c r="I519" s="117" t="inlineStr">
        <is>
          <t>COLIS</t>
        </is>
      </c>
      <c r="J519" s="117" t="inlineStr">
        <is>
          <t>COLIS</t>
        </is>
      </c>
      <c r="K519" s="48">
        <f>D519+8</f>
        <v/>
      </c>
      <c r="L519" s="48">
        <f>K519+60</f>
        <v/>
      </c>
      <c r="M519" s="71" t="n"/>
      <c r="N519" s="72">
        <f>E519</f>
        <v/>
      </c>
      <c r="O519" s="50">
        <f>F519/E519*N519</f>
        <v/>
      </c>
      <c r="P519" s="273">
        <f>G519/E519*N519</f>
        <v/>
      </c>
      <c r="S519" s="189" t="inlineStr">
        <is>
          <t>25030LYD3231</t>
        </is>
      </c>
      <c r="T519" s="201" t="n">
        <v>76</v>
      </c>
      <c r="X519" s="62" t="inlineStr">
        <is>
          <t>N-OP</t>
        </is>
      </c>
      <c r="Y519" s="116">
        <f>F519/E519</f>
        <v/>
      </c>
      <c r="Z519" s="64">
        <f>E519-N519</f>
        <v/>
      </c>
    </row>
    <row r="520" ht="15.75" customHeight="1" s="202">
      <c r="A520" s="106" t="n">
        <v>20260036</v>
      </c>
      <c r="B520" s="107" t="inlineStr">
        <is>
          <t>LIBRA HONOR</t>
        </is>
      </c>
      <c r="C520" s="108" t="n">
        <v>46052</v>
      </c>
      <c r="D520" s="108" t="n">
        <v>46071</v>
      </c>
      <c r="E520" s="106" t="n">
        <v>1</v>
      </c>
      <c r="F520" s="106" t="n">
        <v>12.33</v>
      </c>
      <c r="G520" s="106" t="n">
        <v>24</v>
      </c>
      <c r="H520" s="107" t="inlineStr">
        <is>
          <t>YAICHI MOSTAFA</t>
        </is>
      </c>
      <c r="I520" s="107" t="inlineStr">
        <is>
          <t>CAMIONS</t>
        </is>
      </c>
      <c r="J520" s="107" t="inlineStr">
        <is>
          <t>LOURD</t>
        </is>
      </c>
      <c r="K520" s="108">
        <f>D520+8</f>
        <v/>
      </c>
      <c r="L520" s="108">
        <f>K520+60</f>
        <v/>
      </c>
      <c r="M520" s="111" t="n"/>
      <c r="N520" s="112">
        <f>E520-1</f>
        <v/>
      </c>
      <c r="O520" s="113">
        <f>F520/E520*N520</f>
        <v/>
      </c>
      <c r="P520" s="112">
        <f>G520/E520*N520</f>
        <v/>
      </c>
      <c r="Q520" s="109" t="n"/>
      <c r="R520" s="107" t="n"/>
      <c r="S520" s="107" t="inlineStr">
        <is>
          <t>25030LYD3235</t>
        </is>
      </c>
      <c r="T520" s="114" t="n">
        <v>79</v>
      </c>
      <c r="U520" s="107" t="inlineStr">
        <is>
          <t>01 UNIT SHACMAN F2000 DUMP TRUCK ( VOIR BL)</t>
        </is>
      </c>
      <c r="V520" s="270" t="n"/>
      <c r="W520" s="270" t="n"/>
      <c r="X520" s="106" t="inlineStr">
        <is>
          <t>SOLDEE</t>
        </is>
      </c>
      <c r="Y520" s="116">
        <f>F520/E520</f>
        <v/>
      </c>
      <c r="AA520" s="64" t="n">
        <v>960</v>
      </c>
    </row>
    <row r="521" ht="15.75" customHeight="1" s="202">
      <c r="A521" s="106" t="n">
        <v>20260036</v>
      </c>
      <c r="B521" s="107" t="inlineStr">
        <is>
          <t>LIBRA HONOR</t>
        </is>
      </c>
      <c r="C521" s="108" t="n">
        <v>46052</v>
      </c>
      <c r="D521" s="108" t="n">
        <v>46071</v>
      </c>
      <c r="E521" s="106" t="n">
        <v>3</v>
      </c>
      <c r="F521" s="106" t="n">
        <v>65.59999999999999</v>
      </c>
      <c r="G521" s="106" t="n">
        <v>72</v>
      </c>
      <c r="H521" s="107" t="inlineStr">
        <is>
          <t>EURL CHEMSE ELACIL SERVICES</t>
        </is>
      </c>
      <c r="I521" s="107" t="inlineStr">
        <is>
          <t>REMORQUE</t>
        </is>
      </c>
      <c r="J521" s="107" t="inlineStr">
        <is>
          <t>LOURD</t>
        </is>
      </c>
      <c r="K521" s="108">
        <f>D521+8</f>
        <v/>
      </c>
      <c r="L521" s="108">
        <f>K521+60</f>
        <v/>
      </c>
      <c r="M521" s="111" t="n"/>
      <c r="N521" s="112">
        <f>E521-2-1</f>
        <v/>
      </c>
      <c r="O521" s="113">
        <f>F521/E521*N521</f>
        <v/>
      </c>
      <c r="P521" s="112">
        <f>G521/E521*N521</f>
        <v/>
      </c>
      <c r="Q521" s="109" t="n"/>
      <c r="R521" s="107" t="n"/>
      <c r="S521" s="107" t="inlineStr">
        <is>
          <t>25030LYD3302</t>
        </is>
      </c>
      <c r="T521" s="114" t="n">
        <v>82</v>
      </c>
      <c r="U521" s="107" t="inlineStr">
        <is>
          <t>02 UNITS 02 AXLES FLATBED SEMI TRAILER WITH FRONT WALL /02 UNITS 04 AXLES LOWBED SEMI TRAILER WITH ONE WINCH ( VOIR BL)</t>
        </is>
      </c>
      <c r="V521" s="270" t="n"/>
      <c r="W521" s="270" t="n"/>
      <c r="X521" s="106" t="inlineStr">
        <is>
          <t>SOLDEE</t>
        </is>
      </c>
      <c r="Y521" s="116">
        <f>F521/E521</f>
        <v/>
      </c>
    </row>
    <row r="522" ht="15.75" customHeight="1" s="202">
      <c r="A522" s="106" t="n">
        <v>20260036</v>
      </c>
      <c r="B522" s="107" t="inlineStr">
        <is>
          <t>LIBRA HONOR</t>
        </is>
      </c>
      <c r="C522" s="108" t="n">
        <v>46052</v>
      </c>
      <c r="D522" s="108" t="n">
        <v>46071</v>
      </c>
      <c r="E522" s="106" t="n">
        <v>7</v>
      </c>
      <c r="F522" s="106" t="n">
        <v>62</v>
      </c>
      <c r="G522" s="106" t="n">
        <v>25</v>
      </c>
      <c r="H522" s="107" t="inlineStr">
        <is>
          <t>GROUPEMENT SINOPEC LUOYANG ENGINEERING CO., LTD /</t>
        </is>
      </c>
      <c r="I522" s="107" t="inlineStr">
        <is>
          <t>COLIS</t>
        </is>
      </c>
      <c r="J522" s="107" t="inlineStr">
        <is>
          <t>COLIS</t>
        </is>
      </c>
      <c r="K522" s="108">
        <f>D522+8</f>
        <v/>
      </c>
      <c r="L522" s="108">
        <f>K522+60</f>
        <v/>
      </c>
      <c r="M522" s="111" t="n"/>
      <c r="N522" s="112">
        <f>E522-7</f>
        <v/>
      </c>
      <c r="O522" s="113">
        <f>F522/E522*N522</f>
        <v/>
      </c>
      <c r="P522" s="112">
        <f>G522/E522*N522</f>
        <v/>
      </c>
      <c r="Q522" s="109" t="n"/>
      <c r="R522" s="107" t="n"/>
      <c r="S522" s="107" t="inlineStr">
        <is>
          <t>25030LYD3901</t>
        </is>
      </c>
      <c r="T522" s="114" t="n">
        <v>87</v>
      </c>
      <c r="U522" s="107" t="inlineStr">
        <is>
          <t>AIR COMPRESSOR / NITROGEN GENERATOR / DEHUMIDIFIER / GAS STORAGE TANK</t>
        </is>
      </c>
      <c r="V522" s="270" t="n"/>
      <c r="W522" s="270" t="n"/>
      <c r="X522" s="106" t="inlineStr">
        <is>
          <t>SOLDEE</t>
        </is>
      </c>
      <c r="Y522" s="116">
        <f>F522/E522</f>
        <v/>
      </c>
      <c r="Z522" s="64">
        <f>E522-N522</f>
        <v/>
      </c>
      <c r="AA522" s="64" t="n">
        <v>9</v>
      </c>
    </row>
    <row r="523" ht="15.75" customHeight="1" s="202">
      <c r="A523" s="116" t="n">
        <v>20260036</v>
      </c>
      <c r="B523" s="117" t="inlineStr">
        <is>
          <t>LIBRA HONOR</t>
        </is>
      </c>
      <c r="C523" s="118" t="n">
        <v>46052</v>
      </c>
      <c r="D523" s="118" t="n">
        <v>46071</v>
      </c>
      <c r="E523" s="116" t="n">
        <v>3</v>
      </c>
      <c r="F523" s="119" t="n">
        <v>47.5</v>
      </c>
      <c r="G523" s="120" t="n">
        <v>72</v>
      </c>
      <c r="H523" s="117" t="inlineStr">
        <is>
          <t>BOUDJEMA NABIL</t>
        </is>
      </c>
      <c r="I523" s="117" t="inlineStr">
        <is>
          <t>CAMIONS</t>
        </is>
      </c>
      <c r="J523" s="117" t="inlineStr">
        <is>
          <t>LOURD</t>
        </is>
      </c>
      <c r="K523" s="48">
        <f>D523+8</f>
        <v/>
      </c>
      <c r="L523" s="48">
        <f>K523+60</f>
        <v/>
      </c>
      <c r="M523" s="71" t="n"/>
      <c r="N523" s="72">
        <f>E523</f>
        <v/>
      </c>
      <c r="O523" s="50">
        <f>F523/E523*N523</f>
        <v/>
      </c>
      <c r="P523" s="273">
        <f>G523/E523*N523</f>
        <v/>
      </c>
      <c r="S523" s="189" t="inlineStr">
        <is>
          <t>25030LYD4004/05</t>
        </is>
      </c>
      <c r="T523" s="201" t="n">
        <v>89</v>
      </c>
      <c r="U523" s="117" t="inlineStr">
        <is>
          <t>01 UNIT SHACMAN F2000 6X4 DUMP TRUCK 01 UNIT XCMG ZL50GN WHEEL LOADER 01 UNIT XCMG GR180 GRADER ( VOIR BL)</t>
        </is>
      </c>
      <c r="X523" s="62" t="inlineStr">
        <is>
          <t>N-OP</t>
        </is>
      </c>
      <c r="Y523" s="116">
        <f>F523/E523</f>
        <v/>
      </c>
      <c r="Z523" s="64">
        <f>E523-N523</f>
        <v/>
      </c>
      <c r="AA523" s="64" t="n">
        <v>2</v>
      </c>
    </row>
    <row r="524" ht="15.75" customHeight="1" s="202">
      <c r="A524" s="116" t="n">
        <v>20260036</v>
      </c>
      <c r="B524" s="117" t="inlineStr">
        <is>
          <t>LIBRA HONOR</t>
        </is>
      </c>
      <c r="C524" s="118" t="n">
        <v>46052</v>
      </c>
      <c r="D524" s="118" t="n">
        <v>46071</v>
      </c>
      <c r="E524" s="116" t="n">
        <v>1</v>
      </c>
      <c r="F524" s="119" t="n">
        <v>17.1</v>
      </c>
      <c r="G524" s="120" t="n">
        <v>24</v>
      </c>
      <c r="H524" s="117" t="inlineStr">
        <is>
          <t>SOCIETE GENERALE ALGERIE SPA PC SARL DESERT CROSS</t>
        </is>
      </c>
      <c r="I524" s="117" t="inlineStr">
        <is>
          <t>CHARGEURS</t>
        </is>
      </c>
      <c r="J524" s="117" t="inlineStr">
        <is>
          <t>ENGINS</t>
        </is>
      </c>
      <c r="K524" s="48">
        <f>D524+8</f>
        <v/>
      </c>
      <c r="L524" s="48">
        <f>K524+60</f>
        <v/>
      </c>
      <c r="M524" s="71" t="n"/>
      <c r="N524" s="72">
        <f>E524</f>
        <v/>
      </c>
      <c r="O524" s="50">
        <f>F524/E524*N524</f>
        <v/>
      </c>
      <c r="P524" s="273">
        <f>G524/E524*N524</f>
        <v/>
      </c>
      <c r="S524" s="189" t="inlineStr">
        <is>
          <t>25030LYD4007</t>
        </is>
      </c>
      <c r="T524" s="201" t="n">
        <v>90</v>
      </c>
      <c r="U524" s="117" t="inlineStr">
        <is>
          <t>01 UNIT XCMG ZL50GN WHEEL LOADER ( VOIR BL)</t>
        </is>
      </c>
      <c r="X524" s="62" t="inlineStr">
        <is>
          <t>N-OP</t>
        </is>
      </c>
      <c r="Y524" s="116">
        <f>F524/E524</f>
        <v/>
      </c>
      <c r="Z524" s="64">
        <f>E524-N524</f>
        <v/>
      </c>
      <c r="AA524" s="64" t="n">
        <v>1</v>
      </c>
    </row>
    <row r="525" ht="15.75" customHeight="1" s="202">
      <c r="A525" s="116" t="n">
        <v>20260036</v>
      </c>
      <c r="B525" s="117" t="inlineStr">
        <is>
          <t>LIBRA HONOR</t>
        </is>
      </c>
      <c r="C525" s="118" t="n">
        <v>46052</v>
      </c>
      <c r="D525" s="118" t="n">
        <v>46071</v>
      </c>
      <c r="E525" s="116" t="n">
        <v>1</v>
      </c>
      <c r="F525" s="119" t="n">
        <v>20</v>
      </c>
      <c r="G525" s="120" t="n">
        <v>24</v>
      </c>
      <c r="H525" s="117" t="inlineStr">
        <is>
          <t>EURL ETB ACHOURI TOUFIK</t>
        </is>
      </c>
      <c r="I525" s="117" t="inlineStr">
        <is>
          <t>CHARGEURS</t>
        </is>
      </c>
      <c r="J525" s="117" t="inlineStr">
        <is>
          <t>ENGINS</t>
        </is>
      </c>
      <c r="K525" s="48">
        <f>D525+8</f>
        <v/>
      </c>
      <c r="L525" s="48">
        <f>K525+60</f>
        <v/>
      </c>
      <c r="M525" s="71" t="n"/>
      <c r="N525" s="72">
        <f>E525</f>
        <v/>
      </c>
      <c r="O525" s="50">
        <f>F525/E525*N525</f>
        <v/>
      </c>
      <c r="P525" s="273">
        <f>G525/E525*N525</f>
        <v/>
      </c>
      <c r="S525" s="189" t="inlineStr">
        <is>
          <t>25030LYD4008</t>
        </is>
      </c>
      <c r="T525" s="201" t="n">
        <v>91</v>
      </c>
      <c r="U525" s="117" t="inlineStr">
        <is>
          <t>01 UNIT XCMG HYDRAULIC EXAVATOR XE335C 01 UNIT XCMG GR215 MOTOR GRADER 01 UNIT XCMG SELF-LOADING CONCRETE MIXER TRUCK 01 UNIT XCMG WHEEL LOADER XC958 01 UNIT XCMG 40T TRUCK CRANE QY40KSD ( VOIR BL)</t>
        </is>
      </c>
      <c r="X525" s="62" t="inlineStr">
        <is>
          <t>N-OP</t>
        </is>
      </c>
      <c r="Y525" s="116">
        <f>F525/E525</f>
        <v/>
      </c>
      <c r="Z525" s="64">
        <f>E525-N525</f>
        <v/>
      </c>
    </row>
    <row r="526" ht="15.75" customHeight="1" s="202">
      <c r="A526" s="116" t="n">
        <v>20260036</v>
      </c>
      <c r="B526" s="117" t="inlineStr">
        <is>
          <t>LIBRA HONOR</t>
        </is>
      </c>
      <c r="C526" s="118" t="n">
        <v>46052</v>
      </c>
      <c r="D526" s="118" t="n">
        <v>46071</v>
      </c>
      <c r="E526" s="116" t="n">
        <v>1</v>
      </c>
      <c r="F526" s="119" t="n">
        <v>20</v>
      </c>
      <c r="G526" s="120" t="n">
        <v>24</v>
      </c>
      <c r="H526" s="117" t="inlineStr">
        <is>
          <t>EURL ETB ACHOURI TOUFIK</t>
        </is>
      </c>
      <c r="I526" s="117" t="inlineStr">
        <is>
          <t>EXCAVATEURS</t>
        </is>
      </c>
      <c r="J526" s="117" t="inlineStr">
        <is>
          <t>ENGINS</t>
        </is>
      </c>
      <c r="K526" s="48">
        <f>D526+8</f>
        <v/>
      </c>
      <c r="L526" s="48">
        <f>K526+60</f>
        <v/>
      </c>
      <c r="M526" s="71" t="n"/>
      <c r="N526" s="72">
        <f>E526</f>
        <v/>
      </c>
      <c r="O526" s="50">
        <f>F526/E526*N526</f>
        <v/>
      </c>
      <c r="P526" s="273">
        <f>G526/E526*N526</f>
        <v/>
      </c>
      <c r="S526" s="189" t="inlineStr">
        <is>
          <t>25030LYD4008</t>
        </is>
      </c>
      <c r="T526" s="201" t="n">
        <v>91</v>
      </c>
      <c r="X526" s="62" t="inlineStr">
        <is>
          <t>N-OP</t>
        </is>
      </c>
      <c r="Y526" s="116">
        <f>F526/E526</f>
        <v/>
      </c>
      <c r="Z526" s="64">
        <f>E526-N526</f>
        <v/>
      </c>
      <c r="AA526" s="64" t="n">
        <v>1</v>
      </c>
    </row>
    <row r="527" ht="15.75" customHeight="1" s="202">
      <c r="A527" s="116" t="n">
        <v>20260036</v>
      </c>
      <c r="B527" s="117" t="inlineStr">
        <is>
          <t>LIBRA HONOR</t>
        </is>
      </c>
      <c r="C527" s="118" t="n">
        <v>46052</v>
      </c>
      <c r="D527" s="118" t="n">
        <v>46071</v>
      </c>
      <c r="E527" s="116" t="n">
        <v>1</v>
      </c>
      <c r="F527" s="119" t="n">
        <v>20</v>
      </c>
      <c r="G527" s="120" t="n">
        <v>40</v>
      </c>
      <c r="H527" s="117" t="inlineStr">
        <is>
          <t>EURL ETB ACHOURI TOUFIK</t>
        </is>
      </c>
      <c r="I527" s="117" t="inlineStr">
        <is>
          <t>NIVELEUSES</t>
        </is>
      </c>
      <c r="J527" s="117" t="inlineStr">
        <is>
          <t>ENGINS</t>
        </is>
      </c>
      <c r="K527" s="48">
        <f>D527+8</f>
        <v/>
      </c>
      <c r="L527" s="48">
        <f>K527+60</f>
        <v/>
      </c>
      <c r="M527" s="71" t="n"/>
      <c r="N527" s="72">
        <f>E527</f>
        <v/>
      </c>
      <c r="O527" s="50">
        <f>F527/E527*N527</f>
        <v/>
      </c>
      <c r="P527" s="273">
        <f>G527/E527*N527</f>
        <v/>
      </c>
      <c r="S527" s="189" t="inlineStr">
        <is>
          <t>25030LYD4008</t>
        </is>
      </c>
      <c r="T527" s="201" t="n">
        <v>91</v>
      </c>
      <c r="X527" s="62" t="inlineStr">
        <is>
          <t>N-OP</t>
        </is>
      </c>
      <c r="Y527" s="116">
        <f>F527/E527</f>
        <v/>
      </c>
      <c r="Z527" s="64">
        <f>E527-N527</f>
        <v/>
      </c>
      <c r="AA527" s="64" t="n">
        <v>2</v>
      </c>
    </row>
    <row r="528" ht="15.75" customHeight="1" s="202">
      <c r="A528" s="116" t="n">
        <v>20260036</v>
      </c>
      <c r="B528" s="117" t="inlineStr">
        <is>
          <t>LIBRA HONOR</t>
        </is>
      </c>
      <c r="C528" s="118" t="n">
        <v>46052</v>
      </c>
      <c r="D528" s="118" t="n">
        <v>46071</v>
      </c>
      <c r="E528" s="116" t="n">
        <v>1</v>
      </c>
      <c r="F528" s="119" t="n">
        <v>20</v>
      </c>
      <c r="G528" s="120" t="n">
        <v>24</v>
      </c>
      <c r="H528" s="117" t="inlineStr">
        <is>
          <t>EURL ETB ACHOURI TOUFIK</t>
        </is>
      </c>
      <c r="I528" s="117" t="inlineStr">
        <is>
          <t>CAMIONS</t>
        </is>
      </c>
      <c r="J528" s="117" t="inlineStr">
        <is>
          <t>LOURD</t>
        </is>
      </c>
      <c r="K528" s="48">
        <f>D528+8</f>
        <v/>
      </c>
      <c r="L528" s="48">
        <f>K528+60</f>
        <v/>
      </c>
      <c r="M528" s="71" t="n"/>
      <c r="N528" s="72">
        <f>E528</f>
        <v/>
      </c>
      <c r="O528" s="50">
        <f>F528/E528*N528</f>
        <v/>
      </c>
      <c r="P528" s="273">
        <f>G528/E528*N528</f>
        <v/>
      </c>
      <c r="S528" s="189" t="inlineStr">
        <is>
          <t>25030LYD4008</t>
        </is>
      </c>
      <c r="T528" s="201" t="n">
        <v>91</v>
      </c>
      <c r="X528" s="62" t="inlineStr">
        <is>
          <t>N-OP</t>
        </is>
      </c>
      <c r="Y528" s="116">
        <f>F528/E528</f>
        <v/>
      </c>
      <c r="Z528" s="64">
        <f>E528-N528</f>
        <v/>
      </c>
      <c r="AA528" s="64" t="n">
        <v>1</v>
      </c>
    </row>
    <row r="529" ht="15.75" customHeight="1" s="202">
      <c r="A529" s="116" t="n">
        <v>20260036</v>
      </c>
      <c r="B529" s="117" t="inlineStr">
        <is>
          <t>LIBRA HONOR</t>
        </is>
      </c>
      <c r="C529" s="118" t="n">
        <v>46052</v>
      </c>
      <c r="D529" s="118" t="n">
        <v>46071</v>
      </c>
      <c r="E529" s="116" t="n">
        <v>1</v>
      </c>
      <c r="F529" s="119" t="n">
        <v>38.18</v>
      </c>
      <c r="G529" s="120" t="n">
        <v>60</v>
      </c>
      <c r="H529" s="117" t="inlineStr">
        <is>
          <t>EURL ETB ACHOURI TOUFIK</t>
        </is>
      </c>
      <c r="I529" s="117" t="inlineStr">
        <is>
          <t>CAMION GRUE</t>
        </is>
      </c>
      <c r="J529" s="117" t="inlineStr">
        <is>
          <t>ENGINS</t>
        </is>
      </c>
      <c r="K529" s="48">
        <f>D529+8</f>
        <v/>
      </c>
      <c r="L529" s="48">
        <f>K529+60</f>
        <v/>
      </c>
      <c r="M529" s="71" t="n"/>
      <c r="N529" s="72">
        <f>E529</f>
        <v/>
      </c>
      <c r="O529" s="50">
        <f>F529/E529*N529</f>
        <v/>
      </c>
      <c r="P529" s="273">
        <f>G529/E529*N529</f>
        <v/>
      </c>
      <c r="S529" s="189" t="inlineStr">
        <is>
          <t>25030LYD4008</t>
        </is>
      </c>
      <c r="T529" s="201" t="n">
        <v>91</v>
      </c>
      <c r="X529" s="62" t="inlineStr">
        <is>
          <t>N-OP</t>
        </is>
      </c>
      <c r="Y529" s="116">
        <f>F529/E529</f>
        <v/>
      </c>
      <c r="Z529" s="64">
        <f>E529-N529</f>
        <v/>
      </c>
      <c r="AA529" s="64" t="n">
        <v>1</v>
      </c>
    </row>
    <row r="530" ht="15.75" customHeight="1" s="202">
      <c r="A530" s="116" t="n">
        <v>20260036</v>
      </c>
      <c r="B530" s="117" t="inlineStr">
        <is>
          <t>LIBRA HONOR</t>
        </is>
      </c>
      <c r="C530" s="118" t="n">
        <v>46052</v>
      </c>
      <c r="D530" s="118" t="n">
        <v>46071</v>
      </c>
      <c r="E530" s="116" t="n">
        <v>5</v>
      </c>
      <c r="F530" s="119" t="n">
        <v>0</v>
      </c>
      <c r="G530" s="120" t="n">
        <v>30</v>
      </c>
      <c r="H530" s="117" t="inlineStr">
        <is>
          <t>EURL ETB ACHOURI TOUFIK</t>
        </is>
      </c>
      <c r="I530" s="117" t="inlineStr">
        <is>
          <t>COLIS</t>
        </is>
      </c>
      <c r="J530" s="117" t="inlineStr">
        <is>
          <t>COLIS</t>
        </is>
      </c>
      <c r="K530" s="48">
        <f>D530+8</f>
        <v/>
      </c>
      <c r="L530" s="48">
        <f>K530+60</f>
        <v/>
      </c>
      <c r="M530" s="71" t="n"/>
      <c r="N530" s="72">
        <f>E530</f>
        <v/>
      </c>
      <c r="O530" s="50">
        <f>F530/E530*N530</f>
        <v/>
      </c>
      <c r="P530" s="273">
        <f>G530/E530*N530</f>
        <v/>
      </c>
      <c r="S530" s="189" t="inlineStr">
        <is>
          <t>25030LYD4008</t>
        </is>
      </c>
      <c r="T530" s="201" t="n">
        <v>91</v>
      </c>
      <c r="X530" s="62" t="inlineStr">
        <is>
          <t>N-OP</t>
        </is>
      </c>
      <c r="Y530" s="116">
        <f>F530/E530</f>
        <v/>
      </c>
      <c r="Z530" s="64">
        <f>E530-N530</f>
        <v/>
      </c>
      <c r="AA530" s="64" t="n">
        <v>1</v>
      </c>
    </row>
    <row r="531" ht="15.75" customHeight="1" s="202">
      <c r="A531" s="106" t="n">
        <v>20260036</v>
      </c>
      <c r="B531" s="107" t="inlineStr">
        <is>
          <t>LIBRA HONOR</t>
        </is>
      </c>
      <c r="C531" s="108" t="n">
        <v>46052</v>
      </c>
      <c r="D531" s="108" t="n">
        <v>46071</v>
      </c>
      <c r="E531" s="106" t="n">
        <v>1</v>
      </c>
      <c r="F531" s="106" t="n">
        <v>8.800000000000001</v>
      </c>
      <c r="G531" s="106" t="n">
        <v>24</v>
      </c>
      <c r="H531" s="107" t="inlineStr">
        <is>
          <t>EL BEKAIE YASSER</t>
        </is>
      </c>
      <c r="I531" s="107" t="inlineStr">
        <is>
          <t>CAMIONS</t>
        </is>
      </c>
      <c r="J531" s="107" t="inlineStr">
        <is>
          <t>LOURD</t>
        </is>
      </c>
      <c r="K531" s="108">
        <f>D531+8</f>
        <v/>
      </c>
      <c r="L531" s="108">
        <f>K531+60</f>
        <v/>
      </c>
      <c r="M531" s="111" t="n"/>
      <c r="N531" s="112">
        <f>E531-1</f>
        <v/>
      </c>
      <c r="O531" s="113">
        <f>F531/E531*N531</f>
        <v/>
      </c>
      <c r="P531" s="112">
        <f>G531/E531*N531</f>
        <v/>
      </c>
      <c r="Q531" s="109" t="n"/>
      <c r="R531" s="107" t="n"/>
      <c r="S531" s="107" t="inlineStr">
        <is>
          <t>25030LYD4011</t>
        </is>
      </c>
      <c r="T531" s="114" t="n">
        <v>94</v>
      </c>
      <c r="U531" s="107" t="inlineStr">
        <is>
          <t>01 UNIT SINOTRUK SITRAK 6X4 TRACTOR TRUCK ( VOIR BL)</t>
        </is>
      </c>
      <c r="V531" s="270" t="n"/>
      <c r="W531" s="270" t="n"/>
      <c r="X531" s="106" t="inlineStr">
        <is>
          <t>SOLDEE</t>
        </is>
      </c>
      <c r="Y531" s="116">
        <f>F531/E531</f>
        <v/>
      </c>
      <c r="Z531" s="64">
        <f>E531-N531</f>
        <v/>
      </c>
      <c r="AA531" s="64" t="n">
        <v>1</v>
      </c>
    </row>
    <row r="532" ht="15.75" customHeight="1" s="202">
      <c r="A532" s="116" t="n">
        <v>20260036</v>
      </c>
      <c r="B532" s="117" t="inlineStr">
        <is>
          <t>LIBRA HONOR</t>
        </is>
      </c>
      <c r="C532" s="118" t="n">
        <v>46052</v>
      </c>
      <c r="D532" s="118" t="n">
        <v>46071</v>
      </c>
      <c r="E532" s="116" t="n">
        <v>1</v>
      </c>
      <c r="F532" s="119" t="n">
        <v>7.8</v>
      </c>
      <c r="G532" s="120" t="n">
        <v>24</v>
      </c>
      <c r="H532" s="117" t="inlineStr">
        <is>
          <t>SARL SATPA</t>
        </is>
      </c>
      <c r="I532" s="117" t="inlineStr">
        <is>
          <t>CAMIONS</t>
        </is>
      </c>
      <c r="J532" s="117" t="inlineStr">
        <is>
          <t>LOURD</t>
        </is>
      </c>
      <c r="K532" s="48">
        <f>D532+8</f>
        <v/>
      </c>
      <c r="L532" s="48">
        <f>K532+60</f>
        <v/>
      </c>
      <c r="M532" s="71" t="n"/>
      <c r="N532" s="72">
        <f>E532</f>
        <v/>
      </c>
      <c r="O532" s="50">
        <f>F532/E532*N532</f>
        <v/>
      </c>
      <c r="P532" s="273">
        <f>G532/E532*N532</f>
        <v/>
      </c>
      <c r="S532" s="189" t="inlineStr">
        <is>
          <t>25030LYD4015B</t>
        </is>
      </c>
      <c r="T532" s="201" t="n">
        <v>99</v>
      </c>
      <c r="U532" s="117" t="inlineStr">
        <is>
          <t>01 UNIT SINOTRUK SITRAK TRACTOR TRUCK ( VOIR BL)</t>
        </is>
      </c>
      <c r="X532" s="62" t="inlineStr">
        <is>
          <t>N-OP</t>
        </is>
      </c>
      <c r="Y532" s="116">
        <f>F532/E532</f>
        <v/>
      </c>
      <c r="Z532" s="64">
        <f>E532-N532</f>
        <v/>
      </c>
      <c r="AA532" s="64" t="n">
        <v>1</v>
      </c>
    </row>
    <row r="533" ht="15.75" customHeight="1" s="202">
      <c r="A533" s="106" t="n">
        <v>20260036</v>
      </c>
      <c r="B533" s="107" t="inlineStr">
        <is>
          <t>LIBRA HONOR</t>
        </is>
      </c>
      <c r="C533" s="108" t="n">
        <v>46052</v>
      </c>
      <c r="D533" s="108" t="n">
        <v>46071</v>
      </c>
      <c r="E533" s="106" t="n">
        <v>2</v>
      </c>
      <c r="F533" s="106" t="n">
        <v>17.14</v>
      </c>
      <c r="G533" s="106" t="n">
        <v>48</v>
      </c>
      <c r="H533" s="107" t="inlineStr">
        <is>
          <t>SARL GUERFI ET FILS ACTIVIES AND STORAGE AREA</t>
        </is>
      </c>
      <c r="I533" s="107" t="inlineStr">
        <is>
          <t>CAMIONS</t>
        </is>
      </c>
      <c r="J533" s="107" t="inlineStr">
        <is>
          <t>LOURD</t>
        </is>
      </c>
      <c r="K533" s="108">
        <f>D533+8</f>
        <v/>
      </c>
      <c r="L533" s="108">
        <f>K533+60</f>
        <v/>
      </c>
      <c r="M533" s="111" t="n"/>
      <c r="N533" s="112">
        <f>E533-2</f>
        <v/>
      </c>
      <c r="O533" s="113">
        <f>F533/E533*N533</f>
        <v/>
      </c>
      <c r="P533" s="112">
        <f>G533/E533*N533</f>
        <v/>
      </c>
      <c r="Q533" s="109" t="n"/>
      <c r="R533" s="107" t="n"/>
      <c r="S533" s="107" t="inlineStr">
        <is>
          <t>25030LYD4201</t>
        </is>
      </c>
      <c r="T533" s="114" t="n">
        <v>100</v>
      </c>
      <c r="U533" s="107" t="inlineStr">
        <is>
          <t>02 UNITS 40 TONS REAR DUMP TRAILER ( VOIR BL)</t>
        </is>
      </c>
      <c r="V533" s="270" t="n"/>
      <c r="W533" s="270" t="n"/>
      <c r="X533" s="106" t="inlineStr">
        <is>
          <t>SOLDEE</t>
        </is>
      </c>
      <c r="Y533" s="116">
        <f>F533/E533</f>
        <v/>
      </c>
      <c r="Z533" s="64">
        <f>E533-N533</f>
        <v/>
      </c>
      <c r="AA533" s="64" t="n">
        <v>1</v>
      </c>
    </row>
    <row r="534" ht="15.75" customHeight="1" s="202">
      <c r="A534" s="106" t="n">
        <v>20260036</v>
      </c>
      <c r="B534" s="107" t="inlineStr">
        <is>
          <t>LIBRA HONOR</t>
        </is>
      </c>
      <c r="C534" s="108" t="n">
        <v>46052</v>
      </c>
      <c r="D534" s="108" t="n">
        <v>46071</v>
      </c>
      <c r="E534" s="106" t="n">
        <v>14</v>
      </c>
      <c r="F534" s="106" t="n">
        <v>246.4</v>
      </c>
      <c r="G534" s="106" t="n">
        <v>240</v>
      </c>
      <c r="H534" s="107" t="inlineStr">
        <is>
          <t>AL SALAM BANK ALGERIA PC SARL NOUVEAU POLE</t>
        </is>
      </c>
      <c r="I534" s="107" t="inlineStr">
        <is>
          <t>REMORQUE</t>
        </is>
      </c>
      <c r="J534" s="107" t="inlineStr">
        <is>
          <t>LOURD</t>
        </is>
      </c>
      <c r="K534" s="108">
        <f>D534+8</f>
        <v/>
      </c>
      <c r="L534" s="108">
        <f>K534+60</f>
        <v/>
      </c>
      <c r="M534" s="111" t="n"/>
      <c r="N534" s="112">
        <f>E534-9-5</f>
        <v/>
      </c>
      <c r="O534" s="113">
        <f>F534/E534*N534</f>
        <v/>
      </c>
      <c r="P534" s="112">
        <f>G534/E534*N534</f>
        <v/>
      </c>
      <c r="Q534" s="109" t="n"/>
      <c r="R534" s="107" t="n"/>
      <c r="S534" s="107" t="inlineStr">
        <is>
          <t>25030LYD4401</t>
        </is>
      </c>
      <c r="T534" s="114" t="n">
        <v>102</v>
      </c>
      <c r="U534" s="107" t="inlineStr">
        <is>
          <t>14 UNITS DROPSIDE SEMI TRAILER 3-AXLE 13T TYPE 14 UNITS DROPSIDE SEMI TRAILER 3-AXLE 16T TYPE (VOIR BL)</t>
        </is>
      </c>
      <c r="V534" s="270" t="n"/>
      <c r="W534" s="270" t="n"/>
      <c r="X534" s="106" t="inlineStr">
        <is>
          <t>SOLDEE</t>
        </is>
      </c>
      <c r="Y534" s="116">
        <f>F534/E534</f>
        <v/>
      </c>
      <c r="AA534" s="64" t="n">
        <v>1</v>
      </c>
    </row>
    <row r="535" ht="15.75" customHeight="1" s="202">
      <c r="A535" s="106" t="n">
        <v>20260036</v>
      </c>
      <c r="B535" s="107" t="inlineStr">
        <is>
          <t>LIBRA HONOR</t>
        </is>
      </c>
      <c r="C535" s="108" t="n">
        <v>46052</v>
      </c>
      <c r="D535" s="108" t="n">
        <v>46071</v>
      </c>
      <c r="E535" s="106" t="n">
        <v>2</v>
      </c>
      <c r="F535" s="106" t="n">
        <v>38</v>
      </c>
      <c r="G535" s="106" t="n">
        <v>48</v>
      </c>
      <c r="H535" s="107" t="inlineStr">
        <is>
          <t>EURL AL TOILBA</t>
        </is>
      </c>
      <c r="I535" s="107" t="inlineStr">
        <is>
          <t>REMORQUE</t>
        </is>
      </c>
      <c r="J535" s="107" t="inlineStr">
        <is>
          <t>LOURD</t>
        </is>
      </c>
      <c r="K535" s="108">
        <f>D535+8</f>
        <v/>
      </c>
      <c r="L535" s="108">
        <f>K535+60</f>
        <v/>
      </c>
      <c r="M535" s="111" t="n"/>
      <c r="N535" s="112">
        <f>E535-2</f>
        <v/>
      </c>
      <c r="O535" s="113">
        <f>F535/E535*N535</f>
        <v/>
      </c>
      <c r="P535" s="112">
        <f>G535/E535*N535</f>
        <v/>
      </c>
      <c r="Q535" s="109" t="n"/>
      <c r="R535" s="107" t="n"/>
      <c r="S535" s="107" t="inlineStr">
        <is>
          <t>25030LYD4601</t>
        </is>
      </c>
      <c r="T535" s="114" t="n">
        <v>104</v>
      </c>
      <c r="U535" s="107" t="inlineStr">
        <is>
          <t>02 UNITS APPAREIL DE FORAGE D'EAU COMPLET ( VOIR BL)</t>
        </is>
      </c>
      <c r="V535" s="107" t="n"/>
      <c r="W535" s="107" t="n"/>
      <c r="X535" s="106" t="inlineStr">
        <is>
          <t>SOLDEE</t>
        </is>
      </c>
      <c r="Y535" s="116">
        <f>F535/E535</f>
        <v/>
      </c>
    </row>
    <row r="536" ht="15.75" customHeight="1" s="202">
      <c r="A536" s="106" t="n">
        <v>20260036</v>
      </c>
      <c r="B536" s="107" t="inlineStr">
        <is>
          <t>LIBRA HONOR</t>
        </is>
      </c>
      <c r="C536" s="108" t="n">
        <v>46052</v>
      </c>
      <c r="D536" s="108" t="n">
        <v>46071</v>
      </c>
      <c r="E536" s="106" t="n">
        <v>1</v>
      </c>
      <c r="F536" s="106" t="n">
        <v>19.5</v>
      </c>
      <c r="G536" s="106" t="n">
        <v>60</v>
      </c>
      <c r="H536" s="107" t="inlineStr">
        <is>
          <t>EURL STAR FILTRE</t>
        </is>
      </c>
      <c r="I536" s="107" t="inlineStr">
        <is>
          <t>CAMIONS POMPE</t>
        </is>
      </c>
      <c r="J536" s="107" t="inlineStr">
        <is>
          <t>ENGINS</t>
        </is>
      </c>
      <c r="K536" s="108">
        <f>D536+8</f>
        <v/>
      </c>
      <c r="L536" s="108">
        <f>K536+60</f>
        <v/>
      </c>
      <c r="M536" s="107" t="n"/>
      <c r="N536" s="112">
        <f>E536-1</f>
        <v/>
      </c>
      <c r="O536" s="113">
        <f>F536/E536*N536</f>
        <v/>
      </c>
      <c r="P536" s="112">
        <f>G536/E536*N536</f>
        <v/>
      </c>
      <c r="Q536" s="109" t="n"/>
      <c r="R536" s="107" t="n"/>
      <c r="S536" s="109" t="inlineStr">
        <is>
          <t>25030TJD0803</t>
        </is>
      </c>
      <c r="T536" s="114" t="n">
        <v>124</v>
      </c>
      <c r="U536" s="109" t="inlineStr">
        <is>
          <t>01 UNIT SANY TRUCK MOUNTED CRANE SPS35000 ( VOIR BL)</t>
        </is>
      </c>
      <c r="V536" s="106" t="n"/>
      <c r="W536" s="106" t="n"/>
      <c r="X536" s="106" t="inlineStr">
        <is>
          <t>SOLDEE</t>
        </is>
      </c>
      <c r="Y536" s="116">
        <f>F536/E536</f>
        <v/>
      </c>
      <c r="AA536" s="64" t="n">
        <v>1</v>
      </c>
    </row>
    <row r="537" ht="15.75" customHeight="1" s="202">
      <c r="A537" s="106" t="n">
        <v>20260036</v>
      </c>
      <c r="B537" s="107" t="inlineStr">
        <is>
          <t>LIBRA HONOR</t>
        </is>
      </c>
      <c r="C537" s="108" t="n">
        <v>46052</v>
      </c>
      <c r="D537" s="108" t="n">
        <v>46071</v>
      </c>
      <c r="E537" s="106" t="n">
        <v>2</v>
      </c>
      <c r="F537" s="106" t="n">
        <v>13.6</v>
      </c>
      <c r="G537" s="106" t="n">
        <v>24</v>
      </c>
      <c r="H537" s="107" t="inlineStr">
        <is>
          <t>SARL GUERFI ET FILS ACTIVES AND STORAGE AREA</t>
        </is>
      </c>
      <c r="I537" s="107" t="inlineStr">
        <is>
          <t>CAMIONS</t>
        </is>
      </c>
      <c r="J537" s="107" t="inlineStr">
        <is>
          <t>LOURD</t>
        </is>
      </c>
      <c r="K537" s="108">
        <f>D537+8</f>
        <v/>
      </c>
      <c r="L537" s="108">
        <f>K537+60</f>
        <v/>
      </c>
      <c r="M537" s="107" t="n"/>
      <c r="N537" s="112">
        <f>E537-2</f>
        <v/>
      </c>
      <c r="O537" s="113">
        <f>F537/E537*N537</f>
        <v/>
      </c>
      <c r="P537" s="112">
        <f>G537/E537*N537</f>
        <v/>
      </c>
      <c r="Q537" s="109" t="n"/>
      <c r="R537" s="107" t="n"/>
      <c r="S537" s="109" t="inlineStr">
        <is>
          <t>25030TJD1401</t>
        </is>
      </c>
      <c r="T537" s="114" t="n">
        <v>130</v>
      </c>
      <c r="U537" s="109" t="inlineStr">
        <is>
          <t>02 UNITS SITRAK C7 TRACTOR ( VOIR BL)</t>
        </is>
      </c>
      <c r="V537" s="106" t="n"/>
      <c r="W537" s="106" t="n"/>
      <c r="X537" s="106" t="inlineStr">
        <is>
          <t>SOLDEE</t>
        </is>
      </c>
      <c r="Y537" s="116">
        <f>F537/E537</f>
        <v/>
      </c>
      <c r="Z537" s="64">
        <f>E537-N537</f>
        <v/>
      </c>
    </row>
    <row r="538" ht="15.75" customHeight="1" s="202">
      <c r="A538" s="106" t="n">
        <v>20260052</v>
      </c>
      <c r="B538" s="107" t="inlineStr">
        <is>
          <t>SAPPHIRE X</t>
        </is>
      </c>
      <c r="C538" s="108" t="n">
        <v>46064</v>
      </c>
      <c r="D538" s="108" t="n">
        <v>46071</v>
      </c>
      <c r="E538" s="106" t="n">
        <v>2</v>
      </c>
      <c r="F538" s="106" t="n">
        <v>61.9010769230769</v>
      </c>
      <c r="G538" s="106" t="n">
        <v>120</v>
      </c>
      <c r="H538" s="107" t="inlineStr">
        <is>
          <t>CHINA ROAD AND BRIDGE CORPORATION</t>
        </is>
      </c>
      <c r="I538" s="107" t="inlineStr">
        <is>
          <t>CAMION GRUE</t>
        </is>
      </c>
      <c r="J538" s="107" t="inlineStr">
        <is>
          <t>ENGINS</t>
        </is>
      </c>
      <c r="K538" s="108">
        <f>D538+8</f>
        <v/>
      </c>
      <c r="L538" s="108">
        <f>K538+60</f>
        <v/>
      </c>
      <c r="M538" s="107" t="n"/>
      <c r="N538" s="112">
        <f>E538-2</f>
        <v/>
      </c>
      <c r="O538" s="113">
        <f>F538/E538*N538</f>
        <v/>
      </c>
      <c r="P538" s="112">
        <f>G538/E538*N538</f>
        <v/>
      </c>
      <c r="Q538" s="109" t="n"/>
      <c r="R538" s="107" t="n"/>
      <c r="S538" s="109" t="inlineStr">
        <is>
          <t>SX25006SHDJ001</t>
        </is>
      </c>
      <c r="T538" s="114" t="n">
        <v>1</v>
      </c>
      <c r="U538" s="109" t="inlineStr">
        <is>
          <t>01 UNIT SANY TRUCK MOUNTED CONCRETE PUMP &amp; ACC/01 UNIT SANY TRUCK-MOUNTED CONCRETE STATIONARY PUMP&amp; ACC/02 UNITS SANY TRAILER-MOUNTED CONCRETE PUMP &amp; ACC/04 UNITS XCMG LOADER XC958 &amp; ACC/0 7UNlTS KOMATSU CRAWLER EXCAVATOR &amp; ACC /21 GENERATOR SET &amp; ACC ( V</t>
        </is>
      </c>
      <c r="V538" s="106" t="n"/>
      <c r="W538" s="106" t="n"/>
      <c r="X538" s="106" t="inlineStr">
        <is>
          <t>SOLDEE</t>
        </is>
      </c>
      <c r="Y538" s="116">
        <f>F538/E538</f>
        <v/>
      </c>
      <c r="Z538" s="64">
        <f>E538-N538</f>
        <v/>
      </c>
    </row>
    <row r="539" ht="15.75" customHeight="1" s="202">
      <c r="A539" s="206" t="n">
        <v>20260052</v>
      </c>
      <c r="B539" s="207" t="inlineStr">
        <is>
          <t>SAPPHIRE X</t>
        </is>
      </c>
      <c r="C539" s="208" t="n">
        <v>46064</v>
      </c>
      <c r="D539" s="208" t="n">
        <v>46071</v>
      </c>
      <c r="E539" s="206" t="n">
        <v>4</v>
      </c>
      <c r="F539" s="210" t="n">
        <v>123.802153846154</v>
      </c>
      <c r="G539" s="211" t="n">
        <v>96</v>
      </c>
      <c r="H539" s="207" t="inlineStr">
        <is>
          <t>CHINA ROAD AND BRIDGE CORPORATION</t>
        </is>
      </c>
      <c r="I539" s="207" t="inlineStr">
        <is>
          <t>CHARGEUR</t>
        </is>
      </c>
      <c r="J539" s="207" t="inlineStr">
        <is>
          <t>ENGINS</t>
        </is>
      </c>
      <c r="K539" s="213">
        <f>D539+8</f>
        <v/>
      </c>
      <c r="L539" s="213">
        <f>K539+60</f>
        <v/>
      </c>
      <c r="M539" s="207" t="n"/>
      <c r="N539" s="215">
        <f>E539-1-3</f>
        <v/>
      </c>
      <c r="O539" s="216">
        <f>F539/E539*N539</f>
        <v/>
      </c>
      <c r="P539" s="218">
        <f>G539/E539*N539</f>
        <v/>
      </c>
      <c r="S539" s="200" t="inlineStr">
        <is>
          <t>SX25006SHDJ001</t>
        </is>
      </c>
      <c r="T539" s="201" t="n">
        <v>1</v>
      </c>
      <c r="U539" s="58" t="inlineStr">
        <is>
          <t>01 UNIT SANY TRUCK MOUNTED CONCRETE PUMP &amp; ACC/01 UNIT SANY TRUCK-MOUNTED CONCRETE STATIONARY PUMP&amp; ACC/02 UNITS SANY TRAILER-MOUNTED CONCRETE PUMP &amp; ACC/04 UNITS XCMG LOADER XC958 &amp; ACC/0 7UNlTS KOMATSU CRAWLER EXCAVATOR &amp; ACC /21 GENERATOR SET &amp; ACC ( V</t>
        </is>
      </c>
      <c r="V539" s="67" t="n"/>
      <c r="W539" s="67" t="n"/>
      <c r="X539" s="182" t="inlineStr">
        <is>
          <t>SOLDEE</t>
        </is>
      </c>
      <c r="Y539" s="116">
        <f>F539/E539</f>
        <v/>
      </c>
      <c r="Z539" s="64">
        <f>E539-N539</f>
        <v/>
      </c>
      <c r="AA539" s="64" t="n">
        <v>2</v>
      </c>
    </row>
    <row r="540" ht="15.75" customHeight="1" s="202">
      <c r="A540" s="106" t="n">
        <v>20260052</v>
      </c>
      <c r="B540" s="107" t="inlineStr">
        <is>
          <t>SAPPHIRE X</t>
        </is>
      </c>
      <c r="C540" s="108" t="n">
        <v>46064</v>
      </c>
      <c r="D540" s="108" t="n">
        <v>46071</v>
      </c>
      <c r="E540" s="106" t="n">
        <v>7</v>
      </c>
      <c r="F540" s="106" t="n">
        <v>216.653769230769</v>
      </c>
      <c r="G540" s="106" t="n">
        <v>168</v>
      </c>
      <c r="H540" s="107" t="inlineStr">
        <is>
          <t>CHINA ROAD AND BRIDGE CORPORATION</t>
        </is>
      </c>
      <c r="I540" s="107" t="inlineStr">
        <is>
          <t>EXCAVATEURS</t>
        </is>
      </c>
      <c r="J540" s="107" t="inlineStr">
        <is>
          <t>ENGINS</t>
        </is>
      </c>
      <c r="K540" s="108">
        <f>D540+8</f>
        <v/>
      </c>
      <c r="L540" s="108">
        <f>K540+60</f>
        <v/>
      </c>
      <c r="M540" s="107" t="n"/>
      <c r="N540" s="112">
        <f>E540-7</f>
        <v/>
      </c>
      <c r="O540" s="113">
        <f>F540/E540*N540</f>
        <v/>
      </c>
      <c r="P540" s="112">
        <f>G540/E540*N540</f>
        <v/>
      </c>
      <c r="Q540" s="109" t="n"/>
      <c r="R540" s="107" t="n"/>
      <c r="S540" s="109" t="inlineStr">
        <is>
          <t>SX25006SHDJ001</t>
        </is>
      </c>
      <c r="T540" s="114" t="n">
        <v>1</v>
      </c>
      <c r="U540" s="109" t="inlineStr">
        <is>
          <t>01 UNIT SANY TRUCK MOUNTED CONCRETE PUMP &amp; ACC/01 UNIT SANY TRUCK-MOUNTED CONCRETE STATIONARY PUMP&amp; ACC/02 UNITS SANY TRAILER-MOUNTED CONCRETE PUMP &amp; ACC/04 UNITS XCMG LOADER XC958 &amp; ACC/0 7UNlTS KOMATSU CRAWLER EXCAVATOR &amp; ACC /21 GENERATOR SET &amp; ACC ( V</t>
        </is>
      </c>
      <c r="V540" s="106" t="n"/>
      <c r="W540" s="106" t="n"/>
      <c r="X540" s="106" t="inlineStr">
        <is>
          <t>SOLDEE</t>
        </is>
      </c>
      <c r="Y540" s="116">
        <f>F540/E540</f>
        <v/>
      </c>
      <c r="Z540" s="64">
        <f>E540-N540</f>
        <v/>
      </c>
      <c r="AA540" s="64" t="n">
        <v>2</v>
      </c>
    </row>
    <row r="541" ht="15.75" customHeight="1" s="202">
      <c r="A541" s="206" t="n">
        <v>20260052</v>
      </c>
      <c r="B541" s="207" t="inlineStr">
        <is>
          <t>SAPPHIRE X</t>
        </is>
      </c>
      <c r="C541" s="208" t="n">
        <v>46064</v>
      </c>
      <c r="D541" s="208" t="n">
        <v>46071</v>
      </c>
      <c r="E541" s="206" t="n">
        <v>69</v>
      </c>
      <c r="F541" s="210" t="n">
        <v>0</v>
      </c>
      <c r="G541" s="211" t="n">
        <v>345</v>
      </c>
      <c r="H541" s="207" t="inlineStr">
        <is>
          <t>CHINA ROAD AND BRIDGE CORPORATION</t>
        </is>
      </c>
      <c r="I541" s="207" t="inlineStr">
        <is>
          <t>COLIS</t>
        </is>
      </c>
      <c r="J541" s="207" t="inlineStr">
        <is>
          <t>COLIS</t>
        </is>
      </c>
      <c r="K541" s="213">
        <f>D541+8</f>
        <v/>
      </c>
      <c r="L541" s="213">
        <f>K541+60</f>
        <v/>
      </c>
      <c r="M541" s="207" t="n"/>
      <c r="N541" s="215">
        <f>E541-29-25-5-5</f>
        <v/>
      </c>
      <c r="O541" s="216">
        <f>F541/E541*N541</f>
        <v/>
      </c>
      <c r="P541" s="218">
        <f>G541/E541*N541</f>
        <v/>
      </c>
      <c r="S541" s="200" t="inlineStr">
        <is>
          <t>SX25006SHDJ001</t>
        </is>
      </c>
      <c r="T541" s="201" t="n">
        <v>1</v>
      </c>
      <c r="U541" s="58" t="inlineStr">
        <is>
          <t>01 UNIT SANY TRUCK MOUNTED CONCRETE PUMP &amp; ACC/01 UNIT SANY TRUCK-MOUNTED CONCRETE STATIONARY PUMP&amp; ACC/02 UNITS SANY TRAILER-MOUNTED CONCRETE PUMP &amp; ACC/04 UNITS XCMG LOADER XC958 &amp; ACC/0 7UNlTS KOMATSU CRAWLER EXCAVATOR &amp; ACC /21 GENERATOR SET &amp; ACC ( V</t>
        </is>
      </c>
      <c r="V541" s="67" t="n"/>
      <c r="W541" s="67" t="n"/>
      <c r="X541" s="182" t="inlineStr">
        <is>
          <t>OPER</t>
        </is>
      </c>
      <c r="Y541" s="116">
        <f>F541/E541</f>
        <v/>
      </c>
      <c r="Z541" s="64">
        <f>E541-N541</f>
        <v/>
      </c>
      <c r="AA541" s="64" t="n">
        <v>1</v>
      </c>
    </row>
    <row r="542" ht="15.75" customHeight="1" s="202">
      <c r="A542" s="206" t="n">
        <v>20260052</v>
      </c>
      <c r="B542" s="207" t="inlineStr">
        <is>
          <t>SAPPHIRE X</t>
        </is>
      </c>
      <c r="C542" s="208" t="n">
        <v>46064</v>
      </c>
      <c r="D542" s="208" t="n">
        <v>46071</v>
      </c>
      <c r="E542" s="206" t="n">
        <v>520</v>
      </c>
      <c r="F542" s="210" t="n">
        <v>2510.96</v>
      </c>
      <c r="G542" s="211" t="n">
        <v>480</v>
      </c>
      <c r="H542" s="207" t="inlineStr">
        <is>
          <t>EURL ABOU NOUFEL</t>
        </is>
      </c>
      <c r="I542" s="207" t="inlineStr">
        <is>
          <t>POUTRELLES</t>
        </is>
      </c>
      <c r="J542" s="207" t="inlineStr">
        <is>
          <t>POUTRELLES</t>
        </is>
      </c>
      <c r="K542" s="213">
        <f>D542+8</f>
        <v/>
      </c>
      <c r="L542" s="213">
        <f>K542+60</f>
        <v/>
      </c>
      <c r="M542" s="207" t="n"/>
      <c r="N542" s="215">
        <f>E542-114-100-89-285</f>
        <v/>
      </c>
      <c r="O542" s="216">
        <f>F542/E542*N542</f>
        <v/>
      </c>
      <c r="P542" s="218">
        <f>G542/E542*N542</f>
        <v/>
      </c>
      <c r="S542" s="200" t="inlineStr">
        <is>
          <t>SX25006SHDJ002</t>
        </is>
      </c>
      <c r="T542" s="201" t="n">
        <v>2</v>
      </c>
      <c r="U542" s="58" t="inlineStr">
        <is>
          <t>PRIME HOT ROLLED STEEL H-BEAMS / PRIME NEWLY HOT ROLLED STEEL CHANNEL</t>
        </is>
      </c>
      <c r="V542" s="67" t="n"/>
      <c r="W542" s="67" t="n"/>
      <c r="X542" s="182" t="inlineStr">
        <is>
          <t>OPER</t>
        </is>
      </c>
      <c r="Y542" s="116">
        <f>F542/E542</f>
        <v/>
      </c>
      <c r="Z542" s="64">
        <f>E542-N542</f>
        <v/>
      </c>
      <c r="AA542" s="64" t="n">
        <v>1</v>
      </c>
    </row>
    <row r="543" ht="15.75" customHeight="1" s="202">
      <c r="A543" s="206" t="n">
        <v>20260052</v>
      </c>
      <c r="B543" s="207" t="inlineStr">
        <is>
          <t>SAPPHIRE X</t>
        </is>
      </c>
      <c r="C543" s="208" t="n">
        <v>46064</v>
      </c>
      <c r="D543" s="208" t="n">
        <v>46071</v>
      </c>
      <c r="E543" s="206" t="n">
        <v>84</v>
      </c>
      <c r="F543" s="210" t="n">
        <v>291.84</v>
      </c>
      <c r="G543" s="211" t="n">
        <v>100</v>
      </c>
      <c r="H543" s="207" t="inlineStr">
        <is>
          <t>SARL TOP ROCK</t>
        </is>
      </c>
      <c r="I543" s="207" t="inlineStr">
        <is>
          <t>POUTRELLES</t>
        </is>
      </c>
      <c r="J543" s="207" t="inlineStr">
        <is>
          <t>POUTRELLES</t>
        </is>
      </c>
      <c r="K543" s="213">
        <f>D543+8</f>
        <v/>
      </c>
      <c r="L543" s="213">
        <f>K543+60</f>
        <v/>
      </c>
      <c r="M543" s="207" t="n"/>
      <c r="N543" s="215">
        <f>E543-31</f>
        <v/>
      </c>
      <c r="O543" s="216">
        <f>F543/E543*N543</f>
        <v/>
      </c>
      <c r="P543" s="218">
        <f>G543/E543*N543</f>
        <v/>
      </c>
      <c r="S543" s="200" t="inlineStr">
        <is>
          <t>SX25006TJDJD006/007</t>
        </is>
      </c>
      <c r="T543" s="201" t="n">
        <v>7</v>
      </c>
      <c r="U543" s="58" t="inlineStr">
        <is>
          <t>STEEL PLATE /FLAT STEEL /STEEL ROD/ H BEAM /UPN STEEL /ANGLE STEEL (VOIR BL)</t>
        </is>
      </c>
      <c r="V543" s="67" t="n"/>
      <c r="W543" s="67" t="n"/>
      <c r="X543" s="99" t="inlineStr">
        <is>
          <t>OPER</t>
        </is>
      </c>
      <c r="Y543" s="116">
        <f>F543/E543</f>
        <v/>
      </c>
      <c r="Z543" s="64">
        <f>E543-N543</f>
        <v/>
      </c>
    </row>
    <row r="544" ht="15.75" customHeight="1" s="202">
      <c r="A544" s="206" t="n">
        <v>20260052</v>
      </c>
      <c r="B544" s="207" t="inlineStr">
        <is>
          <t>SAPPHIRE X</t>
        </is>
      </c>
      <c r="C544" s="208" t="n">
        <v>46064</v>
      </c>
      <c r="D544" s="208" t="n">
        <v>46071</v>
      </c>
      <c r="E544" s="206" t="n">
        <v>1019</v>
      </c>
      <c r="F544" s="210" t="n">
        <v>2878.74</v>
      </c>
      <c r="G544" s="211" t="n">
        <v>770</v>
      </c>
      <c r="H544" s="207" t="inlineStr">
        <is>
          <t>EURL METGAV</t>
        </is>
      </c>
      <c r="I544" s="207" t="inlineStr">
        <is>
          <t>BOBINES</t>
        </is>
      </c>
      <c r="J544" s="207" t="inlineStr">
        <is>
          <t>BOBINES</t>
        </is>
      </c>
      <c r="K544" s="213">
        <f>D544+8</f>
        <v/>
      </c>
      <c r="L544" s="213">
        <f>K544+60</f>
        <v/>
      </c>
      <c r="M544" s="207" t="n"/>
      <c r="N544" s="215">
        <f>E544-73</f>
        <v/>
      </c>
      <c r="O544" s="216">
        <f>F544/E544*N544</f>
        <v/>
      </c>
      <c r="P544" s="218">
        <f>G544/E544*N544</f>
        <v/>
      </c>
      <c r="S544" s="200" t="inlineStr">
        <is>
          <t>SX25006TJDJD001</t>
        </is>
      </c>
      <c r="T544" s="201" t="n">
        <v>4</v>
      </c>
      <c r="U544" s="58" t="inlineStr">
        <is>
          <t>HOT ROLLED STEEL ANGLES</t>
        </is>
      </c>
      <c r="V544" s="67" t="n"/>
      <c r="W544" s="67" t="n"/>
      <c r="X544" s="182" t="inlineStr">
        <is>
          <t>OPER</t>
        </is>
      </c>
      <c r="Y544" s="116">
        <f>F544/E544</f>
        <v/>
      </c>
      <c r="Z544" s="64">
        <f>E544-N544</f>
        <v/>
      </c>
    </row>
    <row r="545" ht="15.75" customHeight="1" s="202">
      <c r="A545" s="106" t="n">
        <v>20260052</v>
      </c>
      <c r="B545" s="107" t="inlineStr">
        <is>
          <t>SAPPHIRE X</t>
        </is>
      </c>
      <c r="C545" s="108" t="n">
        <v>46064</v>
      </c>
      <c r="D545" s="108" t="n">
        <v>46071</v>
      </c>
      <c r="E545" s="106" t="n">
        <v>80</v>
      </c>
      <c r="F545" s="106" t="n">
        <v>501</v>
      </c>
      <c r="G545" s="106" t="n">
        <v>60</v>
      </c>
      <c r="H545" s="107" t="inlineStr">
        <is>
          <t>SARL KASSA IKLIRAJ</t>
        </is>
      </c>
      <c r="I545" s="107" t="inlineStr">
        <is>
          <t>BOBINES</t>
        </is>
      </c>
      <c r="J545" s="107" t="inlineStr">
        <is>
          <t>BOBINES</t>
        </is>
      </c>
      <c r="K545" s="108">
        <f>D545+8</f>
        <v/>
      </c>
      <c r="L545" s="108">
        <f>K545+60</f>
        <v/>
      </c>
      <c r="M545" s="107" t="n"/>
      <c r="N545" s="112">
        <f>E545-6-52-22</f>
        <v/>
      </c>
      <c r="O545" s="113">
        <f>F545/E545*N545</f>
        <v/>
      </c>
      <c r="P545" s="112">
        <f>G545/E545*N545</f>
        <v/>
      </c>
      <c r="Q545" s="109" t="n"/>
      <c r="R545" s="107" t="n"/>
      <c r="S545" s="109" t="inlineStr">
        <is>
          <t>SX25006TJDJD002</t>
        </is>
      </c>
      <c r="T545" s="114" t="n">
        <v>5</v>
      </c>
      <c r="U545" s="109" t="inlineStr">
        <is>
          <t>Galvanized coils</t>
        </is>
      </c>
      <c r="V545" s="106" t="n"/>
      <c r="W545" s="106" t="n"/>
      <c r="X545" s="106" t="inlineStr">
        <is>
          <t>SOLDEE</t>
        </is>
      </c>
      <c r="Y545" s="116">
        <f>F545/E545</f>
        <v/>
      </c>
    </row>
    <row r="546" ht="15.75" customHeight="1" s="202">
      <c r="A546" s="106" t="n">
        <v>20260052</v>
      </c>
      <c r="B546" s="107" t="inlineStr">
        <is>
          <t>SAPPHIRE X</t>
        </is>
      </c>
      <c r="C546" s="108" t="n">
        <v>46064</v>
      </c>
      <c r="D546" s="108" t="n">
        <v>46071</v>
      </c>
      <c r="E546" s="106" t="n">
        <v>48</v>
      </c>
      <c r="F546" s="106" t="n">
        <v>239.6</v>
      </c>
      <c r="G546" s="106" t="n">
        <v>40</v>
      </c>
      <c r="H546" s="107" t="inlineStr">
        <is>
          <t>SARL ORAN POLYESTER</t>
        </is>
      </c>
      <c r="I546" s="107" t="inlineStr">
        <is>
          <t>TOLES EN PLAQUES</t>
        </is>
      </c>
      <c r="J546" s="107" t="inlineStr">
        <is>
          <t>TOLES EN PLAQUES</t>
        </is>
      </c>
      <c r="K546" s="108">
        <f>D546+8</f>
        <v/>
      </c>
      <c r="L546" s="108">
        <f>K546+60</f>
        <v/>
      </c>
      <c r="M546" s="107" t="n"/>
      <c r="N546" s="112">
        <f>E546-18-30</f>
        <v/>
      </c>
      <c r="O546" s="113">
        <f>F546/E546*N546</f>
        <v/>
      </c>
      <c r="P546" s="112">
        <f>G546/E546*N546</f>
        <v/>
      </c>
      <c r="Q546" s="109" t="n"/>
      <c r="R546" s="107" t="n"/>
      <c r="S546" s="109" t="inlineStr">
        <is>
          <t>SX25006TJDJD003-004</t>
        </is>
      </c>
      <c r="T546" s="114" t="n">
        <v>6</v>
      </c>
      <c r="U546" s="109" t="inlineStr">
        <is>
          <t>STEEL PLATE TOLE A283 GR</t>
        </is>
      </c>
      <c r="V546" s="106" t="n"/>
      <c r="W546" s="106" t="n"/>
      <c r="X546" s="106" t="inlineStr">
        <is>
          <t>SOLDEE</t>
        </is>
      </c>
      <c r="Y546" s="116">
        <f>F546/E546</f>
        <v/>
      </c>
      <c r="Z546" s="64">
        <f>E546-N546</f>
        <v/>
      </c>
      <c r="AA546" s="64" t="n">
        <v>1</v>
      </c>
    </row>
    <row r="547" ht="15.75" customHeight="1" s="202">
      <c r="A547" s="106" t="n">
        <v>20260052</v>
      </c>
      <c r="B547" s="107" t="inlineStr">
        <is>
          <t>SAPPHIRE X</t>
        </is>
      </c>
      <c r="C547" s="108" t="n">
        <v>46064</v>
      </c>
      <c r="D547" s="108" t="n">
        <v>46071</v>
      </c>
      <c r="E547" s="106" t="n">
        <v>25</v>
      </c>
      <c r="F547" s="106" t="n">
        <v>142.076</v>
      </c>
      <c r="G547" s="106" t="n">
        <v>23</v>
      </c>
      <c r="H547" s="107" t="inlineStr">
        <is>
          <t>SARL MSR STEEL</t>
        </is>
      </c>
      <c r="I547" s="107" t="inlineStr">
        <is>
          <t>TOLES EN PLAQUES</t>
        </is>
      </c>
      <c r="J547" s="107" t="inlineStr">
        <is>
          <t>TOLES EN PLAQUES</t>
        </is>
      </c>
      <c r="K547" s="108">
        <f>D547+8</f>
        <v/>
      </c>
      <c r="L547" s="108">
        <f>K547+60</f>
        <v/>
      </c>
      <c r="M547" s="107" t="n"/>
      <c r="N547" s="112">
        <f>E547-21-4</f>
        <v/>
      </c>
      <c r="O547" s="113">
        <f>F547/E547*N547</f>
        <v/>
      </c>
      <c r="P547" s="112">
        <f>G547/E547*N547</f>
        <v/>
      </c>
      <c r="Q547" s="109" t="n"/>
      <c r="R547" s="107" t="n"/>
      <c r="S547" s="109" t="inlineStr">
        <is>
          <t>SX25006TJDJD010</t>
        </is>
      </c>
      <c r="T547" s="114" t="n">
        <v>8</v>
      </c>
      <c r="U547" s="109" t="inlineStr">
        <is>
          <t>STEEL PLATE</t>
        </is>
      </c>
      <c r="V547" s="106" t="n"/>
      <c r="W547" s="106" t="n"/>
      <c r="X547" s="106" t="inlineStr">
        <is>
          <t>SOLDEE</t>
        </is>
      </c>
      <c r="Y547" s="116">
        <f>F547/E547</f>
        <v/>
      </c>
      <c r="AA547" s="64" t="n">
        <v>1</v>
      </c>
    </row>
    <row r="548" ht="15.75" customHeight="1" s="202">
      <c r="A548" s="300" t="n">
        <v>20260052</v>
      </c>
      <c r="B548" s="301" t="inlineStr">
        <is>
          <t>SAPPHIRE X</t>
        </is>
      </c>
      <c r="C548" s="302" t="n">
        <v>46064</v>
      </c>
      <c r="D548" s="302" t="n">
        <v>46071</v>
      </c>
      <c r="E548" s="300" t="n">
        <v>424</v>
      </c>
      <c r="F548" s="304" t="n">
        <v>1149.268</v>
      </c>
      <c r="G548" s="305" t="n">
        <v>320</v>
      </c>
      <c r="H548" s="301" t="inlineStr">
        <is>
          <t>SH ENI GROUPEMENT</t>
        </is>
      </c>
      <c r="I548" s="301" t="inlineStr">
        <is>
          <t>TUBES</t>
        </is>
      </c>
      <c r="J548" s="301" t="inlineStr">
        <is>
          <t>TUBES</t>
        </is>
      </c>
      <c r="K548" s="307">
        <f>D548+8</f>
        <v/>
      </c>
      <c r="L548" s="307">
        <f>K548+60</f>
        <v/>
      </c>
      <c r="M548" s="301" t="n"/>
      <c r="N548" s="309">
        <f>E548-40-15-49-7-56</f>
        <v/>
      </c>
      <c r="O548" s="310">
        <f>F548/E548*N548</f>
        <v/>
      </c>
      <c r="P548" s="311">
        <f>G548/E548*N548</f>
        <v/>
      </c>
      <c r="S548" s="200" t="inlineStr">
        <is>
          <t>SX25006SHDJ003</t>
        </is>
      </c>
      <c r="T548" s="201" t="n">
        <v>3</v>
      </c>
      <c r="U548" s="58" t="inlineStr">
        <is>
          <t>Line Pipe 20" API 5L PSL2 X60 SAW 19.05 mm LINE PIPE 3LPP COATED</t>
        </is>
      </c>
      <c r="V548" s="67" t="n"/>
      <c r="W548" s="67" t="n"/>
      <c r="X548" s="312" t="inlineStr">
        <is>
          <t>OPER</t>
        </is>
      </c>
      <c r="Y548" s="116">
        <f>F548/E548</f>
        <v/>
      </c>
      <c r="Z548" s="64">
        <f>E548-N548</f>
        <v/>
      </c>
      <c r="AA548" s="64" t="n">
        <v>1</v>
      </c>
    </row>
    <row r="549" ht="15.75" customHeight="1" s="202">
      <c r="A549" s="106" t="n">
        <v>20260057</v>
      </c>
      <c r="B549" s="107" t="inlineStr">
        <is>
          <t>PVT DIAMOND</t>
        </is>
      </c>
      <c r="C549" s="108" t="n">
        <v>46070</v>
      </c>
      <c r="D549" s="108" t="n">
        <v>46071</v>
      </c>
      <c r="E549" s="106" t="n">
        <v>2</v>
      </c>
      <c r="F549" s="106" t="n">
        <v>68.2</v>
      </c>
      <c r="G549" s="106" t="n">
        <v>48</v>
      </c>
      <c r="H549" s="107" t="inlineStr">
        <is>
          <t>KERMET SAID TOUFIK</t>
        </is>
      </c>
      <c r="I549" s="107" t="inlineStr">
        <is>
          <t>EXCAVATEURS</t>
        </is>
      </c>
      <c r="J549" s="107" t="inlineStr">
        <is>
          <t>ENGINS</t>
        </is>
      </c>
      <c r="K549" s="108">
        <f>D549+8</f>
        <v/>
      </c>
      <c r="L549" s="108">
        <f>K549+60</f>
        <v/>
      </c>
      <c r="M549" s="107" t="n"/>
      <c r="N549" s="112">
        <f>E549-2</f>
        <v/>
      </c>
      <c r="O549" s="113">
        <f>F549/E549*N549</f>
        <v/>
      </c>
      <c r="P549" s="112">
        <f>G549/E549*N549</f>
        <v/>
      </c>
      <c r="Q549" s="109" t="n"/>
      <c r="R549" s="107" t="n"/>
      <c r="S549" s="109" t="inlineStr">
        <is>
          <t>PD26008YTDJDJ11</t>
        </is>
      </c>
      <c r="T549" s="114" t="n">
        <v>2</v>
      </c>
      <c r="U549" s="109" t="inlineStr">
        <is>
          <t>02 UNITS HYUNDAI HX340HD ( VOIR BL)</t>
        </is>
      </c>
      <c r="V549" s="106" t="n"/>
      <c r="W549" s="106" t="n"/>
      <c r="X549" s="106" t="inlineStr">
        <is>
          <t>SOLDEE</t>
        </is>
      </c>
      <c r="Y549" s="116">
        <f>F549/E549</f>
        <v/>
      </c>
      <c r="AA549" s="64" t="n">
        <v>1</v>
      </c>
    </row>
    <row r="550" ht="15.75" customHeight="1" s="202">
      <c r="A550" s="106" t="n">
        <v>20260057</v>
      </c>
      <c r="B550" s="107" t="inlineStr">
        <is>
          <t>PVT DIAMOND</t>
        </is>
      </c>
      <c r="C550" s="108" t="n">
        <v>46070</v>
      </c>
      <c r="D550" s="108" t="n">
        <v>46071</v>
      </c>
      <c r="E550" s="106" t="n">
        <v>2</v>
      </c>
      <c r="F550" s="106" t="n">
        <v>0</v>
      </c>
      <c r="G550" s="106" t="n">
        <v>10</v>
      </c>
      <c r="H550" s="107" t="inlineStr">
        <is>
          <t>KERMET SAID TOUFIK</t>
        </is>
      </c>
      <c r="I550" s="107" t="inlineStr">
        <is>
          <t>COLIS</t>
        </is>
      </c>
      <c r="J550" s="107" t="inlineStr">
        <is>
          <t>COLIS</t>
        </is>
      </c>
      <c r="K550" s="108">
        <f>D550+8</f>
        <v/>
      </c>
      <c r="L550" s="108">
        <f>K550+60</f>
        <v/>
      </c>
      <c r="M550" s="107" t="n"/>
      <c r="N550" s="112">
        <f>E550-2</f>
        <v/>
      </c>
      <c r="O550" s="113">
        <f>F550/E550*N550</f>
        <v/>
      </c>
      <c r="P550" s="112">
        <f>G550/E550*N550</f>
        <v/>
      </c>
      <c r="Q550" s="109" t="n"/>
      <c r="R550" s="107" t="n"/>
      <c r="S550" s="109" t="inlineStr">
        <is>
          <t>PD26008YTDJDJ11</t>
        </is>
      </c>
      <c r="T550" s="114" t="n">
        <v>2</v>
      </c>
      <c r="U550" s="109" t="n"/>
      <c r="V550" s="106" t="n"/>
      <c r="W550" s="106" t="n"/>
      <c r="X550" s="106" t="inlineStr">
        <is>
          <t>SOLDEE</t>
        </is>
      </c>
      <c r="Y550" s="116">
        <f>F550/E550</f>
        <v/>
      </c>
      <c r="AA550" s="64" t="n">
        <v>1</v>
      </c>
    </row>
    <row r="551" ht="15.75" customHeight="1" s="202">
      <c r="A551" s="116" t="n">
        <v>20260057</v>
      </c>
      <c r="B551" s="117" t="inlineStr">
        <is>
          <t>PVT DIAMOND</t>
        </is>
      </c>
      <c r="C551" s="118" t="n">
        <v>46070</v>
      </c>
      <c r="D551" s="118" t="n">
        <v>46071</v>
      </c>
      <c r="E551" s="116" t="n">
        <v>1</v>
      </c>
      <c r="F551" s="119" t="n">
        <v>7.5</v>
      </c>
      <c r="G551" s="120" t="n">
        <v>24</v>
      </c>
      <c r="H551" s="117" t="inlineStr">
        <is>
          <t>KHALDI SAAD</t>
        </is>
      </c>
      <c r="I551" s="117" t="inlineStr">
        <is>
          <t>CAMIONS</t>
        </is>
      </c>
      <c r="J551" s="117" t="inlineStr">
        <is>
          <t>LOURD</t>
        </is>
      </c>
      <c r="K551" s="48">
        <f>D551+8</f>
        <v/>
      </c>
      <c r="L551" s="48">
        <f>K551+60</f>
        <v/>
      </c>
      <c r="N551" s="72">
        <f>E551</f>
        <v/>
      </c>
      <c r="O551" s="50">
        <f>F551/E551*N551</f>
        <v/>
      </c>
      <c r="P551" s="273">
        <f>G551/E551*N551</f>
        <v/>
      </c>
      <c r="S551" s="200" t="inlineStr">
        <is>
          <t>PD26008YTDJDJ12</t>
        </is>
      </c>
      <c r="T551" s="201" t="n">
        <v>3</v>
      </c>
      <c r="U551" s="58" t="inlineStr">
        <is>
          <t>01 UNIT SINOTRUK SITRAK 4X2 TRACTOR-MANUAL GEARBOX ( VOIR BL)</t>
        </is>
      </c>
      <c r="V551" s="67" t="n"/>
      <c r="W551" s="67" t="n"/>
      <c r="X551" s="62" t="inlineStr">
        <is>
          <t>N-OP</t>
        </is>
      </c>
      <c r="Y551" s="116">
        <f>F551/E551</f>
        <v/>
      </c>
      <c r="Z551" s="64">
        <f>E551-N551</f>
        <v/>
      </c>
      <c r="AA551" s="64" t="n">
        <v>1</v>
      </c>
    </row>
    <row r="552" ht="15.75" customHeight="1" s="202">
      <c r="A552" s="116" t="n">
        <v>20260057</v>
      </c>
      <c r="B552" s="117" t="inlineStr">
        <is>
          <t>PVT DIAMOND</t>
        </is>
      </c>
      <c r="C552" s="118" t="n">
        <v>46070</v>
      </c>
      <c r="D552" s="118" t="n">
        <v>46071</v>
      </c>
      <c r="E552" s="116" t="n">
        <v>1</v>
      </c>
      <c r="F552" s="119" t="n">
        <v>15</v>
      </c>
      <c r="G552" s="120" t="n">
        <v>24</v>
      </c>
      <c r="H552" s="117" t="inlineStr">
        <is>
          <t>OULAD HEDDAR MUSTAFA</t>
        </is>
      </c>
      <c r="I552" s="117" t="inlineStr">
        <is>
          <t>CAMIONS</t>
        </is>
      </c>
      <c r="J552" s="117" t="inlineStr">
        <is>
          <t>LOURD</t>
        </is>
      </c>
      <c r="K552" s="48">
        <f>D552+8</f>
        <v/>
      </c>
      <c r="L552" s="48">
        <f>K552+60</f>
        <v/>
      </c>
      <c r="N552" s="72">
        <f>E552</f>
        <v/>
      </c>
      <c r="O552" s="50">
        <f>F552/E552*N552</f>
        <v/>
      </c>
      <c r="P552" s="273">
        <f>G552/E552*N552</f>
        <v/>
      </c>
      <c r="S552" s="200" t="inlineStr">
        <is>
          <t>PD26008YTDJDJ13</t>
        </is>
      </c>
      <c r="T552" s="201" t="n">
        <v>4</v>
      </c>
      <c r="U552" s="58" t="inlineStr">
        <is>
          <t>01 UNIT SHACMAN F2000 6X4 DUMP TRUCK ( VOIR BL)</t>
        </is>
      </c>
      <c r="V552" s="67" t="n"/>
      <c r="W552" s="67" t="n"/>
      <c r="X552" s="62" t="inlineStr">
        <is>
          <t>N-OP</t>
        </is>
      </c>
      <c r="Y552" s="116">
        <f>F552/E552</f>
        <v/>
      </c>
      <c r="Z552" s="64">
        <f>E552-N552</f>
        <v/>
      </c>
      <c r="AA552" s="64" t="n">
        <v>1</v>
      </c>
    </row>
    <row r="553" ht="15.75" customHeight="1" s="202">
      <c r="A553" s="116" t="n">
        <v>20260057</v>
      </c>
      <c r="B553" s="117" t="inlineStr">
        <is>
          <t>PVT DIAMOND</t>
        </is>
      </c>
      <c r="C553" s="118" t="n">
        <v>46070</v>
      </c>
      <c r="D553" s="118" t="n">
        <v>46071</v>
      </c>
      <c r="E553" s="116" t="n">
        <v>1</v>
      </c>
      <c r="F553" s="119" t="n">
        <v>15</v>
      </c>
      <c r="G553" s="120" t="n">
        <v>24</v>
      </c>
      <c r="H553" s="117" t="inlineStr">
        <is>
          <t>MANSOUR OUAHCHIA ABDERREZAK</t>
        </is>
      </c>
      <c r="I553" s="117" t="inlineStr">
        <is>
          <t>CAMIONS</t>
        </is>
      </c>
      <c r="J553" s="117" t="inlineStr">
        <is>
          <t>LOURD</t>
        </is>
      </c>
      <c r="K553" s="48">
        <f>D553+8</f>
        <v/>
      </c>
      <c r="L553" s="48">
        <f>K553+60</f>
        <v/>
      </c>
      <c r="N553" s="72">
        <f>E553</f>
        <v/>
      </c>
      <c r="O553" s="50">
        <f>F553/E553*N553</f>
        <v/>
      </c>
      <c r="P553" s="273">
        <f>G553/E553*N553</f>
        <v/>
      </c>
      <c r="S553" s="200" t="inlineStr">
        <is>
          <t>PD26008YTDJDJ14</t>
        </is>
      </c>
      <c r="T553" s="201" t="n">
        <v>5</v>
      </c>
      <c r="U553" s="58" t="inlineStr">
        <is>
          <t>01 UNIT SHACMAN F2000 6X4 DUMP TRUCK ( VOIR BL)</t>
        </is>
      </c>
      <c r="V553" s="67" t="n"/>
      <c r="W553" s="67" t="n"/>
      <c r="X553" s="62" t="inlineStr">
        <is>
          <t>N-OP</t>
        </is>
      </c>
      <c r="Y553" s="116">
        <f>F553/E553</f>
        <v/>
      </c>
      <c r="Z553" s="64">
        <f>E553-N553</f>
        <v/>
      </c>
      <c r="AA553" s="64" t="n">
        <v>1</v>
      </c>
    </row>
    <row r="554" ht="15.75" customHeight="1" s="202">
      <c r="A554" s="106" t="n">
        <v>20260057</v>
      </c>
      <c r="B554" s="107" t="inlineStr">
        <is>
          <t>PVT DIAMOND</t>
        </is>
      </c>
      <c r="C554" s="108" t="n">
        <v>46070</v>
      </c>
      <c r="D554" s="108" t="n">
        <v>46071</v>
      </c>
      <c r="E554" s="106" t="n">
        <v>1</v>
      </c>
      <c r="F554" s="106" t="n">
        <v>8.9</v>
      </c>
      <c r="G554" s="106" t="n">
        <v>24</v>
      </c>
      <c r="H554" s="107" t="inlineStr">
        <is>
          <t>SARL MOULINS FRERES BOUCENNA</t>
        </is>
      </c>
      <c r="I554" s="107" t="inlineStr">
        <is>
          <t>CAMIONS</t>
        </is>
      </c>
      <c r="J554" s="107" t="inlineStr">
        <is>
          <t>LOURD</t>
        </is>
      </c>
      <c r="K554" s="108">
        <f>D554+8</f>
        <v/>
      </c>
      <c r="L554" s="108">
        <f>K554+60</f>
        <v/>
      </c>
      <c r="M554" s="107" t="n"/>
      <c r="N554" s="112">
        <f>E554-1</f>
        <v/>
      </c>
      <c r="O554" s="113">
        <f>F554/E554*N554</f>
        <v/>
      </c>
      <c r="P554" s="112">
        <f>G554/E554*N554</f>
        <v/>
      </c>
      <c r="Q554" s="109" t="n"/>
      <c r="R554" s="107" t="n"/>
      <c r="S554" s="109" t="inlineStr">
        <is>
          <t>PD26008YTDJDJ21/22</t>
        </is>
      </c>
      <c r="T554" s="114" t="n">
        <v>6</v>
      </c>
      <c r="U554" s="109" t="inlineStr">
        <is>
          <t>01 UNIT SINOTRUK SITRAK 6*4 TRACTOR-MANUAL GEARBOX LHD /01 UNIT CIMC CONTAINER BULK THREE AXLE SEMI-TRAILER ( VOIR BL)</t>
        </is>
      </c>
      <c r="V554" s="106" t="n"/>
      <c r="W554" s="106" t="n"/>
      <c r="X554" s="106" t="inlineStr">
        <is>
          <t>SOLDEE</t>
        </is>
      </c>
      <c r="Y554" s="116">
        <f>F554/E554</f>
        <v/>
      </c>
      <c r="Z554" s="64">
        <f>E554-N554</f>
        <v/>
      </c>
      <c r="AA554" s="64" t="n">
        <v>1</v>
      </c>
    </row>
    <row r="555" ht="15.75" customHeight="1" s="202">
      <c r="A555" s="106" t="n">
        <v>20260057</v>
      </c>
      <c r="B555" s="107" t="inlineStr">
        <is>
          <t>PVT DIAMOND</t>
        </is>
      </c>
      <c r="C555" s="108" t="n">
        <v>46070</v>
      </c>
      <c r="D555" s="108" t="n">
        <v>46071</v>
      </c>
      <c r="E555" s="106" t="n">
        <v>1</v>
      </c>
      <c r="F555" s="106" t="n">
        <v>8.9</v>
      </c>
      <c r="G555" s="106" t="n">
        <v>24</v>
      </c>
      <c r="H555" s="107" t="inlineStr">
        <is>
          <t>SARL MOULINS FRERES BOUCENNA</t>
        </is>
      </c>
      <c r="I555" s="107" t="inlineStr">
        <is>
          <t>REMORQUES</t>
        </is>
      </c>
      <c r="J555" s="107" t="inlineStr">
        <is>
          <t>LOURD</t>
        </is>
      </c>
      <c r="K555" s="108">
        <f>D555+8</f>
        <v/>
      </c>
      <c r="L555" s="108">
        <f>K555+60</f>
        <v/>
      </c>
      <c r="M555" s="107" t="n"/>
      <c r="N555" s="112">
        <f>E555-1</f>
        <v/>
      </c>
      <c r="O555" s="113">
        <f>F555/E555*N555</f>
        <v/>
      </c>
      <c r="P555" s="112">
        <f>G555/E555*N555</f>
        <v/>
      </c>
      <c r="Q555" s="109" t="n"/>
      <c r="R555" s="107" t="n"/>
      <c r="S555" s="109" t="inlineStr">
        <is>
          <t>PD26008YTDJDJ21/22</t>
        </is>
      </c>
      <c r="T555" s="114" t="n">
        <v>6</v>
      </c>
      <c r="U555" s="109" t="n"/>
      <c r="V555" s="106" t="n"/>
      <c r="W555" s="106" t="n"/>
      <c r="X555" s="106" t="inlineStr">
        <is>
          <t>SOLDEE</t>
        </is>
      </c>
      <c r="Y555" s="116">
        <f>F555/E555</f>
        <v/>
      </c>
      <c r="Z555" s="64">
        <f>E555-N555</f>
        <v/>
      </c>
      <c r="AA555" s="64" t="n">
        <v>1</v>
      </c>
    </row>
    <row r="556" ht="15.75" customHeight="1" s="202">
      <c r="A556" s="116" t="n">
        <v>20260057</v>
      </c>
      <c r="B556" s="117" t="inlineStr">
        <is>
          <t>PVT DIAMOND</t>
        </is>
      </c>
      <c r="C556" s="118" t="n">
        <v>46070</v>
      </c>
      <c r="D556" s="118" t="n">
        <v>46071</v>
      </c>
      <c r="E556" s="116" t="n">
        <v>1</v>
      </c>
      <c r="F556" s="119" t="n">
        <v>41.934</v>
      </c>
      <c r="G556" s="120" t="n">
        <v>24</v>
      </c>
      <c r="H556" s="117" t="inlineStr">
        <is>
          <t>ABED TAYYIB</t>
        </is>
      </c>
      <c r="I556" s="117" t="inlineStr">
        <is>
          <t>EXCAVATEURS</t>
        </is>
      </c>
      <c r="J556" s="117" t="inlineStr">
        <is>
          <t>ENGINS</t>
        </is>
      </c>
      <c r="K556" s="48">
        <f>D556+8</f>
        <v/>
      </c>
      <c r="L556" s="48">
        <f>K556+60</f>
        <v/>
      </c>
      <c r="N556" s="72">
        <f>E556</f>
        <v/>
      </c>
      <c r="O556" s="50">
        <f>F556/E556*N556</f>
        <v/>
      </c>
      <c r="P556" s="273">
        <f>G556/E556*N556</f>
        <v/>
      </c>
      <c r="S556" s="200" t="inlineStr">
        <is>
          <t>PD26008YTDJDJ23</t>
        </is>
      </c>
      <c r="T556" s="201" t="n">
        <v>7</v>
      </c>
      <c r="U556" s="58" t="inlineStr">
        <is>
          <t>01 UNIT EXCAVATOR HX340HD WITH HAMMER BREAKER ORIGINAL ( VOIR BL)</t>
        </is>
      </c>
      <c r="V556" s="67" t="n"/>
      <c r="W556" s="67" t="n"/>
      <c r="X556" s="62" t="inlineStr">
        <is>
          <t>N-OP</t>
        </is>
      </c>
      <c r="Y556" s="116">
        <f>F556/E556</f>
        <v/>
      </c>
      <c r="Z556" s="64">
        <f>E556-N556</f>
        <v/>
      </c>
      <c r="AA556" s="64" t="n">
        <v>2</v>
      </c>
    </row>
    <row r="557" ht="15.75" customHeight="1" s="202">
      <c r="A557" s="116" t="n">
        <v>20260057</v>
      </c>
      <c r="B557" s="117" t="inlineStr">
        <is>
          <t>PVT DIAMOND</t>
        </is>
      </c>
      <c r="C557" s="118" t="n">
        <v>46070</v>
      </c>
      <c r="D557" s="118" t="n">
        <v>46071</v>
      </c>
      <c r="E557" s="116" t="n">
        <v>5</v>
      </c>
      <c r="F557" s="119" t="n">
        <v>0</v>
      </c>
      <c r="G557" s="120" t="n">
        <v>20</v>
      </c>
      <c r="H557" s="117" t="inlineStr">
        <is>
          <t>ABED TAYYIB</t>
        </is>
      </c>
      <c r="I557" s="117" t="inlineStr">
        <is>
          <t>COLIS</t>
        </is>
      </c>
      <c r="J557" s="117" t="inlineStr">
        <is>
          <t>COLIS</t>
        </is>
      </c>
      <c r="K557" s="48">
        <f>D557+8</f>
        <v/>
      </c>
      <c r="L557" s="48">
        <f>K557+60</f>
        <v/>
      </c>
      <c r="N557" s="72">
        <f>E557</f>
        <v/>
      </c>
      <c r="O557" s="50">
        <f>F557/E557*N557</f>
        <v/>
      </c>
      <c r="P557" s="273">
        <f>G557/E557*N557</f>
        <v/>
      </c>
      <c r="S557" s="200" t="inlineStr">
        <is>
          <t>PD26008YTDJDJ23</t>
        </is>
      </c>
      <c r="T557" s="201" t="n">
        <v>7</v>
      </c>
      <c r="U557" s="58" t="n"/>
      <c r="V557" s="67" t="n"/>
      <c r="W557" s="67" t="n"/>
      <c r="X557" s="62" t="inlineStr">
        <is>
          <t>N-OP</t>
        </is>
      </c>
      <c r="Y557" s="116">
        <f>F557/E557</f>
        <v/>
      </c>
      <c r="Z557" s="64">
        <f>E557-N557</f>
        <v/>
      </c>
      <c r="AA557" s="64" t="n">
        <v>1</v>
      </c>
    </row>
    <row r="558" ht="15.75" customHeight="1" s="202">
      <c r="A558" s="206" t="n">
        <v>20260057</v>
      </c>
      <c r="B558" s="207" t="inlineStr">
        <is>
          <t>PVT DIAMOND</t>
        </is>
      </c>
      <c r="C558" s="208" t="n">
        <v>46070</v>
      </c>
      <c r="D558" s="208" t="n">
        <v>46071</v>
      </c>
      <c r="E558" s="206" t="n">
        <v>2</v>
      </c>
      <c r="F558" s="210" t="n">
        <v>23.4</v>
      </c>
      <c r="G558" s="211" t="n">
        <v>48</v>
      </c>
      <c r="H558" s="207" t="inlineStr">
        <is>
          <t>SARL NUMIDIA GM STONE</t>
        </is>
      </c>
      <c r="I558" s="207" t="inlineStr">
        <is>
          <t>CAMIONS</t>
        </is>
      </c>
      <c r="J558" s="207" t="inlineStr">
        <is>
          <t>LOURD</t>
        </is>
      </c>
      <c r="K558" s="213">
        <f>D558+8</f>
        <v/>
      </c>
      <c r="L558" s="213">
        <f>K558+60</f>
        <v/>
      </c>
      <c r="M558" s="207" t="n"/>
      <c r="N558" s="215">
        <f>E558-1</f>
        <v/>
      </c>
      <c r="O558" s="216">
        <f>F558/E558*N558</f>
        <v/>
      </c>
      <c r="P558" s="218">
        <f>G558/E558*N558</f>
        <v/>
      </c>
      <c r="S558" s="200" t="inlineStr">
        <is>
          <t>PD26008YTDJDJ42/44</t>
        </is>
      </c>
      <c r="T558" s="201" t="n">
        <v>9</v>
      </c>
      <c r="U558" s="58" t="inlineStr">
        <is>
          <t>01 UNIT SINOTRUK SITRAK 6X4 TRACTOR TRUCK 01 UNIT SINOTRUK HOWO TX 6X4 TIPPER TRUCK ( VOIR BL)</t>
        </is>
      </c>
      <c r="V558" s="67" t="n"/>
      <c r="W558" s="67" t="n"/>
      <c r="X558" s="182" t="inlineStr">
        <is>
          <t>OPER</t>
        </is>
      </c>
      <c r="Y558" s="116">
        <f>F558/E558</f>
        <v/>
      </c>
      <c r="Z558" s="64">
        <f>E558-N558</f>
        <v/>
      </c>
      <c r="AA558" s="64" t="n">
        <v>1</v>
      </c>
    </row>
    <row r="559" ht="15.75" customHeight="1" s="202">
      <c r="A559" s="106" t="n">
        <v>20260057</v>
      </c>
      <c r="B559" s="107" t="inlineStr">
        <is>
          <t>PVT DIAMOND</t>
        </is>
      </c>
      <c r="C559" s="108" t="n">
        <v>46070</v>
      </c>
      <c r="D559" s="108" t="n">
        <v>46071</v>
      </c>
      <c r="E559" s="106" t="n">
        <v>2</v>
      </c>
      <c r="F559" s="106" t="n">
        <v>18</v>
      </c>
      <c r="G559" s="106" t="n">
        <v>48</v>
      </c>
      <c r="H559" s="107" t="inlineStr">
        <is>
          <t>AZZI ABDELKADER</t>
        </is>
      </c>
      <c r="I559" s="107" t="inlineStr">
        <is>
          <t>CAMIONS</t>
        </is>
      </c>
      <c r="J559" s="107" t="inlineStr">
        <is>
          <t>LOURD</t>
        </is>
      </c>
      <c r="K559" s="108">
        <f>D559+8</f>
        <v/>
      </c>
      <c r="L559" s="108">
        <f>K559+60</f>
        <v/>
      </c>
      <c r="M559" s="107" t="n"/>
      <c r="N559" s="112">
        <f>E559-2</f>
        <v/>
      </c>
      <c r="O559" s="113">
        <f>F559/E559*N559</f>
        <v/>
      </c>
      <c r="P559" s="112">
        <f>G559/E559*N559</f>
        <v/>
      </c>
      <c r="Q559" s="109" t="n"/>
      <c r="R559" s="107" t="n"/>
      <c r="S559" s="109" t="inlineStr">
        <is>
          <t>PD26008YTDJDJ45</t>
        </is>
      </c>
      <c r="T559" s="114" t="n">
        <v>10</v>
      </c>
      <c r="U559" s="109" t="inlineStr">
        <is>
          <t>02 UNITS SINOTRUK SITRAK 6X4 TRACTOR-MANUAL GEARBOX LHD ( VOIR BL)</t>
        </is>
      </c>
      <c r="V559" s="106" t="n"/>
      <c r="W559" s="106" t="n"/>
      <c r="X559" s="106" t="inlineStr">
        <is>
          <t>SOLDEE</t>
        </is>
      </c>
      <c r="Y559" s="116">
        <f>F559/E559</f>
        <v/>
      </c>
      <c r="Z559" s="64">
        <f>E559-N559</f>
        <v/>
      </c>
      <c r="AA559" s="64" t="n">
        <v>2</v>
      </c>
    </row>
    <row r="560" ht="15.75" customHeight="1" s="202">
      <c r="A560" s="106" t="n">
        <v>20260057</v>
      </c>
      <c r="B560" s="107" t="inlineStr">
        <is>
          <t>PVT DIAMOND</t>
        </is>
      </c>
      <c r="C560" s="108" t="n">
        <v>46070</v>
      </c>
      <c r="D560" s="108" t="n">
        <v>46071</v>
      </c>
      <c r="E560" s="106" t="n">
        <v>1</v>
      </c>
      <c r="F560" s="106" t="n">
        <v>16.58</v>
      </c>
      <c r="G560" s="106" t="n">
        <v>24</v>
      </c>
      <c r="H560" s="107" t="inlineStr">
        <is>
          <t>FERCHA MESSAOUD</t>
        </is>
      </c>
      <c r="I560" s="107" t="inlineStr">
        <is>
          <t>CAMIONS</t>
        </is>
      </c>
      <c r="J560" s="107" t="inlineStr">
        <is>
          <t>LOURD</t>
        </is>
      </c>
      <c r="K560" s="108">
        <f>D560+8</f>
        <v/>
      </c>
      <c r="L560" s="108">
        <f>K560+60</f>
        <v/>
      </c>
      <c r="M560" s="107" t="n"/>
      <c r="N560" s="112">
        <f>E560-1</f>
        <v/>
      </c>
      <c r="O560" s="113">
        <f>F560/E560*N560</f>
        <v/>
      </c>
      <c r="P560" s="112">
        <f>G560/E560*N560</f>
        <v/>
      </c>
      <c r="Q560" s="109" t="n"/>
      <c r="R560" s="107" t="n"/>
      <c r="S560" s="109" t="inlineStr">
        <is>
          <t>PD26008YTDJDJ47</t>
        </is>
      </c>
      <c r="T560" s="114" t="n">
        <v>11</v>
      </c>
      <c r="U560" s="109" t="inlineStr">
        <is>
          <t>01 UNIT SINOTRUK HOWO TX 8X4 TIPPER TRUCK LHD (VOIR BL)</t>
        </is>
      </c>
      <c r="V560" s="106" t="n"/>
      <c r="W560" s="106" t="n"/>
      <c r="X560" s="106" t="inlineStr">
        <is>
          <t>SOLDEE</t>
        </is>
      </c>
      <c r="Y560" s="116">
        <f>F560/E560</f>
        <v/>
      </c>
      <c r="Z560" s="64">
        <f>E560-N560</f>
        <v/>
      </c>
      <c r="AA560" s="64" t="n">
        <v>6</v>
      </c>
    </row>
    <row r="561" ht="15.75" customHeight="1" s="202">
      <c r="A561" s="106" t="n">
        <v>20260057</v>
      </c>
      <c r="B561" s="107" t="inlineStr">
        <is>
          <t>PVT DIAMOND</t>
        </is>
      </c>
      <c r="C561" s="108" t="n">
        <v>46070</v>
      </c>
      <c r="D561" s="108" t="n">
        <v>46071</v>
      </c>
      <c r="E561" s="106" t="n">
        <v>1</v>
      </c>
      <c r="F561" s="106" t="n">
        <v>16.6</v>
      </c>
      <c r="G561" s="106" t="n">
        <v>24</v>
      </c>
      <c r="H561" s="107" t="inlineStr">
        <is>
          <t>ETB-TCE BARA MAYOUF</t>
        </is>
      </c>
      <c r="I561" s="107" t="inlineStr">
        <is>
          <t>CAMIONS</t>
        </is>
      </c>
      <c r="J561" s="107" t="inlineStr">
        <is>
          <t>LOURD</t>
        </is>
      </c>
      <c r="K561" s="108">
        <f>D561+8</f>
        <v/>
      </c>
      <c r="L561" s="108">
        <f>K561+60</f>
        <v/>
      </c>
      <c r="M561" s="107" t="n"/>
      <c r="N561" s="112">
        <f>E561-1</f>
        <v/>
      </c>
      <c r="O561" s="113">
        <f>F561/E561*N561</f>
        <v/>
      </c>
      <c r="P561" s="112">
        <f>G561/E561*N561</f>
        <v/>
      </c>
      <c r="Q561" s="109" t="n"/>
      <c r="R561" s="107" t="n"/>
      <c r="S561" s="109" t="inlineStr">
        <is>
          <t>PD26008YTDJDJ48</t>
        </is>
      </c>
      <c r="T561" s="114" t="n">
        <v>12</v>
      </c>
      <c r="U561" s="109" t="inlineStr">
        <is>
          <t>01 UNIT SINOTRUK TRACTOR 8X4 TIPPER TRUCK (VOIR BL)</t>
        </is>
      </c>
      <c r="V561" s="106" t="n"/>
      <c r="W561" s="106" t="n"/>
      <c r="X561" s="106" t="inlineStr">
        <is>
          <t>SOLDEE</t>
        </is>
      </c>
      <c r="Y561" s="116">
        <f>F561/E561</f>
        <v/>
      </c>
      <c r="AA561" s="64" t="n">
        <v>1</v>
      </c>
    </row>
    <row r="562" ht="15.75" customHeight="1" s="202">
      <c r="A562" s="106" t="n">
        <v>20260057</v>
      </c>
      <c r="B562" s="107" t="inlineStr">
        <is>
          <t>PVT DIAMOND</t>
        </is>
      </c>
      <c r="C562" s="108" t="n">
        <v>46070</v>
      </c>
      <c r="D562" s="108" t="n">
        <v>46071</v>
      </c>
      <c r="E562" s="106" t="n">
        <v>1</v>
      </c>
      <c r="F562" s="106" t="n">
        <v>11.84</v>
      </c>
      <c r="G562" s="106" t="n">
        <v>24</v>
      </c>
      <c r="H562" s="107" t="inlineStr">
        <is>
          <t>MELLAH REDOUANE</t>
        </is>
      </c>
      <c r="I562" s="107" t="inlineStr">
        <is>
          <t>CAMIONS</t>
        </is>
      </c>
      <c r="J562" s="107" t="inlineStr">
        <is>
          <t>LOURD</t>
        </is>
      </c>
      <c r="K562" s="108">
        <f>D562+8</f>
        <v/>
      </c>
      <c r="L562" s="108">
        <f>K562+60</f>
        <v/>
      </c>
      <c r="M562" s="107" t="n"/>
      <c r="N562" s="112">
        <f>E562-1</f>
        <v/>
      </c>
      <c r="O562" s="113">
        <f>F562/E562*N562</f>
        <v/>
      </c>
      <c r="P562" s="112">
        <f>G562/E562*N562</f>
        <v/>
      </c>
      <c r="Q562" s="109" t="n"/>
      <c r="R562" s="107" t="n"/>
      <c r="S562" s="109" t="inlineStr">
        <is>
          <t>PD26008YTDJDJ49</t>
        </is>
      </c>
      <c r="T562" s="114" t="n">
        <v>13</v>
      </c>
      <c r="U562" s="109" t="inlineStr">
        <is>
          <t>01 UNIT SINOTRUK HOWO TX 4X2 TRUCK MOUNTED CRANE LHD ( VOIR BL)</t>
        </is>
      </c>
      <c r="V562" s="106" t="n"/>
      <c r="W562" s="106" t="n"/>
      <c r="X562" s="106" t="inlineStr">
        <is>
          <t>SOLDEE</t>
        </is>
      </c>
      <c r="Y562" s="116">
        <f>F562/E562</f>
        <v/>
      </c>
      <c r="Z562" s="64">
        <f>E562-N562</f>
        <v/>
      </c>
    </row>
    <row r="563" ht="15.75" customHeight="1" s="202">
      <c r="A563" s="106" t="n">
        <v>20260057</v>
      </c>
      <c r="B563" s="107" t="inlineStr">
        <is>
          <t>PVT DIAMOND</t>
        </is>
      </c>
      <c r="C563" s="108" t="n">
        <v>46070</v>
      </c>
      <c r="D563" s="108" t="n">
        <v>46071</v>
      </c>
      <c r="E563" s="106" t="n">
        <v>1</v>
      </c>
      <c r="F563" s="106" t="n">
        <v>15</v>
      </c>
      <c r="G563" s="106" t="n">
        <v>24</v>
      </c>
      <c r="H563" s="107" t="inlineStr">
        <is>
          <t>BOUAMRIA ABDELHALIM</t>
        </is>
      </c>
      <c r="I563" s="107" t="inlineStr">
        <is>
          <t>CAMIONS</t>
        </is>
      </c>
      <c r="J563" s="107" t="inlineStr">
        <is>
          <t>LOURD</t>
        </is>
      </c>
      <c r="K563" s="108">
        <f>D563+8</f>
        <v/>
      </c>
      <c r="L563" s="108">
        <f>K563+60</f>
        <v/>
      </c>
      <c r="M563" s="107" t="n"/>
      <c r="N563" s="112">
        <f>E563-1</f>
        <v/>
      </c>
      <c r="O563" s="113">
        <f>F563/E563*N563</f>
        <v/>
      </c>
      <c r="P563" s="112">
        <f>G563/E563*N563</f>
        <v/>
      </c>
      <c r="Q563" s="109" t="n"/>
      <c r="R563" s="107" t="n"/>
      <c r="S563" s="109" t="inlineStr">
        <is>
          <t>PD26008YTDJDJ51</t>
        </is>
      </c>
      <c r="T563" s="114" t="n">
        <v>14</v>
      </c>
      <c r="U563" s="109" t="inlineStr">
        <is>
          <t>01 UNIT SHACMAN F2000 6X4 DUMP TRUCK ( VOIR BL)</t>
        </is>
      </c>
      <c r="V563" s="106" t="n"/>
      <c r="W563" s="106" t="n"/>
      <c r="X563" s="106" t="inlineStr">
        <is>
          <t>SOLDEE</t>
        </is>
      </c>
      <c r="Y563" s="116">
        <f>F563/E563</f>
        <v/>
      </c>
      <c r="AA563" s="64" t="n">
        <v>1</v>
      </c>
    </row>
    <row r="564" ht="15.75" customHeight="1" s="202">
      <c r="A564" s="106" t="n">
        <v>20260057</v>
      </c>
      <c r="B564" s="107" t="inlineStr">
        <is>
          <t>PVT DIAMOND</t>
        </is>
      </c>
      <c r="C564" s="108" t="n">
        <v>46070</v>
      </c>
      <c r="D564" s="108" t="n">
        <v>46071</v>
      </c>
      <c r="E564" s="106" t="n">
        <v>1</v>
      </c>
      <c r="F564" s="106" t="n">
        <v>8.800000000000001</v>
      </c>
      <c r="G564" s="106" t="n">
        <v>24</v>
      </c>
      <c r="H564" s="107" t="inlineStr">
        <is>
          <t>ETPBTCE BARA MAYOUF</t>
        </is>
      </c>
      <c r="I564" s="107" t="inlineStr">
        <is>
          <t>CAMIONS</t>
        </is>
      </c>
      <c r="J564" s="107" t="inlineStr">
        <is>
          <t>LOURD</t>
        </is>
      </c>
      <c r="K564" s="108">
        <f>D564+8</f>
        <v/>
      </c>
      <c r="L564" s="108">
        <f>K564+60</f>
        <v/>
      </c>
      <c r="M564" s="107" t="n"/>
      <c r="N564" s="112">
        <f>E564-1</f>
        <v/>
      </c>
      <c r="O564" s="113">
        <f>F564/E564*N564</f>
        <v/>
      </c>
      <c r="P564" s="112">
        <f>G564/E564*N564</f>
        <v/>
      </c>
      <c r="Q564" s="109" t="n"/>
      <c r="R564" s="107" t="n"/>
      <c r="S564" s="109" t="inlineStr">
        <is>
          <t>PD26008YTDJDJ52</t>
        </is>
      </c>
      <c r="T564" s="114" t="n">
        <v>15</v>
      </c>
      <c r="U564" s="109" t="inlineStr">
        <is>
          <t>01 UNIT SINOTRUK SITRAK 6X4 TRACTOR TRUCK 540HP (VOIR BL)</t>
        </is>
      </c>
      <c r="V564" s="106" t="n"/>
      <c r="W564" s="106" t="n"/>
      <c r="X564" s="106" t="inlineStr">
        <is>
          <t>SOLDEE</t>
        </is>
      </c>
      <c r="Y564" s="116">
        <f>F564/E564</f>
        <v/>
      </c>
    </row>
    <row r="565" ht="15.75" customHeight="1" s="202">
      <c r="A565" s="106" t="n">
        <v>20260057</v>
      </c>
      <c r="B565" s="107" t="inlineStr">
        <is>
          <t>PVT DIAMOND</t>
        </is>
      </c>
      <c r="C565" s="108" t="n">
        <v>46070</v>
      </c>
      <c r="D565" s="108" t="n">
        <v>46071</v>
      </c>
      <c r="E565" s="106" t="n">
        <v>1</v>
      </c>
      <c r="F565" s="106" t="n">
        <v>8.800000000000001</v>
      </c>
      <c r="G565" s="106" t="n">
        <v>24</v>
      </c>
      <c r="H565" s="107" t="inlineStr">
        <is>
          <t>FRANSABANK EL DJAZAIR SPA LOCATAIRE SARL ERROA</t>
        </is>
      </c>
      <c r="I565" s="107" t="inlineStr">
        <is>
          <t>CAMIONS</t>
        </is>
      </c>
      <c r="J565" s="107" t="inlineStr">
        <is>
          <t>LOURD</t>
        </is>
      </c>
      <c r="K565" s="108">
        <f>D565+8</f>
        <v/>
      </c>
      <c r="L565" s="108">
        <f>K565+60</f>
        <v/>
      </c>
      <c r="M565" s="107" t="n"/>
      <c r="N565" s="112">
        <f>E565-1</f>
        <v/>
      </c>
      <c r="O565" s="113">
        <f>F565/E565*N565</f>
        <v/>
      </c>
      <c r="P565" s="112">
        <f>G565/E565*N565</f>
        <v/>
      </c>
      <c r="Q565" s="109" t="n"/>
      <c r="R565" s="107" t="n"/>
      <c r="S565" s="109" t="inlineStr">
        <is>
          <t>PD26008YTDJDJ53</t>
        </is>
      </c>
      <c r="T565" s="114" t="n">
        <v>16</v>
      </c>
      <c r="U565" s="109" t="inlineStr">
        <is>
          <t>01 UNIT SINOTRUCK SITRAK 6X4 TRACTOR TRUCK 480HP ( VOIR BL)</t>
        </is>
      </c>
      <c r="V565" s="106" t="n"/>
      <c r="W565" s="106" t="n"/>
      <c r="X565" s="106" t="inlineStr">
        <is>
          <t>SOLDEE</t>
        </is>
      </c>
      <c r="Y565" s="116">
        <f>F565/E565</f>
        <v/>
      </c>
      <c r="Z565" s="64">
        <f>E565-N565</f>
        <v/>
      </c>
      <c r="AA565" s="64" t="n">
        <v>1</v>
      </c>
    </row>
    <row r="566" ht="15.75" customHeight="1" s="202">
      <c r="A566" s="116" t="n">
        <v>20260057</v>
      </c>
      <c r="B566" s="117" t="inlineStr">
        <is>
          <t>PVT DIAMOND</t>
        </is>
      </c>
      <c r="C566" s="118" t="n">
        <v>46070</v>
      </c>
      <c r="D566" s="118" t="n">
        <v>46071</v>
      </c>
      <c r="E566" s="116" t="n">
        <v>1</v>
      </c>
      <c r="F566" s="119" t="n">
        <v>15</v>
      </c>
      <c r="G566" s="120" t="n">
        <v>24</v>
      </c>
      <c r="H566" s="117" t="inlineStr">
        <is>
          <t>SARL SMATI KAD</t>
        </is>
      </c>
      <c r="I566" s="117" t="inlineStr">
        <is>
          <t>CAMIONS</t>
        </is>
      </c>
      <c r="J566" s="117" t="inlineStr">
        <is>
          <t>LOURD</t>
        </is>
      </c>
      <c r="K566" s="48">
        <f>D566+8</f>
        <v/>
      </c>
      <c r="L566" s="48">
        <f>K566+60</f>
        <v/>
      </c>
      <c r="N566" s="72">
        <f>E566</f>
        <v/>
      </c>
      <c r="O566" s="50">
        <f>F566/E566*N566</f>
        <v/>
      </c>
      <c r="P566" s="273">
        <f>G566/E566*N566</f>
        <v/>
      </c>
      <c r="S566" s="200" t="inlineStr">
        <is>
          <t>PD26008YTDJDJ54</t>
        </is>
      </c>
      <c r="T566" s="201" t="n">
        <v>17</v>
      </c>
      <c r="U566" s="58" t="inlineStr">
        <is>
          <t>01 UNIT SHACMAN F2000 6X4 DUMP TRUCK ( VOIR BL)</t>
        </is>
      </c>
      <c r="V566" s="67" t="n"/>
      <c r="W566" s="67" t="n"/>
      <c r="X566" s="62" t="inlineStr">
        <is>
          <t>N-OP</t>
        </is>
      </c>
      <c r="Y566" s="116">
        <f>F566/E566</f>
        <v/>
      </c>
      <c r="Z566" s="64">
        <f>E566-N566</f>
        <v/>
      </c>
      <c r="AA566" s="64" t="n">
        <v>2</v>
      </c>
    </row>
    <row r="567" ht="15.75" customHeight="1" s="202">
      <c r="A567" s="106" t="n">
        <v>20260057</v>
      </c>
      <c r="B567" s="107" t="inlineStr">
        <is>
          <t>PVT DIAMOND</t>
        </is>
      </c>
      <c r="C567" s="108" t="n">
        <v>46070</v>
      </c>
      <c r="D567" s="108" t="n">
        <v>46071</v>
      </c>
      <c r="E567" s="106" t="n">
        <v>1</v>
      </c>
      <c r="F567" s="106" t="n">
        <v>8.800000000000001</v>
      </c>
      <c r="G567" s="106" t="n">
        <v>24</v>
      </c>
      <c r="H567" s="107" t="inlineStr">
        <is>
          <t>CHALOUM ABDERRAHMANE</t>
        </is>
      </c>
      <c r="I567" s="107" t="inlineStr">
        <is>
          <t>CAMIONS</t>
        </is>
      </c>
      <c r="J567" s="107" t="inlineStr">
        <is>
          <t>LOURD</t>
        </is>
      </c>
      <c r="K567" s="108">
        <f>D567+8</f>
        <v/>
      </c>
      <c r="L567" s="108">
        <f>K567+60</f>
        <v/>
      </c>
      <c r="M567" s="107" t="n"/>
      <c r="N567" s="112">
        <f>E567-1</f>
        <v/>
      </c>
      <c r="O567" s="113">
        <f>F567/E567*N567</f>
        <v/>
      </c>
      <c r="P567" s="112">
        <f>G567/E567*N567</f>
        <v/>
      </c>
      <c r="Q567" s="109" t="n"/>
      <c r="R567" s="107" t="n"/>
      <c r="S567" s="109" t="inlineStr">
        <is>
          <t>PD26008YTDJDJ55</t>
        </is>
      </c>
      <c r="T567" s="114" t="n">
        <v>18</v>
      </c>
      <c r="U567" s="109" t="inlineStr">
        <is>
          <t>01 UNIT SINOTRUK SITRAK 6X4 TRACTOR AUTOMATIC 480HP ( VOIR BL)</t>
        </is>
      </c>
      <c r="V567" s="106" t="n"/>
      <c r="W567" s="106" t="n"/>
      <c r="X567" s="106" t="inlineStr">
        <is>
          <t>SOLDEE</t>
        </is>
      </c>
      <c r="Y567" s="116">
        <f>F567/E567</f>
        <v/>
      </c>
      <c r="AA567" s="64" t="n">
        <v>6</v>
      </c>
    </row>
    <row r="568" ht="15.75" customHeight="1" s="202">
      <c r="A568" s="106" t="n">
        <v>20260057</v>
      </c>
      <c r="B568" s="107" t="inlineStr">
        <is>
          <t>PVT DIAMOND</t>
        </is>
      </c>
      <c r="C568" s="108" t="n">
        <v>46070</v>
      </c>
      <c r="D568" s="108" t="n">
        <v>46071</v>
      </c>
      <c r="E568" s="106" t="n">
        <v>1</v>
      </c>
      <c r="F568" s="106" t="n">
        <v>15</v>
      </c>
      <c r="G568" s="106" t="n">
        <v>24</v>
      </c>
      <c r="H568" s="107" t="inlineStr">
        <is>
          <t>SPA ARAB LEASING CORPORATION P/C SARL DELVINE</t>
        </is>
      </c>
      <c r="I568" s="107" t="inlineStr">
        <is>
          <t>CAMIONS</t>
        </is>
      </c>
      <c r="J568" s="107" t="inlineStr">
        <is>
          <t>LOURD</t>
        </is>
      </c>
      <c r="K568" s="108">
        <f>D568+8</f>
        <v/>
      </c>
      <c r="L568" s="108">
        <f>K568+60</f>
        <v/>
      </c>
      <c r="M568" s="107" t="n"/>
      <c r="N568" s="112">
        <f>E568-1</f>
        <v/>
      </c>
      <c r="O568" s="113">
        <f>F568/E568*N568</f>
        <v/>
      </c>
      <c r="P568" s="112">
        <f>G568/E568*N568</f>
        <v/>
      </c>
      <c r="Q568" s="109" t="n"/>
      <c r="R568" s="107" t="n"/>
      <c r="S568" s="109" t="inlineStr">
        <is>
          <t>PD26008YTDJDJ59</t>
        </is>
      </c>
      <c r="T568" s="114" t="n">
        <v>22</v>
      </c>
      <c r="U568" s="109" t="inlineStr">
        <is>
          <t>01 UNIT SHACMAN F2000 DUMP TRUCK ( VOIR BL)</t>
        </is>
      </c>
      <c r="V568" s="106" t="n"/>
      <c r="W568" s="106" t="n"/>
      <c r="X568" s="106" t="inlineStr">
        <is>
          <t>SOLDEE</t>
        </is>
      </c>
      <c r="Y568" s="116">
        <f>F568/E568</f>
        <v/>
      </c>
      <c r="AA568" s="64" t="n">
        <v>1</v>
      </c>
    </row>
    <row r="569" ht="15.75" customHeight="1" s="202">
      <c r="A569" s="106" t="n">
        <v>20260057</v>
      </c>
      <c r="B569" s="107" t="inlineStr">
        <is>
          <t>PVT DIAMOND</t>
        </is>
      </c>
      <c r="C569" s="108" t="n">
        <v>46070</v>
      </c>
      <c r="D569" s="108" t="n">
        <v>46071</v>
      </c>
      <c r="E569" s="106" t="n">
        <v>2</v>
      </c>
      <c r="F569" s="106" t="n">
        <v>35</v>
      </c>
      <c r="G569" s="106" t="n">
        <v>24</v>
      </c>
      <c r="H569" s="107" t="inlineStr">
        <is>
          <t>SARL SOCIETE LALAOUI SEMOULERIE</t>
        </is>
      </c>
      <c r="I569" s="107" t="inlineStr">
        <is>
          <t>CAMIONS</t>
        </is>
      </c>
      <c r="J569" s="107" t="inlineStr">
        <is>
          <t>LOURD</t>
        </is>
      </c>
      <c r="K569" s="108">
        <f>D569+8</f>
        <v/>
      </c>
      <c r="L569" s="108">
        <f>K569+60</f>
        <v/>
      </c>
      <c r="M569" s="107" t="n"/>
      <c r="N569" s="112">
        <f>E569-2</f>
        <v/>
      </c>
      <c r="O569" s="113">
        <f>F569/E569*N569</f>
        <v/>
      </c>
      <c r="P569" s="112">
        <f>G569/E569*N569</f>
        <v/>
      </c>
      <c r="Q569" s="109" t="n"/>
      <c r="R569" s="107" t="n"/>
      <c r="S569" s="109" t="inlineStr">
        <is>
          <t>PD26008YTDJDJ61</t>
        </is>
      </c>
      <c r="T569" s="114" t="n">
        <v>23</v>
      </c>
      <c r="U569" s="109" t="inlineStr">
        <is>
          <t>02 UNITS SITRAK 8X4 TIPPER TRUCK LHD ( VOIR BL)</t>
        </is>
      </c>
      <c r="V569" s="106" t="n"/>
      <c r="W569" s="106" t="n"/>
      <c r="X569" s="106" t="inlineStr">
        <is>
          <t>SOLDEE</t>
        </is>
      </c>
      <c r="Y569" s="116">
        <f>F569/E569</f>
        <v/>
      </c>
      <c r="AA569" s="64" t="n">
        <v>3</v>
      </c>
    </row>
    <row r="570" ht="15.75" customHeight="1" s="202">
      <c r="A570" s="116" t="n">
        <v>20260057</v>
      </c>
      <c r="B570" s="117" t="inlineStr">
        <is>
          <t>PVT DIAMOND</t>
        </is>
      </c>
      <c r="C570" s="118" t="n">
        <v>46070</v>
      </c>
      <c r="D570" s="118" t="n">
        <v>46071</v>
      </c>
      <c r="E570" s="116" t="n">
        <v>1</v>
      </c>
      <c r="F570" s="119" t="n">
        <v>10</v>
      </c>
      <c r="G570" s="120" t="n">
        <v>24</v>
      </c>
      <c r="H570" s="117" t="inlineStr">
        <is>
          <t>BENZADI MOHAMED TAYEB</t>
        </is>
      </c>
      <c r="I570" s="117" t="inlineStr">
        <is>
          <t>CAMIONS</t>
        </is>
      </c>
      <c r="J570" s="117" t="inlineStr">
        <is>
          <t>LOURD</t>
        </is>
      </c>
      <c r="K570" s="48">
        <f>D570+8</f>
        <v/>
      </c>
      <c r="L570" s="48">
        <f>K570+60</f>
        <v/>
      </c>
      <c r="N570" s="72">
        <f>E570</f>
        <v/>
      </c>
      <c r="O570" s="50">
        <f>F570/E570*N570</f>
        <v/>
      </c>
      <c r="P570" s="273">
        <f>G570/E570*N570</f>
        <v/>
      </c>
      <c r="S570" s="200" t="inlineStr">
        <is>
          <t>PD26008YTDJDJ62/63</t>
        </is>
      </c>
      <c r="T570" s="201" t="n">
        <v>24</v>
      </c>
      <c r="U570" s="58" t="inlineStr">
        <is>
          <t>01 UNITS SINOTRUK SITRAK 6X4 540HP TRACTOR AUTOMATIC GEARBOX LHD /01 UNIT CIMC 3 CIMC 3 AXLES BACK TIPPER SEMI TRAILLER / 01 UNIT CIMS 3 AXLES CARGO AND CONTAINER SEMI TRAILLER 45t (VOIR BL)</t>
        </is>
      </c>
      <c r="V570" s="67" t="n"/>
      <c r="W570" s="67" t="n"/>
      <c r="X570" s="62" t="inlineStr">
        <is>
          <t>N-OP</t>
        </is>
      </c>
      <c r="Y570" s="116">
        <f>F570/E570</f>
        <v/>
      </c>
      <c r="Z570" s="64">
        <f>E570-N570</f>
        <v/>
      </c>
      <c r="AA570" s="64" t="n">
        <v>2</v>
      </c>
    </row>
    <row r="571" ht="15.75" customHeight="1" s="202">
      <c r="A571" s="116" t="n">
        <v>20260057</v>
      </c>
      <c r="B571" s="117" t="inlineStr">
        <is>
          <t>PVT DIAMOND</t>
        </is>
      </c>
      <c r="C571" s="118" t="n">
        <v>46070</v>
      </c>
      <c r="D571" s="118" t="n">
        <v>46071</v>
      </c>
      <c r="E571" s="116" t="n">
        <v>2</v>
      </c>
      <c r="F571" s="119" t="n">
        <v>18.38</v>
      </c>
      <c r="G571" s="120" t="n">
        <v>48</v>
      </c>
      <c r="H571" s="117" t="inlineStr">
        <is>
          <t>BENZADI MOHAMED TAYEB</t>
        </is>
      </c>
      <c r="I571" s="117" t="inlineStr">
        <is>
          <t>REMORQUES</t>
        </is>
      </c>
      <c r="J571" s="117" t="inlineStr">
        <is>
          <t>LOURD</t>
        </is>
      </c>
      <c r="K571" s="48">
        <f>D571+8</f>
        <v/>
      </c>
      <c r="L571" s="48">
        <f>K571+60</f>
        <v/>
      </c>
      <c r="N571" s="72">
        <f>E571</f>
        <v/>
      </c>
      <c r="O571" s="50">
        <f>F571/E571*N571</f>
        <v/>
      </c>
      <c r="P571" s="273">
        <f>G571/E571*N571</f>
        <v/>
      </c>
      <c r="S571" s="200" t="inlineStr">
        <is>
          <t>PD26008YTDJDJ62/63</t>
        </is>
      </c>
      <c r="T571" s="201" t="n">
        <v>24</v>
      </c>
      <c r="U571" s="58" t="n"/>
      <c r="V571" s="67" t="n"/>
      <c r="W571" s="67" t="n"/>
      <c r="X571" s="62" t="inlineStr">
        <is>
          <t>N-OP</t>
        </is>
      </c>
      <c r="Y571" s="116">
        <f>F571/E571</f>
        <v/>
      </c>
      <c r="Z571" s="64">
        <f>E571-N571</f>
        <v/>
      </c>
      <c r="AA571" s="64" t="n">
        <v>1</v>
      </c>
    </row>
    <row r="572" ht="15.75" customHeight="1" s="202">
      <c r="A572" s="106" t="n">
        <v>20260057</v>
      </c>
      <c r="B572" s="107" t="inlineStr">
        <is>
          <t>PVT DIAMOND</t>
        </is>
      </c>
      <c r="C572" s="108" t="n">
        <v>46070</v>
      </c>
      <c r="D572" s="108" t="n">
        <v>46071</v>
      </c>
      <c r="E572" s="106" t="n">
        <v>2</v>
      </c>
      <c r="F572" s="106" t="n">
        <v>20.15</v>
      </c>
      <c r="G572" s="106" t="n">
        <v>48</v>
      </c>
      <c r="H572" s="107" t="inlineStr">
        <is>
          <t>BENZADI MOHAMED TAYEB</t>
        </is>
      </c>
      <c r="I572" s="107" t="inlineStr">
        <is>
          <t>CAMIONS</t>
        </is>
      </c>
      <c r="J572" s="107" t="inlineStr">
        <is>
          <t>LOURD</t>
        </is>
      </c>
      <c r="K572" s="108">
        <f>D572+8</f>
        <v/>
      </c>
      <c r="L572" s="108">
        <f>K572+60</f>
        <v/>
      </c>
      <c r="M572" s="107" t="n"/>
      <c r="N572" s="112">
        <f>E572-2</f>
        <v/>
      </c>
      <c r="O572" s="113">
        <f>F572/E572*N572</f>
        <v/>
      </c>
      <c r="P572" s="112">
        <f>G572/E572*N572</f>
        <v/>
      </c>
      <c r="Q572" s="109" t="n"/>
      <c r="R572" s="107" t="n"/>
      <c r="S572" s="109" t="inlineStr">
        <is>
          <t>PD26008YTDJDJ64</t>
        </is>
      </c>
      <c r="T572" s="114" t="n">
        <v>25</v>
      </c>
      <c r="U572" s="109" t="inlineStr">
        <is>
          <t>02 UNITS SHACMAN F2000 6X4 CONCRETE MIXER TRUCK 01 UNIT XCMG LW300FN WHEEL LOADER 01 UNIT XCMG QY25K5D TRUCK CRANE ( VOIR BL)</t>
        </is>
      </c>
      <c r="V572" s="106" t="n"/>
      <c r="W572" s="106" t="n"/>
      <c r="X572" s="106" t="inlineStr">
        <is>
          <t>SOLDEE</t>
        </is>
      </c>
      <c r="Y572" s="116">
        <f>F572/E572</f>
        <v/>
      </c>
      <c r="Z572" s="64">
        <f>E572-N572</f>
        <v/>
      </c>
      <c r="AA572" s="64" t="n">
        <v>2</v>
      </c>
    </row>
    <row r="573" ht="15.75" customHeight="1" s="202">
      <c r="A573" s="106" t="n">
        <v>20260057</v>
      </c>
      <c r="B573" s="107" t="inlineStr">
        <is>
          <t>PVT DIAMOND</t>
        </is>
      </c>
      <c r="C573" s="108" t="n">
        <v>46070</v>
      </c>
      <c r="D573" s="108" t="n">
        <v>46071</v>
      </c>
      <c r="E573" s="106" t="n">
        <v>1</v>
      </c>
      <c r="F573" s="106" t="n">
        <v>20</v>
      </c>
      <c r="G573" s="106" t="n">
        <v>24</v>
      </c>
      <c r="H573" s="107" t="inlineStr">
        <is>
          <t>BENZADI MOHAMED TAYEB</t>
        </is>
      </c>
      <c r="I573" s="107" t="inlineStr">
        <is>
          <t>CHARGEURS</t>
        </is>
      </c>
      <c r="J573" s="107" t="inlineStr">
        <is>
          <t>ENGINS</t>
        </is>
      </c>
      <c r="K573" s="108">
        <f>D573+8</f>
        <v/>
      </c>
      <c r="L573" s="108">
        <f>K573+60</f>
        <v/>
      </c>
      <c r="M573" s="107" t="n"/>
      <c r="N573" s="112">
        <f>E573-1</f>
        <v/>
      </c>
      <c r="O573" s="113">
        <f>F573/E573*N573</f>
        <v/>
      </c>
      <c r="P573" s="112">
        <f>G573/E573*N573</f>
        <v/>
      </c>
      <c r="Q573" s="109" t="n"/>
      <c r="R573" s="107" t="n"/>
      <c r="S573" s="109" t="inlineStr">
        <is>
          <t>PD26008YTDJDJ64</t>
        </is>
      </c>
      <c r="T573" s="114" t="n">
        <v>25</v>
      </c>
      <c r="U573" s="109" t="n"/>
      <c r="V573" s="106" t="n"/>
      <c r="W573" s="106" t="n"/>
      <c r="X573" s="106" t="inlineStr">
        <is>
          <t>SOLDEE</t>
        </is>
      </c>
      <c r="Y573" s="116">
        <f>F573/E573</f>
        <v/>
      </c>
      <c r="Z573" s="64">
        <f>E573-N573</f>
        <v/>
      </c>
    </row>
    <row r="574" ht="15.75" customHeight="1" s="202">
      <c r="A574" s="106" t="n">
        <v>20260057</v>
      </c>
      <c r="B574" s="107" t="inlineStr">
        <is>
          <t>PVT DIAMOND</t>
        </is>
      </c>
      <c r="C574" s="108" t="n">
        <v>46070</v>
      </c>
      <c r="D574" s="108" t="n">
        <v>46071</v>
      </c>
      <c r="E574" s="106" t="n">
        <v>1</v>
      </c>
      <c r="F574" s="106" t="n">
        <v>30</v>
      </c>
      <c r="G574" s="106" t="n">
        <v>60</v>
      </c>
      <c r="H574" s="107" t="inlineStr">
        <is>
          <t>BENZADI MOHAMED TAYEB</t>
        </is>
      </c>
      <c r="I574" s="107" t="inlineStr">
        <is>
          <t>CAMION GRUE</t>
        </is>
      </c>
      <c r="J574" s="107" t="inlineStr">
        <is>
          <t>ENGINS</t>
        </is>
      </c>
      <c r="K574" s="108">
        <f>D574+8</f>
        <v/>
      </c>
      <c r="L574" s="108">
        <f>K574+60</f>
        <v/>
      </c>
      <c r="M574" s="107" t="n"/>
      <c r="N574" s="112">
        <f>E574-1</f>
        <v/>
      </c>
      <c r="O574" s="113">
        <f>F574/E574*N574</f>
        <v/>
      </c>
      <c r="P574" s="112">
        <f>G574/E574*N574</f>
        <v/>
      </c>
      <c r="Q574" s="109" t="n"/>
      <c r="R574" s="107" t="n"/>
      <c r="S574" s="109" t="inlineStr">
        <is>
          <t>PD26008YTDJDJ64</t>
        </is>
      </c>
      <c r="T574" s="114" t="n">
        <v>25</v>
      </c>
      <c r="U574" s="109" t="n"/>
      <c r="V574" s="106" t="n"/>
      <c r="W574" s="106" t="n"/>
      <c r="X574" s="106" t="inlineStr">
        <is>
          <t>SOLDEE</t>
        </is>
      </c>
      <c r="Y574" s="116">
        <f>F574/E574</f>
        <v/>
      </c>
      <c r="Z574" s="64">
        <f>E574-N574</f>
        <v/>
      </c>
    </row>
    <row r="575" ht="15.75" customHeight="1" s="202">
      <c r="A575" s="116" t="n">
        <v>20260057</v>
      </c>
      <c r="B575" s="117" t="inlineStr">
        <is>
          <t>PVT DIAMOND</t>
        </is>
      </c>
      <c r="C575" s="118" t="n">
        <v>46070</v>
      </c>
      <c r="D575" s="118" t="n">
        <v>46071</v>
      </c>
      <c r="E575" s="116" t="n">
        <v>1</v>
      </c>
      <c r="F575" s="119" t="n">
        <v>0</v>
      </c>
      <c r="G575" s="120" t="n">
        <v>60</v>
      </c>
      <c r="H575" s="117" t="inlineStr">
        <is>
          <t>BENZADI MOHAMED TAYEB</t>
        </is>
      </c>
      <c r="I575" s="117" t="inlineStr">
        <is>
          <t>COLIS</t>
        </is>
      </c>
      <c r="J575" s="117" t="inlineStr">
        <is>
          <t>COLIS</t>
        </is>
      </c>
      <c r="K575" s="48">
        <f>D575+8</f>
        <v/>
      </c>
      <c r="L575" s="48">
        <f>K575+60</f>
        <v/>
      </c>
      <c r="N575" s="72">
        <f>E575</f>
        <v/>
      </c>
      <c r="O575" s="50">
        <f>F575/E575*N575</f>
        <v/>
      </c>
      <c r="P575" s="273">
        <f>G575/E575*N575</f>
        <v/>
      </c>
      <c r="S575" s="200" t="inlineStr">
        <is>
          <t>PD26008YTDJDJ64</t>
        </is>
      </c>
      <c r="T575" s="201" t="n">
        <v>25</v>
      </c>
      <c r="U575" s="58" t="n"/>
      <c r="V575" s="67" t="n"/>
      <c r="W575" s="67" t="n"/>
      <c r="X575" s="62" t="inlineStr">
        <is>
          <t>N-OP</t>
        </is>
      </c>
      <c r="Y575" s="116">
        <f>F575/E575</f>
        <v/>
      </c>
      <c r="Z575" s="64">
        <f>E575-N575</f>
        <v/>
      </c>
      <c r="AA575" s="64" t="n">
        <v>1</v>
      </c>
    </row>
    <row r="576" ht="15.75" customHeight="1" s="202">
      <c r="A576" s="116" t="n">
        <v>20260057</v>
      </c>
      <c r="B576" s="117" t="inlineStr">
        <is>
          <t>PVT DIAMOND</t>
        </is>
      </c>
      <c r="C576" s="118" t="n">
        <v>46070</v>
      </c>
      <c r="D576" s="118" t="n">
        <v>46071</v>
      </c>
      <c r="E576" s="116" t="n">
        <v>1</v>
      </c>
      <c r="F576" s="119" t="n">
        <v>15</v>
      </c>
      <c r="G576" s="120" t="n">
        <v>24</v>
      </c>
      <c r="H576" s="117" t="inlineStr">
        <is>
          <t>BEN AHMED NOURINE ABDELKADER</t>
        </is>
      </c>
      <c r="I576" s="117" t="inlineStr">
        <is>
          <t>CAMIONS</t>
        </is>
      </c>
      <c r="J576" s="117" t="inlineStr">
        <is>
          <t>LOURD</t>
        </is>
      </c>
      <c r="K576" s="48">
        <f>D576+8</f>
        <v/>
      </c>
      <c r="L576" s="48">
        <f>K576+60</f>
        <v/>
      </c>
      <c r="N576" s="72">
        <f>E576</f>
        <v/>
      </c>
      <c r="O576" s="50">
        <f>F576/E576*N576</f>
        <v/>
      </c>
      <c r="P576" s="273">
        <f>G576/E576*N576</f>
        <v/>
      </c>
      <c r="S576" s="200" t="inlineStr">
        <is>
          <t>PD26008YTDJDJ66</t>
        </is>
      </c>
      <c r="T576" s="201" t="n">
        <v>26</v>
      </c>
      <c r="U576" s="58" t="inlineStr">
        <is>
          <t>01 UNIT SHACMAN F2000 6X4 DUMP TRUCK SX3255JM384 ( VOIR BL)</t>
        </is>
      </c>
      <c r="V576" s="67" t="n"/>
      <c r="W576" s="67" t="n"/>
      <c r="X576" s="62" t="inlineStr">
        <is>
          <t>N-OP</t>
        </is>
      </c>
      <c r="Y576" s="116">
        <f>F576/E576</f>
        <v/>
      </c>
      <c r="Z576" s="64">
        <f>E576-N576</f>
        <v/>
      </c>
      <c r="AA576" s="64" t="n">
        <v>1</v>
      </c>
    </row>
    <row r="577" ht="15.75" customHeight="1" s="202">
      <c r="A577" s="106" t="n">
        <v>20260057</v>
      </c>
      <c r="B577" s="107" t="inlineStr">
        <is>
          <t>PVT DIAMOND</t>
        </is>
      </c>
      <c r="C577" s="108" t="n">
        <v>46070</v>
      </c>
      <c r="D577" s="108" t="n">
        <v>46071</v>
      </c>
      <c r="E577" s="106" t="n">
        <v>1</v>
      </c>
      <c r="F577" s="106" t="n">
        <v>17</v>
      </c>
      <c r="G577" s="106" t="n">
        <v>24</v>
      </c>
      <c r="H577" s="107" t="inlineStr">
        <is>
          <t>SARL DEVECO</t>
        </is>
      </c>
      <c r="I577" s="107" t="inlineStr">
        <is>
          <t>CAMIONS</t>
        </is>
      </c>
      <c r="J577" s="107" t="inlineStr">
        <is>
          <t>LOURD</t>
        </is>
      </c>
      <c r="K577" s="108">
        <f>D577+8</f>
        <v/>
      </c>
      <c r="L577" s="108">
        <f>K577+60</f>
        <v/>
      </c>
      <c r="M577" s="107" t="n"/>
      <c r="N577" s="112">
        <f>E577-1</f>
        <v/>
      </c>
      <c r="O577" s="113">
        <f>F577/E577*N577</f>
        <v/>
      </c>
      <c r="P577" s="112">
        <f>G577/E577*N577</f>
        <v/>
      </c>
      <c r="Q577" s="109" t="n"/>
      <c r="R577" s="107" t="n"/>
      <c r="S577" s="109" t="inlineStr">
        <is>
          <t>PD26008YTDJDJ67</t>
        </is>
      </c>
      <c r="T577" s="114" t="n">
        <v>27</v>
      </c>
      <c r="U577" s="109" t="inlineStr">
        <is>
          <t>01 UNIT CAMION BENNE SINOTRUK HOWO TX 8X4 ( VOIR BL)</t>
        </is>
      </c>
      <c r="V577" s="106" t="n"/>
      <c r="W577" s="106" t="n"/>
      <c r="X577" s="106" t="inlineStr">
        <is>
          <t>SOLDEE</t>
        </is>
      </c>
      <c r="Y577" s="116">
        <f>F577/E577</f>
        <v/>
      </c>
      <c r="AA577" s="64" t="n">
        <v>1</v>
      </c>
    </row>
    <row r="578" ht="15.75" customHeight="1" s="202">
      <c r="A578" s="106" t="n">
        <v>20260057</v>
      </c>
      <c r="B578" s="107" t="inlineStr">
        <is>
          <t>PVT DIAMOND</t>
        </is>
      </c>
      <c r="C578" s="108" t="n">
        <v>46070</v>
      </c>
      <c r="D578" s="108" t="n">
        <v>46071</v>
      </c>
      <c r="E578" s="106" t="n">
        <v>1</v>
      </c>
      <c r="F578" s="106" t="n">
        <v>15</v>
      </c>
      <c r="G578" s="106" t="n">
        <v>24</v>
      </c>
      <c r="H578" s="107" t="inlineStr">
        <is>
          <t>CHERGUI FAOUZI</t>
        </is>
      </c>
      <c r="I578" s="107" t="inlineStr">
        <is>
          <t>CAMIONS</t>
        </is>
      </c>
      <c r="J578" s="107" t="inlineStr">
        <is>
          <t>LOURD</t>
        </is>
      </c>
      <c r="K578" s="108">
        <f>D578+8</f>
        <v/>
      </c>
      <c r="L578" s="108">
        <f>K578+60</f>
        <v/>
      </c>
      <c r="M578" s="107" t="n"/>
      <c r="N578" s="112">
        <f>E578-1</f>
        <v/>
      </c>
      <c r="O578" s="113">
        <f>F578/E578*N578</f>
        <v/>
      </c>
      <c r="P578" s="112">
        <f>G578/E578*N578</f>
        <v/>
      </c>
      <c r="Q578" s="109" t="n"/>
      <c r="R578" s="107" t="n"/>
      <c r="S578" s="109" t="inlineStr">
        <is>
          <t>PD26008YTDJDJ68</t>
        </is>
      </c>
      <c r="T578" s="114" t="n">
        <v>28</v>
      </c>
      <c r="U578" s="109" t="inlineStr">
        <is>
          <t>01 UNIT SHACMAN F2000 6X4/ DUMP TRUCK ( VOIR BL)</t>
        </is>
      </c>
      <c r="V578" s="106" t="n"/>
      <c r="W578" s="106" t="n"/>
      <c r="X578" s="106" t="inlineStr">
        <is>
          <t>SOLDEE</t>
        </is>
      </c>
      <c r="Y578" s="116">
        <f>F578/E578</f>
        <v/>
      </c>
      <c r="Z578" s="64">
        <f>E578-N578</f>
        <v/>
      </c>
    </row>
    <row r="579" ht="15.75" customHeight="1" s="202">
      <c r="A579" s="106" t="n">
        <v>20260057</v>
      </c>
      <c r="B579" s="107" t="inlineStr">
        <is>
          <t>PVT DIAMOND</t>
        </is>
      </c>
      <c r="C579" s="108" t="n">
        <v>46070</v>
      </c>
      <c r="D579" s="108" t="n">
        <v>46071</v>
      </c>
      <c r="E579" s="106" t="n">
        <v>1</v>
      </c>
      <c r="F579" s="106" t="n">
        <v>15</v>
      </c>
      <c r="G579" s="106" t="n">
        <v>24</v>
      </c>
      <c r="H579" s="107" t="inlineStr">
        <is>
          <t>SARL HYDROMED</t>
        </is>
      </c>
      <c r="I579" s="107" t="inlineStr">
        <is>
          <t>CAMIONS</t>
        </is>
      </c>
      <c r="J579" s="107" t="inlineStr">
        <is>
          <t>LOURD</t>
        </is>
      </c>
      <c r="K579" s="108">
        <f>D579+8</f>
        <v/>
      </c>
      <c r="L579" s="108">
        <f>K579+60</f>
        <v/>
      </c>
      <c r="M579" s="107" t="n"/>
      <c r="N579" s="112">
        <f>E579-1</f>
        <v/>
      </c>
      <c r="O579" s="113">
        <f>F579/E579*N579</f>
        <v/>
      </c>
      <c r="P579" s="112">
        <f>G579/E579*N579</f>
        <v/>
      </c>
      <c r="Q579" s="109" t="n"/>
      <c r="R579" s="107" t="n"/>
      <c r="S579" s="109" t="inlineStr">
        <is>
          <t>PD26008YTDJDJ69</t>
        </is>
      </c>
      <c r="T579" s="114" t="n">
        <v>29</v>
      </c>
      <c r="U579" s="109" t="inlineStr">
        <is>
          <t>01 UNIT CAMION SHACMAN F2000 6X4 DUMP TRUCK ( VOIR BL)</t>
        </is>
      </c>
      <c r="V579" s="106" t="n"/>
      <c r="W579" s="106" t="n"/>
      <c r="X579" s="106" t="inlineStr">
        <is>
          <t>SOLDEE</t>
        </is>
      </c>
      <c r="Y579" s="116">
        <f>F579/E579</f>
        <v/>
      </c>
      <c r="Z579" s="64">
        <f>E579-N579</f>
        <v/>
      </c>
      <c r="AA579" s="64" t="n">
        <v>10</v>
      </c>
    </row>
    <row r="580" ht="15.75" customHeight="1" s="202">
      <c r="A580" s="106" t="n">
        <v>20260057</v>
      </c>
      <c r="B580" s="107" t="inlineStr">
        <is>
          <t>PVT DIAMOND</t>
        </is>
      </c>
      <c r="C580" s="108" t="n">
        <v>46070</v>
      </c>
      <c r="D580" s="108" t="n">
        <v>46071</v>
      </c>
      <c r="E580" s="106" t="n">
        <v>1</v>
      </c>
      <c r="F580" s="106" t="n">
        <v>8.800000000000001</v>
      </c>
      <c r="G580" s="106" t="n">
        <v>24</v>
      </c>
      <c r="H580" s="107" t="inlineStr">
        <is>
          <t>EURL AALI EL BIHAR</t>
        </is>
      </c>
      <c r="I580" s="107" t="inlineStr">
        <is>
          <t>CAMIONS</t>
        </is>
      </c>
      <c r="J580" s="107" t="inlineStr">
        <is>
          <t>LOURD</t>
        </is>
      </c>
      <c r="K580" s="108">
        <f>D580+8</f>
        <v/>
      </c>
      <c r="L580" s="108">
        <f>K580+60</f>
        <v/>
      </c>
      <c r="M580" s="107" t="n"/>
      <c r="N580" s="112">
        <f>E580-1</f>
        <v/>
      </c>
      <c r="O580" s="113">
        <f>F580/E580*N580</f>
        <v/>
      </c>
      <c r="P580" s="112">
        <f>G580/E580*N580</f>
        <v/>
      </c>
      <c r="Q580" s="109" t="n"/>
      <c r="R580" s="107" t="n"/>
      <c r="S580" s="109" t="inlineStr">
        <is>
          <t>PD26008YTDJDJ70</t>
        </is>
      </c>
      <c r="T580" s="114" t="n">
        <v>30</v>
      </c>
      <c r="U580" s="109" t="inlineStr">
        <is>
          <t>01 UNIT SINOTRUK SITRAK G7S 6X4 TRACTOR-AUTOMATIC GEARBOX LHD (VOIR BL)</t>
        </is>
      </c>
      <c r="V580" s="106" t="n"/>
      <c r="W580" s="106" t="n"/>
      <c r="X580" s="106" t="inlineStr">
        <is>
          <t>SOLDEE</t>
        </is>
      </c>
      <c r="Y580" s="116">
        <f>F580/E580</f>
        <v/>
      </c>
      <c r="AA580" s="64" t="n">
        <v>60</v>
      </c>
    </row>
    <row r="581" ht="15.75" customHeight="1" s="202">
      <c r="A581" s="106" t="n">
        <v>20260057</v>
      </c>
      <c r="B581" s="107" t="inlineStr">
        <is>
          <t>PVT DIAMOND</t>
        </is>
      </c>
      <c r="C581" s="108" t="n">
        <v>46070</v>
      </c>
      <c r="D581" s="108" t="n">
        <v>46071</v>
      </c>
      <c r="E581" s="106" t="n">
        <v>2</v>
      </c>
      <c r="F581" s="106" t="n">
        <v>27</v>
      </c>
      <c r="G581" s="106" t="n">
        <v>48</v>
      </c>
      <c r="H581" s="107" t="inlineStr">
        <is>
          <t>SARL E G REKIMA</t>
        </is>
      </c>
      <c r="I581" s="107" t="inlineStr">
        <is>
          <t>CAMIONS</t>
        </is>
      </c>
      <c r="J581" s="107" t="inlineStr">
        <is>
          <t>LOURD</t>
        </is>
      </c>
      <c r="K581" s="108">
        <f>D581+8</f>
        <v/>
      </c>
      <c r="L581" s="108">
        <f>K581+60</f>
        <v/>
      </c>
      <c r="M581" s="107" t="n"/>
      <c r="N581" s="112">
        <f>E581-2</f>
        <v/>
      </c>
      <c r="O581" s="113">
        <f>F581/E581*N581</f>
        <v/>
      </c>
      <c r="P581" s="112">
        <f>G581/E581*N581</f>
        <v/>
      </c>
      <c r="Q581" s="109" t="n"/>
      <c r="R581" s="107" t="n"/>
      <c r="S581" s="109" t="inlineStr">
        <is>
          <t>PD26008YTDJDJ71</t>
        </is>
      </c>
      <c r="T581" s="114" t="n">
        <v>31</v>
      </c>
      <c r="U581" s="109" t="inlineStr">
        <is>
          <t>02 UNITS SHACMAN F2000 6x4 CONCRETE MIXER TRUCK ( VOIR BL)</t>
        </is>
      </c>
      <c r="V581" s="106" t="n"/>
      <c r="W581" s="106" t="n"/>
      <c r="X581" s="106" t="inlineStr">
        <is>
          <t>SOLDEE</t>
        </is>
      </c>
      <c r="Y581" s="116">
        <f>F581/E581</f>
        <v/>
      </c>
      <c r="Z581" s="64">
        <f>E581-N581</f>
        <v/>
      </c>
      <c r="AA581" s="64" t="n">
        <v>130</v>
      </c>
    </row>
    <row r="582" ht="15.75" customHeight="1" s="202">
      <c r="A582" s="106" t="n">
        <v>20260057</v>
      </c>
      <c r="B582" s="107" t="inlineStr">
        <is>
          <t>PVT DIAMOND</t>
        </is>
      </c>
      <c r="C582" s="108" t="n">
        <v>46070</v>
      </c>
      <c r="D582" s="108" t="n">
        <v>46071</v>
      </c>
      <c r="E582" s="106" t="n">
        <v>2</v>
      </c>
      <c r="F582" s="106" t="n">
        <v>13.06</v>
      </c>
      <c r="G582" s="106" t="n">
        <v>48</v>
      </c>
      <c r="H582" s="107" t="inlineStr">
        <is>
          <t>SARL E G REKIMA</t>
        </is>
      </c>
      <c r="I582" s="107" t="inlineStr">
        <is>
          <t>CAMIONS</t>
        </is>
      </c>
      <c r="J582" s="107" t="inlineStr">
        <is>
          <t>LOURD</t>
        </is>
      </c>
      <c r="K582" s="108">
        <f>D582+8</f>
        <v/>
      </c>
      <c r="L582" s="108">
        <f>K582+60</f>
        <v/>
      </c>
      <c r="M582" s="107" t="n"/>
      <c r="N582" s="112">
        <f>E582-2</f>
        <v/>
      </c>
      <c r="O582" s="113">
        <f>F582/E582*N582</f>
        <v/>
      </c>
      <c r="P582" s="112">
        <f>G582/E582*N582</f>
        <v/>
      </c>
      <c r="Q582" s="109" t="n"/>
      <c r="R582" s="107" t="n"/>
      <c r="S582" s="109" t="inlineStr">
        <is>
          <t>PD26008YTDJDJ72</t>
        </is>
      </c>
      <c r="T582" s="114" t="n">
        <v>32</v>
      </c>
      <c r="U582" s="109" t="inlineStr">
        <is>
          <t>02 UNITS SHACMAN SAGMOTO X9 4x2 DUMP TRUCK ( VOIR BL)</t>
        </is>
      </c>
      <c r="V582" s="106" t="n"/>
      <c r="W582" s="106" t="n"/>
      <c r="X582" s="106" t="inlineStr">
        <is>
          <t>SOLDEE</t>
        </is>
      </c>
      <c r="Y582" s="116">
        <f>F582/E582</f>
        <v/>
      </c>
      <c r="Z582" s="64">
        <f>E582-N582</f>
        <v/>
      </c>
      <c r="AA582" s="64" t="n">
        <v>302</v>
      </c>
    </row>
    <row r="583" ht="15.75" customHeight="1" s="202">
      <c r="A583" s="116" t="n">
        <v>20260057</v>
      </c>
      <c r="B583" s="117" t="inlineStr">
        <is>
          <t>PVT DIAMOND</t>
        </is>
      </c>
      <c r="C583" s="118" t="n">
        <v>46070</v>
      </c>
      <c r="D583" s="118" t="n">
        <v>46071</v>
      </c>
      <c r="E583" s="116" t="n">
        <v>1</v>
      </c>
      <c r="F583" s="119" t="n">
        <v>15</v>
      </c>
      <c r="G583" s="120" t="n">
        <v>24</v>
      </c>
      <c r="H583" s="117" t="inlineStr">
        <is>
          <t>BECHI ABDELHAMID</t>
        </is>
      </c>
      <c r="I583" s="117" t="inlineStr">
        <is>
          <t>CAMIONS</t>
        </is>
      </c>
      <c r="J583" s="117" t="inlineStr">
        <is>
          <t>LOURD</t>
        </is>
      </c>
      <c r="K583" s="48">
        <f>D583+8</f>
        <v/>
      </c>
      <c r="L583" s="48">
        <f>K583+60</f>
        <v/>
      </c>
      <c r="N583" s="72">
        <f>E583</f>
        <v/>
      </c>
      <c r="O583" s="50">
        <f>F583/E583*N583</f>
        <v/>
      </c>
      <c r="P583" s="273">
        <f>G583/E583*N583</f>
        <v/>
      </c>
      <c r="S583" s="200" t="inlineStr">
        <is>
          <t>PD26008YTDJDJ73</t>
        </is>
      </c>
      <c r="T583" s="201" t="n">
        <v>33</v>
      </c>
      <c r="U583" s="58" t="inlineStr">
        <is>
          <t>01 UNIT SHACMAN F2000 6X4 DUMP TRUCK ( VOIR BL)</t>
        </is>
      </c>
      <c r="V583" s="67" t="n"/>
      <c r="W583" s="67" t="n"/>
      <c r="X583" s="62" t="inlineStr">
        <is>
          <t>N-OP</t>
        </is>
      </c>
      <c r="Y583" s="116">
        <f>F583/E583</f>
        <v/>
      </c>
      <c r="Z583" s="64">
        <f>E583-N583</f>
        <v/>
      </c>
      <c r="AA583" s="64" t="n">
        <v>117</v>
      </c>
    </row>
    <row r="584" ht="15.75" customHeight="1" s="202">
      <c r="A584" s="106" t="n">
        <v>20260057</v>
      </c>
      <c r="B584" s="107" t="inlineStr">
        <is>
          <t>PVT DIAMOND</t>
        </is>
      </c>
      <c r="C584" s="108" t="n">
        <v>46070</v>
      </c>
      <c r="D584" s="108" t="n">
        <v>46071</v>
      </c>
      <c r="E584" s="106" t="n">
        <v>2</v>
      </c>
      <c r="F584" s="106" t="n">
        <v>30</v>
      </c>
      <c r="G584" s="106" t="n">
        <v>48</v>
      </c>
      <c r="H584" s="107" t="inlineStr">
        <is>
          <t>SARL E G REKIMA</t>
        </is>
      </c>
      <c r="I584" s="107" t="inlineStr">
        <is>
          <t>CAMIONS</t>
        </is>
      </c>
      <c r="J584" s="107" t="inlineStr">
        <is>
          <t>LOURD</t>
        </is>
      </c>
      <c r="K584" s="108">
        <f>D584+8</f>
        <v/>
      </c>
      <c r="L584" s="108">
        <f>K584+60</f>
        <v/>
      </c>
      <c r="M584" s="107" t="n"/>
      <c r="N584" s="112">
        <f>E584-2</f>
        <v/>
      </c>
      <c r="O584" s="113">
        <f>F584/E584*N584</f>
        <v/>
      </c>
      <c r="P584" s="112">
        <f>G584/E584*N584</f>
        <v/>
      </c>
      <c r="Q584" s="109" t="n"/>
      <c r="R584" s="107" t="n"/>
      <c r="S584" s="109" t="inlineStr">
        <is>
          <t>PD26008YTDJDJ74</t>
        </is>
      </c>
      <c r="T584" s="114" t="n">
        <v>34</v>
      </c>
      <c r="U584" s="109" t="inlineStr">
        <is>
          <t>02 UNITS SHACMAN F2000 DUMP TRUCK ( VOIR BL)</t>
        </is>
      </c>
      <c r="V584" s="106" t="n"/>
      <c r="W584" s="106" t="n"/>
      <c r="X584" s="106" t="inlineStr">
        <is>
          <t>SOLDEE</t>
        </is>
      </c>
      <c r="Y584" s="116">
        <f>F584/E584</f>
        <v/>
      </c>
      <c r="AA584" s="64" t="n">
        <v>100</v>
      </c>
    </row>
    <row r="585" ht="15.75" customHeight="1" s="202">
      <c r="A585" s="106" t="n">
        <v>20260057</v>
      </c>
      <c r="B585" s="107" t="inlineStr">
        <is>
          <t>PVT DIAMOND</t>
        </is>
      </c>
      <c r="C585" s="108" t="n">
        <v>46070</v>
      </c>
      <c r="D585" s="108" t="n">
        <v>46071</v>
      </c>
      <c r="E585" s="106" t="n">
        <v>1</v>
      </c>
      <c r="F585" s="106" t="n">
        <v>8.800000000000001</v>
      </c>
      <c r="G585" s="106" t="n">
        <v>24</v>
      </c>
      <c r="H585" s="107" t="inlineStr">
        <is>
          <t>SARL ROUJA BOUTIES</t>
        </is>
      </c>
      <c r="I585" s="107" t="inlineStr">
        <is>
          <t>CAMIONS</t>
        </is>
      </c>
      <c r="J585" s="107" t="inlineStr">
        <is>
          <t>LOURD</t>
        </is>
      </c>
      <c r="K585" s="108">
        <f>D585+8</f>
        <v/>
      </c>
      <c r="L585" s="108">
        <f>K585+60</f>
        <v/>
      </c>
      <c r="M585" s="107" t="n"/>
      <c r="N585" s="112">
        <f>E585-1</f>
        <v/>
      </c>
      <c r="O585" s="113">
        <f>F585/E585*N585</f>
        <v/>
      </c>
      <c r="P585" s="112">
        <f>G585/E585*N585</f>
        <v/>
      </c>
      <c r="Q585" s="109" t="n"/>
      <c r="R585" s="107" t="n"/>
      <c r="S585" s="109" t="inlineStr">
        <is>
          <t>PD26008YTDJDJ75</t>
        </is>
      </c>
      <c r="T585" s="114" t="n">
        <v>35</v>
      </c>
      <c r="U585" s="109" t="inlineStr">
        <is>
          <t>01 UNIT SINOTRUK SITRAK G7S 6X4 TRACTOR AUTOMATIC GEARBOX LHD (VOIR BL)</t>
        </is>
      </c>
      <c r="V585" s="106" t="n"/>
      <c r="W585" s="106" t="n"/>
      <c r="X585" s="106" t="inlineStr">
        <is>
          <t>SOLDEE</t>
        </is>
      </c>
      <c r="Y585" s="116">
        <f>F585/E585</f>
        <v/>
      </c>
      <c r="AA585" s="64" t="n">
        <v>3533</v>
      </c>
    </row>
    <row r="586" ht="15.75" customHeight="1" s="202">
      <c r="A586" s="116" t="n">
        <v>20260057</v>
      </c>
      <c r="B586" s="117" t="inlineStr">
        <is>
          <t>PVT DIAMOND</t>
        </is>
      </c>
      <c r="C586" s="118" t="n">
        <v>46070</v>
      </c>
      <c r="D586" s="118" t="n">
        <v>46071</v>
      </c>
      <c r="E586" s="116" t="n">
        <v>1</v>
      </c>
      <c r="F586" s="119" t="n">
        <v>17.5</v>
      </c>
      <c r="G586" s="120" t="n">
        <v>24</v>
      </c>
      <c r="H586" s="117" t="inlineStr">
        <is>
          <t>MOUILAH YOUCEF</t>
        </is>
      </c>
      <c r="I586" s="117" t="inlineStr">
        <is>
          <t>CAMIONS</t>
        </is>
      </c>
      <c r="J586" s="117" t="inlineStr">
        <is>
          <t>LOURD</t>
        </is>
      </c>
      <c r="K586" s="48">
        <f>D586+8</f>
        <v/>
      </c>
      <c r="L586" s="48">
        <f>K586+60</f>
        <v/>
      </c>
      <c r="N586" s="72">
        <f>E586</f>
        <v/>
      </c>
      <c r="O586" s="50">
        <f>F586/E586*N586</f>
        <v/>
      </c>
      <c r="P586" s="273">
        <f>G586/E586*N586</f>
        <v/>
      </c>
      <c r="S586" s="200" t="inlineStr">
        <is>
          <t>PD26008YTDJDJ76</t>
        </is>
      </c>
      <c r="T586" s="201" t="n">
        <v>36</v>
      </c>
      <c r="U586" s="58" t="inlineStr">
        <is>
          <t>01 UNIT SINOTRUK SITRAK 8X4 TIPPER TRUCK 430HP (VOIR BL)</t>
        </is>
      </c>
      <c r="V586" s="67" t="n"/>
      <c r="W586" s="67" t="n"/>
      <c r="X586" s="62" t="inlineStr">
        <is>
          <t>N-OP</t>
        </is>
      </c>
      <c r="Y586" s="116">
        <f>F586/E586</f>
        <v/>
      </c>
      <c r="Z586" s="64">
        <f>E586-N586</f>
        <v/>
      </c>
      <c r="AA586" s="64" t="n">
        <v>1</v>
      </c>
    </row>
    <row r="587" ht="15.75" customHeight="1" s="202">
      <c r="A587" s="116" t="n">
        <v>20260057</v>
      </c>
      <c r="B587" s="117" t="inlineStr">
        <is>
          <t>PVT DIAMOND</t>
        </is>
      </c>
      <c r="C587" s="118" t="n">
        <v>46070</v>
      </c>
      <c r="D587" s="118" t="n">
        <v>46071</v>
      </c>
      <c r="E587" s="116" t="n">
        <v>1</v>
      </c>
      <c r="F587" s="119" t="n">
        <v>15.5</v>
      </c>
      <c r="G587" s="120" t="n">
        <v>24</v>
      </c>
      <c r="H587" s="117" t="inlineStr">
        <is>
          <t>MOUILAH YOUCEF</t>
        </is>
      </c>
      <c r="I587" s="117" t="inlineStr">
        <is>
          <t>CAMIONS</t>
        </is>
      </c>
      <c r="J587" s="117" t="inlineStr">
        <is>
          <t>LOURD</t>
        </is>
      </c>
      <c r="K587" s="48">
        <f>D587+8</f>
        <v/>
      </c>
      <c r="L587" s="48">
        <f>K587+60</f>
        <v/>
      </c>
      <c r="N587" s="72">
        <f>E587</f>
        <v/>
      </c>
      <c r="O587" s="50">
        <f>F587/E587*N587</f>
        <v/>
      </c>
      <c r="P587" s="273">
        <f>G587/E587*N587</f>
        <v/>
      </c>
      <c r="S587" s="200" t="inlineStr">
        <is>
          <t>PD26008YTDJDJ77</t>
        </is>
      </c>
      <c r="T587" s="201" t="n">
        <v>37</v>
      </c>
      <c r="U587" s="58" t="inlineStr">
        <is>
          <t>01 UNIT SINOTRUK SITRAK 8X4 MIXER TRUCK 12M3 (VOIR BL)</t>
        </is>
      </c>
      <c r="V587" s="67" t="n"/>
      <c r="W587" s="67" t="n"/>
      <c r="X587" s="62" t="inlineStr">
        <is>
          <t>N-OP</t>
        </is>
      </c>
      <c r="Y587" s="116">
        <f>F587/E587</f>
        <v/>
      </c>
      <c r="Z587" s="64">
        <f>E587-N587</f>
        <v/>
      </c>
      <c r="AA587" s="64" t="n">
        <v>132</v>
      </c>
    </row>
    <row r="588" ht="15.75" customHeight="1" s="202">
      <c r="A588" s="106" t="n">
        <v>20260057</v>
      </c>
      <c r="B588" s="107" t="inlineStr">
        <is>
          <t>PVT DIAMOND</t>
        </is>
      </c>
      <c r="C588" s="108" t="n">
        <v>46070</v>
      </c>
      <c r="D588" s="108" t="n">
        <v>46071</v>
      </c>
      <c r="E588" s="106" t="n">
        <v>1</v>
      </c>
      <c r="F588" s="106" t="n">
        <v>8.800000000000001</v>
      </c>
      <c r="G588" s="106" t="n">
        <v>24</v>
      </c>
      <c r="H588" s="107" t="inlineStr">
        <is>
          <t>EURL MEDI LED ELINARA</t>
        </is>
      </c>
      <c r="I588" s="107" t="inlineStr">
        <is>
          <t>CAMIONS</t>
        </is>
      </c>
      <c r="J588" s="107" t="inlineStr">
        <is>
          <t>LOURD</t>
        </is>
      </c>
      <c r="K588" s="108">
        <f>D588+8</f>
        <v/>
      </c>
      <c r="L588" s="108">
        <f>K588+60</f>
        <v/>
      </c>
      <c r="M588" s="107" t="n"/>
      <c r="N588" s="112">
        <f>E588-1</f>
        <v/>
      </c>
      <c r="O588" s="113">
        <f>F588/E588*N588</f>
        <v/>
      </c>
      <c r="P588" s="112">
        <f>G588/E588*N588</f>
        <v/>
      </c>
      <c r="Q588" s="109" t="n"/>
      <c r="R588" s="107" t="n"/>
      <c r="S588" s="109" t="inlineStr">
        <is>
          <t>PD26008YTDJDJ78</t>
        </is>
      </c>
      <c r="T588" s="114" t="n">
        <v>38</v>
      </c>
      <c r="U588" s="109" t="inlineStr">
        <is>
          <t>01 UNIT SITRAK 6X4 TRACTOR TRUCK 480HP MANUA (VOIR BL)</t>
        </is>
      </c>
      <c r="V588" s="106" t="n"/>
      <c r="W588" s="106" t="n"/>
      <c r="X588" s="106" t="inlineStr">
        <is>
          <t>SOLDEE</t>
        </is>
      </c>
      <c r="Y588" s="116">
        <f>F588/E588</f>
        <v/>
      </c>
    </row>
    <row r="589" ht="15.75" customHeight="1" s="202">
      <c r="A589" s="106" t="n">
        <v>20260058</v>
      </c>
      <c r="B589" s="107" t="inlineStr">
        <is>
          <t>LEMON</t>
        </is>
      </c>
      <c r="C589" s="108" t="n">
        <v>46071</v>
      </c>
      <c r="D589" s="108" t="n">
        <v>46072</v>
      </c>
      <c r="E589" s="106" t="n">
        <v>97</v>
      </c>
      <c r="F589" s="106" t="n">
        <v>989</v>
      </c>
      <c r="G589" s="106" t="n">
        <v>3880</v>
      </c>
      <c r="H589" s="107" t="inlineStr">
        <is>
          <t>EPE VIUR SPA</t>
        </is>
      </c>
      <c r="I589" s="107" t="inlineStr">
        <is>
          <t>BUS</t>
        </is>
      </c>
      <c r="J589" s="107" t="inlineStr">
        <is>
          <t>UTILITAIRE</t>
        </is>
      </c>
      <c r="K589" s="108">
        <f>D589+8</f>
        <v/>
      </c>
      <c r="L589" s="108">
        <f>K589+60</f>
        <v/>
      </c>
      <c r="M589" s="107" t="n"/>
      <c r="N589" s="112">
        <f>E589-48-40-9</f>
        <v/>
      </c>
      <c r="O589" s="113">
        <f>F589/E589*N589</f>
        <v/>
      </c>
      <c r="P589" s="112">
        <f>G589/E589*N589</f>
        <v/>
      </c>
      <c r="Q589" s="109" t="n"/>
      <c r="R589" s="107" t="n"/>
      <c r="S589" s="109" t="inlineStr">
        <is>
          <t>LM26001CSDJ001/002</t>
        </is>
      </c>
      <c r="T589" s="114" t="n">
        <v>1</v>
      </c>
      <c r="U589" s="109" t="inlineStr">
        <is>
          <t>27 UNITS HIGER AUTOBUS MODEL C-100-KLQ6106G /70 UNITS HIGER AUTOCAR MODEL NEW V8-KLQ6886 ( VOIR BL)</t>
        </is>
      </c>
      <c r="V589" s="106" t="n"/>
      <c r="W589" s="106" t="n"/>
      <c r="X589" s="106" t="inlineStr">
        <is>
          <t>SOLDEE</t>
        </is>
      </c>
      <c r="Y589" s="116">
        <f>F589/E589</f>
        <v/>
      </c>
    </row>
    <row r="590" ht="15.75" customHeight="1" s="202">
      <c r="A590" s="116" t="n">
        <v>20260058</v>
      </c>
      <c r="B590" s="117" t="inlineStr">
        <is>
          <t>LEMON</t>
        </is>
      </c>
      <c r="C590" s="118" t="n">
        <v>46071</v>
      </c>
      <c r="D590" s="118" t="n">
        <v>46072</v>
      </c>
      <c r="E590" s="116" t="n">
        <v>52</v>
      </c>
      <c r="F590" s="119" t="n">
        <v>5.281</v>
      </c>
      <c r="G590" s="120" t="n">
        <v>0</v>
      </c>
      <c r="H590" s="117" t="inlineStr">
        <is>
          <t>EPE VIUR SPA</t>
        </is>
      </c>
      <c r="I590" s="117" t="inlineStr">
        <is>
          <t>COLIS</t>
        </is>
      </c>
      <c r="J590" s="117" t="inlineStr">
        <is>
          <t>UTILITAIRE</t>
        </is>
      </c>
      <c r="K590" s="48">
        <f>D590+8</f>
        <v/>
      </c>
      <c r="L590" s="48">
        <f>K590+60</f>
        <v/>
      </c>
      <c r="N590" s="72">
        <f>E590</f>
        <v/>
      </c>
      <c r="O590" s="50">
        <f>F590/E590*N590</f>
        <v/>
      </c>
      <c r="P590" s="273">
        <f>G590/E590*N590</f>
        <v/>
      </c>
      <c r="S590" s="200" t="inlineStr">
        <is>
          <t>LM26001CSDJ003</t>
        </is>
      </c>
      <c r="T590" s="201" t="n">
        <v>2</v>
      </c>
      <c r="U590" s="58" t="inlineStr">
        <is>
          <t>SPARE PARTS FOR BUS</t>
        </is>
      </c>
      <c r="V590" s="67" t="n"/>
      <c r="W590" s="67" t="n"/>
      <c r="X590" s="62" t="inlineStr">
        <is>
          <t>N-OP</t>
        </is>
      </c>
      <c r="Y590" s="116">
        <f>F590/E590</f>
        <v/>
      </c>
      <c r="Z590" s="64">
        <f>E590-N590</f>
        <v/>
      </c>
    </row>
    <row r="591" ht="15.75" customHeight="1" s="202">
      <c r="A591" s="106" t="n">
        <v>20260061</v>
      </c>
      <c r="B591" s="107" t="inlineStr">
        <is>
          <t>VESPER</t>
        </is>
      </c>
      <c r="C591" s="108" t="n">
        <v>46072</v>
      </c>
      <c r="D591" s="108" t="n">
        <v>46073</v>
      </c>
      <c r="E591" s="106" t="n">
        <v>203</v>
      </c>
      <c r="F591" s="106" t="n">
        <v>809.976</v>
      </c>
      <c r="G591" s="106" t="n">
        <v>300</v>
      </c>
      <c r="H591" s="107" t="inlineStr">
        <is>
          <t>SH DP</t>
        </is>
      </c>
      <c r="I591" s="107" t="inlineStr">
        <is>
          <t>TUBES</t>
        </is>
      </c>
      <c r="J591" s="107" t="inlineStr">
        <is>
          <t>TUBES</t>
        </is>
      </c>
      <c r="K591" s="108">
        <f>D591+8</f>
        <v/>
      </c>
      <c r="L591" s="108">
        <f>K591+60</f>
        <v/>
      </c>
      <c r="M591" s="107" t="n"/>
      <c r="N591" s="112">
        <f>+E591-99-104</f>
        <v/>
      </c>
      <c r="O591" s="113">
        <f>F591/E591*N591</f>
        <v/>
      </c>
      <c r="P591" s="112">
        <f>G591/E591*N591</f>
        <v/>
      </c>
      <c r="Q591" s="109" t="n"/>
      <c r="R591" s="107" t="n"/>
      <c r="S591" s="109" t="n">
        <v>152451</v>
      </c>
      <c r="T591" s="114" t="n">
        <v>1</v>
      </c>
      <c r="U591" s="109" t="inlineStr">
        <is>
          <t>TUBING</t>
        </is>
      </c>
      <c r="V591" s="106" t="n"/>
      <c r="W591" s="106" t="n"/>
      <c r="X591" s="106" t="inlineStr">
        <is>
          <t>SOLDEE</t>
        </is>
      </c>
      <c r="Y591" s="116">
        <f>F591/E591</f>
        <v/>
      </c>
    </row>
    <row r="592" ht="18" customHeight="1" s="202">
      <c r="A592" s="87" t="n">
        <v>20260030</v>
      </c>
      <c r="B592" s="88" t="inlineStr">
        <is>
          <t>OCEAN FEATHER</t>
        </is>
      </c>
      <c r="C592" s="89" t="n">
        <v>46052</v>
      </c>
      <c r="D592" s="118" t="n">
        <v>46075</v>
      </c>
      <c r="E592" s="67" t="n">
        <v>2</v>
      </c>
      <c r="F592" s="119" t="n">
        <v>20</v>
      </c>
      <c r="G592" s="120" t="n">
        <v>48</v>
      </c>
      <c r="H592" s="117" t="inlineStr">
        <is>
          <t>SCMGC SARL</t>
        </is>
      </c>
      <c r="I592" s="121" t="inlineStr">
        <is>
          <t>CAMIONS</t>
        </is>
      </c>
      <c r="J592" s="117" t="inlineStr">
        <is>
          <t>LOURD</t>
        </is>
      </c>
      <c r="K592" s="48">
        <f>D592+8</f>
        <v/>
      </c>
      <c r="L592" s="48">
        <f>K592+60</f>
        <v/>
      </c>
      <c r="M592" s="71" t="n"/>
      <c r="N592" s="72">
        <f>E592</f>
        <v/>
      </c>
      <c r="O592" s="50">
        <f>F592/E592*N592</f>
        <v/>
      </c>
      <c r="P592" s="273">
        <f>G592/E592*N592</f>
        <v/>
      </c>
      <c r="Q592" s="224" t="n"/>
      <c r="R592" s="58" t="n"/>
      <c r="S592" s="200" t="inlineStr">
        <is>
          <t>OF25320LDJD002-004</t>
        </is>
      </c>
      <c r="T592" s="201" t="n">
        <v>2</v>
      </c>
      <c r="U592" s="58" t="inlineStr">
        <is>
          <t>01 UNIT DUMP TRUCK /01 UNIT LIGHT TRUCK /01 UNIT HYDRAULIC EXCAVATOR ( VOIR BL)</t>
        </is>
      </c>
      <c r="V592" s="67" t="n"/>
      <c r="W592" s="67" t="n"/>
      <c r="X592" s="62" t="inlineStr">
        <is>
          <t>N-OP</t>
        </is>
      </c>
      <c r="Y592" s="116">
        <f>F592/E592</f>
        <v/>
      </c>
      <c r="Z592" s="64">
        <f>E592-N592</f>
        <v/>
      </c>
    </row>
    <row r="593" ht="18" customHeight="1" s="202">
      <c r="A593" s="116" t="n">
        <v>20260030</v>
      </c>
      <c r="B593" s="117" t="inlineStr">
        <is>
          <t>OCEAN FEATHER</t>
        </is>
      </c>
      <c r="C593" s="118" t="n">
        <v>46052</v>
      </c>
      <c r="D593" s="118" t="n">
        <v>46075</v>
      </c>
      <c r="E593" s="67" t="n">
        <v>1</v>
      </c>
      <c r="F593" s="119" t="n">
        <v>18.31</v>
      </c>
      <c r="G593" s="120" t="n">
        <v>24</v>
      </c>
      <c r="H593" s="117" t="inlineStr">
        <is>
          <t>SCMGC SARL</t>
        </is>
      </c>
      <c r="I593" s="121" t="inlineStr">
        <is>
          <t>EXCAVATEURS</t>
        </is>
      </c>
      <c r="J593" s="117" t="inlineStr">
        <is>
          <t>ENGINS</t>
        </is>
      </c>
      <c r="K593" s="48">
        <f>D593+8</f>
        <v/>
      </c>
      <c r="L593" s="48">
        <f>K593+60</f>
        <v/>
      </c>
      <c r="M593" s="71" t="n"/>
      <c r="N593" s="72">
        <f>E593</f>
        <v/>
      </c>
      <c r="O593" s="50">
        <f>F593/E593*N593</f>
        <v/>
      </c>
      <c r="P593" s="273">
        <f>G593/E593*N593</f>
        <v/>
      </c>
      <c r="Q593" s="224" t="n"/>
      <c r="R593" s="58" t="n"/>
      <c r="S593" s="200" t="inlineStr">
        <is>
          <t>OF25320LDJD002-004</t>
        </is>
      </c>
      <c r="T593" s="201" t="n">
        <v>2</v>
      </c>
      <c r="U593" s="58" t="n"/>
      <c r="V593" s="67" t="n"/>
      <c r="W593" s="67" t="n"/>
      <c r="X593" s="62" t="inlineStr">
        <is>
          <t>N-OP</t>
        </is>
      </c>
      <c r="Y593" s="116">
        <f>F593/E593</f>
        <v/>
      </c>
      <c r="Z593" s="64">
        <f>E593-N593</f>
        <v/>
      </c>
    </row>
    <row r="594" ht="18" customHeight="1" s="202">
      <c r="A594" s="106" t="n">
        <v>20260030</v>
      </c>
      <c r="B594" s="107" t="inlineStr">
        <is>
          <t>OCEAN FEATHER</t>
        </is>
      </c>
      <c r="C594" s="108" t="n">
        <v>46052</v>
      </c>
      <c r="D594" s="108" t="n">
        <v>46075</v>
      </c>
      <c r="E594" s="106" t="n">
        <v>1</v>
      </c>
      <c r="F594" s="106" t="n">
        <v>4.3</v>
      </c>
      <c r="G594" s="106" t="n">
        <v>60</v>
      </c>
      <c r="H594" s="107" t="inlineStr">
        <is>
          <t>SARL ALFA FISH CO</t>
        </is>
      </c>
      <c r="I594" s="109" t="inlineStr">
        <is>
          <t>CAMION GRUE</t>
        </is>
      </c>
      <c r="J594" s="107" t="inlineStr">
        <is>
          <t>ENGINS</t>
        </is>
      </c>
      <c r="K594" s="108">
        <f>D594+8</f>
        <v/>
      </c>
      <c r="L594" s="108">
        <f>K594+60</f>
        <v/>
      </c>
      <c r="M594" s="111" t="n"/>
      <c r="N594" s="112">
        <f>E594-1</f>
        <v/>
      </c>
      <c r="O594" s="113">
        <f>F594/E594*N594</f>
        <v/>
      </c>
      <c r="P594" s="112">
        <f>G594/E594*N594</f>
        <v/>
      </c>
      <c r="Q594" s="109" t="n"/>
      <c r="R594" s="109" t="n"/>
      <c r="S594" s="109" t="inlineStr">
        <is>
          <t>OF25320LDJD005</t>
        </is>
      </c>
      <c r="T594" s="114" t="n">
        <v>3</v>
      </c>
      <c r="U594" s="109" t="inlineStr">
        <is>
          <t>01 UNIT CAMION ISUZU SINGLE CABIN CRANE TRUCK WITH 2 TIRES ( VOIR BL)</t>
        </is>
      </c>
      <c r="V594" s="106" t="n"/>
      <c r="W594" s="106" t="n"/>
      <c r="X594" s="106" t="inlineStr">
        <is>
          <t>SOLDEE</t>
        </is>
      </c>
      <c r="Y594" s="116">
        <f>F594/E594</f>
        <v/>
      </c>
      <c r="Z594" s="30" t="n"/>
    </row>
    <row r="595" ht="18" customHeight="1" s="202">
      <c r="A595" s="106" t="n">
        <v>20260030</v>
      </c>
      <c r="B595" s="107" t="inlineStr">
        <is>
          <t>OCEAN FEATHER</t>
        </is>
      </c>
      <c r="C595" s="108" t="n">
        <v>46052</v>
      </c>
      <c r="D595" s="108" t="n">
        <v>46075</v>
      </c>
      <c r="E595" s="106" t="n">
        <v>2</v>
      </c>
      <c r="F595" s="106" t="n">
        <v>0</v>
      </c>
      <c r="G595" s="106" t="n">
        <v>6</v>
      </c>
      <c r="H595" s="107" t="inlineStr">
        <is>
          <t>SARL ALFA FISH CO</t>
        </is>
      </c>
      <c r="I595" s="109" t="inlineStr">
        <is>
          <t>COLIS</t>
        </is>
      </c>
      <c r="J595" s="107" t="inlineStr">
        <is>
          <t>COLIS</t>
        </is>
      </c>
      <c r="K595" s="108">
        <f>D595+8</f>
        <v/>
      </c>
      <c r="L595" s="108">
        <f>K595+60</f>
        <v/>
      </c>
      <c r="M595" s="111" t="n"/>
      <c r="N595" s="112">
        <f>E595-2</f>
        <v/>
      </c>
      <c r="O595" s="113">
        <f>F595/E595*N595</f>
        <v/>
      </c>
      <c r="P595" s="112">
        <f>G595/E595*N595</f>
        <v/>
      </c>
      <c r="Q595" s="109" t="n"/>
      <c r="R595" s="109" t="n"/>
      <c r="S595" s="109" t="inlineStr">
        <is>
          <t>OF25320LDJD005</t>
        </is>
      </c>
      <c r="T595" s="114" t="n">
        <v>3</v>
      </c>
      <c r="U595" s="109" t="n"/>
      <c r="V595" s="106" t="n"/>
      <c r="W595" s="106" t="n"/>
      <c r="X595" s="106" t="inlineStr">
        <is>
          <t>SOLDEE</t>
        </is>
      </c>
      <c r="Y595" s="116">
        <f>F595/E595</f>
        <v/>
      </c>
      <c r="Z595" s="30" t="n"/>
    </row>
    <row r="596" ht="18" customHeight="1" s="202">
      <c r="A596" s="106" t="n">
        <v>20260030</v>
      </c>
      <c r="B596" s="107" t="inlineStr">
        <is>
          <t>OCEAN FEATHER</t>
        </is>
      </c>
      <c r="C596" s="108" t="n">
        <v>46052</v>
      </c>
      <c r="D596" s="108" t="n">
        <v>46075</v>
      </c>
      <c r="E596" s="106" t="n">
        <v>1</v>
      </c>
      <c r="F596" s="106" t="n">
        <v>23.76</v>
      </c>
      <c r="G596" s="106" t="n">
        <v>24</v>
      </c>
      <c r="H596" s="107" t="inlineStr">
        <is>
          <t>EURL TRAPTB</t>
        </is>
      </c>
      <c r="I596" s="109" t="inlineStr">
        <is>
          <t>EXCAVATEURS</t>
        </is>
      </c>
      <c r="J596" s="107" t="inlineStr">
        <is>
          <t>ENGINS</t>
        </is>
      </c>
      <c r="K596" s="108">
        <f>D596+8</f>
        <v/>
      </c>
      <c r="L596" s="108">
        <f>K596+60</f>
        <v/>
      </c>
      <c r="M596" s="111" t="n"/>
      <c r="N596" s="112">
        <f>E596-1</f>
        <v/>
      </c>
      <c r="O596" s="113">
        <f>F596/E596*N596</f>
        <v/>
      </c>
      <c r="P596" s="112">
        <f>G596/E596*N596</f>
        <v/>
      </c>
      <c r="Q596" s="109" t="n"/>
      <c r="R596" s="109" t="n"/>
      <c r="S596" s="109" t="inlineStr">
        <is>
          <t>OF25320LDJD006</t>
        </is>
      </c>
      <c r="T596" s="114" t="n">
        <v>4</v>
      </c>
      <c r="U596" s="109" t="inlineStr">
        <is>
          <t>01 UNIT PELLE SUR CHENILES ,VICTORY VT230LJ-6 WITH BRISE ROCHE -SL 1350 ( VOIR BL)</t>
        </is>
      </c>
      <c r="V596" s="106" t="n"/>
      <c r="W596" s="106" t="n"/>
      <c r="X596" s="106" t="inlineStr">
        <is>
          <t>SOLDEE</t>
        </is>
      </c>
      <c r="Y596" s="116">
        <f>F596/E596</f>
        <v/>
      </c>
      <c r="Z596" s="30" t="n"/>
    </row>
    <row r="597" ht="18" customHeight="1" s="202">
      <c r="A597" s="116" t="n">
        <v>20260030</v>
      </c>
      <c r="B597" s="117" t="inlineStr">
        <is>
          <t>OCEAN FEATHER</t>
        </is>
      </c>
      <c r="C597" s="118" t="n">
        <v>46052</v>
      </c>
      <c r="D597" s="118" t="n">
        <v>46075</v>
      </c>
      <c r="E597" s="67" t="n">
        <v>1</v>
      </c>
      <c r="F597" s="119" t="n">
        <v>0</v>
      </c>
      <c r="G597" s="120" t="n">
        <v>3</v>
      </c>
      <c r="H597" s="117" t="inlineStr">
        <is>
          <t>EURL TRAPTB</t>
        </is>
      </c>
      <c r="I597" s="121" t="inlineStr">
        <is>
          <t>COLIS</t>
        </is>
      </c>
      <c r="J597" s="117" t="inlineStr">
        <is>
          <t>COLIS</t>
        </is>
      </c>
      <c r="K597" s="48">
        <f>D597+8</f>
        <v/>
      </c>
      <c r="L597" s="48">
        <f>K597+60</f>
        <v/>
      </c>
      <c r="M597" s="71" t="n"/>
      <c r="N597" s="72">
        <f>E597</f>
        <v/>
      </c>
      <c r="O597" s="50">
        <f>F597/E597*N597</f>
        <v/>
      </c>
      <c r="P597" s="273">
        <f>G597/E597*N597</f>
        <v/>
      </c>
      <c r="Q597" s="224" t="n"/>
      <c r="R597" s="58" t="n"/>
      <c r="S597" s="200" t="inlineStr">
        <is>
          <t>OF25320LDJD006</t>
        </is>
      </c>
      <c r="T597" s="201" t="n">
        <v>4</v>
      </c>
      <c r="U597" s="58" t="n"/>
      <c r="V597" s="67" t="n"/>
      <c r="W597" s="67" t="n"/>
      <c r="X597" s="62" t="inlineStr">
        <is>
          <t>N-OP</t>
        </is>
      </c>
      <c r="Y597" s="116">
        <f>F597/E597</f>
        <v/>
      </c>
      <c r="Z597" s="64">
        <f>E597-N597</f>
        <v/>
      </c>
    </row>
    <row r="598" ht="18" customHeight="1" s="202">
      <c r="A598" s="116" t="n">
        <v>20260030</v>
      </c>
      <c r="B598" s="117" t="inlineStr">
        <is>
          <t>OCEAN FEATHER</t>
        </is>
      </c>
      <c r="C598" s="118" t="n">
        <v>46052</v>
      </c>
      <c r="D598" s="118" t="n">
        <v>46075</v>
      </c>
      <c r="E598" s="67" t="n">
        <v>1</v>
      </c>
      <c r="F598" s="119" t="n">
        <v>22</v>
      </c>
      <c r="G598" s="120" t="n">
        <v>24</v>
      </c>
      <c r="H598" s="117" t="inlineStr">
        <is>
          <t>BENGUESMIA SOPHIANE</t>
        </is>
      </c>
      <c r="I598" s="121" t="inlineStr">
        <is>
          <t>REMORQUES</t>
        </is>
      </c>
      <c r="J598" s="117" t="inlineStr">
        <is>
          <t>LOURD</t>
        </is>
      </c>
      <c r="K598" s="48">
        <f>D598+8</f>
        <v/>
      </c>
      <c r="L598" s="48">
        <f>K598+60</f>
        <v/>
      </c>
      <c r="M598" s="71" t="n"/>
      <c r="N598" s="72">
        <f>E598</f>
        <v/>
      </c>
      <c r="O598" s="50">
        <f>F598/E598*N598</f>
        <v/>
      </c>
      <c r="P598" s="273">
        <f>G598/E598*N598</f>
        <v/>
      </c>
      <c r="Q598" s="224" t="n"/>
      <c r="R598" s="58" t="n"/>
      <c r="S598" s="200" t="inlineStr">
        <is>
          <t>OF25320LDJD009</t>
        </is>
      </c>
      <c r="T598" s="201" t="n">
        <v>7</v>
      </c>
      <c r="U598" s="58" t="inlineStr">
        <is>
          <t>02 UNITS 3 AXLES SEMI TRAILER ( VOIR BL)</t>
        </is>
      </c>
      <c r="V598" s="67" t="n"/>
      <c r="W598" s="67" t="n"/>
      <c r="X598" s="62" t="inlineStr">
        <is>
          <t>N-OP</t>
        </is>
      </c>
      <c r="Y598" s="116">
        <f>F598/E598</f>
        <v/>
      </c>
      <c r="Z598" s="64">
        <f>E598-N598</f>
        <v/>
      </c>
    </row>
    <row r="599" ht="18" customHeight="1" s="202">
      <c r="A599" s="106" t="n">
        <v>20260030</v>
      </c>
      <c r="B599" s="107" t="inlineStr">
        <is>
          <t>OCEAN FEATHER</t>
        </is>
      </c>
      <c r="C599" s="108" t="n">
        <v>46052</v>
      </c>
      <c r="D599" s="108" t="n">
        <v>46075</v>
      </c>
      <c r="E599" s="106" t="n">
        <v>1</v>
      </c>
      <c r="F599" s="106" t="n">
        <v>12.33</v>
      </c>
      <c r="G599" s="106" t="n">
        <v>24</v>
      </c>
      <c r="H599" s="107" t="inlineStr">
        <is>
          <t>KRECHICHE MOHAMMED</t>
        </is>
      </c>
      <c r="I599" s="109" t="inlineStr">
        <is>
          <t>CAMIONS</t>
        </is>
      </c>
      <c r="J599" s="107" t="inlineStr">
        <is>
          <t>ENGINS</t>
        </is>
      </c>
      <c r="K599" s="108">
        <f>D599+8</f>
        <v/>
      </c>
      <c r="L599" s="108">
        <f>K599+60</f>
        <v/>
      </c>
      <c r="M599" s="111" t="n"/>
      <c r="N599" s="112">
        <f>E599-1</f>
        <v/>
      </c>
      <c r="O599" s="113">
        <f>F599/E599*N599</f>
        <v/>
      </c>
      <c r="P599" s="112">
        <f>G599/E599*N599</f>
        <v/>
      </c>
      <c r="Q599" s="109" t="n"/>
      <c r="R599" s="109" t="n"/>
      <c r="S599" s="109" t="inlineStr">
        <is>
          <t>OF25320LDJD010</t>
        </is>
      </c>
      <c r="T599" s="114" t="n">
        <v>8</v>
      </c>
      <c r="U599" s="109" t="inlineStr">
        <is>
          <t>CAMION SHACMAN 6X4 16M3 ( VOIR BL)</t>
        </is>
      </c>
      <c r="V599" s="106" t="n"/>
      <c r="W599" s="106" t="n"/>
      <c r="X599" s="106" t="inlineStr">
        <is>
          <t>SOLDEE</t>
        </is>
      </c>
      <c r="Y599" s="116">
        <f>F599/E599</f>
        <v/>
      </c>
      <c r="Z599" s="30" t="n"/>
    </row>
    <row r="600" ht="18" customHeight="1" s="202">
      <c r="A600" s="116" t="n">
        <v>20260030</v>
      </c>
      <c r="B600" s="117" t="inlineStr">
        <is>
          <t>OCEAN FEATHER</t>
        </is>
      </c>
      <c r="C600" s="118" t="n">
        <v>46052</v>
      </c>
      <c r="D600" s="118" t="n">
        <v>46075</v>
      </c>
      <c r="E600" s="67" t="n">
        <v>1</v>
      </c>
      <c r="F600" s="119" t="n">
        <v>32.37</v>
      </c>
      <c r="G600" s="120" t="n">
        <v>60</v>
      </c>
      <c r="H600" s="117" t="inlineStr">
        <is>
          <t>BENFEHIMA ELKHEIR</t>
        </is>
      </c>
      <c r="I600" s="121" t="inlineStr">
        <is>
          <t>CAMION GRUE</t>
        </is>
      </c>
      <c r="K600" s="48">
        <f>D600+8</f>
        <v/>
      </c>
      <c r="L600" s="48">
        <f>K600+60</f>
        <v/>
      </c>
      <c r="M600" s="71" t="n"/>
      <c r="N600" s="72">
        <f>E600</f>
        <v/>
      </c>
      <c r="O600" s="50">
        <f>F600/E600*N600</f>
        <v/>
      </c>
      <c r="P600" s="273">
        <f>G600/E600*N600</f>
        <v/>
      </c>
      <c r="Q600" s="224" t="n"/>
      <c r="R600" s="58" t="n"/>
      <c r="S600" s="200" t="inlineStr">
        <is>
          <t>OF25320LDJD011</t>
        </is>
      </c>
      <c r="T600" s="201" t="n">
        <v>9</v>
      </c>
      <c r="U600" s="58" t="inlineStr">
        <is>
          <t>01 UNIT XCMG TRUCK CRANE (VOIR BL)</t>
        </is>
      </c>
      <c r="V600" s="67" t="n"/>
      <c r="W600" s="67" t="n"/>
      <c r="X600" s="62" t="inlineStr">
        <is>
          <t>N-OP</t>
        </is>
      </c>
      <c r="Y600" s="116">
        <f>F600/E600</f>
        <v/>
      </c>
      <c r="Z600" s="64">
        <f>E600-N600</f>
        <v/>
      </c>
    </row>
    <row r="601" ht="18" customHeight="1" s="202">
      <c r="A601" s="116" t="n">
        <v>20260030</v>
      </c>
      <c r="B601" s="117" t="inlineStr">
        <is>
          <t>OCEAN FEATHER</t>
        </is>
      </c>
      <c r="C601" s="118" t="n">
        <v>46052</v>
      </c>
      <c r="D601" s="118" t="n">
        <v>46075</v>
      </c>
      <c r="E601" s="67" t="n">
        <v>1</v>
      </c>
      <c r="F601" s="119" t="n">
        <v>0</v>
      </c>
      <c r="G601" s="120" t="n">
        <v>3</v>
      </c>
      <c r="H601" s="117" t="inlineStr">
        <is>
          <t>BENFEHIMA ELKHEIR</t>
        </is>
      </c>
      <c r="I601" s="121" t="inlineStr">
        <is>
          <t>COLIS</t>
        </is>
      </c>
      <c r="J601" s="117" t="inlineStr">
        <is>
          <t>COLIS</t>
        </is>
      </c>
      <c r="K601" s="48">
        <f>D601+8</f>
        <v/>
      </c>
      <c r="L601" s="48">
        <f>K601+60</f>
        <v/>
      </c>
      <c r="M601" s="71" t="n"/>
      <c r="N601" s="72">
        <f>E601</f>
        <v/>
      </c>
      <c r="O601" s="50">
        <f>F601/E601*N601</f>
        <v/>
      </c>
      <c r="P601" s="273">
        <f>G601/E601*N601</f>
        <v/>
      </c>
      <c r="Q601" s="224" t="n"/>
      <c r="R601" s="58" t="n"/>
      <c r="S601" s="200" t="inlineStr">
        <is>
          <t>OF25320LDJD011</t>
        </is>
      </c>
      <c r="T601" s="201" t="n">
        <v>9</v>
      </c>
      <c r="U601" s="58" t="n"/>
      <c r="V601" s="67" t="n"/>
      <c r="W601" s="67" t="n"/>
      <c r="X601" s="62" t="inlineStr">
        <is>
          <t>N-OP</t>
        </is>
      </c>
      <c r="Y601" s="116">
        <f>F601/E601</f>
        <v/>
      </c>
      <c r="Z601" s="64">
        <f>E601-N601</f>
        <v/>
      </c>
    </row>
    <row r="602" ht="18" customHeight="1" s="202">
      <c r="A602" s="116" t="n">
        <v>20260030</v>
      </c>
      <c r="B602" s="117" t="inlineStr">
        <is>
          <t>OCEAN FEATHER</t>
        </is>
      </c>
      <c r="C602" s="118" t="n">
        <v>46052</v>
      </c>
      <c r="D602" s="118" t="n">
        <v>46075</v>
      </c>
      <c r="E602" s="67" t="n">
        <v>11</v>
      </c>
      <c r="F602" s="119" t="n">
        <v>131.129166666667</v>
      </c>
      <c r="G602" s="120" t="n">
        <v>264</v>
      </c>
      <c r="H602" s="117" t="inlineStr">
        <is>
          <t>EURL GROUPE ABGHACHE</t>
        </is>
      </c>
      <c r="I602" s="121" t="inlineStr">
        <is>
          <t>CAMIONS</t>
        </is>
      </c>
      <c r="J602" s="117" t="inlineStr">
        <is>
          <t>LOURD</t>
        </is>
      </c>
      <c r="K602" s="48">
        <f>D602+8</f>
        <v/>
      </c>
      <c r="L602" s="48">
        <f>K602+60</f>
        <v/>
      </c>
      <c r="M602" s="71" t="n"/>
      <c r="N602" s="72">
        <f>E602</f>
        <v/>
      </c>
      <c r="O602" s="50">
        <f>F602/E602*N602</f>
        <v/>
      </c>
      <c r="P602" s="273">
        <f>G602/E602*N602</f>
        <v/>
      </c>
      <c r="Q602" s="224" t="n"/>
      <c r="R602" s="58" t="n"/>
      <c r="S602" s="200" t="inlineStr">
        <is>
          <t>OF25320LDJD012</t>
        </is>
      </c>
      <c r="T602" s="201" t="n">
        <v>10</v>
      </c>
      <c r="U602" s="58" t="inlineStr">
        <is>
          <t>02 UNITS JMC DOUBLE CAB DUMP TRUCK 02 UNITS SHACMAN SX5255GJBDR384 6X4 MIXER TRUCK 02 UNITS SHACMAN F3000 8X4 MIXER TRUCK ( VOIR BL)</t>
        </is>
      </c>
      <c r="V602" s="67" t="n"/>
      <c r="W602" s="67" t="n"/>
      <c r="X602" s="62" t="inlineStr">
        <is>
          <t>N-OP</t>
        </is>
      </c>
      <c r="Y602" s="116">
        <f>F602/E602</f>
        <v/>
      </c>
      <c r="Z602" s="64">
        <f>E602-N602</f>
        <v/>
      </c>
    </row>
    <row r="603" ht="18" customHeight="1" s="202">
      <c r="A603" s="116" t="n">
        <v>20260030</v>
      </c>
      <c r="B603" s="117" t="inlineStr">
        <is>
          <t>OCEAN FEATHER</t>
        </is>
      </c>
      <c r="C603" s="118" t="n">
        <v>46052</v>
      </c>
      <c r="D603" s="118" t="n">
        <v>46075</v>
      </c>
      <c r="E603" s="67" t="n">
        <v>1</v>
      </c>
      <c r="F603" s="119" t="n">
        <v>11.9208333333333</v>
      </c>
      <c r="G603" s="120" t="n">
        <v>24</v>
      </c>
      <c r="H603" s="117" t="inlineStr">
        <is>
          <t>EURL GROUPE ABGHACHE</t>
        </is>
      </c>
      <c r="I603" s="121" t="inlineStr">
        <is>
          <t>REMORQUES</t>
        </is>
      </c>
      <c r="J603" s="117" t="inlineStr">
        <is>
          <t>LOURD</t>
        </is>
      </c>
      <c r="K603" s="48">
        <f>D603+8</f>
        <v/>
      </c>
      <c r="L603" s="48">
        <f>K603+60</f>
        <v/>
      </c>
      <c r="M603" s="71" t="n"/>
      <c r="N603" s="72">
        <f>E603</f>
        <v/>
      </c>
      <c r="O603" s="50">
        <f>F603/E603*N603</f>
        <v/>
      </c>
      <c r="P603" s="273">
        <f>G603/E603*N603</f>
        <v/>
      </c>
      <c r="Q603" s="224" t="n"/>
      <c r="R603" s="58" t="n"/>
      <c r="S603" s="200" t="inlineStr">
        <is>
          <t>OF25320LDJD012</t>
        </is>
      </c>
      <c r="T603" s="201" t="n">
        <v>10</v>
      </c>
      <c r="U603" s="58" t="n"/>
      <c r="V603" s="67" t="n"/>
      <c r="W603" s="67" t="n"/>
      <c r="X603" s="62" t="inlineStr">
        <is>
          <t>N-OP</t>
        </is>
      </c>
      <c r="Y603" s="116">
        <f>F603/E603</f>
        <v/>
      </c>
      <c r="Z603" s="64">
        <f>E603-N603</f>
        <v/>
      </c>
    </row>
    <row r="604" ht="18" customHeight="1" s="202">
      <c r="A604" s="106" t="n">
        <v>20260030</v>
      </c>
      <c r="B604" s="107" t="inlineStr">
        <is>
          <t>OCEAN FEATHER</t>
        </is>
      </c>
      <c r="C604" s="108" t="n">
        <v>46052</v>
      </c>
      <c r="D604" s="108" t="n">
        <v>46075</v>
      </c>
      <c r="E604" s="106" t="n">
        <v>4</v>
      </c>
      <c r="F604" s="106" t="n">
        <v>49.52</v>
      </c>
      <c r="G604" s="106" t="n">
        <v>96</v>
      </c>
      <c r="H604" s="107" t="inlineStr">
        <is>
          <t>SARL AL MASHREQ ENGINEERING</t>
        </is>
      </c>
      <c r="I604" s="109" t="inlineStr">
        <is>
          <t>CAMIONS</t>
        </is>
      </c>
      <c r="J604" s="107" t="inlineStr">
        <is>
          <t>LOURD</t>
        </is>
      </c>
      <c r="K604" s="108">
        <f>D604+8</f>
        <v/>
      </c>
      <c r="L604" s="108">
        <f>K604+60</f>
        <v/>
      </c>
      <c r="M604" s="111" t="n"/>
      <c r="N604" s="112">
        <f>E604-4</f>
        <v/>
      </c>
      <c r="O604" s="113">
        <f>F604/E604*N604</f>
        <v/>
      </c>
      <c r="P604" s="112">
        <f>G604/E604*N604</f>
        <v/>
      </c>
      <c r="Q604" s="109" t="n"/>
      <c r="R604" s="109" t="n"/>
      <c r="S604" s="109" t="inlineStr">
        <is>
          <t>OF25320LDJD013</t>
        </is>
      </c>
      <c r="T604" s="114" t="n">
        <v>11</v>
      </c>
      <c r="U604" s="109" t="inlineStr">
        <is>
          <t>03 UNITS SHACMAN F2000 6*4 DUMP TRUCK 01 UNIT SHACMAN F2000 6*4 WATER TANKER TRUCK ( VOIR BL)</t>
        </is>
      </c>
      <c r="V604" s="106" t="n"/>
      <c r="W604" s="106" t="n"/>
      <c r="X604" s="106" t="inlineStr">
        <is>
          <t>SOLDEE</t>
        </is>
      </c>
      <c r="Y604" s="116">
        <f>F604/E604</f>
        <v/>
      </c>
      <c r="Z604" s="30" t="n"/>
    </row>
    <row r="605" ht="18" customHeight="1" s="202">
      <c r="A605" s="106" t="n">
        <v>20260030</v>
      </c>
      <c r="B605" s="107" t="inlineStr">
        <is>
          <t>OCEAN FEATHER</t>
        </is>
      </c>
      <c r="C605" s="108" t="n">
        <v>46052</v>
      </c>
      <c r="D605" s="108" t="n">
        <v>46075</v>
      </c>
      <c r="E605" s="106" t="n">
        <v>1</v>
      </c>
      <c r="F605" s="106" t="n">
        <v>34.155</v>
      </c>
      <c r="G605" s="106" t="n">
        <v>24</v>
      </c>
      <c r="H605" s="107" t="inlineStr">
        <is>
          <t>SARL BMAB BRIOUETERIE MODERNE AMOURI BISKRA</t>
        </is>
      </c>
      <c r="I605" s="109" t="inlineStr">
        <is>
          <t>EXCAVATEURS</t>
        </is>
      </c>
      <c r="J605" s="107" t="inlineStr">
        <is>
          <t>ENGINS</t>
        </is>
      </c>
      <c r="K605" s="108">
        <f>D605+8</f>
        <v/>
      </c>
      <c r="L605" s="108">
        <f>K605+60</f>
        <v/>
      </c>
      <c r="M605" s="111" t="n"/>
      <c r="N605" s="112">
        <f>E605-1</f>
        <v/>
      </c>
      <c r="O605" s="113">
        <f>F605/E605*N605</f>
        <v/>
      </c>
      <c r="P605" s="112">
        <f>G605/E605*N605</f>
        <v/>
      </c>
      <c r="Q605" s="109" t="n"/>
      <c r="R605" s="109" t="n"/>
      <c r="S605" s="109" t="inlineStr">
        <is>
          <t>OF25320LDJD014</t>
        </is>
      </c>
      <c r="T605" s="114" t="n">
        <v>12</v>
      </c>
      <c r="U605" s="109" t="inlineStr">
        <is>
          <t>01 UNIT HYUNDAI HX340HD EXCAVATOR ( VOIR BL)</t>
        </is>
      </c>
      <c r="V605" s="106" t="n"/>
      <c r="W605" s="106" t="n"/>
      <c r="X605" s="106" t="inlineStr">
        <is>
          <t>SOLDEE</t>
        </is>
      </c>
      <c r="Y605" s="116">
        <f>F605/E605</f>
        <v/>
      </c>
      <c r="Z605" s="30" t="n"/>
    </row>
    <row r="606" ht="18" customHeight="1" s="202">
      <c r="A606" s="106" t="n">
        <v>20260030</v>
      </c>
      <c r="B606" s="107" t="inlineStr">
        <is>
          <t>OCEAN FEATHER</t>
        </is>
      </c>
      <c r="C606" s="108" t="n">
        <v>46052</v>
      </c>
      <c r="D606" s="108" t="n">
        <v>46075</v>
      </c>
      <c r="E606" s="106" t="n">
        <v>1</v>
      </c>
      <c r="F606" s="106" t="n">
        <v>0</v>
      </c>
      <c r="G606" s="106" t="n">
        <v>3</v>
      </c>
      <c r="H606" s="107" t="inlineStr">
        <is>
          <t>SARL BMAB BRIOUETERIE MODERNE AMOURI BISKRA</t>
        </is>
      </c>
      <c r="I606" s="109" t="inlineStr">
        <is>
          <t>COLIS</t>
        </is>
      </c>
      <c r="J606" s="107" t="inlineStr">
        <is>
          <t>COLIS</t>
        </is>
      </c>
      <c r="K606" s="108">
        <f>D606+8</f>
        <v/>
      </c>
      <c r="L606" s="108">
        <f>K606+60</f>
        <v/>
      </c>
      <c r="M606" s="111" t="n"/>
      <c r="N606" s="112">
        <f>E606-1</f>
        <v/>
      </c>
      <c r="O606" s="113">
        <f>F606/E606*N606</f>
        <v/>
      </c>
      <c r="P606" s="112">
        <f>G606/E606*N606</f>
        <v/>
      </c>
      <c r="Q606" s="109" t="n"/>
      <c r="R606" s="109" t="n"/>
      <c r="S606" s="109" t="inlineStr">
        <is>
          <t>OF25320LDJD014</t>
        </is>
      </c>
      <c r="T606" s="114" t="n">
        <v>12</v>
      </c>
      <c r="U606" s="109" t="n"/>
      <c r="V606" s="106" t="n"/>
      <c r="W606" s="106" t="n"/>
      <c r="X606" s="106" t="inlineStr">
        <is>
          <t>SOLDEE</t>
        </is>
      </c>
      <c r="Y606" s="116">
        <f>F606/E606</f>
        <v/>
      </c>
      <c r="Z606" s="30" t="n"/>
    </row>
    <row r="607" ht="18" customHeight="1" s="202">
      <c r="A607" s="106" t="n">
        <v>20260030</v>
      </c>
      <c r="B607" s="107" t="inlineStr">
        <is>
          <t>OCEAN FEATHER</t>
        </is>
      </c>
      <c r="C607" s="108" t="n">
        <v>46052</v>
      </c>
      <c r="D607" s="108" t="n">
        <v>46075</v>
      </c>
      <c r="E607" s="106" t="n">
        <v>1</v>
      </c>
      <c r="F607" s="106" t="n">
        <v>8.5</v>
      </c>
      <c r="G607" s="106" t="n">
        <v>18</v>
      </c>
      <c r="H607" s="107" t="inlineStr">
        <is>
          <t>EURL MIMOUN BOISSONS</t>
        </is>
      </c>
      <c r="I607" s="109" t="inlineStr">
        <is>
          <t>CAMION TRACTEUR</t>
        </is>
      </c>
      <c r="J607" s="107" t="inlineStr">
        <is>
          <t>LOURD</t>
        </is>
      </c>
      <c r="K607" s="108">
        <f>D607+8</f>
        <v/>
      </c>
      <c r="L607" s="108">
        <f>K607+60</f>
        <v/>
      </c>
      <c r="M607" s="111" t="n"/>
      <c r="N607" s="112">
        <f>E607-1</f>
        <v/>
      </c>
      <c r="O607" s="113">
        <f>F607/E607*N607</f>
        <v/>
      </c>
      <c r="P607" s="112">
        <f>G607/E607*N607</f>
        <v/>
      </c>
      <c r="Q607" s="109" t="n"/>
      <c r="R607" s="109" t="n"/>
      <c r="S607" s="109" t="inlineStr">
        <is>
          <t>OF25320LDJD015</t>
        </is>
      </c>
      <c r="T607" s="114" t="n">
        <v>13</v>
      </c>
      <c r="U607" s="109" t="inlineStr">
        <is>
          <t>01 UNIT SINOTRUK SITRAK 6X4 TRACTOR TRUCK FOR HEAVY DESERT TRANSPORTATION (VOIR BL)</t>
        </is>
      </c>
      <c r="V607" s="106" t="n"/>
      <c r="W607" s="106" t="n"/>
      <c r="X607" s="106" t="inlineStr">
        <is>
          <t>SOLDEE</t>
        </is>
      </c>
      <c r="Y607" s="116">
        <f>F607/E607</f>
        <v/>
      </c>
      <c r="Z607" s="30" t="n"/>
    </row>
    <row r="608" ht="18" customHeight="1" s="202">
      <c r="A608" s="106" t="n">
        <v>20260030</v>
      </c>
      <c r="B608" s="107" t="inlineStr">
        <is>
          <t>OCEAN FEATHER</t>
        </is>
      </c>
      <c r="C608" s="108" t="n">
        <v>46052</v>
      </c>
      <c r="D608" s="108" t="n">
        <v>46075</v>
      </c>
      <c r="E608" s="106" t="n">
        <v>1</v>
      </c>
      <c r="F608" s="106" t="n">
        <v>17.46</v>
      </c>
      <c r="G608" s="106" t="n">
        <v>40</v>
      </c>
      <c r="H608" s="109" t="inlineStr">
        <is>
          <t>SARL LEADING BRIDGES SERVICES</t>
        </is>
      </c>
      <c r="I608" s="109" t="inlineStr">
        <is>
          <t>NIVELEUSES</t>
        </is>
      </c>
      <c r="J608" s="107" t="inlineStr">
        <is>
          <t>ENGINS</t>
        </is>
      </c>
      <c r="K608" s="108">
        <f>D608+8</f>
        <v/>
      </c>
      <c r="L608" s="108">
        <f>K608+60</f>
        <v/>
      </c>
      <c r="M608" s="111" t="n"/>
      <c r="N608" s="112">
        <f>E608-1</f>
        <v/>
      </c>
      <c r="O608" s="113">
        <f>F608/E608*N608</f>
        <v/>
      </c>
      <c r="P608" s="112">
        <f>G608/E608*N608</f>
        <v/>
      </c>
      <c r="Q608" s="109" t="n"/>
      <c r="R608" s="109" t="n"/>
      <c r="S608" s="109" t="inlineStr">
        <is>
          <t>OF25320LDJD017</t>
        </is>
      </c>
      <c r="T608" s="114" t="n">
        <v>15</v>
      </c>
      <c r="U608" s="109" t="inlineStr">
        <is>
          <t>01 UNIT XCMG GR180 MOTOR GRADER ( VOIR BL)</t>
        </is>
      </c>
      <c r="V608" s="106" t="n"/>
      <c r="W608" s="106" t="n"/>
      <c r="X608" s="106" t="inlineStr">
        <is>
          <t>SOLDEE</t>
        </is>
      </c>
      <c r="Y608" s="116">
        <f>F608/E608</f>
        <v/>
      </c>
      <c r="Z608" s="30" t="n"/>
    </row>
    <row r="609" ht="18" customHeight="1" s="202">
      <c r="A609" s="106" t="n">
        <v>20260030</v>
      </c>
      <c r="B609" s="107" t="inlineStr">
        <is>
          <t>OCEAN FEATHER</t>
        </is>
      </c>
      <c r="C609" s="108" t="n">
        <v>46052</v>
      </c>
      <c r="D609" s="108" t="n">
        <v>46075</v>
      </c>
      <c r="E609" s="106" t="n">
        <v>2</v>
      </c>
      <c r="F609" s="106" t="n">
        <v>0</v>
      </c>
      <c r="G609" s="106" t="n">
        <v>6</v>
      </c>
      <c r="H609" s="109" t="inlineStr">
        <is>
          <t>SARL LEADING BRIDGES SERVICES</t>
        </is>
      </c>
      <c r="I609" s="109" t="inlineStr">
        <is>
          <t>COLIS</t>
        </is>
      </c>
      <c r="J609" s="107" t="inlineStr">
        <is>
          <t>COLIS</t>
        </is>
      </c>
      <c r="K609" s="108">
        <f>D609+8</f>
        <v/>
      </c>
      <c r="L609" s="108">
        <f>K609+60</f>
        <v/>
      </c>
      <c r="M609" s="111" t="n"/>
      <c r="N609" s="112">
        <f>E609-1-1</f>
        <v/>
      </c>
      <c r="O609" s="113">
        <f>F609/E609*N609</f>
        <v/>
      </c>
      <c r="P609" s="112">
        <f>G609/E609*N609</f>
        <v/>
      </c>
      <c r="Q609" s="109" t="n"/>
      <c r="R609" s="109" t="n"/>
      <c r="S609" s="109" t="inlineStr">
        <is>
          <t>OF25320LDJD017</t>
        </is>
      </c>
      <c r="T609" s="114" t="n">
        <v>15</v>
      </c>
      <c r="U609" s="109" t="n"/>
      <c r="V609" s="106" t="n"/>
      <c r="W609" s="106" t="n"/>
      <c r="X609" s="106" t="inlineStr">
        <is>
          <t>SOLDEE</t>
        </is>
      </c>
      <c r="Y609" s="116">
        <f>F609/E609</f>
        <v/>
      </c>
      <c r="Z609" s="30" t="n"/>
    </row>
    <row r="610" ht="18" customHeight="1" s="202">
      <c r="A610" s="106" t="n">
        <v>20260030</v>
      </c>
      <c r="B610" s="107" t="inlineStr">
        <is>
          <t>OCEAN FEATHER</t>
        </is>
      </c>
      <c r="C610" s="108" t="n">
        <v>46052</v>
      </c>
      <c r="D610" s="108" t="n">
        <v>46075</v>
      </c>
      <c r="E610" s="106" t="n">
        <v>1</v>
      </c>
      <c r="F610" s="106" t="n">
        <v>14</v>
      </c>
      <c r="G610" s="106" t="n">
        <v>24</v>
      </c>
      <c r="H610" s="109" t="inlineStr">
        <is>
          <t>SARL LEADING BRIDGES SERVICES</t>
        </is>
      </c>
      <c r="I610" s="109" t="inlineStr">
        <is>
          <t>COMPACTEURS</t>
        </is>
      </c>
      <c r="J610" s="107" t="inlineStr">
        <is>
          <t>ENGINS</t>
        </is>
      </c>
      <c r="K610" s="108">
        <f>D610+8</f>
        <v/>
      </c>
      <c r="L610" s="108">
        <f>K610+60</f>
        <v/>
      </c>
      <c r="M610" s="111" t="n"/>
      <c r="N610" s="112">
        <f>E610-1</f>
        <v/>
      </c>
      <c r="O610" s="113">
        <f>F610/E610*N610</f>
        <v/>
      </c>
      <c r="P610" s="112">
        <f>G610/E610*N610</f>
        <v/>
      </c>
      <c r="Q610" s="109" t="n"/>
      <c r="R610" s="109" t="n"/>
      <c r="S610" s="109" t="inlineStr">
        <is>
          <t>OF25320LDJD141</t>
        </is>
      </c>
      <c r="T610" s="114" t="n">
        <v>92</v>
      </c>
      <c r="U610" s="109" t="inlineStr">
        <is>
          <t>01 UNIT XCMG XS143J ROAD ROLLER ( VOIR BL)</t>
        </is>
      </c>
      <c r="V610" s="106" t="n"/>
      <c r="W610" s="106" t="n"/>
      <c r="X610" s="106" t="inlineStr">
        <is>
          <t>SOLDEE</t>
        </is>
      </c>
      <c r="Y610" s="116">
        <f>F610/E610</f>
        <v/>
      </c>
      <c r="Z610" s="30" t="n"/>
    </row>
    <row r="611" ht="18" customHeight="1" s="202">
      <c r="A611" s="76" t="n">
        <v>20260030</v>
      </c>
      <c r="B611" s="77" t="inlineStr">
        <is>
          <t>OCEAN FEATHER</t>
        </is>
      </c>
      <c r="C611" s="78" t="n">
        <v>46052</v>
      </c>
      <c r="D611" s="78" t="n">
        <v>46075</v>
      </c>
      <c r="E611" s="76" t="n">
        <v>1</v>
      </c>
      <c r="F611" s="76" t="n">
        <v>34.155</v>
      </c>
      <c r="G611" s="76" t="n">
        <v>24</v>
      </c>
      <c r="H611" s="80" t="inlineStr">
        <is>
          <t>SARL ALPHA CRISTO INDUSTRIAL</t>
        </is>
      </c>
      <c r="I611" s="80" t="inlineStr">
        <is>
          <t>EXCAVATEURS</t>
        </is>
      </c>
      <c r="J611" s="77" t="inlineStr">
        <is>
          <t>ENGINS</t>
        </is>
      </c>
      <c r="K611" s="78">
        <f>D611+8</f>
        <v/>
      </c>
      <c r="L611" s="78">
        <f>K611+60</f>
        <v/>
      </c>
      <c r="M611" s="82" t="n"/>
      <c r="N611" s="83">
        <f>E611</f>
        <v/>
      </c>
      <c r="O611" s="84">
        <f>F611/E611*N611</f>
        <v/>
      </c>
      <c r="P611" s="83">
        <f>G611/E611*N611</f>
        <v/>
      </c>
      <c r="Q611" s="80" t="n"/>
      <c r="R611" s="80" t="n"/>
      <c r="S611" s="80" t="inlineStr">
        <is>
          <t>OF25320LDJD018</t>
        </is>
      </c>
      <c r="T611" s="86" t="n">
        <v>16</v>
      </c>
      <c r="U611" s="80" t="inlineStr">
        <is>
          <t>01 UNIT HYUNDAI HX340HD EXCAVATOR (VOIR BL)</t>
        </is>
      </c>
      <c r="V611" s="76" t="n"/>
      <c r="W611" s="76" t="n"/>
      <c r="X611" s="76" t="inlineStr">
        <is>
          <t>SOLDEE</t>
        </is>
      </c>
      <c r="Y611" s="116">
        <f>F611/E611</f>
        <v/>
      </c>
      <c r="Z611" s="30" t="n"/>
    </row>
    <row r="612" ht="18" customHeight="1" s="202">
      <c r="A612" s="76" t="n">
        <v>20260030</v>
      </c>
      <c r="B612" s="77" t="inlineStr">
        <is>
          <t>OCEAN FEATHER</t>
        </is>
      </c>
      <c r="C612" s="78" t="n">
        <v>46052</v>
      </c>
      <c r="D612" s="78" t="n">
        <v>46075</v>
      </c>
      <c r="E612" s="76" t="n">
        <v>1</v>
      </c>
      <c r="F612" s="76" t="n">
        <v>0</v>
      </c>
      <c r="G612" s="76" t="n">
        <v>3</v>
      </c>
      <c r="H612" s="80" t="inlineStr">
        <is>
          <t>SARL ALPHA CRISTO INDUSTRIAL</t>
        </is>
      </c>
      <c r="I612" s="80" t="inlineStr">
        <is>
          <t>COLIS</t>
        </is>
      </c>
      <c r="J612" s="77" t="inlineStr">
        <is>
          <t>COLIS</t>
        </is>
      </c>
      <c r="K612" s="78">
        <f>D612+8</f>
        <v/>
      </c>
      <c r="L612" s="78">
        <f>K612+60</f>
        <v/>
      </c>
      <c r="M612" s="82" t="n"/>
      <c r="N612" s="83">
        <f>E612</f>
        <v/>
      </c>
      <c r="O612" s="84">
        <f>F612/E612*N612</f>
        <v/>
      </c>
      <c r="P612" s="83">
        <f>G612/E612*N612</f>
        <v/>
      </c>
      <c r="Q612" s="80" t="n"/>
      <c r="R612" s="80" t="n"/>
      <c r="S612" s="80" t="inlineStr">
        <is>
          <t>OF25320LDJD018</t>
        </is>
      </c>
      <c r="T612" s="86" t="n">
        <v>16</v>
      </c>
      <c r="U612" s="80" t="n"/>
      <c r="V612" s="76" t="n"/>
      <c r="W612" s="76" t="n"/>
      <c r="X612" s="76" t="inlineStr">
        <is>
          <t>SOLDEE</t>
        </is>
      </c>
      <c r="Y612" s="116">
        <f>F612/E612</f>
        <v/>
      </c>
      <c r="Z612" s="30" t="n"/>
    </row>
    <row r="613" ht="18" customHeight="1" s="202">
      <c r="A613" s="106" t="n">
        <v>20260030</v>
      </c>
      <c r="B613" s="107" t="inlineStr">
        <is>
          <t>OCEAN FEATHER</t>
        </is>
      </c>
      <c r="C613" s="108" t="n">
        <v>46052</v>
      </c>
      <c r="D613" s="108" t="n">
        <v>46075</v>
      </c>
      <c r="E613" s="106" t="n">
        <v>2</v>
      </c>
      <c r="F613" s="106" t="n">
        <v>30</v>
      </c>
      <c r="G613" s="106" t="n">
        <v>48</v>
      </c>
      <c r="H613" s="109" t="inlineStr">
        <is>
          <t>SARL SIFOR SONDAGE FORAGE &amp; INJECTION</t>
        </is>
      </c>
      <c r="I613" s="109" t="inlineStr">
        <is>
          <t>CAMIONS</t>
        </is>
      </c>
      <c r="J613" s="107" t="inlineStr">
        <is>
          <t>LOURD</t>
        </is>
      </c>
      <c r="K613" s="108">
        <f>D613+8</f>
        <v/>
      </c>
      <c r="L613" s="108">
        <f>K613+60</f>
        <v/>
      </c>
      <c r="M613" s="111" t="n"/>
      <c r="N613" s="112">
        <f>E613-2</f>
        <v/>
      </c>
      <c r="O613" s="113">
        <f>F613/E613*N613</f>
        <v/>
      </c>
      <c r="P613" s="112">
        <f>G613/E613*N613</f>
        <v/>
      </c>
      <c r="Q613" s="109" t="n"/>
      <c r="R613" s="109" t="n"/>
      <c r="S613" s="109" t="inlineStr">
        <is>
          <t>OF25320LDJD020021041</t>
        </is>
      </c>
      <c r="T613" s="114" t="n">
        <v>17</v>
      </c>
      <c r="U613" s="109" t="inlineStr">
        <is>
          <t>01 UNIT SHACMAN SX3255JM384 6*4 DUMP TRUCK 01 UNIT SANY SR255-S ROTARY DRILLING RIG 01 UNIT JMC 4X2 2.5TON CARGO TRUCK ( VOIR BL)</t>
        </is>
      </c>
      <c r="V613" s="106" t="n"/>
      <c r="W613" s="106" t="n"/>
      <c r="X613" s="106" t="inlineStr">
        <is>
          <t>SOLDEE</t>
        </is>
      </c>
      <c r="Y613" s="116">
        <f>F613/E613</f>
        <v/>
      </c>
      <c r="Z613" s="64">
        <f>E613-N613</f>
        <v/>
      </c>
    </row>
    <row r="614" ht="18" customHeight="1" s="202">
      <c r="A614" s="106" t="n">
        <v>20260030</v>
      </c>
      <c r="B614" s="107" t="inlineStr">
        <is>
          <t>OCEAN FEATHER</t>
        </is>
      </c>
      <c r="C614" s="108" t="n">
        <v>46052</v>
      </c>
      <c r="D614" s="108" t="n">
        <v>46075</v>
      </c>
      <c r="E614" s="106" t="n">
        <v>1</v>
      </c>
      <c r="F614" s="106" t="n">
        <v>56.421</v>
      </c>
      <c r="G614" s="106" t="n">
        <v>40</v>
      </c>
      <c r="H614" s="109" t="inlineStr">
        <is>
          <t>SARL SIFOR SONDAGE FORAGE &amp; INJECTION</t>
        </is>
      </c>
      <c r="I614" s="109" t="inlineStr">
        <is>
          <t>MACHINE DE FORAGE</t>
        </is>
      </c>
      <c r="J614" s="107" t="inlineStr">
        <is>
          <t>ENGINS</t>
        </is>
      </c>
      <c r="K614" s="108">
        <f>D614+8</f>
        <v/>
      </c>
      <c r="L614" s="108">
        <f>K614+60</f>
        <v/>
      </c>
      <c r="M614" s="111" t="n"/>
      <c r="N614" s="112">
        <f>E614-1</f>
        <v/>
      </c>
      <c r="O614" s="113">
        <f>F614/E614*N614</f>
        <v/>
      </c>
      <c r="P614" s="112">
        <f>G614/E614*N614</f>
        <v/>
      </c>
      <c r="Q614" s="109" t="n"/>
      <c r="R614" s="109" t="n"/>
      <c r="S614" s="109" t="inlineStr">
        <is>
          <t>OF25320LDJD020021041</t>
        </is>
      </c>
      <c r="T614" s="114" t="n">
        <v>17</v>
      </c>
      <c r="U614" s="109" t="n"/>
      <c r="V614" s="106" t="n"/>
      <c r="W614" s="106" t="n"/>
      <c r="X614" s="106" t="inlineStr">
        <is>
          <t>SOLDEE</t>
        </is>
      </c>
      <c r="Y614" s="116">
        <f>F614/E614</f>
        <v/>
      </c>
      <c r="Z614" s="64">
        <f>E614-N614</f>
        <v/>
      </c>
    </row>
    <row r="615" ht="18" customHeight="1" s="202">
      <c r="A615" s="106" t="n">
        <v>20260030</v>
      </c>
      <c r="B615" s="107" t="inlineStr">
        <is>
          <t>OCEAN FEATHER</t>
        </is>
      </c>
      <c r="C615" s="108" t="n">
        <v>46052</v>
      </c>
      <c r="D615" s="108" t="n">
        <v>46075</v>
      </c>
      <c r="E615" s="106" t="n">
        <v>7</v>
      </c>
      <c r="F615" s="106" t="n">
        <v>0</v>
      </c>
      <c r="G615" s="106" t="n">
        <v>25</v>
      </c>
      <c r="H615" s="109" t="inlineStr">
        <is>
          <t>SARL SIFOR SONDAGE FORAGE &amp; INJECTION</t>
        </is>
      </c>
      <c r="I615" s="109" t="inlineStr">
        <is>
          <t>COLIS</t>
        </is>
      </c>
      <c r="J615" s="107" t="inlineStr">
        <is>
          <t>COLIS</t>
        </is>
      </c>
      <c r="K615" s="108">
        <f>D615+8</f>
        <v/>
      </c>
      <c r="L615" s="108">
        <f>K615+60</f>
        <v/>
      </c>
      <c r="M615" s="111" t="n"/>
      <c r="N615" s="112">
        <f>E615-7</f>
        <v/>
      </c>
      <c r="O615" s="113">
        <f>F615/E615*N615</f>
        <v/>
      </c>
      <c r="P615" s="112">
        <f>G615/E615*N615</f>
        <v/>
      </c>
      <c r="Q615" s="109" t="n"/>
      <c r="R615" s="109" t="n"/>
      <c r="S615" s="109" t="inlineStr">
        <is>
          <t>OF25320LDJD020021041</t>
        </is>
      </c>
      <c r="T615" s="114" t="n">
        <v>17</v>
      </c>
      <c r="U615" s="109" t="n"/>
      <c r="V615" s="106" t="n"/>
      <c r="W615" s="106" t="n"/>
      <c r="X615" s="106" t="inlineStr">
        <is>
          <t>SOLDEE</t>
        </is>
      </c>
      <c r="Y615" s="116">
        <f>F615/E615</f>
        <v/>
      </c>
      <c r="Z615" s="64">
        <f>E615-N615</f>
        <v/>
      </c>
    </row>
    <row r="616" ht="18" customHeight="1" s="202">
      <c r="A616" s="106" t="n">
        <v>20260030</v>
      </c>
      <c r="B616" s="107" t="inlineStr">
        <is>
          <t>OCEAN FEATHER</t>
        </is>
      </c>
      <c r="C616" s="108" t="n">
        <v>46052</v>
      </c>
      <c r="D616" s="108" t="n">
        <v>46075</v>
      </c>
      <c r="E616" s="106" t="n">
        <v>1</v>
      </c>
      <c r="F616" s="106" t="n">
        <v>59.17</v>
      </c>
      <c r="G616" s="106" t="n">
        <v>40</v>
      </c>
      <c r="H616" s="109" t="inlineStr">
        <is>
          <t>SARL SIFOR SONDAGE FORAGE &amp; INJECTION</t>
        </is>
      </c>
      <c r="I616" s="109" t="inlineStr">
        <is>
          <t>MACHINE DE FORAGE</t>
        </is>
      </c>
      <c r="J616" s="107" t="inlineStr">
        <is>
          <t>ENGINS</t>
        </is>
      </c>
      <c r="K616" s="108">
        <f>D616+8</f>
        <v/>
      </c>
      <c r="L616" s="108">
        <f>K616+60</f>
        <v/>
      </c>
      <c r="M616" s="111" t="n"/>
      <c r="N616" s="112">
        <f>E616-1</f>
        <v/>
      </c>
      <c r="O616" s="113">
        <f>F616/E616*N616</f>
        <v/>
      </c>
      <c r="P616" s="112">
        <f>G616/E616*N616</f>
        <v/>
      </c>
      <c r="Q616" s="109" t="n"/>
      <c r="R616" s="109" t="n"/>
      <c r="S616" s="109" t="inlineStr">
        <is>
          <t>OF25320LDJD042/060</t>
        </is>
      </c>
      <c r="T616" s="114" t="n">
        <v>28</v>
      </c>
      <c r="U616" s="109" t="inlineStr">
        <is>
          <t>01 UNIT SANY SR175L-S ROTARY DRILLING RIG DEUTZ ENGINE /CUMMINS ENGINE /SR255 ENGINE ( VOIR BL)</t>
        </is>
      </c>
      <c r="V616" s="106" t="n"/>
      <c r="W616" s="106" t="n"/>
      <c r="X616" s="106" t="inlineStr">
        <is>
          <t>SOLDEE</t>
        </is>
      </c>
      <c r="Y616" s="116">
        <f>F616/E616</f>
        <v/>
      </c>
      <c r="Z616" s="64">
        <f>E616-N616</f>
        <v/>
      </c>
    </row>
    <row r="617" ht="18" customHeight="1" s="202">
      <c r="A617" s="106" t="n">
        <v>20260030</v>
      </c>
      <c r="B617" s="107" t="inlineStr">
        <is>
          <t>OCEAN FEATHER</t>
        </is>
      </c>
      <c r="C617" s="108" t="n">
        <v>46052</v>
      </c>
      <c r="D617" s="108" t="n">
        <v>46075</v>
      </c>
      <c r="E617" s="106" t="n">
        <v>9</v>
      </c>
      <c r="F617" s="106" t="n">
        <v>0</v>
      </c>
      <c r="G617" s="106" t="n">
        <v>30</v>
      </c>
      <c r="H617" s="109" t="inlineStr">
        <is>
          <t>SARL SIFOR SONDAGE FORAGE &amp; INJECTION</t>
        </is>
      </c>
      <c r="I617" s="109" t="inlineStr">
        <is>
          <t>COLIS</t>
        </is>
      </c>
      <c r="J617" s="107" t="inlineStr">
        <is>
          <t>COLIS</t>
        </is>
      </c>
      <c r="K617" s="108">
        <f>D617+8</f>
        <v/>
      </c>
      <c r="L617" s="108">
        <f>K617+60</f>
        <v/>
      </c>
      <c r="M617" s="111" t="n"/>
      <c r="N617" s="112">
        <f>E617-9</f>
        <v/>
      </c>
      <c r="O617" s="113">
        <f>F617/E617*N617</f>
        <v/>
      </c>
      <c r="P617" s="112">
        <f>G617/E617*N617</f>
        <v/>
      </c>
      <c r="Q617" s="109" t="n"/>
      <c r="R617" s="109" t="n"/>
      <c r="S617" s="109" t="inlineStr">
        <is>
          <t>OF25320LDJD042/060</t>
        </is>
      </c>
      <c r="T617" s="114" t="n">
        <v>28</v>
      </c>
      <c r="U617" s="109" t="n"/>
      <c r="V617" s="106" t="n"/>
      <c r="W617" s="106" t="n"/>
      <c r="X617" s="106" t="inlineStr">
        <is>
          <t>SOLDEE</t>
        </is>
      </c>
      <c r="Y617" s="116">
        <f>F617/E617</f>
        <v/>
      </c>
      <c r="Z617" s="64">
        <f>E617-N617</f>
        <v/>
      </c>
    </row>
    <row r="618" ht="18" customHeight="1" s="202">
      <c r="A618" s="116" t="n">
        <v>20260030</v>
      </c>
      <c r="B618" s="117" t="inlineStr">
        <is>
          <t>OCEAN FEATHER</t>
        </is>
      </c>
      <c r="C618" s="118" t="n">
        <v>46052</v>
      </c>
      <c r="D618" s="118" t="n">
        <v>46075</v>
      </c>
      <c r="E618" s="67" t="n">
        <v>1</v>
      </c>
      <c r="F618" s="119" t="n">
        <v>10</v>
      </c>
      <c r="G618" s="120" t="n">
        <v>24</v>
      </c>
      <c r="H618" s="121" t="inlineStr">
        <is>
          <t>EURL HAMMADI PREST</t>
        </is>
      </c>
      <c r="I618" s="121" t="inlineStr">
        <is>
          <t>CHARGEURS</t>
        </is>
      </c>
      <c r="J618" s="117" t="inlineStr">
        <is>
          <t>ENGINS</t>
        </is>
      </c>
      <c r="K618" s="48">
        <f>D618+8</f>
        <v/>
      </c>
      <c r="L618" s="48">
        <f>K618+60</f>
        <v/>
      </c>
      <c r="M618" s="71" t="n"/>
      <c r="N618" s="72">
        <f>E618</f>
        <v/>
      </c>
      <c r="O618" s="50">
        <f>F618/E618*N618</f>
        <v/>
      </c>
      <c r="P618" s="273">
        <f>G618/E618*N618</f>
        <v/>
      </c>
      <c r="Q618" s="224" t="n"/>
      <c r="R618" s="58" t="n"/>
      <c r="S618" s="200" t="inlineStr">
        <is>
          <t>OF25320LDJD023</t>
        </is>
      </c>
      <c r="T618" s="201" t="n">
        <v>19</v>
      </c>
      <c r="U618" s="58" t="inlineStr">
        <is>
          <t>01 UNIT XC948 WHEEL LOADER 01 UNIT SINOTRUK HOWO TX 280HP 4X2 FLAT BED TRUCK O1 UNIT CPCD50 ROUGH TERRAIN FORKLIFT ( VOIR BL)</t>
        </is>
      </c>
      <c r="V618" s="67" t="n"/>
      <c r="W618" s="67" t="n"/>
      <c r="X618" s="62" t="inlineStr">
        <is>
          <t>N-OP</t>
        </is>
      </c>
      <c r="Y618" s="116">
        <f>F618/E618</f>
        <v/>
      </c>
      <c r="Z618" s="64">
        <f>E618-N618</f>
        <v/>
      </c>
    </row>
    <row r="619" ht="18" customHeight="1" s="202">
      <c r="A619" s="116" t="n">
        <v>20260030</v>
      </c>
      <c r="B619" s="117" t="inlineStr">
        <is>
          <t>OCEAN FEATHER</t>
        </is>
      </c>
      <c r="C619" s="118" t="n">
        <v>46052</v>
      </c>
      <c r="D619" s="118" t="n">
        <v>46075</v>
      </c>
      <c r="E619" s="67" t="n">
        <v>1</v>
      </c>
      <c r="F619" s="119" t="n">
        <v>10</v>
      </c>
      <c r="G619" s="120" t="n">
        <v>24</v>
      </c>
      <c r="H619" s="121" t="inlineStr">
        <is>
          <t>EURL HAMMADI PREST</t>
        </is>
      </c>
      <c r="I619" s="121" t="inlineStr">
        <is>
          <t>CAMIONS</t>
        </is>
      </c>
      <c r="J619" s="117" t="inlineStr">
        <is>
          <t>LOURD</t>
        </is>
      </c>
      <c r="K619" s="48">
        <f>D619+8</f>
        <v/>
      </c>
      <c r="L619" s="48">
        <f>K619+60</f>
        <v/>
      </c>
      <c r="M619" s="71" t="n"/>
      <c r="N619" s="72">
        <f>E619</f>
        <v/>
      </c>
      <c r="O619" s="50">
        <f>F619/E619*N619</f>
        <v/>
      </c>
      <c r="P619" s="273">
        <f>G619/E619*N619</f>
        <v/>
      </c>
      <c r="Q619" s="224" t="n"/>
      <c r="R619" s="58" t="n"/>
      <c r="S619" s="200" t="inlineStr">
        <is>
          <t>OF25320LDJD023</t>
        </is>
      </c>
      <c r="T619" s="201" t="n">
        <v>19</v>
      </c>
      <c r="U619" s="58" t="n"/>
      <c r="V619" s="67" t="n"/>
      <c r="W619" s="67" t="n"/>
      <c r="X619" s="62" t="inlineStr">
        <is>
          <t>N-OP</t>
        </is>
      </c>
      <c r="Y619" s="116">
        <f>F619/E619</f>
        <v/>
      </c>
      <c r="Z619" s="64">
        <f>E619-N619</f>
        <v/>
      </c>
    </row>
    <row r="620" ht="18" customHeight="1" s="202">
      <c r="A620" s="116" t="n">
        <v>20260030</v>
      </c>
      <c r="B620" s="117" t="inlineStr">
        <is>
          <t>OCEAN FEATHER</t>
        </is>
      </c>
      <c r="C620" s="118" t="n">
        <v>46052</v>
      </c>
      <c r="D620" s="118" t="n">
        <v>46075</v>
      </c>
      <c r="E620" s="67" t="n">
        <v>1</v>
      </c>
      <c r="F620" s="119" t="n">
        <v>9.4</v>
      </c>
      <c r="G620" s="120" t="n">
        <v>24</v>
      </c>
      <c r="H620" s="121" t="inlineStr">
        <is>
          <t>EURL HAMMADI PREST</t>
        </is>
      </c>
      <c r="I620" s="121" t="inlineStr">
        <is>
          <t>CHARIOT ELEVATEUR</t>
        </is>
      </c>
      <c r="J620" s="117" t="inlineStr">
        <is>
          <t>ENGINS</t>
        </is>
      </c>
      <c r="K620" s="48">
        <f>D620+8</f>
        <v/>
      </c>
      <c r="L620" s="48">
        <f>K620+60</f>
        <v/>
      </c>
      <c r="M620" s="71" t="n"/>
      <c r="N620" s="72">
        <f>E620</f>
        <v/>
      </c>
      <c r="O620" s="50">
        <f>F620/E620*N620</f>
        <v/>
      </c>
      <c r="P620" s="273">
        <f>G620/E620*N620</f>
        <v/>
      </c>
      <c r="Q620" s="224" t="n"/>
      <c r="R620" s="58" t="n"/>
      <c r="S620" s="200" t="inlineStr">
        <is>
          <t>OF25320LDJD023</t>
        </is>
      </c>
      <c r="T620" s="201" t="n">
        <v>19</v>
      </c>
      <c r="U620" s="58" t="n"/>
      <c r="V620" s="67" t="n"/>
      <c r="W620" s="67" t="n"/>
      <c r="X620" s="62" t="inlineStr">
        <is>
          <t>N-OP</t>
        </is>
      </c>
      <c r="Y620" s="116">
        <f>F620/E620</f>
        <v/>
      </c>
      <c r="Z620" s="64">
        <f>E620-N620</f>
        <v/>
      </c>
    </row>
    <row r="621" ht="18" customHeight="1" s="202">
      <c r="A621" s="116" t="n">
        <v>20260030</v>
      </c>
      <c r="B621" s="117" t="inlineStr">
        <is>
          <t>OCEAN FEATHER</t>
        </is>
      </c>
      <c r="C621" s="118" t="n">
        <v>46052</v>
      </c>
      <c r="D621" s="118" t="n">
        <v>46075</v>
      </c>
      <c r="E621" s="67" t="n">
        <v>2</v>
      </c>
      <c r="F621" s="119" t="n">
        <v>0</v>
      </c>
      <c r="G621" s="120" t="n">
        <v>6</v>
      </c>
      <c r="H621" s="121" t="inlineStr">
        <is>
          <t>EURL HAMMADI PREST</t>
        </is>
      </c>
      <c r="I621" s="121" t="inlineStr">
        <is>
          <t>COLIS</t>
        </is>
      </c>
      <c r="J621" s="117" t="inlineStr">
        <is>
          <t>COLIS</t>
        </is>
      </c>
      <c r="K621" s="48">
        <f>D621+8</f>
        <v/>
      </c>
      <c r="L621" s="48">
        <f>K621+60</f>
        <v/>
      </c>
      <c r="M621" s="71" t="n"/>
      <c r="N621" s="72">
        <f>E621</f>
        <v/>
      </c>
      <c r="O621" s="50">
        <f>F621/E621*N621</f>
        <v/>
      </c>
      <c r="P621" s="273">
        <f>G621/E621*N621</f>
        <v/>
      </c>
      <c r="Q621" s="224" t="n"/>
      <c r="R621" s="58" t="n"/>
      <c r="S621" s="200" t="inlineStr">
        <is>
          <t>OF25320LDJD023</t>
        </is>
      </c>
      <c r="T621" s="201" t="n">
        <v>19</v>
      </c>
      <c r="U621" s="58" t="n"/>
      <c r="V621" s="67" t="n"/>
      <c r="W621" s="67" t="n"/>
      <c r="X621" s="62" t="inlineStr">
        <is>
          <t>N-OP</t>
        </is>
      </c>
      <c r="Y621" s="116">
        <f>F621/E621</f>
        <v/>
      </c>
      <c r="Z621" s="64">
        <f>E621-N621</f>
        <v/>
      </c>
    </row>
    <row r="622" ht="18" customHeight="1" s="202">
      <c r="A622" s="106" t="n">
        <v>20260030</v>
      </c>
      <c r="B622" s="107" t="inlineStr">
        <is>
          <t>OCEAN FEATHER</t>
        </is>
      </c>
      <c r="C622" s="108" t="n">
        <v>46052</v>
      </c>
      <c r="D622" s="108" t="n">
        <v>46075</v>
      </c>
      <c r="E622" s="106" t="n">
        <v>1</v>
      </c>
      <c r="F622" s="106" t="n">
        <v>36.3</v>
      </c>
      <c r="G622" s="106" t="n">
        <v>24</v>
      </c>
      <c r="H622" s="109" t="inlineStr">
        <is>
          <t>SARL AMIRAL TRAVAUX</t>
        </is>
      </c>
      <c r="I622" s="109" t="inlineStr">
        <is>
          <t>EXCAVATEURS</t>
        </is>
      </c>
      <c r="J622" s="107" t="inlineStr">
        <is>
          <t>ENGINS</t>
        </is>
      </c>
      <c r="K622" s="108">
        <f>D622+8</f>
        <v/>
      </c>
      <c r="L622" s="108">
        <f>K622+60</f>
        <v/>
      </c>
      <c r="M622" s="111" t="n"/>
      <c r="N622" s="112">
        <f>E622-1</f>
        <v/>
      </c>
      <c r="O622" s="113">
        <f>F622/E622*N622</f>
        <v/>
      </c>
      <c r="P622" s="112">
        <f>G622/E622*N622</f>
        <v/>
      </c>
      <c r="Q622" s="109" t="n"/>
      <c r="R622" s="109" t="n"/>
      <c r="S622" s="109" t="inlineStr">
        <is>
          <t>OF25320LDJD025</t>
        </is>
      </c>
      <c r="T622" s="114" t="n">
        <v>21</v>
      </c>
      <c r="U622" s="109" t="inlineStr">
        <is>
          <t>01 UNIT DEVELON CRAWLER EXCAVATOR DX360LCA-7B ( VOIR BL)</t>
        </is>
      </c>
      <c r="V622" s="106" t="n"/>
      <c r="W622" s="106" t="n"/>
      <c r="X622" s="106" t="inlineStr">
        <is>
          <t>SOLDEE</t>
        </is>
      </c>
      <c r="Y622" s="116">
        <f>F622/E622</f>
        <v/>
      </c>
      <c r="Z622" s="30" t="n"/>
    </row>
    <row r="623" ht="18" customHeight="1" s="202">
      <c r="A623" s="106" t="n">
        <v>20260030</v>
      </c>
      <c r="B623" s="107" t="inlineStr">
        <is>
          <t>OCEAN FEATHER</t>
        </is>
      </c>
      <c r="C623" s="108" t="n">
        <v>46052</v>
      </c>
      <c r="D623" s="108" t="n">
        <v>46075</v>
      </c>
      <c r="E623" s="106" t="n">
        <v>2</v>
      </c>
      <c r="F623" s="106" t="n">
        <v>0</v>
      </c>
      <c r="G623" s="106" t="n">
        <v>6</v>
      </c>
      <c r="H623" s="109" t="inlineStr">
        <is>
          <t>SARL AMIRAL TRAVAUX</t>
        </is>
      </c>
      <c r="I623" s="109" t="inlineStr">
        <is>
          <t>COLIS</t>
        </is>
      </c>
      <c r="J623" s="107" t="inlineStr">
        <is>
          <t>COLIS</t>
        </is>
      </c>
      <c r="K623" s="108">
        <f>D623+8</f>
        <v/>
      </c>
      <c r="L623" s="108">
        <f>K623+60</f>
        <v/>
      </c>
      <c r="M623" s="111" t="n"/>
      <c r="N623" s="112">
        <f>E623-2</f>
        <v/>
      </c>
      <c r="O623" s="113">
        <f>F623/E623*N623</f>
        <v/>
      </c>
      <c r="P623" s="112">
        <f>G623/E623*N623</f>
        <v/>
      </c>
      <c r="Q623" s="109" t="n"/>
      <c r="R623" s="109" t="n"/>
      <c r="S623" s="109" t="inlineStr">
        <is>
          <t>OF25320LDJD025</t>
        </is>
      </c>
      <c r="T623" s="114" t="n">
        <v>21</v>
      </c>
      <c r="U623" s="109" t="n"/>
      <c r="V623" s="106" t="n"/>
      <c r="W623" s="106" t="n"/>
      <c r="X623" s="106" t="inlineStr">
        <is>
          <t>SOLDEE</t>
        </is>
      </c>
      <c r="Y623" s="116">
        <f>F623/E623</f>
        <v/>
      </c>
      <c r="Z623" s="30" t="n"/>
    </row>
    <row r="624" ht="18" customHeight="1" s="202">
      <c r="A624" s="106" t="n">
        <v>20260030</v>
      </c>
      <c r="B624" s="107" t="inlineStr">
        <is>
          <t>OCEAN FEATHER</t>
        </is>
      </c>
      <c r="C624" s="108" t="n">
        <v>46052</v>
      </c>
      <c r="D624" s="108" t="n">
        <v>46075</v>
      </c>
      <c r="E624" s="106" t="n">
        <v>1</v>
      </c>
      <c r="F624" s="106" t="n">
        <v>20.3</v>
      </c>
      <c r="G624" s="106" t="n">
        <v>24</v>
      </c>
      <c r="H624" s="109" t="inlineStr">
        <is>
          <t>EURL ENTREPRISE GHERBI ELHADI SERVICES</t>
        </is>
      </c>
      <c r="I624" s="109" t="inlineStr">
        <is>
          <t>COMPACTEURS</t>
        </is>
      </c>
      <c r="J624" s="107" t="inlineStr">
        <is>
          <t>ENGINS</t>
        </is>
      </c>
      <c r="K624" s="108">
        <f>D624+8</f>
        <v/>
      </c>
      <c r="L624" s="108">
        <f>K624+60</f>
        <v/>
      </c>
      <c r="M624" s="111" t="n"/>
      <c r="N624" s="112">
        <f>E624-1</f>
        <v/>
      </c>
      <c r="O624" s="113">
        <f>F624/E624*N624</f>
        <v/>
      </c>
      <c r="P624" s="112">
        <f>G624/E624*N624</f>
        <v/>
      </c>
      <c r="Q624" s="109" t="n"/>
      <c r="R624" s="109" t="n"/>
      <c r="S624" s="109" t="inlineStr">
        <is>
          <t>OF25320LDJD026</t>
        </is>
      </c>
      <c r="T624" s="114" t="n">
        <v>22</v>
      </c>
      <c r="U624" s="109" t="inlineStr">
        <is>
          <t>01 UNIT XCMG COMPACTOR XP203S ONTYRE ( VOIR BL)</t>
        </is>
      </c>
      <c r="V624" s="106" t="n"/>
      <c r="W624" s="106" t="n"/>
      <c r="X624" s="106" t="inlineStr">
        <is>
          <t>SOLDEE</t>
        </is>
      </c>
      <c r="Y624" s="116">
        <f>F624/E624</f>
        <v/>
      </c>
      <c r="Z624" s="30" t="n"/>
    </row>
    <row r="625" ht="18" customHeight="1" s="202">
      <c r="A625" s="106" t="n">
        <v>20260030</v>
      </c>
      <c r="B625" s="107" t="inlineStr">
        <is>
          <t>OCEAN FEATHER</t>
        </is>
      </c>
      <c r="C625" s="108" t="n">
        <v>46052</v>
      </c>
      <c r="D625" s="108" t="n">
        <v>46075</v>
      </c>
      <c r="E625" s="106" t="n">
        <v>1</v>
      </c>
      <c r="F625" s="106" t="n">
        <v>36.3</v>
      </c>
      <c r="G625" s="106" t="n">
        <v>24</v>
      </c>
      <c r="H625" s="109" t="inlineStr">
        <is>
          <t>SARL SAFI SERVICE GENERAL</t>
        </is>
      </c>
      <c r="I625" s="109" t="inlineStr">
        <is>
          <t>EXCAVATEURS</t>
        </is>
      </c>
      <c r="J625" s="107" t="inlineStr">
        <is>
          <t>ENGINS</t>
        </is>
      </c>
      <c r="K625" s="108">
        <f>D625+8</f>
        <v/>
      </c>
      <c r="L625" s="108">
        <f>K625+60</f>
        <v/>
      </c>
      <c r="M625" s="111" t="n"/>
      <c r="N625" s="112">
        <f>E625-1</f>
        <v/>
      </c>
      <c r="O625" s="113">
        <f>F625/E625*N625</f>
        <v/>
      </c>
      <c r="P625" s="112">
        <f>G625/E625*N625</f>
        <v/>
      </c>
      <c r="Q625" s="109" t="n"/>
      <c r="R625" s="109" t="n"/>
      <c r="S625" s="109" t="inlineStr">
        <is>
          <t>OF25320LDJD028</t>
        </is>
      </c>
      <c r="T625" s="114" t="n">
        <v>23</v>
      </c>
      <c r="U625" s="109" t="inlineStr">
        <is>
          <t>01 UNIT DEVELON CRAWLER EXCAVATOR DX360LCA-7B ( VOIR BL)</t>
        </is>
      </c>
      <c r="V625" s="106" t="n"/>
      <c r="W625" s="106" t="n"/>
      <c r="X625" s="106" t="inlineStr">
        <is>
          <t>SOLDEE</t>
        </is>
      </c>
      <c r="Y625" s="116">
        <f>F625/E625</f>
        <v/>
      </c>
      <c r="Z625" s="30" t="n"/>
    </row>
    <row r="626" ht="18" customHeight="1" s="202">
      <c r="A626" s="106" t="n">
        <v>20260030</v>
      </c>
      <c r="B626" s="107" t="inlineStr">
        <is>
          <t>OCEAN FEATHER</t>
        </is>
      </c>
      <c r="C626" s="108" t="n">
        <v>46052</v>
      </c>
      <c r="D626" s="108" t="n">
        <v>46075</v>
      </c>
      <c r="E626" s="106" t="n">
        <v>2</v>
      </c>
      <c r="F626" s="106" t="n">
        <v>0</v>
      </c>
      <c r="G626" s="106" t="n">
        <v>6</v>
      </c>
      <c r="H626" s="109" t="inlineStr">
        <is>
          <t>SARL SAFI SERVICE GENERAL</t>
        </is>
      </c>
      <c r="I626" s="109" t="inlineStr">
        <is>
          <t>COLIS</t>
        </is>
      </c>
      <c r="J626" s="107" t="inlineStr">
        <is>
          <t>COLIS</t>
        </is>
      </c>
      <c r="K626" s="108">
        <f>D626+8</f>
        <v/>
      </c>
      <c r="L626" s="108">
        <f>K626+60</f>
        <v/>
      </c>
      <c r="M626" s="111" t="n"/>
      <c r="N626" s="112">
        <f>E626-2</f>
        <v/>
      </c>
      <c r="O626" s="113">
        <f>F626/E626*N626</f>
        <v/>
      </c>
      <c r="P626" s="112">
        <f>G626/E626*N626</f>
        <v/>
      </c>
      <c r="Q626" s="109" t="n"/>
      <c r="R626" s="109" t="n"/>
      <c r="S626" s="109" t="inlineStr">
        <is>
          <t>OF25320LDJD028</t>
        </is>
      </c>
      <c r="T626" s="114" t="n">
        <v>23</v>
      </c>
      <c r="U626" s="109" t="n"/>
      <c r="V626" s="106" t="n"/>
      <c r="W626" s="106" t="n"/>
      <c r="X626" s="106" t="inlineStr">
        <is>
          <t>SOLDEE</t>
        </is>
      </c>
      <c r="Y626" s="116">
        <f>F626/E626</f>
        <v/>
      </c>
      <c r="Z626" s="30" t="n"/>
    </row>
    <row r="627" ht="18" customHeight="1" s="202">
      <c r="A627" s="106" t="n">
        <v>20260030</v>
      </c>
      <c r="B627" s="107" t="inlineStr">
        <is>
          <t>OCEAN FEATHER</t>
        </is>
      </c>
      <c r="C627" s="108" t="n">
        <v>46052</v>
      </c>
      <c r="D627" s="108" t="n">
        <v>46075</v>
      </c>
      <c r="E627" s="106" t="n">
        <v>1</v>
      </c>
      <c r="F627" s="106" t="n">
        <v>12.33</v>
      </c>
      <c r="G627" s="106" t="n">
        <v>24</v>
      </c>
      <c r="H627" s="109" t="inlineStr">
        <is>
          <t>LMOUACI MADJID</t>
        </is>
      </c>
      <c r="I627" s="109" t="inlineStr">
        <is>
          <t>CAMIONS</t>
        </is>
      </c>
      <c r="J627" s="107" t="inlineStr">
        <is>
          <t>LOURD</t>
        </is>
      </c>
      <c r="K627" s="108">
        <f>D627+8</f>
        <v/>
      </c>
      <c r="L627" s="108">
        <f>K627+60</f>
        <v/>
      </c>
      <c r="M627" s="111" t="n"/>
      <c r="N627" s="112">
        <f>E627-1</f>
        <v/>
      </c>
      <c r="O627" s="113">
        <f>F627/E627*N627</f>
        <v/>
      </c>
      <c r="P627" s="112">
        <f>G627/E627*N627</f>
        <v/>
      </c>
      <c r="Q627" s="109" t="n"/>
      <c r="R627" s="109" t="n"/>
      <c r="S627" s="109" t="inlineStr">
        <is>
          <t>OF25320LDJD029</t>
        </is>
      </c>
      <c r="T627" s="114" t="n">
        <v>24</v>
      </c>
      <c r="U627" s="109" t="inlineStr">
        <is>
          <t>01 UNIT SHACMAN F2000 6*4 DUMP TRUCK ( VOIR BL)</t>
        </is>
      </c>
      <c r="V627" s="106" t="n"/>
      <c r="W627" s="106" t="n"/>
      <c r="X627" s="106" t="inlineStr">
        <is>
          <t>SOLDEE</t>
        </is>
      </c>
      <c r="Y627" s="116">
        <f>F627/E627</f>
        <v/>
      </c>
      <c r="Z627" s="30" t="n"/>
    </row>
    <row r="628" ht="18" customHeight="1" s="202">
      <c r="A628" s="106" t="n">
        <v>20260030</v>
      </c>
      <c r="B628" s="107" t="inlineStr">
        <is>
          <t>OCEAN FEATHER</t>
        </is>
      </c>
      <c r="C628" s="108" t="n">
        <v>46052</v>
      </c>
      <c r="D628" s="108" t="n">
        <v>46075</v>
      </c>
      <c r="E628" s="106" t="n">
        <v>1</v>
      </c>
      <c r="F628" s="106" t="n">
        <v>12.33</v>
      </c>
      <c r="G628" s="106" t="n">
        <v>24</v>
      </c>
      <c r="H628" s="109" t="inlineStr">
        <is>
          <t>LAGRA ISMAIL BEN ABDELMADJID</t>
        </is>
      </c>
      <c r="I628" s="109" t="inlineStr">
        <is>
          <t>CAMIONS</t>
        </is>
      </c>
      <c r="J628" s="107" t="inlineStr">
        <is>
          <t>LOURD</t>
        </is>
      </c>
      <c r="K628" s="108">
        <f>D628+8</f>
        <v/>
      </c>
      <c r="L628" s="108">
        <f>K628+60</f>
        <v/>
      </c>
      <c r="M628" s="111" t="n"/>
      <c r="N628" s="112">
        <f>E628-1</f>
        <v/>
      </c>
      <c r="O628" s="113">
        <f>F628/E628*N628</f>
        <v/>
      </c>
      <c r="P628" s="112">
        <f>G628/E628*N628</f>
        <v/>
      </c>
      <c r="Q628" s="109" t="n"/>
      <c r="R628" s="109" t="n"/>
      <c r="S628" s="109" t="inlineStr">
        <is>
          <t>OF25320LDJD032</t>
        </is>
      </c>
      <c r="T628" s="114" t="n">
        <v>25</v>
      </c>
      <c r="U628" s="109" t="inlineStr">
        <is>
          <t>01 UNIT SHACMAN F2000 6×4 DUMP TRUCK ( VOIR BL)</t>
        </is>
      </c>
      <c r="V628" s="106" t="n"/>
      <c r="W628" s="106" t="n"/>
      <c r="X628" s="106" t="inlineStr">
        <is>
          <t>SOLDEE</t>
        </is>
      </c>
      <c r="Y628" s="116">
        <f>F628/E628</f>
        <v/>
      </c>
      <c r="Z628" s="30" t="n"/>
    </row>
    <row r="629" ht="18" customHeight="1" s="202">
      <c r="A629" s="116" t="n">
        <v>20260030</v>
      </c>
      <c r="B629" s="117" t="inlineStr">
        <is>
          <t>OCEAN FEATHER</t>
        </is>
      </c>
      <c r="C629" s="118" t="n">
        <v>46052</v>
      </c>
      <c r="D629" s="118" t="n">
        <v>46075</v>
      </c>
      <c r="E629" s="67" t="n">
        <v>1</v>
      </c>
      <c r="F629" s="119" t="n">
        <v>13.165</v>
      </c>
      <c r="G629" s="120" t="n">
        <v>24</v>
      </c>
      <c r="H629" s="121" t="inlineStr">
        <is>
          <t>EURL SALDAE BUILDING</t>
        </is>
      </c>
      <c r="I629" s="121" t="inlineStr">
        <is>
          <t>CAMIONS</t>
        </is>
      </c>
      <c r="J629" s="117" t="inlineStr">
        <is>
          <t>LOURD</t>
        </is>
      </c>
      <c r="K629" s="48">
        <f>D629+8</f>
        <v/>
      </c>
      <c r="L629" s="48">
        <f>K629+60</f>
        <v/>
      </c>
      <c r="M629" s="71" t="n"/>
      <c r="N629" s="72">
        <f>E629</f>
        <v/>
      </c>
      <c r="O629" s="50">
        <f>F629/E629*N629</f>
        <v/>
      </c>
      <c r="P629" s="273">
        <f>G629/E629*N629</f>
        <v/>
      </c>
      <c r="Q629" s="224" t="n"/>
      <c r="R629" s="58" t="n"/>
      <c r="S629" s="200" t="inlineStr">
        <is>
          <t>OF25320LDJD033</t>
        </is>
      </c>
      <c r="T629" s="201" t="n">
        <v>26</v>
      </c>
      <c r="U629" s="58" t="inlineStr">
        <is>
          <t>01 UNIT SHACMAN F2000 DUMP TRUCK 01 UNIT LUTONG LTS214H ROAD ROLLER ( VOIR BL)</t>
        </is>
      </c>
      <c r="V629" s="67" t="n"/>
      <c r="W629" s="67" t="n"/>
      <c r="X629" s="62" t="inlineStr">
        <is>
          <t>N-OP</t>
        </is>
      </c>
      <c r="Y629" s="116">
        <f>F629/E629</f>
        <v/>
      </c>
      <c r="Z629" s="64">
        <f>E629-N629</f>
        <v/>
      </c>
    </row>
    <row r="630" ht="18" customHeight="1" s="202">
      <c r="A630" s="116" t="n">
        <v>20260030</v>
      </c>
      <c r="B630" s="117" t="inlineStr">
        <is>
          <t>OCEAN FEATHER</t>
        </is>
      </c>
      <c r="C630" s="118" t="n">
        <v>46052</v>
      </c>
      <c r="D630" s="118" t="n">
        <v>46075</v>
      </c>
      <c r="E630" s="67" t="n">
        <v>1</v>
      </c>
      <c r="F630" s="119" t="n">
        <v>13.165</v>
      </c>
      <c r="G630" s="120" t="n">
        <v>24</v>
      </c>
      <c r="H630" s="121" t="inlineStr">
        <is>
          <t>EURL SALDAE BUILDING</t>
        </is>
      </c>
      <c r="I630" s="121" t="inlineStr">
        <is>
          <t>COMPACTEURS</t>
        </is>
      </c>
      <c r="J630" s="117" t="inlineStr">
        <is>
          <t>ENGINS</t>
        </is>
      </c>
      <c r="K630" s="48">
        <f>D630+8</f>
        <v/>
      </c>
      <c r="L630" s="48">
        <f>K630+60</f>
        <v/>
      </c>
      <c r="M630" s="71" t="n"/>
      <c r="N630" s="72">
        <f>E630</f>
        <v/>
      </c>
      <c r="O630" s="50">
        <f>F630/E630*N630</f>
        <v/>
      </c>
      <c r="P630" s="273">
        <f>G630/E630*N630</f>
        <v/>
      </c>
      <c r="Q630" s="224" t="n"/>
      <c r="R630" s="58" t="n"/>
      <c r="S630" s="200" t="inlineStr">
        <is>
          <t>OF25320LDJD033</t>
        </is>
      </c>
      <c r="T630" s="201" t="n">
        <v>26</v>
      </c>
      <c r="U630" s="58" t="n"/>
      <c r="V630" s="67" t="n"/>
      <c r="W630" s="67" t="n"/>
      <c r="X630" s="62" t="inlineStr">
        <is>
          <t>N-OP</t>
        </is>
      </c>
      <c r="Y630" s="116">
        <f>F630/E630</f>
        <v/>
      </c>
      <c r="Z630" s="64">
        <f>E630-N630</f>
        <v/>
      </c>
    </row>
    <row r="631" ht="18" customHeight="1" s="202">
      <c r="A631" s="206" t="n">
        <v>20260030</v>
      </c>
      <c r="B631" s="207" t="inlineStr">
        <is>
          <t>OCEAN FEATHER</t>
        </is>
      </c>
      <c r="C631" s="208" t="n">
        <v>46052</v>
      </c>
      <c r="D631" s="208" t="n">
        <v>46075</v>
      </c>
      <c r="E631" s="209" t="n">
        <v>7</v>
      </c>
      <c r="F631" s="210" t="n">
        <v>414.68</v>
      </c>
      <c r="G631" s="211" t="n">
        <v>420</v>
      </c>
      <c r="H631" s="212" t="inlineStr">
        <is>
          <t>TASSILI SPA</t>
        </is>
      </c>
      <c r="I631" s="212" t="inlineStr">
        <is>
          <t>CAMION GRUE</t>
        </is>
      </c>
      <c r="J631" s="207" t="inlineStr">
        <is>
          <t>ENGINS</t>
        </is>
      </c>
      <c r="K631" s="213">
        <f>D631+8</f>
        <v/>
      </c>
      <c r="L631" s="213">
        <f>K631+60</f>
        <v/>
      </c>
      <c r="M631" s="214" t="n"/>
      <c r="N631" s="215">
        <f>E631-1-1-2</f>
        <v/>
      </c>
      <c r="O631" s="216">
        <f>F631/E631*N631</f>
        <v/>
      </c>
      <c r="P631" s="218">
        <f>G631/E631*N631</f>
        <v/>
      </c>
      <c r="Q631" s="224" t="n"/>
      <c r="R631" s="58" t="n"/>
      <c r="S631" s="200" t="inlineStr">
        <is>
          <t>OF25320LDJD034-040</t>
        </is>
      </c>
      <c r="T631" s="201" t="n">
        <v>27</v>
      </c>
      <c r="U631" s="58" t="inlineStr">
        <is>
          <t>03 UNITS GRUE AT SANY SAC800C7-8 80 T 03 UNITS GRUE SUR CAMION STC1100T6 SANY 110 T 01 UNIT CAMION-GRUE XCMG QY50KD 50 T ( VOIR BL)</t>
        </is>
      </c>
      <c r="V631" s="67" t="n"/>
      <c r="W631" s="67" t="n"/>
      <c r="X631" s="182" t="inlineStr">
        <is>
          <t>OPER</t>
        </is>
      </c>
      <c r="Y631" s="116">
        <f>F631/E631</f>
        <v/>
      </c>
      <c r="Z631" s="64">
        <f>E631-N631</f>
        <v/>
      </c>
    </row>
    <row r="632" ht="18" customHeight="1" s="202">
      <c r="A632" s="116" t="n">
        <v>20260030</v>
      </c>
      <c r="B632" s="117" t="inlineStr">
        <is>
          <t>OCEAN FEATHER</t>
        </is>
      </c>
      <c r="C632" s="118" t="n">
        <v>46052</v>
      </c>
      <c r="D632" s="118" t="n">
        <v>46075</v>
      </c>
      <c r="E632" s="67" t="n">
        <v>21</v>
      </c>
      <c r="F632" s="119" t="n">
        <v>0</v>
      </c>
      <c r="G632" s="120" t="n">
        <v>65</v>
      </c>
      <c r="H632" s="121" t="inlineStr">
        <is>
          <t>TASSILI SPA</t>
        </is>
      </c>
      <c r="I632" s="121" t="inlineStr">
        <is>
          <t>COLIS</t>
        </is>
      </c>
      <c r="J632" s="117" t="inlineStr">
        <is>
          <t>COLIS</t>
        </is>
      </c>
      <c r="K632" s="48">
        <f>D632+8</f>
        <v/>
      </c>
      <c r="L632" s="48">
        <f>K632+60</f>
        <v/>
      </c>
      <c r="M632" s="71" t="n"/>
      <c r="N632" s="72">
        <f>E632</f>
        <v/>
      </c>
      <c r="O632" s="50">
        <f>F632/E632*N632</f>
        <v/>
      </c>
      <c r="P632" s="273">
        <f>G632/E632*N632</f>
        <v/>
      </c>
      <c r="Q632" s="224" t="n"/>
      <c r="R632" s="58" t="n"/>
      <c r="S632" s="200" t="inlineStr">
        <is>
          <t>OF25320LDJD034-040</t>
        </is>
      </c>
      <c r="T632" s="201" t="n">
        <v>27</v>
      </c>
      <c r="U632" s="58" t="n"/>
      <c r="V632" s="67" t="n"/>
      <c r="W632" s="67" t="n"/>
      <c r="X632" s="62" t="inlineStr">
        <is>
          <t>N-OP</t>
        </is>
      </c>
      <c r="Y632" s="116">
        <f>F632/E632</f>
        <v/>
      </c>
      <c r="Z632" s="64">
        <f>E632-N632</f>
        <v/>
      </c>
    </row>
    <row r="633" ht="18" customHeight="1" s="202">
      <c r="A633" s="106" t="n">
        <v>20260030</v>
      </c>
      <c r="B633" s="107" t="inlineStr">
        <is>
          <t>OCEAN FEATHER</t>
        </is>
      </c>
      <c r="C633" s="108" t="n">
        <v>46052</v>
      </c>
      <c r="D633" s="108" t="n">
        <v>46075</v>
      </c>
      <c r="E633" s="106" t="n">
        <v>1</v>
      </c>
      <c r="F633" s="106" t="n">
        <v>37.1</v>
      </c>
      <c r="G633" s="106" t="n">
        <v>24</v>
      </c>
      <c r="H633" s="109" t="inlineStr">
        <is>
          <t>CHAIBEDDRA KARIM</t>
        </is>
      </c>
      <c r="I633" s="109" t="inlineStr">
        <is>
          <t>EXCAVATEURS</t>
        </is>
      </c>
      <c r="J633" s="107" t="inlineStr">
        <is>
          <t>ENGINS</t>
        </is>
      </c>
      <c r="K633" s="108">
        <f>D633+8</f>
        <v/>
      </c>
      <c r="L633" s="108">
        <f>K633+60</f>
        <v/>
      </c>
      <c r="M633" s="111" t="n"/>
      <c r="N633" s="112">
        <f>E633-1</f>
        <v/>
      </c>
      <c r="O633" s="113">
        <f>F633/E633*N633</f>
        <v/>
      </c>
      <c r="P633" s="112">
        <f>G633/E633*N633</f>
        <v/>
      </c>
      <c r="Q633" s="109" t="n"/>
      <c r="R633" s="109" t="n"/>
      <c r="S633" s="109" t="inlineStr">
        <is>
          <t>OF25320LDJD045</t>
        </is>
      </c>
      <c r="T633" s="114" t="n">
        <v>30</v>
      </c>
      <c r="U633" s="109" t="inlineStr">
        <is>
          <t>01 UNIT HYUNDAI EXCAVATOR HX340HD ( VOIR BL)</t>
        </is>
      </c>
      <c r="V633" s="106" t="n"/>
      <c r="W633" s="106" t="n"/>
      <c r="X633" s="106" t="inlineStr">
        <is>
          <t>SOLDEE</t>
        </is>
      </c>
      <c r="Y633" s="116">
        <f>F633/E633</f>
        <v/>
      </c>
      <c r="Z633" s="30" t="n"/>
    </row>
    <row r="634" ht="18" customHeight="1" s="202">
      <c r="A634" s="106" t="n">
        <v>20260030</v>
      </c>
      <c r="B634" s="107" t="inlineStr">
        <is>
          <t>OCEAN FEATHER</t>
        </is>
      </c>
      <c r="C634" s="108" t="n">
        <v>46052</v>
      </c>
      <c r="D634" s="108" t="n">
        <v>46075</v>
      </c>
      <c r="E634" s="106" t="n">
        <v>2</v>
      </c>
      <c r="F634" s="106" t="n">
        <v>0</v>
      </c>
      <c r="G634" s="106" t="n">
        <v>6</v>
      </c>
      <c r="H634" s="109" t="inlineStr">
        <is>
          <t>CHAIBEDDRA KARIM</t>
        </is>
      </c>
      <c r="I634" s="109" t="inlineStr">
        <is>
          <t>COLIS</t>
        </is>
      </c>
      <c r="J634" s="107" t="inlineStr">
        <is>
          <t>COLIS</t>
        </is>
      </c>
      <c r="K634" s="108">
        <f>D634+8</f>
        <v/>
      </c>
      <c r="L634" s="108">
        <f>K634+60</f>
        <v/>
      </c>
      <c r="M634" s="111" t="n"/>
      <c r="N634" s="112">
        <f>E634-2</f>
        <v/>
      </c>
      <c r="O634" s="113">
        <f>F634/E634*N634</f>
        <v/>
      </c>
      <c r="P634" s="112">
        <f>G634/E634*N634</f>
        <v/>
      </c>
      <c r="Q634" s="109" t="n"/>
      <c r="R634" s="109" t="n"/>
      <c r="S634" s="109" t="inlineStr">
        <is>
          <t>OF25320LDJD045</t>
        </is>
      </c>
      <c r="T634" s="114" t="n">
        <v>30</v>
      </c>
      <c r="U634" s="109" t="n"/>
      <c r="V634" s="106" t="n"/>
      <c r="W634" s="106" t="n"/>
      <c r="X634" s="106" t="inlineStr">
        <is>
          <t>SOLDEE</t>
        </is>
      </c>
      <c r="Y634" s="116">
        <f>F634/E634</f>
        <v/>
      </c>
      <c r="Z634" s="30" t="n"/>
    </row>
    <row r="635" ht="18" customHeight="1" s="202">
      <c r="A635" s="106" t="n">
        <v>20260030</v>
      </c>
      <c r="B635" s="107" t="inlineStr">
        <is>
          <t>OCEAN FEATHER</t>
        </is>
      </c>
      <c r="C635" s="108" t="n">
        <v>46052</v>
      </c>
      <c r="D635" s="108" t="n">
        <v>46075</v>
      </c>
      <c r="E635" s="106" t="n">
        <v>3</v>
      </c>
      <c r="F635" s="106" t="n">
        <v>17.84</v>
      </c>
      <c r="G635" s="106" t="n">
        <v>72</v>
      </c>
      <c r="H635" s="109" t="inlineStr">
        <is>
          <t>BOUZIAD FAYCEL</t>
        </is>
      </c>
      <c r="I635" s="109" t="inlineStr">
        <is>
          <t>CAMIONS</t>
        </is>
      </c>
      <c r="J635" s="107" t="inlineStr">
        <is>
          <t>LOURD</t>
        </is>
      </c>
      <c r="K635" s="108">
        <f>D635+8</f>
        <v/>
      </c>
      <c r="L635" s="108">
        <f>K635+60</f>
        <v/>
      </c>
      <c r="M635" s="111" t="n"/>
      <c r="N635" s="112">
        <f>E635-3</f>
        <v/>
      </c>
      <c r="O635" s="113">
        <f>F635/E635*N635</f>
        <v/>
      </c>
      <c r="P635" s="112">
        <f>G635/E635*N635</f>
        <v/>
      </c>
      <c r="Q635" s="109" t="n"/>
      <c r="R635" s="109" t="n"/>
      <c r="S635" s="109" t="inlineStr">
        <is>
          <t>OF25320LDJD046</t>
        </is>
      </c>
      <c r="T635" s="114" t="n">
        <v>31</v>
      </c>
      <c r="U635" s="109" t="inlineStr">
        <is>
          <t>01 UNIT JMC DUMP TRUCK 01 UNIT SHACMAN F2000 DUMP TRUCK 01 UNIT OF JMC CARGO TRUCK ( VOIR BL)</t>
        </is>
      </c>
      <c r="V635" s="106" t="n"/>
      <c r="W635" s="106" t="n"/>
      <c r="X635" s="106" t="inlineStr">
        <is>
          <t>SOLDEE</t>
        </is>
      </c>
      <c r="Y635" s="116">
        <f>F635/E635</f>
        <v/>
      </c>
      <c r="Z635" s="30" t="n"/>
    </row>
    <row r="636" ht="18" customHeight="1" s="202">
      <c r="A636" s="106" t="n">
        <v>20260030</v>
      </c>
      <c r="B636" s="107" t="inlineStr">
        <is>
          <t>OCEAN FEATHER</t>
        </is>
      </c>
      <c r="C636" s="108" t="n">
        <v>46052</v>
      </c>
      <c r="D636" s="108" t="n">
        <v>46075</v>
      </c>
      <c r="E636" s="106" t="n">
        <v>1</v>
      </c>
      <c r="F636" s="106" t="n">
        <v>24.8</v>
      </c>
      <c r="G636" s="106" t="n">
        <v>24</v>
      </c>
      <c r="H636" s="109" t="inlineStr">
        <is>
          <t>MOSTEFAOUI AHMED</t>
        </is>
      </c>
      <c r="I636" s="109" t="inlineStr">
        <is>
          <t>EXCAVATEURS</t>
        </is>
      </c>
      <c r="J636" s="107" t="inlineStr">
        <is>
          <t>ENGINS</t>
        </is>
      </c>
      <c r="K636" s="108">
        <f>D636+8</f>
        <v/>
      </c>
      <c r="L636" s="108">
        <f>K636+60</f>
        <v/>
      </c>
      <c r="M636" s="111" t="n"/>
      <c r="N636" s="112">
        <f>E636-1</f>
        <v/>
      </c>
      <c r="O636" s="113">
        <f>F636/E636*N636</f>
        <v/>
      </c>
      <c r="P636" s="112">
        <f>G636/E636*N636</f>
        <v/>
      </c>
      <c r="Q636" s="109" t="n"/>
      <c r="R636" s="109" t="n"/>
      <c r="S636" s="109" t="inlineStr">
        <is>
          <t>OF25320LDJD047</t>
        </is>
      </c>
      <c r="T636" s="114" t="n">
        <v>32</v>
      </c>
      <c r="U636" s="109" t="inlineStr">
        <is>
          <t>01 UNIT DEVELON CRAWLER EXCAVATOR +02 HAMMERS HDBB-140Z80 &amp; HDBB-165Z ( VOIR BL)</t>
        </is>
      </c>
      <c r="V636" s="106" t="n"/>
      <c r="W636" s="106" t="n"/>
      <c r="X636" s="106" t="inlineStr">
        <is>
          <t>SOLDEE</t>
        </is>
      </c>
      <c r="Y636" s="116">
        <f>F636/E636</f>
        <v/>
      </c>
      <c r="Z636" s="30" t="n"/>
    </row>
    <row r="637" ht="18" customHeight="1" s="202">
      <c r="A637" s="106" t="n">
        <v>20260030</v>
      </c>
      <c r="B637" s="107" t="inlineStr">
        <is>
          <t>OCEAN FEATHER</t>
        </is>
      </c>
      <c r="C637" s="108" t="n">
        <v>46052</v>
      </c>
      <c r="D637" s="108" t="n">
        <v>46075</v>
      </c>
      <c r="E637" s="106" t="n">
        <v>2</v>
      </c>
      <c r="F637" s="106" t="n">
        <v>0</v>
      </c>
      <c r="G637" s="106" t="n">
        <v>6</v>
      </c>
      <c r="H637" s="109" t="inlineStr">
        <is>
          <t>MOSTEFAOUI AHMED</t>
        </is>
      </c>
      <c r="I637" s="109" t="inlineStr">
        <is>
          <t>COLIS</t>
        </is>
      </c>
      <c r="J637" s="107" t="inlineStr">
        <is>
          <t>COLIS</t>
        </is>
      </c>
      <c r="K637" s="108">
        <f>D637+8</f>
        <v/>
      </c>
      <c r="L637" s="108">
        <f>K637+60</f>
        <v/>
      </c>
      <c r="M637" s="111" t="n"/>
      <c r="N637" s="112">
        <f>E637-2</f>
        <v/>
      </c>
      <c r="O637" s="113">
        <f>F637/E637*N637</f>
        <v/>
      </c>
      <c r="P637" s="112">
        <f>G637/E637*N637</f>
        <v/>
      </c>
      <c r="Q637" s="109" t="n"/>
      <c r="R637" s="109" t="n"/>
      <c r="S637" s="109" t="inlineStr">
        <is>
          <t>OF25320LDJD047</t>
        </is>
      </c>
      <c r="T637" s="114" t="n">
        <v>32</v>
      </c>
      <c r="U637" s="109" t="n"/>
      <c r="V637" s="106" t="n"/>
      <c r="W637" s="106" t="n"/>
      <c r="X637" s="106" t="inlineStr">
        <is>
          <t>SOLDEE</t>
        </is>
      </c>
      <c r="Y637" s="116">
        <f>F637/E637</f>
        <v/>
      </c>
      <c r="Z637" s="30" t="n"/>
    </row>
    <row r="638" ht="18" customHeight="1" s="202">
      <c r="A638" s="106" t="n">
        <v>20260030</v>
      </c>
      <c r="B638" s="107" t="inlineStr">
        <is>
          <t>OCEAN FEATHER</t>
        </is>
      </c>
      <c r="C638" s="108" t="n">
        <v>46052</v>
      </c>
      <c r="D638" s="108" t="n">
        <v>46075</v>
      </c>
      <c r="E638" s="106" t="n">
        <v>2</v>
      </c>
      <c r="F638" s="106" t="n">
        <v>16</v>
      </c>
      <c r="G638" s="106" t="n">
        <v>48</v>
      </c>
      <c r="H638" s="109" t="inlineStr">
        <is>
          <t>SARL SOTRA GHRISS</t>
        </is>
      </c>
      <c r="I638" s="109" t="inlineStr">
        <is>
          <t>CAMIONS</t>
        </is>
      </c>
      <c r="J638" s="107" t="inlineStr">
        <is>
          <t>LOURD</t>
        </is>
      </c>
      <c r="K638" s="108">
        <f>D638+8</f>
        <v/>
      </c>
      <c r="L638" s="108">
        <f>K638+60</f>
        <v/>
      </c>
      <c r="M638" s="111" t="n"/>
      <c r="N638" s="112">
        <f>E638-2</f>
        <v/>
      </c>
      <c r="O638" s="113">
        <f>F638/E638*N638</f>
        <v/>
      </c>
      <c r="P638" s="112">
        <f>G638/E638*N638</f>
        <v/>
      </c>
      <c r="Q638" s="109" t="n"/>
      <c r="R638" s="109" t="n"/>
      <c r="S638" s="109" t="inlineStr">
        <is>
          <t>OF25320LDJD048</t>
        </is>
      </c>
      <c r="T638" s="114" t="n">
        <v>33</v>
      </c>
      <c r="U638" s="109" t="inlineStr">
        <is>
          <t>01 UNIT SHACMAN SPRINKLER TRUCK 01 UNIT SINOTRUK DUMP TRUCK 01 UNIT XCMG EXCAVATOR MODEL XE35U ( VOIR BL)</t>
        </is>
      </c>
      <c r="V638" s="106" t="n"/>
      <c r="W638" s="106" t="n"/>
      <c r="X638" s="106" t="inlineStr">
        <is>
          <t>SOLDEE</t>
        </is>
      </c>
      <c r="Y638" s="116">
        <f>F638/E638</f>
        <v/>
      </c>
      <c r="Z638" s="30" t="n"/>
    </row>
    <row r="639" ht="18" customHeight="1" s="202">
      <c r="A639" s="106" t="n">
        <v>20260030</v>
      </c>
      <c r="B639" s="107" t="inlineStr">
        <is>
          <t>OCEAN FEATHER</t>
        </is>
      </c>
      <c r="C639" s="108" t="n">
        <v>46052</v>
      </c>
      <c r="D639" s="108" t="n">
        <v>46075</v>
      </c>
      <c r="E639" s="106" t="n">
        <v>1</v>
      </c>
      <c r="F639" s="106" t="n">
        <v>12.05</v>
      </c>
      <c r="G639" s="106" t="n">
        <v>24</v>
      </c>
      <c r="H639" s="109" t="inlineStr">
        <is>
          <t>SARL SOTRA GHRISS</t>
        </is>
      </c>
      <c r="I639" s="109" t="inlineStr">
        <is>
          <t>EXCAVATEURS</t>
        </is>
      </c>
      <c r="J639" s="107" t="inlineStr">
        <is>
          <t>ENGINS</t>
        </is>
      </c>
      <c r="K639" s="108">
        <f>D639+8</f>
        <v/>
      </c>
      <c r="L639" s="108">
        <f>K639+60</f>
        <v/>
      </c>
      <c r="M639" s="111" t="n"/>
      <c r="N639" s="112">
        <f>E639-1</f>
        <v/>
      </c>
      <c r="O639" s="113">
        <f>F639/E639*N639</f>
        <v/>
      </c>
      <c r="P639" s="112">
        <f>G639/E639*N639</f>
        <v/>
      </c>
      <c r="Q639" s="109" t="n"/>
      <c r="R639" s="109" t="n"/>
      <c r="S639" s="109" t="inlineStr">
        <is>
          <t>OF25320LDJD048</t>
        </is>
      </c>
      <c r="T639" s="114" t="n">
        <v>33</v>
      </c>
      <c r="U639" s="109" t="n"/>
      <c r="V639" s="106" t="n"/>
      <c r="W639" s="106" t="n"/>
      <c r="X639" s="106" t="inlineStr">
        <is>
          <t>SOLDEE</t>
        </is>
      </c>
      <c r="Y639" s="116">
        <f>F639/E639</f>
        <v/>
      </c>
      <c r="Z639" s="30" t="n"/>
    </row>
    <row r="640" ht="18" customHeight="1" s="202">
      <c r="A640" s="106" t="n">
        <v>20260030</v>
      </c>
      <c r="B640" s="107" t="inlineStr">
        <is>
          <t>OCEAN FEATHER</t>
        </is>
      </c>
      <c r="C640" s="108" t="n">
        <v>46052</v>
      </c>
      <c r="D640" s="108" t="n">
        <v>46075</v>
      </c>
      <c r="E640" s="106" t="n">
        <v>1</v>
      </c>
      <c r="F640" s="106" t="n">
        <v>0</v>
      </c>
      <c r="G640" s="106" t="n">
        <v>3</v>
      </c>
      <c r="H640" s="109" t="inlineStr">
        <is>
          <t>SARL SOTRA GHRISS</t>
        </is>
      </c>
      <c r="I640" s="109" t="inlineStr">
        <is>
          <t>COLIS</t>
        </is>
      </c>
      <c r="J640" s="107" t="inlineStr">
        <is>
          <t>COLIS</t>
        </is>
      </c>
      <c r="K640" s="108">
        <f>D640+8</f>
        <v/>
      </c>
      <c r="L640" s="108">
        <f>K640+60</f>
        <v/>
      </c>
      <c r="M640" s="111" t="n"/>
      <c r="N640" s="112">
        <f>E640-1</f>
        <v/>
      </c>
      <c r="O640" s="113">
        <f>F640/E640*N640</f>
        <v/>
      </c>
      <c r="P640" s="112">
        <f>G640/E640*N640</f>
        <v/>
      </c>
      <c r="Q640" s="109" t="n"/>
      <c r="R640" s="109" t="n"/>
      <c r="S640" s="109" t="inlineStr">
        <is>
          <t>OF25320LDJD048</t>
        </is>
      </c>
      <c r="T640" s="114" t="n">
        <v>33</v>
      </c>
      <c r="U640" s="109" t="n"/>
      <c r="V640" s="106" t="n"/>
      <c r="W640" s="106" t="n"/>
      <c r="X640" s="106" t="inlineStr">
        <is>
          <t>SOLDEE</t>
        </is>
      </c>
      <c r="Y640" s="116">
        <f>F640/E640</f>
        <v/>
      </c>
      <c r="Z640" s="30" t="n"/>
    </row>
    <row r="641" ht="18" customHeight="1" s="202">
      <c r="A641" s="106" t="n">
        <v>20260030</v>
      </c>
      <c r="B641" s="107" t="inlineStr">
        <is>
          <t>OCEAN FEATHER</t>
        </is>
      </c>
      <c r="C641" s="108" t="n">
        <v>46052</v>
      </c>
      <c r="D641" s="108" t="n">
        <v>46075</v>
      </c>
      <c r="E641" s="106" t="n">
        <v>2</v>
      </c>
      <c r="F641" s="106" t="n">
        <v>25.34</v>
      </c>
      <c r="G641" s="106" t="n">
        <v>48</v>
      </c>
      <c r="H641" s="109" t="inlineStr">
        <is>
          <t>SARL MAYOUF ET SOLTANI CARRIESRS</t>
        </is>
      </c>
      <c r="I641" s="109" t="inlineStr">
        <is>
          <t>CAMIONS</t>
        </is>
      </c>
      <c r="J641" s="107" t="inlineStr">
        <is>
          <t>LOURD</t>
        </is>
      </c>
      <c r="K641" s="108">
        <f>D641+8</f>
        <v/>
      </c>
      <c r="L641" s="108">
        <f>K641+60</f>
        <v/>
      </c>
      <c r="M641" s="111" t="n"/>
      <c r="N641" s="112">
        <f>E641-2</f>
        <v/>
      </c>
      <c r="O641" s="113">
        <f>F641/E641*N641</f>
        <v/>
      </c>
      <c r="P641" s="112">
        <f>G641/E641*N641</f>
        <v/>
      </c>
      <c r="Q641" s="109" t="n"/>
      <c r="R641" s="109" t="n"/>
      <c r="S641" s="109" t="inlineStr">
        <is>
          <t>OF25320LDJD049/050</t>
        </is>
      </c>
      <c r="T641" s="114" t="n">
        <v>34</v>
      </c>
      <c r="U641" s="109" t="inlineStr">
        <is>
          <t>02 UNITS SHACMAN DUMP TRUCK F2000 ( VOIR BL)</t>
        </is>
      </c>
      <c r="V641" s="106" t="n"/>
      <c r="W641" s="106" t="n"/>
      <c r="X641" s="106" t="inlineStr">
        <is>
          <t>SOLDEE</t>
        </is>
      </c>
      <c r="Y641" s="116">
        <f>F641/E641</f>
        <v/>
      </c>
      <c r="Z641" s="30" t="n"/>
    </row>
    <row r="642" ht="18" customHeight="1" s="202">
      <c r="A642" s="116" t="n">
        <v>20260030</v>
      </c>
      <c r="B642" s="117" t="inlineStr">
        <is>
          <t>OCEAN FEATHER</t>
        </is>
      </c>
      <c r="C642" s="118" t="n">
        <v>46052</v>
      </c>
      <c r="D642" s="118" t="n">
        <v>46075</v>
      </c>
      <c r="E642" s="67" t="n">
        <v>1</v>
      </c>
      <c r="F642" s="119" t="n">
        <v>10</v>
      </c>
      <c r="G642" s="120" t="n">
        <v>24</v>
      </c>
      <c r="H642" s="121" t="inlineStr">
        <is>
          <t>AISSAOUI SALIM</t>
        </is>
      </c>
      <c r="I642" s="121" t="inlineStr">
        <is>
          <t>EXCAVATEURS</t>
        </is>
      </c>
      <c r="J642" s="117" t="inlineStr">
        <is>
          <t>ENGINS</t>
        </is>
      </c>
      <c r="K642" s="48">
        <f>D642+8</f>
        <v/>
      </c>
      <c r="L642" s="48">
        <f>K642+60</f>
        <v/>
      </c>
      <c r="M642" s="71" t="n"/>
      <c r="N642" s="72">
        <f>E642</f>
        <v/>
      </c>
      <c r="O642" s="50">
        <f>F642/E642*N642</f>
        <v/>
      </c>
      <c r="P642" s="273">
        <f>G642/E642*N642</f>
        <v/>
      </c>
      <c r="Q642" s="224" t="n"/>
      <c r="R642" s="58" t="n"/>
      <c r="S642" s="200" t="inlineStr">
        <is>
          <t>OF25320LDJD051</t>
        </is>
      </c>
      <c r="T642" s="201" t="n">
        <v>35</v>
      </c>
      <c r="U642" s="58" t="inlineStr">
        <is>
          <t>01 UNIT HYUNDAI EXCAVATOR HX340HD 01 UNIT SHACMAN DUMP TRUCK F2000 ( VOIR BL)</t>
        </is>
      </c>
      <c r="V642" s="67" t="n"/>
      <c r="W642" s="67" t="n"/>
      <c r="X642" s="62" t="inlineStr">
        <is>
          <t>N-OP</t>
        </is>
      </c>
      <c r="Y642" s="116">
        <f>F642/E642</f>
        <v/>
      </c>
      <c r="Z642" s="64">
        <f>E642-N642</f>
        <v/>
      </c>
    </row>
    <row r="643" ht="18" customHeight="1" s="202">
      <c r="A643" s="106" t="n">
        <v>20260030</v>
      </c>
      <c r="B643" s="107" t="inlineStr">
        <is>
          <t>OCEAN FEATHER</t>
        </is>
      </c>
      <c r="C643" s="108" t="n">
        <v>46052</v>
      </c>
      <c r="D643" s="108" t="n">
        <v>46075</v>
      </c>
      <c r="E643" s="106" t="n">
        <v>1</v>
      </c>
      <c r="F643" s="106" t="n">
        <v>36.82</v>
      </c>
      <c r="G643" s="106" t="n">
        <v>24</v>
      </c>
      <c r="H643" s="109" t="inlineStr">
        <is>
          <t>AISSAOUI SALIM</t>
        </is>
      </c>
      <c r="I643" s="109" t="inlineStr">
        <is>
          <t>CAMIONS</t>
        </is>
      </c>
      <c r="J643" s="107" t="inlineStr">
        <is>
          <t>LOURD</t>
        </is>
      </c>
      <c r="K643" s="108">
        <f>D643+8</f>
        <v/>
      </c>
      <c r="L643" s="108">
        <f>K643+60</f>
        <v/>
      </c>
      <c r="M643" s="111" t="n"/>
      <c r="N643" s="112">
        <f>E643-1</f>
        <v/>
      </c>
      <c r="O643" s="113">
        <f>F643/E643*N643</f>
        <v/>
      </c>
      <c r="P643" s="112">
        <f>G643/E643*N643</f>
        <v/>
      </c>
      <c r="Q643" s="109" t="n"/>
      <c r="R643" s="109" t="n"/>
      <c r="S643" s="109" t="inlineStr">
        <is>
          <t>OF25320LDJD051</t>
        </is>
      </c>
      <c r="T643" s="114" t="n">
        <v>35</v>
      </c>
      <c r="U643" s="109" t="n"/>
      <c r="V643" s="106" t="n"/>
      <c r="W643" s="106" t="n"/>
      <c r="X643" s="106" t="inlineStr">
        <is>
          <t>SOLDEE</t>
        </is>
      </c>
      <c r="Y643" s="116">
        <f>F643/E643</f>
        <v/>
      </c>
      <c r="Z643" s="30" t="n"/>
    </row>
    <row r="644" ht="18" customHeight="1" s="202">
      <c r="A644" s="106" t="n">
        <v>20260030</v>
      </c>
      <c r="B644" s="107" t="inlineStr">
        <is>
          <t>OCEAN FEATHER</t>
        </is>
      </c>
      <c r="C644" s="108" t="n">
        <v>46052</v>
      </c>
      <c r="D644" s="108" t="n">
        <v>46075</v>
      </c>
      <c r="E644" s="106" t="n">
        <v>2</v>
      </c>
      <c r="F644" s="106" t="n">
        <v>0</v>
      </c>
      <c r="G644" s="106" t="n">
        <v>6</v>
      </c>
      <c r="H644" s="109" t="inlineStr">
        <is>
          <t>AISSAOUI SALIM</t>
        </is>
      </c>
      <c r="I644" s="109" t="inlineStr">
        <is>
          <t>COLIS</t>
        </is>
      </c>
      <c r="J644" s="107" t="inlineStr">
        <is>
          <t>COLIS</t>
        </is>
      </c>
      <c r="K644" s="108">
        <f>D644+8</f>
        <v/>
      </c>
      <c r="L644" s="108">
        <f>K644+60</f>
        <v/>
      </c>
      <c r="M644" s="111" t="n"/>
      <c r="N644" s="112">
        <f>E644-2</f>
        <v/>
      </c>
      <c r="O644" s="113">
        <f>F644/E644*N644</f>
        <v/>
      </c>
      <c r="P644" s="112">
        <f>G644/E644*N644</f>
        <v/>
      </c>
      <c r="Q644" s="109" t="n"/>
      <c r="R644" s="109" t="n"/>
      <c r="S644" s="109" t="inlineStr">
        <is>
          <t>OF25320LDJD051</t>
        </is>
      </c>
      <c r="T644" s="114" t="n">
        <v>35</v>
      </c>
      <c r="U644" s="109" t="n"/>
      <c r="V644" s="106" t="n"/>
      <c r="W644" s="106" t="n"/>
      <c r="X644" s="106" t="inlineStr">
        <is>
          <t>SOLDEE</t>
        </is>
      </c>
      <c r="Y644" s="116">
        <f>F644/E644</f>
        <v/>
      </c>
      <c r="Z644" s="30" t="n"/>
    </row>
    <row r="645" ht="18" customHeight="1" s="202">
      <c r="A645" s="106" t="n">
        <v>20260030</v>
      </c>
      <c r="B645" s="107" t="inlineStr">
        <is>
          <t>OCEAN FEATHER</t>
        </is>
      </c>
      <c r="C645" s="108" t="n">
        <v>46052</v>
      </c>
      <c r="D645" s="108" t="n">
        <v>46075</v>
      </c>
      <c r="E645" s="106" t="n">
        <v>2</v>
      </c>
      <c r="F645" s="106" t="n">
        <v>30</v>
      </c>
      <c r="G645" s="106" t="n">
        <v>48</v>
      </c>
      <c r="H645" s="109" t="inlineStr">
        <is>
          <t>SARL ANAFAA</t>
        </is>
      </c>
      <c r="I645" s="109" t="inlineStr">
        <is>
          <t>CAMIONS</t>
        </is>
      </c>
      <c r="J645" s="107" t="inlineStr">
        <is>
          <t>LOURD</t>
        </is>
      </c>
      <c r="K645" s="108">
        <f>D645+8</f>
        <v/>
      </c>
      <c r="L645" s="108">
        <f>K645+60</f>
        <v/>
      </c>
      <c r="M645" s="111" t="n"/>
      <c r="N645" s="112">
        <f>E645-2</f>
        <v/>
      </c>
      <c r="O645" s="113">
        <f>F645/E645*N645</f>
        <v/>
      </c>
      <c r="P645" s="112">
        <f>G645/E645*N645</f>
        <v/>
      </c>
      <c r="Q645" s="109" t="n"/>
      <c r="R645" s="109" t="n"/>
      <c r="S645" s="109" t="inlineStr">
        <is>
          <t>OF25320LDJD052</t>
        </is>
      </c>
      <c r="T645" s="114" t="n">
        <v>36</v>
      </c>
      <c r="U645" s="109" t="inlineStr">
        <is>
          <t>02 UNITS SINOTRUK HOWO 6X4 DUMP TRUCK ( VOIR BL)</t>
        </is>
      </c>
      <c r="V645" s="106" t="n"/>
      <c r="W645" s="106" t="n"/>
      <c r="X645" s="106" t="inlineStr">
        <is>
          <t>SOLDEE</t>
        </is>
      </c>
      <c r="Y645" s="116">
        <f>F645/E645</f>
        <v/>
      </c>
      <c r="Z645" s="30" t="n"/>
    </row>
    <row r="646" ht="18" customHeight="1" s="202">
      <c r="A646" s="116" t="n">
        <v>20260030</v>
      </c>
      <c r="B646" s="117" t="inlineStr">
        <is>
          <t>OCEAN FEATHER</t>
        </is>
      </c>
      <c r="C646" s="118" t="n">
        <v>46052</v>
      </c>
      <c r="D646" s="118" t="n">
        <v>46075</v>
      </c>
      <c r="E646" s="67" t="n">
        <v>1</v>
      </c>
      <c r="F646" s="119" t="n">
        <v>13</v>
      </c>
      <c r="G646" s="120" t="n">
        <v>24</v>
      </c>
      <c r="H646" s="121" t="inlineStr">
        <is>
          <t>SARL ANAFAA</t>
        </is>
      </c>
      <c r="I646" s="121" t="inlineStr">
        <is>
          <t>REMORQUES</t>
        </is>
      </c>
      <c r="J646" s="117" t="inlineStr">
        <is>
          <t>LOURD</t>
        </is>
      </c>
      <c r="K646" s="48">
        <f>D646+8</f>
        <v/>
      </c>
      <c r="L646" s="48">
        <f>K646+60</f>
        <v/>
      </c>
      <c r="M646" s="71" t="n"/>
      <c r="N646" s="72">
        <f>E646</f>
        <v/>
      </c>
      <c r="O646" s="50">
        <f>F646/E646*N646</f>
        <v/>
      </c>
      <c r="P646" s="273">
        <f>G646/E646*N646</f>
        <v/>
      </c>
      <c r="Q646" s="224" t="n"/>
      <c r="R646" s="58" t="n"/>
      <c r="S646" s="200" t="inlineStr">
        <is>
          <t>OF25320LDJD125</t>
        </is>
      </c>
      <c r="T646" s="201" t="n">
        <v>83</v>
      </c>
      <c r="U646" s="58" t="inlineStr">
        <is>
          <t>01 UNIT CIMC 3AXLE LOW BED SEMI-TRAILER (VOIR BL)</t>
        </is>
      </c>
      <c r="V646" s="67" t="n"/>
      <c r="W646" s="67" t="n"/>
      <c r="X646" s="62" t="inlineStr">
        <is>
          <t>N-OP</t>
        </is>
      </c>
      <c r="Y646" s="116">
        <f>F646/E646</f>
        <v/>
      </c>
      <c r="Z646" s="64">
        <f>E646-N646</f>
        <v/>
      </c>
    </row>
    <row r="647" ht="18" customHeight="1" s="202">
      <c r="A647" s="106" t="n">
        <v>20260030</v>
      </c>
      <c r="B647" s="107" t="inlineStr">
        <is>
          <t>OCEAN FEATHER</t>
        </is>
      </c>
      <c r="C647" s="108" t="n">
        <v>46052</v>
      </c>
      <c r="D647" s="108" t="n">
        <v>46075</v>
      </c>
      <c r="E647" s="106" t="n">
        <v>1</v>
      </c>
      <c r="F647" s="106" t="n">
        <v>34.15</v>
      </c>
      <c r="G647" s="106" t="n">
        <v>24</v>
      </c>
      <c r="H647" s="109" t="inlineStr">
        <is>
          <t>SARL SOCIETE SENDID ENTREPRISES</t>
        </is>
      </c>
      <c r="I647" s="109" t="inlineStr">
        <is>
          <t>EXCAVATEURS</t>
        </is>
      </c>
      <c r="J647" s="107" t="inlineStr">
        <is>
          <t>ENGINS</t>
        </is>
      </c>
      <c r="K647" s="108">
        <f>D647+8</f>
        <v/>
      </c>
      <c r="L647" s="108">
        <f>K647+60</f>
        <v/>
      </c>
      <c r="M647" s="111" t="n"/>
      <c r="N647" s="112">
        <f>E647-1</f>
        <v/>
      </c>
      <c r="O647" s="113">
        <f>F647/E647*N647</f>
        <v/>
      </c>
      <c r="P647" s="112">
        <f>G647/E647*N647</f>
        <v/>
      </c>
      <c r="Q647" s="109" t="n"/>
      <c r="R647" s="109" t="n"/>
      <c r="S647" s="109" t="inlineStr">
        <is>
          <t>OF25320LDJD054</t>
        </is>
      </c>
      <c r="T647" s="114" t="n">
        <v>38</v>
      </c>
      <c r="U647" s="109" t="inlineStr">
        <is>
          <t>01 UNIT HYUNDAI CRAWLER EXCAVATOR HX340HD ( VOIR BL)</t>
        </is>
      </c>
      <c r="V647" s="106" t="n"/>
      <c r="W647" s="106" t="n"/>
      <c r="X647" s="106" t="inlineStr">
        <is>
          <t>SOLDEE</t>
        </is>
      </c>
      <c r="Y647" s="116">
        <f>F647/E647</f>
        <v/>
      </c>
      <c r="Z647" s="30" t="n"/>
    </row>
    <row r="648" ht="18" customHeight="1" s="202">
      <c r="A648" s="116" t="n">
        <v>20260030</v>
      </c>
      <c r="B648" s="117" t="inlineStr">
        <is>
          <t>OCEAN FEATHER</t>
        </is>
      </c>
      <c r="C648" s="118" t="n">
        <v>46052</v>
      </c>
      <c r="D648" s="118" t="n">
        <v>46075</v>
      </c>
      <c r="E648" s="67" t="n">
        <v>1</v>
      </c>
      <c r="F648" s="119" t="n">
        <v>0</v>
      </c>
      <c r="G648" s="120" t="n">
        <v>3</v>
      </c>
      <c r="H648" s="121" t="inlineStr">
        <is>
          <t>SARL SOCIETE SENDID ENTREPRISES</t>
        </is>
      </c>
      <c r="I648" s="121" t="inlineStr">
        <is>
          <t>COLIS</t>
        </is>
      </c>
      <c r="J648" s="117" t="inlineStr">
        <is>
          <t>COLIS</t>
        </is>
      </c>
      <c r="K648" s="48">
        <f>D648+8</f>
        <v/>
      </c>
      <c r="L648" s="48">
        <f>K648+60</f>
        <v/>
      </c>
      <c r="M648" s="71" t="n"/>
      <c r="N648" s="72">
        <f>E648</f>
        <v/>
      </c>
      <c r="O648" s="50">
        <f>F648/E648*N648</f>
        <v/>
      </c>
      <c r="P648" s="273">
        <f>G648/E648*N648</f>
        <v/>
      </c>
      <c r="Q648" s="224" t="n"/>
      <c r="R648" s="58" t="n"/>
      <c r="S648" s="200" t="inlineStr">
        <is>
          <t>OF25320LDJD054</t>
        </is>
      </c>
      <c r="T648" s="201" t="n">
        <v>38</v>
      </c>
      <c r="U648" s="58" t="n"/>
      <c r="V648" s="67" t="n"/>
      <c r="W648" s="67" t="n"/>
      <c r="X648" s="62" t="inlineStr">
        <is>
          <t>N-OP</t>
        </is>
      </c>
      <c r="Y648" s="116">
        <f>F648/E648</f>
        <v/>
      </c>
      <c r="Z648" s="64">
        <f>E648-N648</f>
        <v/>
      </c>
    </row>
    <row r="649" ht="18" customHeight="1" s="202">
      <c r="A649" s="106" t="n">
        <v>20260030</v>
      </c>
      <c r="B649" s="107" t="inlineStr">
        <is>
          <t>OCEAN FEATHER</t>
        </is>
      </c>
      <c r="C649" s="108" t="n">
        <v>46052</v>
      </c>
      <c r="D649" s="108" t="n">
        <v>46075</v>
      </c>
      <c r="E649" s="106" t="n">
        <v>1</v>
      </c>
      <c r="F649" s="106" t="n">
        <v>22.8</v>
      </c>
      <c r="G649" s="106" t="n">
        <v>24</v>
      </c>
      <c r="H649" s="109" t="inlineStr">
        <is>
          <t>FERHAT ALI</t>
        </is>
      </c>
      <c r="I649" s="109" t="inlineStr">
        <is>
          <t>EXCAVATEURS</t>
        </is>
      </c>
      <c r="J649" s="107" t="inlineStr">
        <is>
          <t>ENGINS</t>
        </is>
      </c>
      <c r="K649" s="108">
        <f>D649+8</f>
        <v/>
      </c>
      <c r="L649" s="108">
        <f>K649+60</f>
        <v/>
      </c>
      <c r="M649" s="111" t="n"/>
      <c r="N649" s="112">
        <f>E649-1</f>
        <v/>
      </c>
      <c r="O649" s="113">
        <f>F649/E649*N649</f>
        <v/>
      </c>
      <c r="P649" s="112">
        <f>G649/E649*N649</f>
        <v/>
      </c>
      <c r="Q649" s="109" t="n"/>
      <c r="R649" s="109" t="n"/>
      <c r="S649" s="109" t="inlineStr">
        <is>
          <t>OF25320LDJD056</t>
        </is>
      </c>
      <c r="T649" s="114" t="n">
        <v>40</v>
      </c>
      <c r="U649" s="109" t="inlineStr">
        <is>
          <t>01 UNIT DEVELON CRAWLER EXCAVATOR ( VOIR BL)</t>
        </is>
      </c>
      <c r="V649" s="106" t="n"/>
      <c r="W649" s="106" t="n"/>
      <c r="X649" s="106" t="inlineStr">
        <is>
          <t>SOLDEE</t>
        </is>
      </c>
      <c r="Y649" s="116">
        <f>F649/E649</f>
        <v/>
      </c>
      <c r="Z649" s="30" t="n"/>
    </row>
    <row r="650" ht="18" customHeight="1" s="202">
      <c r="A650" s="106" t="n">
        <v>20260030</v>
      </c>
      <c r="B650" s="107" t="inlineStr">
        <is>
          <t>OCEAN FEATHER</t>
        </is>
      </c>
      <c r="C650" s="108" t="n">
        <v>46052</v>
      </c>
      <c r="D650" s="108" t="n">
        <v>46075</v>
      </c>
      <c r="E650" s="106" t="n">
        <v>1</v>
      </c>
      <c r="F650" s="106" t="n">
        <v>0</v>
      </c>
      <c r="G650" s="106" t="n">
        <v>3</v>
      </c>
      <c r="H650" s="109" t="inlineStr">
        <is>
          <t>FERHAT ALI</t>
        </is>
      </c>
      <c r="I650" s="109" t="inlineStr">
        <is>
          <t>COLIS</t>
        </is>
      </c>
      <c r="J650" s="107" t="inlineStr">
        <is>
          <t>COLIS</t>
        </is>
      </c>
      <c r="K650" s="108">
        <f>D650+8</f>
        <v/>
      </c>
      <c r="L650" s="108">
        <f>K650+60</f>
        <v/>
      </c>
      <c r="M650" s="111" t="n"/>
      <c r="N650" s="112">
        <f>E650-1</f>
        <v/>
      </c>
      <c r="O650" s="113">
        <f>F650/E650*N650</f>
        <v/>
      </c>
      <c r="P650" s="112">
        <f>G650/E650*N650</f>
        <v/>
      </c>
      <c r="Q650" s="109" t="n"/>
      <c r="R650" s="109" t="n"/>
      <c r="S650" s="109" t="inlineStr">
        <is>
          <t>OF25320LDJD056</t>
        </is>
      </c>
      <c r="T650" s="114" t="n">
        <v>40</v>
      </c>
      <c r="U650" s="109" t="n"/>
      <c r="V650" s="106" t="n"/>
      <c r="W650" s="106" t="n"/>
      <c r="X650" s="106" t="inlineStr">
        <is>
          <t>SOLDEE</t>
        </is>
      </c>
      <c r="Y650" s="116">
        <f>F650/E650</f>
        <v/>
      </c>
      <c r="Z650" s="30" t="n"/>
    </row>
    <row r="651" ht="18" customHeight="1" s="202">
      <c r="A651" s="106" t="n">
        <v>20260030</v>
      </c>
      <c r="B651" s="107" t="inlineStr">
        <is>
          <t>OCEAN FEATHER</t>
        </is>
      </c>
      <c r="C651" s="108" t="n">
        <v>46052</v>
      </c>
      <c r="D651" s="108" t="n">
        <v>46075</v>
      </c>
      <c r="E651" s="106" t="n">
        <v>2</v>
      </c>
      <c r="F651" s="106" t="n">
        <v>68.36</v>
      </c>
      <c r="G651" s="106" t="n">
        <v>48</v>
      </c>
      <c r="H651" s="109" t="inlineStr">
        <is>
          <t>SARL ABNA KADDOURI SERVICES GENERAL</t>
        </is>
      </c>
      <c r="I651" s="109" t="inlineStr">
        <is>
          <t>EXCAVATEURS</t>
        </is>
      </c>
      <c r="J651" s="107" t="inlineStr">
        <is>
          <t>ENGINS</t>
        </is>
      </c>
      <c r="K651" s="108">
        <f>D651+8</f>
        <v/>
      </c>
      <c r="L651" s="108">
        <f>K651+60</f>
        <v/>
      </c>
      <c r="M651" s="111" t="n"/>
      <c r="N651" s="112">
        <f>E651-2</f>
        <v/>
      </c>
      <c r="O651" s="113">
        <f>F651/E651*N651</f>
        <v/>
      </c>
      <c r="P651" s="112">
        <f>G651/E651*N651</f>
        <v/>
      </c>
      <c r="Q651" s="109" t="n"/>
      <c r="R651" s="109" t="n"/>
      <c r="S651" s="109" t="inlineStr">
        <is>
          <t>OF25320LDJD057</t>
        </is>
      </c>
      <c r="T651" s="114" t="n">
        <v>41</v>
      </c>
      <c r="U651" s="109" t="inlineStr">
        <is>
          <t>02 UNITS HYUNDAI EXCAVATOR HX340HD (VOIR BL)</t>
        </is>
      </c>
      <c r="V651" s="106" t="n"/>
      <c r="W651" s="106" t="n"/>
      <c r="X651" s="106" t="inlineStr">
        <is>
          <t>SOLDEE</t>
        </is>
      </c>
      <c r="Y651" s="116">
        <f>F651/E651</f>
        <v/>
      </c>
      <c r="Z651" s="30" t="n"/>
    </row>
    <row r="652" ht="18" customHeight="1" s="202">
      <c r="A652" s="106" t="n">
        <v>20260030</v>
      </c>
      <c r="B652" s="107" t="inlineStr">
        <is>
          <t>OCEAN FEATHER</t>
        </is>
      </c>
      <c r="C652" s="108" t="n">
        <v>46052</v>
      </c>
      <c r="D652" s="108" t="n">
        <v>46075</v>
      </c>
      <c r="E652" s="106" t="n">
        <v>6</v>
      </c>
      <c r="F652" s="106" t="n">
        <v>0</v>
      </c>
      <c r="G652" s="106" t="n">
        <v>18</v>
      </c>
      <c r="H652" s="109" t="inlineStr">
        <is>
          <t>SARL ABNA KADDOURI SERVICES GENERAL</t>
        </is>
      </c>
      <c r="I652" s="109" t="inlineStr">
        <is>
          <t>COLIS</t>
        </is>
      </c>
      <c r="J652" s="107" t="inlineStr">
        <is>
          <t>COLIS</t>
        </is>
      </c>
      <c r="K652" s="108">
        <f>D652+8</f>
        <v/>
      </c>
      <c r="L652" s="108">
        <f>K652+60</f>
        <v/>
      </c>
      <c r="M652" s="111" t="n"/>
      <c r="N652" s="112">
        <f>E652-6</f>
        <v/>
      </c>
      <c r="O652" s="113">
        <f>F652/E652*N652</f>
        <v/>
      </c>
      <c r="P652" s="112">
        <f>G652/E652*N652</f>
        <v/>
      </c>
      <c r="Q652" s="109" t="n"/>
      <c r="R652" s="109" t="n"/>
      <c r="S652" s="109" t="inlineStr">
        <is>
          <t>OF25320LDJD057</t>
        </is>
      </c>
      <c r="T652" s="114" t="n">
        <v>41</v>
      </c>
      <c r="U652" s="109" t="n"/>
      <c r="V652" s="106" t="n"/>
      <c r="W652" s="106" t="n"/>
      <c r="X652" s="106" t="inlineStr">
        <is>
          <t>SOLDEE</t>
        </is>
      </c>
      <c r="Y652" s="116">
        <f>F652/E652</f>
        <v/>
      </c>
      <c r="Z652" s="30" t="n"/>
    </row>
    <row r="653" ht="18" customHeight="1" s="202">
      <c r="A653" s="116" t="n">
        <v>20260030</v>
      </c>
      <c r="B653" s="117" t="inlineStr">
        <is>
          <t>OCEAN FEATHER</t>
        </is>
      </c>
      <c r="C653" s="118" t="n">
        <v>46052</v>
      </c>
      <c r="D653" s="118" t="n">
        <v>46075</v>
      </c>
      <c r="E653" s="67" t="n">
        <v>1</v>
      </c>
      <c r="F653" s="119" t="n">
        <v>3.035</v>
      </c>
      <c r="G653" s="120" t="n">
        <v>24</v>
      </c>
      <c r="H653" s="121" t="inlineStr">
        <is>
          <t>KOUARI MOHAMMED</t>
        </is>
      </c>
      <c r="I653" s="121" t="inlineStr">
        <is>
          <t>CAMIONS</t>
        </is>
      </c>
      <c r="J653" s="117" t="inlineStr">
        <is>
          <t>LOURD</t>
        </is>
      </c>
      <c r="K653" s="48">
        <f>D653+8</f>
        <v/>
      </c>
      <c r="L653" s="48">
        <f>K653+60</f>
        <v/>
      </c>
      <c r="M653" s="71" t="n"/>
      <c r="N653" s="72">
        <f>E653</f>
        <v/>
      </c>
      <c r="O653" s="50">
        <f>F653/E653*N653</f>
        <v/>
      </c>
      <c r="P653" s="273">
        <f>G653/E653*N653</f>
        <v/>
      </c>
      <c r="Q653" s="224" t="n"/>
      <c r="R653" s="58" t="n"/>
      <c r="S653" s="200" t="inlineStr">
        <is>
          <t>OF25320LDJD058</t>
        </is>
      </c>
      <c r="T653" s="201" t="n">
        <v>42</v>
      </c>
      <c r="U653" s="58" t="inlineStr">
        <is>
          <t>01 UNIT JMC T822 3TON DUMP TRUCK ( VOIR BL)</t>
        </is>
      </c>
      <c r="V653" s="67" t="n"/>
      <c r="W653" s="67" t="n"/>
      <c r="X653" s="62" t="inlineStr">
        <is>
          <t>N-OP</t>
        </is>
      </c>
      <c r="Y653" s="116">
        <f>F653/E653</f>
        <v/>
      </c>
      <c r="Z653" s="64">
        <f>E653-N653</f>
        <v/>
      </c>
    </row>
    <row r="654" ht="18" customHeight="1" s="202">
      <c r="A654" s="106" t="n">
        <v>20260030</v>
      </c>
      <c r="B654" s="107" t="inlineStr">
        <is>
          <t>OCEAN FEATHER</t>
        </is>
      </c>
      <c r="C654" s="108" t="n">
        <v>46052</v>
      </c>
      <c r="D654" s="108" t="n">
        <v>46075</v>
      </c>
      <c r="E654" s="106" t="n">
        <v>1</v>
      </c>
      <c r="F654" s="106" t="n">
        <v>36</v>
      </c>
      <c r="G654" s="106" t="n">
        <v>24</v>
      </c>
      <c r="H654" s="109" t="inlineStr">
        <is>
          <t>EURL ALSFWANE SERVICES GENERALE</t>
        </is>
      </c>
      <c r="I654" s="109" t="inlineStr">
        <is>
          <t>EXCAVATEURS</t>
        </is>
      </c>
      <c r="J654" s="107" t="inlineStr">
        <is>
          <t>ENGINS</t>
        </is>
      </c>
      <c r="K654" s="108">
        <f>D654+8</f>
        <v/>
      </c>
      <c r="L654" s="108">
        <f>K654+60</f>
        <v/>
      </c>
      <c r="M654" s="111" t="n"/>
      <c r="N654" s="112">
        <f>E654-1</f>
        <v/>
      </c>
      <c r="O654" s="113">
        <f>F654/E654*N654</f>
        <v/>
      </c>
      <c r="P654" s="112">
        <f>G654/E654*N654</f>
        <v/>
      </c>
      <c r="Q654" s="109" t="n"/>
      <c r="R654" s="109" t="n"/>
      <c r="S654" s="109" t="inlineStr">
        <is>
          <t>OF25320LDJD066</t>
        </is>
      </c>
      <c r="T654" s="114" t="n">
        <v>48</v>
      </c>
      <c r="U654" s="109" t="inlineStr">
        <is>
          <t>01 UNIT EXCAVATOR+HAMMER ACE340 (VOIR BL)</t>
        </is>
      </c>
      <c r="V654" s="106" t="n"/>
      <c r="W654" s="106" t="n"/>
      <c r="X654" s="106" t="inlineStr">
        <is>
          <t>SOLDEE</t>
        </is>
      </c>
      <c r="Y654" s="116">
        <f>F654/E654</f>
        <v/>
      </c>
      <c r="Z654" s="30" t="n"/>
    </row>
    <row r="655" ht="18" customHeight="1" s="202">
      <c r="A655" s="106" t="n">
        <v>20260030</v>
      </c>
      <c r="B655" s="107" t="inlineStr">
        <is>
          <t>OCEAN FEATHER</t>
        </is>
      </c>
      <c r="C655" s="108" t="n">
        <v>46052</v>
      </c>
      <c r="D655" s="108" t="n">
        <v>46075</v>
      </c>
      <c r="E655" s="106" t="n">
        <v>2</v>
      </c>
      <c r="F655" s="106" t="n">
        <v>0</v>
      </c>
      <c r="G655" s="106" t="n">
        <v>6</v>
      </c>
      <c r="H655" s="109" t="inlineStr">
        <is>
          <t>EURL ALSFWANE SERVICES GENERALE</t>
        </is>
      </c>
      <c r="I655" s="109" t="inlineStr">
        <is>
          <t>COLIS</t>
        </is>
      </c>
      <c r="J655" s="107" t="inlineStr">
        <is>
          <t>COLIS</t>
        </is>
      </c>
      <c r="K655" s="108">
        <f>D655+8</f>
        <v/>
      </c>
      <c r="L655" s="108">
        <f>K655+60</f>
        <v/>
      </c>
      <c r="M655" s="111" t="n"/>
      <c r="N655" s="112">
        <f>E655-1-1</f>
        <v/>
      </c>
      <c r="O655" s="113">
        <f>F655/E655*N655</f>
        <v/>
      </c>
      <c r="P655" s="112">
        <f>G655/E655*N655</f>
        <v/>
      </c>
      <c r="Q655" s="109" t="n"/>
      <c r="R655" s="109" t="n"/>
      <c r="S655" s="109" t="inlineStr">
        <is>
          <t>OF25320LDJD066</t>
        </is>
      </c>
      <c r="T655" s="114" t="n">
        <v>48</v>
      </c>
      <c r="U655" s="109" t="n"/>
      <c r="V655" s="106" t="n"/>
      <c r="W655" s="106" t="n"/>
      <c r="X655" s="106" t="inlineStr">
        <is>
          <t>SOLDEE</t>
        </is>
      </c>
      <c r="Y655" s="116">
        <f>F655/E655</f>
        <v/>
      </c>
      <c r="Z655" s="30" t="n"/>
    </row>
    <row r="656" ht="18" customHeight="1" s="202">
      <c r="A656" s="116" t="n">
        <v>20260030</v>
      </c>
      <c r="B656" s="117" t="inlineStr">
        <is>
          <t>OCEAN FEATHER</t>
        </is>
      </c>
      <c r="C656" s="118" t="n">
        <v>46052</v>
      </c>
      <c r="D656" s="118" t="n">
        <v>46075</v>
      </c>
      <c r="E656" s="67" t="n">
        <v>1</v>
      </c>
      <c r="F656" s="119" t="n">
        <v>36</v>
      </c>
      <c r="G656" s="120" t="n">
        <v>24</v>
      </c>
      <c r="H656" s="121" t="inlineStr">
        <is>
          <t>ROUABEH MAAMAR</t>
        </is>
      </c>
      <c r="I656" s="121" t="inlineStr">
        <is>
          <t>EXCAVATEURS</t>
        </is>
      </c>
      <c r="J656" s="117" t="inlineStr">
        <is>
          <t>ENGINS</t>
        </is>
      </c>
      <c r="K656" s="48">
        <f>D656+8</f>
        <v/>
      </c>
      <c r="L656" s="48">
        <f>K656+60</f>
        <v/>
      </c>
      <c r="M656" s="71" t="n"/>
      <c r="N656" s="72">
        <f>E656</f>
        <v/>
      </c>
      <c r="O656" s="50">
        <f>F656/E656*N656</f>
        <v/>
      </c>
      <c r="P656" s="273">
        <f>G656/E656*N656</f>
        <v/>
      </c>
      <c r="Q656" s="224" t="n"/>
      <c r="R656" s="58" t="n"/>
      <c r="S656" s="200" t="inlineStr">
        <is>
          <t>OF25320LDJD067</t>
        </is>
      </c>
      <c r="T656" s="201" t="n">
        <v>49</v>
      </c>
      <c r="U656" s="58" t="inlineStr">
        <is>
          <t>01 UNIT EXCAVATOR+HAMMER ACE340 (VOIR BL)</t>
        </is>
      </c>
      <c r="V656" s="67" t="n"/>
      <c r="W656" s="67" t="n"/>
      <c r="X656" s="62" t="inlineStr">
        <is>
          <t>N-OP</t>
        </is>
      </c>
      <c r="Y656" s="116">
        <f>F656/E656</f>
        <v/>
      </c>
      <c r="Z656" s="64">
        <f>E656-N656</f>
        <v/>
      </c>
    </row>
    <row r="657" ht="18" customHeight="1" s="202">
      <c r="A657" s="116" t="n">
        <v>20260030</v>
      </c>
      <c r="B657" s="117" t="inlineStr">
        <is>
          <t>OCEAN FEATHER</t>
        </is>
      </c>
      <c r="C657" s="118" t="n">
        <v>46052</v>
      </c>
      <c r="D657" s="118" t="n">
        <v>46075</v>
      </c>
      <c r="E657" s="67" t="n">
        <v>2</v>
      </c>
      <c r="F657" s="119" t="n">
        <v>0</v>
      </c>
      <c r="G657" s="120" t="n">
        <v>6</v>
      </c>
      <c r="H657" s="121" t="inlineStr">
        <is>
          <t>ROUABEH MAAMAR</t>
        </is>
      </c>
      <c r="I657" s="121" t="inlineStr">
        <is>
          <t>COLIS</t>
        </is>
      </c>
      <c r="J657" s="117" t="inlineStr">
        <is>
          <t>COLIS</t>
        </is>
      </c>
      <c r="K657" s="48">
        <f>D657+8</f>
        <v/>
      </c>
      <c r="L657" s="48">
        <f>K657+60</f>
        <v/>
      </c>
      <c r="M657" s="71" t="n"/>
      <c r="N657" s="72">
        <f>E657</f>
        <v/>
      </c>
      <c r="O657" s="50">
        <f>F657/E657*N657</f>
        <v/>
      </c>
      <c r="P657" s="273">
        <f>G657/E657*N657</f>
        <v/>
      </c>
      <c r="Q657" s="224" t="n"/>
      <c r="R657" s="58" t="n"/>
      <c r="S657" s="200" t="inlineStr">
        <is>
          <t>OF25320LDJD067</t>
        </is>
      </c>
      <c r="T657" s="201" t="n">
        <v>49</v>
      </c>
      <c r="U657" s="58" t="n"/>
      <c r="V657" s="67" t="n"/>
      <c r="W657" s="67" t="n"/>
      <c r="X657" s="62" t="inlineStr">
        <is>
          <t>N-OP</t>
        </is>
      </c>
      <c r="Y657" s="116">
        <f>F657/E657</f>
        <v/>
      </c>
      <c r="Z657" s="64">
        <f>E657-N657</f>
        <v/>
      </c>
    </row>
    <row r="658" ht="18" customHeight="1" s="202">
      <c r="A658" s="106" t="n">
        <v>20260030</v>
      </c>
      <c r="B658" s="107" t="inlineStr">
        <is>
          <t>OCEAN FEATHER</t>
        </is>
      </c>
      <c r="C658" s="108" t="n">
        <v>46052</v>
      </c>
      <c r="D658" s="108" t="n">
        <v>46075</v>
      </c>
      <c r="E658" s="106" t="n">
        <v>1</v>
      </c>
      <c r="F658" s="106" t="n">
        <v>35</v>
      </c>
      <c r="G658" s="106" t="n">
        <v>24</v>
      </c>
      <c r="H658" s="109" t="inlineStr">
        <is>
          <t>EURL TP H NEXT TRAVAUX</t>
        </is>
      </c>
      <c r="I658" s="109" t="inlineStr">
        <is>
          <t>EXCAVATEURS</t>
        </is>
      </c>
      <c r="J658" s="107" t="inlineStr">
        <is>
          <t>ENGINS</t>
        </is>
      </c>
      <c r="K658" s="108">
        <f>D658+8</f>
        <v/>
      </c>
      <c r="L658" s="108">
        <f>K658+60</f>
        <v/>
      </c>
      <c r="M658" s="111" t="n"/>
      <c r="N658" s="112">
        <f>E658-1</f>
        <v/>
      </c>
      <c r="O658" s="113">
        <f>F658/E658*N658</f>
        <v/>
      </c>
      <c r="P658" s="112">
        <f>G658/E658*N658</f>
        <v/>
      </c>
      <c r="Q658" s="109" t="n"/>
      <c r="R658" s="109" t="n"/>
      <c r="S658" s="109" t="inlineStr">
        <is>
          <t>OF25320LDJD068</t>
        </is>
      </c>
      <c r="T658" s="114" t="n">
        <v>50</v>
      </c>
      <c r="U658" s="109" t="inlineStr">
        <is>
          <t>01 UNIT ACE340 CRAWLER EXCVATOR WITH JACK HAMMER DEVICE (VOIR BL)</t>
        </is>
      </c>
      <c r="V658" s="106" t="n"/>
      <c r="W658" s="106" t="n"/>
      <c r="X658" s="106" t="inlineStr">
        <is>
          <t>SOLDEE</t>
        </is>
      </c>
      <c r="Y658" s="116">
        <f>F658/E658</f>
        <v/>
      </c>
      <c r="Z658" s="30" t="n"/>
    </row>
    <row r="659" ht="18" customHeight="1" s="202">
      <c r="A659" s="106" t="n">
        <v>20260030</v>
      </c>
      <c r="B659" s="107" t="inlineStr">
        <is>
          <t>OCEAN FEATHER</t>
        </is>
      </c>
      <c r="C659" s="108" t="n">
        <v>46052</v>
      </c>
      <c r="D659" s="108" t="n">
        <v>46075</v>
      </c>
      <c r="E659" s="106" t="n">
        <v>2</v>
      </c>
      <c r="F659" s="106" t="n">
        <v>0</v>
      </c>
      <c r="G659" s="106" t="n">
        <v>6</v>
      </c>
      <c r="H659" s="109" t="inlineStr">
        <is>
          <t>EURL TP H NEXT TRAVAUX</t>
        </is>
      </c>
      <c r="I659" s="109" t="inlineStr">
        <is>
          <t>COLIS</t>
        </is>
      </c>
      <c r="J659" s="107" t="inlineStr">
        <is>
          <t>COLIS</t>
        </is>
      </c>
      <c r="K659" s="108">
        <f>D659+8</f>
        <v/>
      </c>
      <c r="L659" s="108">
        <f>K659+60</f>
        <v/>
      </c>
      <c r="M659" s="111" t="n"/>
      <c r="N659" s="112">
        <f>E659-2</f>
        <v/>
      </c>
      <c r="O659" s="113">
        <f>F659/E659*N659</f>
        <v/>
      </c>
      <c r="P659" s="112">
        <f>G659/E659*N659</f>
        <v/>
      </c>
      <c r="Q659" s="109" t="n"/>
      <c r="R659" s="109" t="n"/>
      <c r="S659" s="109" t="inlineStr">
        <is>
          <t>OF25320LDJD068</t>
        </is>
      </c>
      <c r="T659" s="114" t="n">
        <v>50</v>
      </c>
      <c r="U659" s="109" t="n"/>
      <c r="V659" s="106" t="n"/>
      <c r="W659" s="106" t="n"/>
      <c r="X659" s="106" t="inlineStr">
        <is>
          <t>SOLDEE</t>
        </is>
      </c>
      <c r="Y659" s="116">
        <f>F659/E659</f>
        <v/>
      </c>
      <c r="Z659" s="30" t="n"/>
    </row>
    <row r="660" ht="18" customHeight="1" s="202">
      <c r="A660" s="106" t="n">
        <v>20260030</v>
      </c>
      <c r="B660" s="107" t="inlineStr">
        <is>
          <t>OCEAN FEATHER</t>
        </is>
      </c>
      <c r="C660" s="108" t="n">
        <v>46052</v>
      </c>
      <c r="D660" s="108" t="n">
        <v>46075</v>
      </c>
      <c r="E660" s="106" t="n">
        <v>1</v>
      </c>
      <c r="F660" s="106" t="n">
        <v>18.65</v>
      </c>
      <c r="G660" s="106" t="n">
        <v>24</v>
      </c>
      <c r="H660" s="109" t="inlineStr">
        <is>
          <t>TEBBAL HASSAN</t>
        </is>
      </c>
      <c r="I660" s="109" t="inlineStr">
        <is>
          <t>EXCAVATEURS</t>
        </is>
      </c>
      <c r="J660" s="107" t="inlineStr">
        <is>
          <t>ENGINS</t>
        </is>
      </c>
      <c r="K660" s="108">
        <f>D660+8</f>
        <v/>
      </c>
      <c r="L660" s="108">
        <f>K660+60</f>
        <v/>
      </c>
      <c r="M660" s="111" t="n"/>
      <c r="N660" s="112">
        <f>E660-1</f>
        <v/>
      </c>
      <c r="O660" s="113">
        <f>F660/E660*N660</f>
        <v/>
      </c>
      <c r="P660" s="112">
        <f>G660/E660*N660</f>
        <v/>
      </c>
      <c r="Q660" s="109" t="n"/>
      <c r="R660" s="109" t="n"/>
      <c r="S660" s="109" t="inlineStr">
        <is>
          <t>OF25320LDJD069</t>
        </is>
      </c>
      <c r="T660" s="114" t="n">
        <v>51</v>
      </c>
      <c r="U660" s="109" t="inlineStr">
        <is>
          <t>01 UNIT ACE230 CRAWLER EXCAVATOR WITH JACK HAMMER DEVICE 01 UNIT LOW BED TRAILER OF 30TONS 3 AXTES 01 UNIT SHACMAN WATER TANK TRUCK OF 12000L (VOIR BL )</t>
        </is>
      </c>
      <c r="V660" s="106" t="n"/>
      <c r="W660" s="106" t="n"/>
      <c r="X660" s="106" t="inlineStr">
        <is>
          <t>SOLDEE</t>
        </is>
      </c>
      <c r="Y660" s="116">
        <f>F660/E660</f>
        <v/>
      </c>
      <c r="Z660" s="30" t="n"/>
    </row>
    <row r="661" ht="18" customHeight="1" s="202">
      <c r="A661" s="106" t="n">
        <v>20260030</v>
      </c>
      <c r="B661" s="107" t="inlineStr">
        <is>
          <t>OCEAN FEATHER</t>
        </is>
      </c>
      <c r="C661" s="108" t="n">
        <v>46052</v>
      </c>
      <c r="D661" s="108" t="n">
        <v>46075</v>
      </c>
      <c r="E661" s="106" t="n">
        <v>1</v>
      </c>
      <c r="F661" s="106" t="n">
        <v>10</v>
      </c>
      <c r="G661" s="106" t="n">
        <v>24</v>
      </c>
      <c r="H661" s="109" t="inlineStr">
        <is>
          <t>TEBBAL HASSAN</t>
        </is>
      </c>
      <c r="I661" s="109" t="inlineStr">
        <is>
          <t>REMORQUES</t>
        </is>
      </c>
      <c r="J661" s="107" t="inlineStr">
        <is>
          <t>LOURD</t>
        </is>
      </c>
      <c r="K661" s="108">
        <f>D661+8</f>
        <v/>
      </c>
      <c r="L661" s="108">
        <f>K661+60</f>
        <v/>
      </c>
      <c r="M661" s="111" t="n"/>
      <c r="N661" s="112">
        <f>E661-1</f>
        <v/>
      </c>
      <c r="O661" s="113">
        <f>F661/E661*N661</f>
        <v/>
      </c>
      <c r="P661" s="112">
        <f>G661/E661*N661</f>
        <v/>
      </c>
      <c r="Q661" s="109" t="n"/>
      <c r="R661" s="109" t="n"/>
      <c r="S661" s="109" t="inlineStr">
        <is>
          <t>OF25320LDJD069</t>
        </is>
      </c>
      <c r="T661" s="114" t="n">
        <v>51</v>
      </c>
      <c r="U661" s="109" t="n"/>
      <c r="V661" s="106" t="n"/>
      <c r="W661" s="106" t="n"/>
      <c r="X661" s="106" t="inlineStr">
        <is>
          <t>SOLDEE</t>
        </is>
      </c>
      <c r="Y661" s="116">
        <f>F661/E661</f>
        <v/>
      </c>
      <c r="Z661" s="30" t="n"/>
    </row>
    <row r="662" ht="18" customHeight="1" s="202">
      <c r="A662" s="106" t="n">
        <v>20260030</v>
      </c>
      <c r="B662" s="107" t="inlineStr">
        <is>
          <t>OCEAN FEATHER</t>
        </is>
      </c>
      <c r="C662" s="108" t="n">
        <v>46052</v>
      </c>
      <c r="D662" s="108" t="n">
        <v>46075</v>
      </c>
      <c r="E662" s="106" t="n">
        <v>1</v>
      </c>
      <c r="F662" s="106" t="n">
        <v>10</v>
      </c>
      <c r="G662" s="106" t="n">
        <v>24</v>
      </c>
      <c r="H662" s="109" t="inlineStr">
        <is>
          <t>TEBBAL HASSAN</t>
        </is>
      </c>
      <c r="I662" s="109" t="inlineStr">
        <is>
          <t>CAMIONS</t>
        </is>
      </c>
      <c r="J662" s="107" t="inlineStr">
        <is>
          <t>LOURD</t>
        </is>
      </c>
      <c r="K662" s="108">
        <f>D662+8</f>
        <v/>
      </c>
      <c r="L662" s="108">
        <f>K662+60</f>
        <v/>
      </c>
      <c r="M662" s="111" t="n"/>
      <c r="N662" s="112">
        <f>E662-1</f>
        <v/>
      </c>
      <c r="O662" s="113">
        <f>F662/E662*N662</f>
        <v/>
      </c>
      <c r="P662" s="112">
        <f>G662/E662*N662</f>
        <v/>
      </c>
      <c r="Q662" s="109" t="n"/>
      <c r="R662" s="109" t="n"/>
      <c r="S662" s="109" t="inlineStr">
        <is>
          <t>OF25320LDJD069</t>
        </is>
      </c>
      <c r="T662" s="114" t="n">
        <v>51</v>
      </c>
      <c r="U662" s="109" t="n"/>
      <c r="V662" s="106" t="n"/>
      <c r="W662" s="106" t="n"/>
      <c r="X662" s="106" t="inlineStr">
        <is>
          <t>SOLDEE</t>
        </is>
      </c>
      <c r="Y662" s="116">
        <f>F662/E662</f>
        <v/>
      </c>
      <c r="Z662" s="30" t="n"/>
    </row>
    <row r="663" ht="18" customHeight="1" s="202">
      <c r="A663" s="106" t="n">
        <v>20260030</v>
      </c>
      <c r="B663" s="107" t="inlineStr">
        <is>
          <t>OCEAN FEATHER</t>
        </is>
      </c>
      <c r="C663" s="108" t="n">
        <v>46052</v>
      </c>
      <c r="D663" s="108" t="n">
        <v>46075</v>
      </c>
      <c r="E663" s="106" t="n">
        <v>1</v>
      </c>
      <c r="F663" s="106" t="n">
        <v>0</v>
      </c>
      <c r="G663" s="106" t="n">
        <v>3</v>
      </c>
      <c r="H663" s="109" t="inlineStr">
        <is>
          <t>TEBBAL HASSAN</t>
        </is>
      </c>
      <c r="I663" s="109" t="inlineStr">
        <is>
          <t>COLIS</t>
        </is>
      </c>
      <c r="J663" s="107" t="inlineStr">
        <is>
          <t>COLIS</t>
        </is>
      </c>
      <c r="K663" s="108">
        <f>D663+8</f>
        <v/>
      </c>
      <c r="L663" s="108">
        <f>K663+60</f>
        <v/>
      </c>
      <c r="M663" s="111" t="n"/>
      <c r="N663" s="112">
        <f>E663-1</f>
        <v/>
      </c>
      <c r="O663" s="113">
        <f>F663/E663*N663</f>
        <v/>
      </c>
      <c r="P663" s="112">
        <f>G663/E663*N663</f>
        <v/>
      </c>
      <c r="Q663" s="109" t="n"/>
      <c r="R663" s="109" t="n"/>
      <c r="S663" s="109" t="inlineStr">
        <is>
          <t>OF25320LDJD069</t>
        </is>
      </c>
      <c r="T663" s="114" t="n">
        <v>51</v>
      </c>
      <c r="U663" s="109" t="n"/>
      <c r="V663" s="106" t="n"/>
      <c r="W663" s="106" t="n"/>
      <c r="X663" s="106" t="inlineStr">
        <is>
          <t>SOLDEE</t>
        </is>
      </c>
      <c r="Y663" s="116">
        <f>F663/E663</f>
        <v/>
      </c>
      <c r="Z663" s="30" t="n"/>
    </row>
    <row r="664" ht="18" customHeight="1" s="202">
      <c r="A664" s="106" t="n">
        <v>20260030</v>
      </c>
      <c r="B664" s="107" t="inlineStr">
        <is>
          <t>OCEAN FEATHER</t>
        </is>
      </c>
      <c r="C664" s="108" t="n">
        <v>46052</v>
      </c>
      <c r="D664" s="108" t="n">
        <v>46075</v>
      </c>
      <c r="E664" s="106" t="n">
        <v>1</v>
      </c>
      <c r="F664" s="106" t="n">
        <v>2.905</v>
      </c>
      <c r="G664" s="106" t="n">
        <v>24</v>
      </c>
      <c r="H664" s="109" t="inlineStr">
        <is>
          <t>SARL GS CLEAN FABRICATION DES ARTICLES DE NETTOYAG</t>
        </is>
      </c>
      <c r="I664" s="109" t="inlineStr">
        <is>
          <t>CAMIONS</t>
        </is>
      </c>
      <c r="J664" s="107" t="inlineStr">
        <is>
          <t>LOURD</t>
        </is>
      </c>
      <c r="K664" s="108">
        <f>D664+8</f>
        <v/>
      </c>
      <c r="L664" s="108">
        <f>K664+60</f>
        <v/>
      </c>
      <c r="M664" s="111" t="n"/>
      <c r="N664" s="112">
        <f>E664-1</f>
        <v/>
      </c>
      <c r="O664" s="113">
        <f>F664/E664*N664</f>
        <v/>
      </c>
      <c r="P664" s="112">
        <f>G664/E664*N664</f>
        <v/>
      </c>
      <c r="Q664" s="109" t="n"/>
      <c r="R664" s="109" t="n"/>
      <c r="S664" s="109" t="inlineStr">
        <is>
          <t>OF25320LDJD070</t>
        </is>
      </c>
      <c r="T664" s="114" t="n">
        <v>52</v>
      </c>
      <c r="U664" s="109" t="inlineStr">
        <is>
          <t>01 UNIT JAC CARGO TRUCK (VOIR BL)</t>
        </is>
      </c>
      <c r="V664" s="106" t="n"/>
      <c r="W664" s="106" t="n"/>
      <c r="X664" s="106" t="inlineStr">
        <is>
          <t>SOLDEE</t>
        </is>
      </c>
      <c r="Y664" s="116">
        <f>F664/E664</f>
        <v/>
      </c>
      <c r="Z664" s="30" t="n"/>
    </row>
    <row r="665" ht="18" customHeight="1" s="202">
      <c r="A665" s="106" t="n">
        <v>20260030</v>
      </c>
      <c r="B665" s="107" t="inlineStr">
        <is>
          <t>OCEAN FEATHER</t>
        </is>
      </c>
      <c r="C665" s="108" t="n">
        <v>46052</v>
      </c>
      <c r="D665" s="108" t="n">
        <v>46075</v>
      </c>
      <c r="E665" s="106" t="n">
        <v>1</v>
      </c>
      <c r="F665" s="106" t="n">
        <v>12.33</v>
      </c>
      <c r="G665" s="106" t="n">
        <v>24</v>
      </c>
      <c r="H665" s="109" t="inlineStr">
        <is>
          <t>EURL CHARADI MOHAMED</t>
        </is>
      </c>
      <c r="I665" s="109" t="inlineStr">
        <is>
          <t>CAMIONS</t>
        </is>
      </c>
      <c r="J665" s="107" t="inlineStr">
        <is>
          <t>LOURD</t>
        </is>
      </c>
      <c r="K665" s="108">
        <f>D665+8</f>
        <v/>
      </c>
      <c r="L665" s="108">
        <f>K665+60</f>
        <v/>
      </c>
      <c r="M665" s="111" t="n"/>
      <c r="N665" s="112">
        <f>E665-1</f>
        <v/>
      </c>
      <c r="O665" s="113">
        <f>F665/E665*N665</f>
        <v/>
      </c>
      <c r="P665" s="112">
        <f>G665/E665*N665</f>
        <v/>
      </c>
      <c r="Q665" s="109" t="n"/>
      <c r="R665" s="109" t="n"/>
      <c r="S665" s="109" t="inlineStr">
        <is>
          <t>OF25320LDJD071</t>
        </is>
      </c>
      <c r="T665" s="114" t="n">
        <v>53</v>
      </c>
      <c r="U665" s="109" t="inlineStr">
        <is>
          <t>01 UNIT SHACMAN F3000 TRUCK (VOIR BL)</t>
        </is>
      </c>
      <c r="V665" s="106" t="n"/>
      <c r="W665" s="106" t="n"/>
      <c r="X665" s="106" t="inlineStr">
        <is>
          <t>SOLDEE</t>
        </is>
      </c>
      <c r="Y665" s="116">
        <f>F665/E665</f>
        <v/>
      </c>
      <c r="Z665" s="30" t="n"/>
    </row>
    <row r="666" ht="18" customHeight="1" s="202">
      <c r="A666" s="116" t="n">
        <v>20260030</v>
      </c>
      <c r="B666" s="117" t="inlineStr">
        <is>
          <t>OCEAN FEATHER</t>
        </is>
      </c>
      <c r="C666" s="118" t="n">
        <v>46052</v>
      </c>
      <c r="D666" s="118" t="n">
        <v>46075</v>
      </c>
      <c r="E666" s="67" t="n">
        <v>1</v>
      </c>
      <c r="F666" s="119" t="n">
        <v>0.3</v>
      </c>
      <c r="G666" s="120" t="n">
        <v>24</v>
      </c>
      <c r="H666" s="121" t="inlineStr">
        <is>
          <t>EURL CHARADI MOHAMED</t>
        </is>
      </c>
      <c r="I666" s="121" t="inlineStr">
        <is>
          <t>CAMIONS</t>
        </is>
      </c>
      <c r="J666" s="117" t="inlineStr">
        <is>
          <t>LOURD</t>
        </is>
      </c>
      <c r="K666" s="48">
        <f>D666+8</f>
        <v/>
      </c>
      <c r="L666" s="48">
        <f>K666+60</f>
        <v/>
      </c>
      <c r="M666" s="71" t="n"/>
      <c r="N666" s="72">
        <f>E666</f>
        <v/>
      </c>
      <c r="O666" s="50">
        <f>F666/E666*N666</f>
        <v/>
      </c>
      <c r="P666" s="273">
        <f>G666/E666*N666</f>
        <v/>
      </c>
      <c r="Q666" s="224" t="n"/>
      <c r="R666" s="58" t="n"/>
      <c r="S666" s="200" t="inlineStr">
        <is>
          <t>OF25320LDJD072</t>
        </is>
      </c>
      <c r="T666" s="201" t="n">
        <v>54</v>
      </c>
      <c r="U666" s="58" t="inlineStr">
        <is>
          <t>01 UNIT CEMENT MIXER TRUCK CAB ( NOIR BL)</t>
        </is>
      </c>
      <c r="V666" s="67" t="n"/>
      <c r="W666" s="67" t="n"/>
      <c r="X666" s="62" t="inlineStr">
        <is>
          <t>N-OP</t>
        </is>
      </c>
      <c r="Y666" s="116">
        <f>F666/E666</f>
        <v/>
      </c>
      <c r="Z666" s="64">
        <f>E666-N666</f>
        <v/>
      </c>
    </row>
    <row r="667" ht="18" customHeight="1" s="202">
      <c r="A667" s="116" t="n">
        <v>20260030</v>
      </c>
      <c r="B667" s="117" t="inlineStr">
        <is>
          <t>OCEAN FEATHER</t>
        </is>
      </c>
      <c r="C667" s="118" t="n">
        <v>46052</v>
      </c>
      <c r="D667" s="118" t="n">
        <v>46075</v>
      </c>
      <c r="E667" s="67" t="n">
        <v>1</v>
      </c>
      <c r="F667" s="119" t="n">
        <v>23.3</v>
      </c>
      <c r="G667" s="120" t="n">
        <v>24</v>
      </c>
      <c r="H667" s="121" t="inlineStr">
        <is>
          <t>MEZIANE FARES</t>
        </is>
      </c>
      <c r="I667" s="121" t="inlineStr">
        <is>
          <t>EXCAVATEURS</t>
        </is>
      </c>
      <c r="J667" s="117" t="inlineStr">
        <is>
          <t>ENGINS</t>
        </is>
      </c>
      <c r="K667" s="48">
        <f>D667+8</f>
        <v/>
      </c>
      <c r="L667" s="48">
        <f>K667+60</f>
        <v/>
      </c>
      <c r="M667" s="71" t="n"/>
      <c r="N667" s="72">
        <f>E667</f>
        <v/>
      </c>
      <c r="O667" s="50">
        <f>F667/E667*N667</f>
        <v/>
      </c>
      <c r="P667" s="273">
        <f>G667/E667*N667</f>
        <v/>
      </c>
      <c r="Q667" s="224" t="n"/>
      <c r="R667" s="58" t="n"/>
      <c r="S667" s="200" t="inlineStr">
        <is>
          <t>OF25320LDJD073</t>
        </is>
      </c>
      <c r="T667" s="201" t="n">
        <v>55</v>
      </c>
      <c r="U667" s="58" t="inlineStr">
        <is>
          <t>01 UNIT ACE230 CRAWLER EXCAVATOR WITH HAMMER (VOIR BL)</t>
        </is>
      </c>
      <c r="V667" s="67" t="n"/>
      <c r="W667" s="67" t="n"/>
      <c r="X667" s="62" t="inlineStr">
        <is>
          <t>N-OP</t>
        </is>
      </c>
      <c r="Y667" s="116">
        <f>F667/E667</f>
        <v/>
      </c>
      <c r="Z667" s="64">
        <f>E667-N667</f>
        <v/>
      </c>
    </row>
    <row r="668" ht="18" customHeight="1" s="202">
      <c r="A668" s="116" t="n">
        <v>20260030</v>
      </c>
      <c r="B668" s="117" t="inlineStr">
        <is>
          <t>OCEAN FEATHER</t>
        </is>
      </c>
      <c r="C668" s="118" t="n">
        <v>46052</v>
      </c>
      <c r="D668" s="118" t="n">
        <v>46075</v>
      </c>
      <c r="E668" s="67" t="n">
        <v>1</v>
      </c>
      <c r="F668" s="119" t="n">
        <v>0</v>
      </c>
      <c r="G668" s="120" t="n">
        <v>3</v>
      </c>
      <c r="H668" s="121" t="inlineStr">
        <is>
          <t>MEZIANE FARES</t>
        </is>
      </c>
      <c r="I668" s="121" t="inlineStr">
        <is>
          <t>COLIS</t>
        </is>
      </c>
      <c r="J668" s="117" t="inlineStr">
        <is>
          <t>COLIS</t>
        </is>
      </c>
      <c r="K668" s="48">
        <f>D668+8</f>
        <v/>
      </c>
      <c r="L668" s="48">
        <f>K668+60</f>
        <v/>
      </c>
      <c r="M668" s="71" t="n"/>
      <c r="N668" s="72">
        <f>E668</f>
        <v/>
      </c>
      <c r="O668" s="50">
        <f>F668/E668*N668</f>
        <v/>
      </c>
      <c r="P668" s="273">
        <f>G668/E668*N668</f>
        <v/>
      </c>
      <c r="Q668" s="224" t="n"/>
      <c r="R668" s="58" t="n"/>
      <c r="S668" s="200" t="inlineStr">
        <is>
          <t>OF25320LDJD073</t>
        </is>
      </c>
      <c r="T668" s="201" t="n">
        <v>55</v>
      </c>
      <c r="U668" s="58" t="n"/>
      <c r="V668" s="67" t="n"/>
      <c r="W668" s="67" t="n"/>
      <c r="X668" s="62" t="inlineStr">
        <is>
          <t>N-OP</t>
        </is>
      </c>
      <c r="Y668" s="116">
        <f>F668/E668</f>
        <v/>
      </c>
      <c r="Z668" s="64">
        <f>E668-N668</f>
        <v/>
      </c>
    </row>
    <row r="669" ht="18" customHeight="1" s="202">
      <c r="A669" s="106" t="n">
        <v>20260030</v>
      </c>
      <c r="B669" s="107" t="inlineStr">
        <is>
          <t>OCEAN FEATHER</t>
        </is>
      </c>
      <c r="C669" s="108" t="n">
        <v>46052</v>
      </c>
      <c r="D669" s="108" t="n">
        <v>46075</v>
      </c>
      <c r="E669" s="106" t="n">
        <v>2</v>
      </c>
      <c r="F669" s="106" t="n">
        <v>29</v>
      </c>
      <c r="G669" s="106" t="n">
        <v>48</v>
      </c>
      <c r="H669" s="109" t="inlineStr">
        <is>
          <t>CHINA ROAD AND BRIDGE CORPORATION</t>
        </is>
      </c>
      <c r="I669" s="109" t="inlineStr">
        <is>
          <t>REMORQUES</t>
        </is>
      </c>
      <c r="J669" s="107" t="inlineStr">
        <is>
          <t>LOURD</t>
        </is>
      </c>
      <c r="K669" s="108">
        <f>D669+8</f>
        <v/>
      </c>
      <c r="L669" s="108">
        <f>K669+60</f>
        <v/>
      </c>
      <c r="M669" s="111" t="n"/>
      <c r="N669" s="112">
        <f>E669-2</f>
        <v/>
      </c>
      <c r="O669" s="113">
        <f>F669/E669*N669</f>
        <v/>
      </c>
      <c r="P669" s="112">
        <f>G669/E669*N669</f>
        <v/>
      </c>
      <c r="Q669" s="109" t="n"/>
      <c r="R669" s="109" t="n"/>
      <c r="S669" s="109" t="inlineStr">
        <is>
          <t>OF25320LDJD075</t>
        </is>
      </c>
      <c r="T669" s="114" t="n">
        <v>57</v>
      </c>
      <c r="U669" s="109" t="inlineStr">
        <is>
          <t>02 UNITS BULK CEMENT TRUCK (VOIR BL)</t>
        </is>
      </c>
      <c r="V669" s="106" t="n"/>
      <c r="W669" s="106" t="n"/>
      <c r="X669" s="106" t="inlineStr">
        <is>
          <t>SOLDEE</t>
        </is>
      </c>
      <c r="Y669" s="116">
        <f>F669/E669</f>
        <v/>
      </c>
      <c r="Z669" s="30" t="n"/>
    </row>
    <row r="670" ht="18" customHeight="1" s="202">
      <c r="A670" s="116" t="n">
        <v>20260030</v>
      </c>
      <c r="B670" s="117" t="inlineStr">
        <is>
          <t>OCEAN FEATHER</t>
        </is>
      </c>
      <c r="C670" s="118" t="n">
        <v>46052</v>
      </c>
      <c r="D670" s="118" t="n">
        <v>46075</v>
      </c>
      <c r="E670" s="67" t="n">
        <v>1</v>
      </c>
      <c r="F670" s="119" t="n">
        <v>27.25</v>
      </c>
      <c r="G670" s="120" t="n">
        <v>24</v>
      </c>
      <c r="H670" s="121" t="inlineStr">
        <is>
          <t>SARL BRIQUETERIE SBMT</t>
        </is>
      </c>
      <c r="I670" s="121" t="inlineStr">
        <is>
          <t>EXCAVATEURS</t>
        </is>
      </c>
      <c r="J670" s="117" t="inlineStr">
        <is>
          <t>ENGINS</t>
        </is>
      </c>
      <c r="K670" s="48">
        <f>D670+8</f>
        <v/>
      </c>
      <c r="L670" s="48">
        <f>K670+60</f>
        <v/>
      </c>
      <c r="M670" s="71" t="n"/>
      <c r="N670" s="72">
        <f>E670</f>
        <v/>
      </c>
      <c r="O670" s="50">
        <f>F670/E670*N670</f>
        <v/>
      </c>
      <c r="P670" s="273">
        <f>G670/E670*N670</f>
        <v/>
      </c>
      <c r="Q670" s="224" t="n"/>
      <c r="R670" s="58" t="n"/>
      <c r="S670" s="200" t="inlineStr">
        <is>
          <t>OF25320LDJD076</t>
        </is>
      </c>
      <c r="T670" s="201" t="n">
        <v>58</v>
      </c>
      <c r="U670" s="58" t="inlineStr">
        <is>
          <t>01 UNIT HYUNDAI CRAWLER EXCAVATOR HX340HD + BREAK HAMMER 01 UNIT XCMG WHEEL LOADER ZL50GN (VOIR BL)</t>
        </is>
      </c>
      <c r="V670" s="67" t="n"/>
      <c r="W670" s="67" t="n"/>
      <c r="X670" s="62" t="inlineStr">
        <is>
          <t>N-OP</t>
        </is>
      </c>
      <c r="Y670" s="116">
        <f>F670/E670</f>
        <v/>
      </c>
      <c r="Z670" s="64">
        <f>E670-N670</f>
        <v/>
      </c>
    </row>
    <row r="671" ht="18" customHeight="1" s="202">
      <c r="A671" s="116" t="n">
        <v>20260030</v>
      </c>
      <c r="B671" s="117" t="inlineStr">
        <is>
          <t>OCEAN FEATHER</t>
        </is>
      </c>
      <c r="C671" s="118" t="n">
        <v>46052</v>
      </c>
      <c r="D671" s="118" t="n">
        <v>46075</v>
      </c>
      <c r="E671" s="67" t="n">
        <v>1</v>
      </c>
      <c r="F671" s="119" t="n">
        <v>27.25</v>
      </c>
      <c r="G671" s="120" t="n">
        <v>24</v>
      </c>
      <c r="H671" s="121" t="inlineStr">
        <is>
          <t>SARL BRIQUETERIE SBMT</t>
        </is>
      </c>
      <c r="I671" s="121" t="inlineStr">
        <is>
          <t>CHARGEURS</t>
        </is>
      </c>
      <c r="J671" s="117" t="inlineStr">
        <is>
          <t>ENGINS</t>
        </is>
      </c>
      <c r="K671" s="48">
        <f>D671+8</f>
        <v/>
      </c>
      <c r="L671" s="48">
        <f>K671+60</f>
        <v/>
      </c>
      <c r="M671" s="71" t="n"/>
      <c r="N671" s="72">
        <f>E671</f>
        <v/>
      </c>
      <c r="O671" s="50">
        <f>F671/E671*N671</f>
        <v/>
      </c>
      <c r="P671" s="273">
        <f>G671/E671*N671</f>
        <v/>
      </c>
      <c r="Q671" s="224" t="n"/>
      <c r="R671" s="58" t="n"/>
      <c r="S671" s="200" t="inlineStr">
        <is>
          <t>OF25320LDJD076</t>
        </is>
      </c>
      <c r="T671" s="201" t="n">
        <v>58</v>
      </c>
      <c r="U671" s="58" t="n"/>
      <c r="V671" s="67" t="n"/>
      <c r="W671" s="67" t="n"/>
      <c r="X671" s="62" t="inlineStr">
        <is>
          <t>N-OP</t>
        </is>
      </c>
      <c r="Y671" s="116">
        <f>F671/E671</f>
        <v/>
      </c>
      <c r="Z671" s="64">
        <f>E671-N671</f>
        <v/>
      </c>
    </row>
    <row r="672" ht="18" customHeight="1" s="202">
      <c r="A672" s="116" t="n">
        <v>20260030</v>
      </c>
      <c r="B672" s="117" t="inlineStr">
        <is>
          <t>OCEAN FEATHER</t>
        </is>
      </c>
      <c r="C672" s="118" t="n">
        <v>46052</v>
      </c>
      <c r="D672" s="118" t="n">
        <v>46075</v>
      </c>
      <c r="E672" s="67" t="n">
        <v>4</v>
      </c>
      <c r="F672" s="119" t="n">
        <v>0</v>
      </c>
      <c r="G672" s="120" t="n">
        <v>12</v>
      </c>
      <c r="H672" s="121" t="inlineStr">
        <is>
          <t>SARL BRIQUETERIE SBMT</t>
        </is>
      </c>
      <c r="I672" s="121" t="inlineStr">
        <is>
          <t>COLIS</t>
        </is>
      </c>
      <c r="J672" s="117" t="inlineStr">
        <is>
          <t>COLIS</t>
        </is>
      </c>
      <c r="K672" s="48">
        <f>D672+8</f>
        <v/>
      </c>
      <c r="L672" s="48">
        <f>K672+60</f>
        <v/>
      </c>
      <c r="M672" s="71" t="n"/>
      <c r="N672" s="72">
        <f>E672</f>
        <v/>
      </c>
      <c r="O672" s="50">
        <f>F672/E672*N672</f>
        <v/>
      </c>
      <c r="P672" s="273">
        <f>G672/E672*N672</f>
        <v/>
      </c>
      <c r="Q672" s="224" t="n"/>
      <c r="R672" s="58" t="n"/>
      <c r="S672" s="200" t="inlineStr">
        <is>
          <t>OF25320LDJD076</t>
        </is>
      </c>
      <c r="T672" s="201" t="n">
        <v>58</v>
      </c>
      <c r="U672" s="58" t="n"/>
      <c r="V672" s="67" t="n"/>
      <c r="W672" s="67" t="n"/>
      <c r="X672" s="62" t="inlineStr">
        <is>
          <t>N-OP</t>
        </is>
      </c>
      <c r="Y672" s="116">
        <f>F672/E672</f>
        <v/>
      </c>
      <c r="Z672" s="64">
        <f>E672-N672</f>
        <v/>
      </c>
    </row>
    <row r="673" ht="18" customHeight="1" s="202">
      <c r="A673" s="116" t="n">
        <v>20260030</v>
      </c>
      <c r="B673" s="117" t="inlineStr">
        <is>
          <t>OCEAN FEATHER</t>
        </is>
      </c>
      <c r="C673" s="118" t="n">
        <v>46052</v>
      </c>
      <c r="D673" s="118" t="n">
        <v>46075</v>
      </c>
      <c r="E673" s="67" t="n">
        <v>2</v>
      </c>
      <c r="F673" s="119" t="n">
        <v>30</v>
      </c>
      <c r="G673" s="120" t="n">
        <v>48</v>
      </c>
      <c r="H673" s="121" t="inlineStr">
        <is>
          <t>HELLALET OUALID</t>
        </is>
      </c>
      <c r="I673" s="121" t="inlineStr">
        <is>
          <t>COMPACTEURS</t>
        </is>
      </c>
      <c r="J673" s="117" t="inlineStr">
        <is>
          <t>ENGINS</t>
        </is>
      </c>
      <c r="K673" s="48">
        <f>D673+8</f>
        <v/>
      </c>
      <c r="L673" s="48">
        <f>K673+60</f>
        <v/>
      </c>
      <c r="M673" s="71" t="n"/>
      <c r="N673" s="72">
        <f>E673</f>
        <v/>
      </c>
      <c r="O673" s="50">
        <f>F673/E673*N673</f>
        <v/>
      </c>
      <c r="P673" s="273">
        <f>G673/E673*N673</f>
        <v/>
      </c>
      <c r="Q673" s="224" t="n"/>
      <c r="R673" s="58" t="n"/>
      <c r="S673" s="200" t="inlineStr">
        <is>
          <t>OF25320LDJD077</t>
        </is>
      </c>
      <c r="T673" s="201" t="n">
        <v>59</v>
      </c>
      <c r="U673" s="58" t="inlineStr">
        <is>
          <t>02 UNITS XCMG ROAD ROLLER XS203J + XP263 01 UNIT XCMG MOTOR GRADER GR215 (VOIR BL)</t>
        </is>
      </c>
      <c r="V673" s="67" t="n"/>
      <c r="W673" s="67" t="n"/>
      <c r="X673" s="62" t="inlineStr">
        <is>
          <t>N-OP</t>
        </is>
      </c>
      <c r="Y673" s="116">
        <f>F673/E673</f>
        <v/>
      </c>
      <c r="Z673" s="64">
        <f>E673-N673</f>
        <v/>
      </c>
    </row>
    <row r="674" ht="18" customHeight="1" s="202">
      <c r="A674" s="116" t="n">
        <v>20260030</v>
      </c>
      <c r="B674" s="117" t="inlineStr">
        <is>
          <t>OCEAN FEATHER</t>
        </is>
      </c>
      <c r="C674" s="118" t="n">
        <v>46052</v>
      </c>
      <c r="D674" s="118" t="n">
        <v>46075</v>
      </c>
      <c r="E674" s="67" t="n">
        <v>1</v>
      </c>
      <c r="F674" s="119" t="n">
        <v>32.8</v>
      </c>
      <c r="G674" s="120" t="n">
        <v>40</v>
      </c>
      <c r="H674" s="121" t="inlineStr">
        <is>
          <t>HELLALET OUALID</t>
        </is>
      </c>
      <c r="I674" s="121" t="inlineStr">
        <is>
          <t>NIVELEUSES</t>
        </is>
      </c>
      <c r="J674" s="117" t="inlineStr">
        <is>
          <t>ENGINS</t>
        </is>
      </c>
      <c r="K674" s="48">
        <f>D674+8</f>
        <v/>
      </c>
      <c r="L674" s="48">
        <f>K674+60</f>
        <v/>
      </c>
      <c r="M674" s="71" t="n"/>
      <c r="N674" s="72">
        <f>E674</f>
        <v/>
      </c>
      <c r="O674" s="50">
        <f>F674/E674*N674</f>
        <v/>
      </c>
      <c r="P674" s="273">
        <f>G674/E674*N674</f>
        <v/>
      </c>
      <c r="Q674" s="224" t="n"/>
      <c r="R674" s="58" t="n"/>
      <c r="S674" s="200" t="inlineStr">
        <is>
          <t>OF25320LDJD077</t>
        </is>
      </c>
      <c r="T674" s="201" t="n">
        <v>59</v>
      </c>
      <c r="U674" s="58" t="n"/>
      <c r="V674" s="67" t="n"/>
      <c r="W674" s="67" t="n"/>
      <c r="X674" s="62" t="inlineStr">
        <is>
          <t>N-OP</t>
        </is>
      </c>
      <c r="Y674" s="116">
        <f>F674/E674</f>
        <v/>
      </c>
      <c r="Z674" s="64">
        <f>E674-N674</f>
        <v/>
      </c>
    </row>
    <row r="675" ht="18" customHeight="1" s="202">
      <c r="A675" s="106" t="n">
        <v>20260030</v>
      </c>
      <c r="B675" s="107" t="inlineStr">
        <is>
          <t>OCEAN FEATHER</t>
        </is>
      </c>
      <c r="C675" s="108" t="n">
        <v>46052</v>
      </c>
      <c r="D675" s="108" t="n">
        <v>46075</v>
      </c>
      <c r="E675" s="106" t="n">
        <v>3</v>
      </c>
      <c r="F675" s="106" t="n">
        <v>75.15000000000001</v>
      </c>
      <c r="G675" s="106" t="n">
        <v>72</v>
      </c>
      <c r="H675" s="109" t="inlineStr">
        <is>
          <t>EURL PODIOUM TRAVAUX PUBLICS</t>
        </is>
      </c>
      <c r="I675" s="109" t="inlineStr">
        <is>
          <t>CHARGEURS</t>
        </is>
      </c>
      <c r="J675" s="107" t="inlineStr">
        <is>
          <t>ENGINS</t>
        </is>
      </c>
      <c r="K675" s="108">
        <f>D675+8</f>
        <v/>
      </c>
      <c r="L675" s="108">
        <f>K675+60</f>
        <v/>
      </c>
      <c r="M675" s="111" t="n"/>
      <c r="N675" s="112">
        <f>E675-3</f>
        <v/>
      </c>
      <c r="O675" s="113">
        <f>F675/E675*N675</f>
        <v/>
      </c>
      <c r="P675" s="112">
        <f>G675/E675*N675</f>
        <v/>
      </c>
      <c r="Q675" s="109" t="n"/>
      <c r="R675" s="109" t="n"/>
      <c r="S675" s="109" t="inlineStr">
        <is>
          <t>OF25320LDJD079</t>
        </is>
      </c>
      <c r="T675" s="114" t="n">
        <v>60</v>
      </c>
      <c r="U675" s="109" t="inlineStr">
        <is>
          <t>03 UNITS XCMG WHEEL LOADER XC978 (VOIR BL)</t>
        </is>
      </c>
      <c r="V675" s="106" t="n"/>
      <c r="W675" s="106" t="n"/>
      <c r="X675" s="106" t="inlineStr">
        <is>
          <t>SOLDEE</t>
        </is>
      </c>
      <c r="Y675" s="116">
        <f>F675/E675</f>
        <v/>
      </c>
      <c r="Z675" s="64">
        <f>E675-N675</f>
        <v/>
      </c>
    </row>
    <row r="676" ht="18" customHeight="1" s="202">
      <c r="A676" s="106" t="n">
        <v>20260030</v>
      </c>
      <c r="B676" s="107" t="inlineStr">
        <is>
          <t>OCEAN FEATHER</t>
        </is>
      </c>
      <c r="C676" s="108" t="n">
        <v>46052</v>
      </c>
      <c r="D676" s="108" t="n">
        <v>46075</v>
      </c>
      <c r="E676" s="106" t="n">
        <v>3</v>
      </c>
      <c r="F676" s="106" t="n">
        <v>0</v>
      </c>
      <c r="G676" s="106" t="n">
        <v>9</v>
      </c>
      <c r="H676" s="109" t="inlineStr">
        <is>
          <t>EURL PODIOUM TRAVAUX PUBLICS</t>
        </is>
      </c>
      <c r="I676" s="109" t="inlineStr">
        <is>
          <t>COLIS</t>
        </is>
      </c>
      <c r="J676" s="107" t="inlineStr">
        <is>
          <t>COLIS</t>
        </is>
      </c>
      <c r="K676" s="108">
        <f>D676+8</f>
        <v/>
      </c>
      <c r="L676" s="108">
        <f>K676+60</f>
        <v/>
      </c>
      <c r="M676" s="111" t="n"/>
      <c r="N676" s="112">
        <f>E676-3</f>
        <v/>
      </c>
      <c r="O676" s="113">
        <f>F676/E676*N676</f>
        <v/>
      </c>
      <c r="P676" s="112">
        <f>G676/E676*N676</f>
        <v/>
      </c>
      <c r="Q676" s="109" t="n"/>
      <c r="R676" s="109" t="n"/>
      <c r="S676" s="109" t="inlineStr">
        <is>
          <t>OF25320LDJD079</t>
        </is>
      </c>
      <c r="T676" s="114" t="n">
        <v>60</v>
      </c>
      <c r="U676" s="109" t="n"/>
      <c r="V676" s="106" t="n"/>
      <c r="W676" s="106" t="n"/>
      <c r="X676" s="106" t="inlineStr">
        <is>
          <t>SOLDEE</t>
        </is>
      </c>
      <c r="Y676" s="116">
        <f>F676/E676</f>
        <v/>
      </c>
      <c r="Z676" s="64">
        <f>E676-N676</f>
        <v/>
      </c>
    </row>
    <row r="677" ht="18" customHeight="1" s="202">
      <c r="A677" s="106" t="n">
        <v>20260030</v>
      </c>
      <c r="B677" s="107" t="inlineStr">
        <is>
          <t>OCEAN FEATHER</t>
        </is>
      </c>
      <c r="C677" s="108" t="n">
        <v>46052</v>
      </c>
      <c r="D677" s="108" t="n">
        <v>46075</v>
      </c>
      <c r="E677" s="106" t="n">
        <v>1</v>
      </c>
      <c r="F677" s="106" t="n">
        <v>16.5</v>
      </c>
      <c r="G677" s="106" t="n">
        <v>24</v>
      </c>
      <c r="H677" s="109" t="inlineStr">
        <is>
          <t>EURL HYPRO MAX</t>
        </is>
      </c>
      <c r="I677" s="109" t="inlineStr">
        <is>
          <t>CAMIONS</t>
        </is>
      </c>
      <c r="J677" s="107" t="inlineStr">
        <is>
          <t>LOURD</t>
        </is>
      </c>
      <c r="K677" s="108">
        <f>D677+8</f>
        <v/>
      </c>
      <c r="L677" s="108">
        <f>K677+60</f>
        <v/>
      </c>
      <c r="M677" s="111" t="n"/>
      <c r="N677" s="112">
        <f>E677-1</f>
        <v/>
      </c>
      <c r="O677" s="113">
        <f>F677/E677*N677</f>
        <v/>
      </c>
      <c r="P677" s="112">
        <f>G677/E677*N677</f>
        <v/>
      </c>
      <c r="Q677" s="109" t="n"/>
      <c r="R677" s="109" t="n"/>
      <c r="S677" s="109" t="inlineStr">
        <is>
          <t>OF25320LDJD080</t>
        </is>
      </c>
      <c r="T677" s="114" t="n">
        <v>61</v>
      </c>
      <c r="U677" s="109" t="inlineStr">
        <is>
          <t>01 UNIT SINOTRUK SITRAK 8X4 TIPPER TRUCK (VOIR BL)</t>
        </is>
      </c>
      <c r="V677" s="106" t="n"/>
      <c r="W677" s="106" t="n"/>
      <c r="X677" s="106" t="inlineStr">
        <is>
          <t>SOLDEE</t>
        </is>
      </c>
      <c r="Y677" s="116">
        <f>F677/E677</f>
        <v/>
      </c>
      <c r="Z677" s="30" t="n"/>
    </row>
    <row r="678" ht="18" customHeight="1" s="202">
      <c r="A678" s="106" t="n">
        <v>20260030</v>
      </c>
      <c r="B678" s="107" t="inlineStr">
        <is>
          <t>OCEAN FEATHER</t>
        </is>
      </c>
      <c r="C678" s="108" t="n">
        <v>46052</v>
      </c>
      <c r="D678" s="108" t="n">
        <v>46075</v>
      </c>
      <c r="E678" s="106" t="n">
        <v>1</v>
      </c>
      <c r="F678" s="106" t="n">
        <v>13.8</v>
      </c>
      <c r="G678" s="106" t="n">
        <v>24</v>
      </c>
      <c r="H678" s="109" t="inlineStr">
        <is>
          <t>EURL ELAMEL CONSTRUCTION ET COMMERCE</t>
        </is>
      </c>
      <c r="I678" s="109" t="inlineStr">
        <is>
          <t>CHARIOT ELEVATEUR</t>
        </is>
      </c>
      <c r="J678" s="107" t="inlineStr">
        <is>
          <t>ENGINS</t>
        </is>
      </c>
      <c r="K678" s="108">
        <f>D678+8</f>
        <v/>
      </c>
      <c r="L678" s="108">
        <f>K678+60</f>
        <v/>
      </c>
      <c r="M678" s="111" t="n"/>
      <c r="N678" s="112">
        <f>E678-1</f>
        <v/>
      </c>
      <c r="O678" s="113">
        <f>F678/E678*N678</f>
        <v/>
      </c>
      <c r="P678" s="112">
        <f>G678/E678*N678</f>
        <v/>
      </c>
      <c r="Q678" s="109" t="n"/>
      <c r="R678" s="109" t="n"/>
      <c r="S678" s="109" t="inlineStr">
        <is>
          <t>OF25320LDJD113</t>
        </is>
      </c>
      <c r="T678" s="114" t="n">
        <v>71</v>
      </c>
      <c r="U678" s="109" t="inlineStr">
        <is>
          <t>01 UNIT TELESCOPIC FORKLIFT ( VOIR BL)</t>
        </is>
      </c>
      <c r="V678" s="106" t="n"/>
      <c r="W678" s="106" t="n"/>
      <c r="X678" s="106" t="inlineStr">
        <is>
          <t>SOLDEE</t>
        </is>
      </c>
      <c r="Y678" s="116">
        <f>F678/E678</f>
        <v/>
      </c>
      <c r="Z678" s="30" t="n"/>
    </row>
    <row r="679" ht="18" customHeight="1" s="202">
      <c r="A679" s="106" t="n">
        <v>20260030</v>
      </c>
      <c r="B679" s="107" t="inlineStr">
        <is>
          <t>OCEAN FEATHER</t>
        </is>
      </c>
      <c r="C679" s="108" t="n">
        <v>46052</v>
      </c>
      <c r="D679" s="108" t="n">
        <v>46075</v>
      </c>
      <c r="E679" s="106" t="n">
        <v>1</v>
      </c>
      <c r="F679" s="106" t="n">
        <v>12.67</v>
      </c>
      <c r="G679" s="106" t="n">
        <v>24</v>
      </c>
      <c r="H679" s="109" t="inlineStr">
        <is>
          <t>TABET BRAHIM</t>
        </is>
      </c>
      <c r="I679" s="109" t="inlineStr">
        <is>
          <t>CAMIONS</t>
        </is>
      </c>
      <c r="J679" s="107" t="inlineStr">
        <is>
          <t>LOURD</t>
        </is>
      </c>
      <c r="K679" s="108">
        <f>D679+8</f>
        <v/>
      </c>
      <c r="L679" s="108">
        <f>K679+60</f>
        <v/>
      </c>
      <c r="M679" s="111" t="n"/>
      <c r="N679" s="112">
        <f>E679-1</f>
        <v/>
      </c>
      <c r="O679" s="113">
        <f>F679/E679*N679</f>
        <v/>
      </c>
      <c r="P679" s="112">
        <f>G679/E679*N679</f>
        <v/>
      </c>
      <c r="Q679" s="109" t="n"/>
      <c r="R679" s="109" t="n"/>
      <c r="S679" s="109" t="inlineStr">
        <is>
          <t>OF25320LDJD114</t>
        </is>
      </c>
      <c r="T679" s="114" t="n">
        <v>72</v>
      </c>
      <c r="U679" s="109" t="inlineStr">
        <is>
          <t>01 UNIT SHACMAN DUMP TRUCK CHASSIS MODEL 6X4 F2000 (VOIR BL )</t>
        </is>
      </c>
      <c r="V679" s="106" t="n"/>
      <c r="W679" s="106" t="n"/>
      <c r="X679" s="106" t="inlineStr">
        <is>
          <t>SOLDEE</t>
        </is>
      </c>
      <c r="Y679" s="116">
        <f>F679/E679</f>
        <v/>
      </c>
      <c r="Z679" s="30" t="n"/>
    </row>
    <row r="680" ht="18" customHeight="1" s="202">
      <c r="A680" s="106" t="n">
        <v>20260030</v>
      </c>
      <c r="B680" s="107" t="inlineStr">
        <is>
          <t>OCEAN FEATHER</t>
        </is>
      </c>
      <c r="C680" s="108" t="n">
        <v>46052</v>
      </c>
      <c r="D680" s="108" t="n">
        <v>46075</v>
      </c>
      <c r="E680" s="106" t="n">
        <v>1</v>
      </c>
      <c r="F680" s="106" t="n">
        <v>12.67</v>
      </c>
      <c r="G680" s="106" t="n">
        <v>24</v>
      </c>
      <c r="H680" s="109" t="inlineStr">
        <is>
          <t>ETPH HENKA DJAAFAR</t>
        </is>
      </c>
      <c r="I680" s="109" t="inlineStr">
        <is>
          <t>CAMIONS</t>
        </is>
      </c>
      <c r="J680" s="107" t="inlineStr">
        <is>
          <t>LOURD</t>
        </is>
      </c>
      <c r="K680" s="108">
        <f>D680+8</f>
        <v/>
      </c>
      <c r="L680" s="108">
        <f>K680+60</f>
        <v/>
      </c>
      <c r="M680" s="111" t="n"/>
      <c r="N680" s="112">
        <f>E680-1</f>
        <v/>
      </c>
      <c r="O680" s="113">
        <f>F680/E680*N680</f>
        <v/>
      </c>
      <c r="P680" s="112">
        <f>G680/E680*N680</f>
        <v/>
      </c>
      <c r="Q680" s="109" t="n"/>
      <c r="R680" s="109" t="n"/>
      <c r="S680" s="109" t="inlineStr">
        <is>
          <t>OF25320LDJD116</t>
        </is>
      </c>
      <c r="T680" s="114" t="n">
        <v>74</v>
      </c>
      <c r="U680" s="109" t="inlineStr">
        <is>
          <t>01 UNIT SHACMAN 6X4 F2000 DUMP TRUCK ( VOIR BL)</t>
        </is>
      </c>
      <c r="V680" s="106" t="n"/>
      <c r="W680" s="106" t="n"/>
      <c r="X680" s="106" t="inlineStr">
        <is>
          <t>SOLDEE</t>
        </is>
      </c>
      <c r="Y680" s="116">
        <f>F680/E680</f>
        <v/>
      </c>
      <c r="Z680" s="30" t="n"/>
    </row>
    <row r="681" ht="18" customHeight="1" s="202">
      <c r="A681" s="116" t="n">
        <v>20260030</v>
      </c>
      <c r="B681" s="117" t="inlineStr">
        <is>
          <t>OCEAN FEATHER</t>
        </is>
      </c>
      <c r="C681" s="118" t="n">
        <v>46052</v>
      </c>
      <c r="D681" s="118" t="n">
        <v>46075</v>
      </c>
      <c r="E681" s="67" t="n">
        <v>6</v>
      </c>
      <c r="F681" s="119" t="n">
        <v>66.2</v>
      </c>
      <c r="G681" s="120" t="n">
        <v>144</v>
      </c>
      <c r="H681" s="121" t="inlineStr">
        <is>
          <t>SARL SIDI OUMEUR</t>
        </is>
      </c>
      <c r="I681" s="121" t="inlineStr">
        <is>
          <t>CAMIONS</t>
        </is>
      </c>
      <c r="J681" s="117" t="inlineStr">
        <is>
          <t>LOURD</t>
        </is>
      </c>
      <c r="K681" s="48">
        <f>D681+8</f>
        <v/>
      </c>
      <c r="L681" s="48">
        <f>K681+60</f>
        <v/>
      </c>
      <c r="M681" s="71" t="n"/>
      <c r="N681" s="72">
        <f>E681</f>
        <v/>
      </c>
      <c r="O681" s="50">
        <f>F681/E681*N681</f>
        <v/>
      </c>
      <c r="P681" s="273">
        <f>G681/E681*N681</f>
        <v/>
      </c>
      <c r="Q681" s="224" t="n"/>
      <c r="R681" s="58" t="n"/>
      <c r="S681" s="200" t="inlineStr">
        <is>
          <t>OF25320LDJD118</t>
        </is>
      </c>
      <c r="T681" s="201" t="n">
        <v>76</v>
      </c>
      <c r="U681" s="58" t="inlineStr">
        <is>
          <t>05 UNITS SHACMAN F2000 6X4 DUMP TRUCK 01 UNIT JMC CARRYING PLUS 4X2 DUMP TRUCK ( VOIR BL)</t>
        </is>
      </c>
      <c r="V681" s="67" t="n"/>
      <c r="W681" s="67" t="n"/>
      <c r="X681" s="62" t="inlineStr">
        <is>
          <t>N-OP</t>
        </is>
      </c>
      <c r="Y681" s="116">
        <f>F681/E681</f>
        <v/>
      </c>
      <c r="Z681" s="64">
        <f>E681-N681</f>
        <v/>
      </c>
    </row>
    <row r="682" ht="18" customHeight="1" s="202">
      <c r="A682" s="106" t="n">
        <v>20260030</v>
      </c>
      <c r="B682" s="107" t="inlineStr">
        <is>
          <t>OCEAN FEATHER</t>
        </is>
      </c>
      <c r="C682" s="108" t="n">
        <v>46052</v>
      </c>
      <c r="D682" s="108" t="n">
        <v>46075</v>
      </c>
      <c r="E682" s="106" t="n">
        <v>1</v>
      </c>
      <c r="F682" s="106" t="n">
        <v>12.3</v>
      </c>
      <c r="G682" s="106" t="n">
        <v>24</v>
      </c>
      <c r="H682" s="109" t="inlineStr">
        <is>
          <t>SARL SOUMMAM SOUM</t>
        </is>
      </c>
      <c r="I682" s="109" t="inlineStr">
        <is>
          <t>COMPACTEURS</t>
        </is>
      </c>
      <c r="J682" s="107" t="inlineStr">
        <is>
          <t>ENGINS</t>
        </is>
      </c>
      <c r="K682" s="108">
        <f>D682+8</f>
        <v/>
      </c>
      <c r="L682" s="108">
        <f>K682+60</f>
        <v/>
      </c>
      <c r="M682" s="111" t="n"/>
      <c r="N682" s="112">
        <f>E682-1</f>
        <v/>
      </c>
      <c r="O682" s="113">
        <f>F682/E682*N682</f>
        <v/>
      </c>
      <c r="P682" s="112">
        <f>G682/E682*N682</f>
        <v/>
      </c>
      <c r="Q682" s="109" t="n"/>
      <c r="R682" s="109" t="n"/>
      <c r="S682" s="109" t="inlineStr">
        <is>
          <t>OF25320LDJD120</t>
        </is>
      </c>
      <c r="T682" s="114" t="n">
        <v>78</v>
      </c>
      <c r="U682" s="109" t="inlineStr">
        <is>
          <t>01 UNIT XCMG DOUBLE DRUM ROAD ROLLER XD123 ( VOIR BL)</t>
        </is>
      </c>
      <c r="V682" s="106" t="n"/>
      <c r="W682" s="106" t="n"/>
      <c r="X682" s="106" t="inlineStr">
        <is>
          <t>SOLDEE</t>
        </is>
      </c>
      <c r="Y682" s="116">
        <f>F682/E682</f>
        <v/>
      </c>
      <c r="Z682" s="30" t="n"/>
    </row>
    <row r="683" ht="18" customHeight="1" s="202">
      <c r="A683" s="106" t="n">
        <v>20260030</v>
      </c>
      <c r="B683" s="107" t="inlineStr">
        <is>
          <t>OCEAN FEATHER</t>
        </is>
      </c>
      <c r="C683" s="108" t="n">
        <v>46052</v>
      </c>
      <c r="D683" s="108" t="n">
        <v>46075</v>
      </c>
      <c r="E683" s="106" t="n">
        <v>4</v>
      </c>
      <c r="F683" s="106" t="n">
        <v>50.68</v>
      </c>
      <c r="G683" s="106" t="n">
        <v>96</v>
      </c>
      <c r="H683" s="109" t="inlineStr">
        <is>
          <t>KHADIR MOHAMED</t>
        </is>
      </c>
      <c r="I683" s="109" t="inlineStr">
        <is>
          <t>CAMIONS</t>
        </is>
      </c>
      <c r="J683" s="107" t="inlineStr">
        <is>
          <t>LOURD</t>
        </is>
      </c>
      <c r="K683" s="108">
        <f>D683+8</f>
        <v/>
      </c>
      <c r="L683" s="108">
        <f>K683+60</f>
        <v/>
      </c>
      <c r="M683" s="111" t="n"/>
      <c r="N683" s="112">
        <f>E683-4</f>
        <v/>
      </c>
      <c r="O683" s="113">
        <f>F683/E683*N683</f>
        <v/>
      </c>
      <c r="P683" s="112">
        <f>G683/E683*N683</f>
        <v/>
      </c>
      <c r="Q683" s="109" t="n"/>
      <c r="R683" s="109" t="n"/>
      <c r="S683" s="109" t="inlineStr">
        <is>
          <t>OF25320LDJD121</t>
        </is>
      </c>
      <c r="T683" s="114" t="n">
        <v>79</v>
      </c>
      <c r="U683" s="109" t="inlineStr">
        <is>
          <t>04 UNITS SHACMAN 6*4 F2000 DUMP TRUCK ( VOIR BL)</t>
        </is>
      </c>
      <c r="V683" s="106" t="n"/>
      <c r="W683" s="106" t="n"/>
      <c r="X683" s="106" t="inlineStr">
        <is>
          <t>SOLDEE</t>
        </is>
      </c>
      <c r="Y683" s="116">
        <f>F683/E683</f>
        <v/>
      </c>
      <c r="Z683" s="30" t="n"/>
    </row>
    <row r="684" ht="18" customHeight="1" s="202">
      <c r="A684" s="106" t="n">
        <v>20260030</v>
      </c>
      <c r="B684" s="107" t="inlineStr">
        <is>
          <t>OCEAN FEATHER</t>
        </is>
      </c>
      <c r="C684" s="108" t="n">
        <v>46052</v>
      </c>
      <c r="D684" s="108" t="n">
        <v>46075</v>
      </c>
      <c r="E684" s="106" t="n">
        <v>1</v>
      </c>
      <c r="F684" s="106" t="n">
        <v>6</v>
      </c>
      <c r="G684" s="106" t="n">
        <v>24</v>
      </c>
      <c r="H684" s="109" t="inlineStr">
        <is>
          <t>EURL LE PANIER DE FRUITS IMPEX</t>
        </is>
      </c>
      <c r="I684" s="109" t="inlineStr">
        <is>
          <t>CAMIONS</t>
        </is>
      </c>
      <c r="J684" s="107" t="inlineStr">
        <is>
          <t>LOURD</t>
        </is>
      </c>
      <c r="K684" s="108">
        <f>D684+8</f>
        <v/>
      </c>
      <c r="L684" s="108">
        <f>K684+60</f>
        <v/>
      </c>
      <c r="M684" s="111" t="n"/>
      <c r="N684" s="112">
        <f>E684-1</f>
        <v/>
      </c>
      <c r="O684" s="113">
        <f>F684/E684*N684</f>
        <v/>
      </c>
      <c r="P684" s="112">
        <f>G684/E684*N684</f>
        <v/>
      </c>
      <c r="Q684" s="109" t="n"/>
      <c r="R684" s="109" t="n"/>
      <c r="S684" s="109" t="inlineStr">
        <is>
          <t>OF25320LDJD122</t>
        </is>
      </c>
      <c r="T684" s="114" t="n">
        <v>80</v>
      </c>
      <c r="U684" s="109" t="inlineStr">
        <is>
          <t>01 UNIT SINOTRUK HOWO TX 4X2 CARGO TRUCK ( VOIR BL)</t>
        </is>
      </c>
      <c r="V684" s="106" t="n"/>
      <c r="W684" s="106" t="n"/>
      <c r="X684" s="106" t="inlineStr">
        <is>
          <t>SOLDEE</t>
        </is>
      </c>
      <c r="Y684" s="116">
        <f>F684/E684</f>
        <v/>
      </c>
      <c r="Z684" s="30" t="n"/>
    </row>
    <row r="685" ht="18" customHeight="1" s="202">
      <c r="A685" s="106" t="n">
        <v>20260030</v>
      </c>
      <c r="B685" s="107" t="inlineStr">
        <is>
          <t>OCEAN FEATHER</t>
        </is>
      </c>
      <c r="C685" s="108" t="n">
        <v>46052</v>
      </c>
      <c r="D685" s="108" t="n">
        <v>46075</v>
      </c>
      <c r="E685" s="106" t="n">
        <v>5</v>
      </c>
      <c r="F685" s="106" t="n">
        <v>63.35</v>
      </c>
      <c r="G685" s="106" t="n">
        <v>120</v>
      </c>
      <c r="H685" s="109" t="inlineStr">
        <is>
          <t>EURL YADEM PRESTATION.</t>
        </is>
      </c>
      <c r="I685" s="109" t="inlineStr">
        <is>
          <t>CAMIONS</t>
        </is>
      </c>
      <c r="J685" s="107" t="inlineStr">
        <is>
          <t>LOURD</t>
        </is>
      </c>
      <c r="K685" s="108">
        <f>D685+8</f>
        <v/>
      </c>
      <c r="L685" s="108">
        <f>K685+60</f>
        <v/>
      </c>
      <c r="M685" s="111" t="n"/>
      <c r="N685" s="112">
        <f>E685-5</f>
        <v/>
      </c>
      <c r="O685" s="113">
        <f>F685/E685*N685</f>
        <v/>
      </c>
      <c r="P685" s="112">
        <f>G685/E685*N685</f>
        <v/>
      </c>
      <c r="Q685" s="109" t="n"/>
      <c r="R685" s="109" t="n"/>
      <c r="S685" s="109" t="inlineStr">
        <is>
          <t>OF25320LDJD123</t>
        </is>
      </c>
      <c r="T685" s="114" t="n">
        <v>81</v>
      </c>
      <c r="U685" s="109" t="inlineStr">
        <is>
          <t>05 UNITS SHACMAN 6*4 F2000 DUMP TRUCK ( VOIR BL)</t>
        </is>
      </c>
      <c r="V685" s="106" t="n"/>
      <c r="W685" s="106" t="n"/>
      <c r="X685" s="106" t="inlineStr">
        <is>
          <t>SOLDEE</t>
        </is>
      </c>
      <c r="Y685" s="116">
        <f>F685/E685</f>
        <v/>
      </c>
      <c r="Z685" s="30" t="n"/>
    </row>
    <row r="686" ht="18" customHeight="1" s="202">
      <c r="A686" s="106" t="n">
        <v>20260030</v>
      </c>
      <c r="B686" s="107" t="inlineStr">
        <is>
          <t>OCEAN FEATHER</t>
        </is>
      </c>
      <c r="C686" s="108" t="n">
        <v>46052</v>
      </c>
      <c r="D686" s="108" t="n">
        <v>46075</v>
      </c>
      <c r="E686" s="106" t="n">
        <v>2</v>
      </c>
      <c r="F686" s="106" t="n">
        <v>19</v>
      </c>
      <c r="G686" s="106" t="n"/>
      <c r="H686" s="109" t="inlineStr">
        <is>
          <t>EURL LE PANIER DE FRUITS IMPEX</t>
        </is>
      </c>
      <c r="I686" s="109" t="inlineStr">
        <is>
          <t>CAMIONS</t>
        </is>
      </c>
      <c r="J686" s="107" t="inlineStr">
        <is>
          <t>LOURD</t>
        </is>
      </c>
      <c r="K686" s="108">
        <f>D686+8</f>
        <v/>
      </c>
      <c r="L686" s="108">
        <f>K686+60</f>
        <v/>
      </c>
      <c r="M686" s="111" t="n"/>
      <c r="N686" s="112">
        <f>E686-2</f>
        <v/>
      </c>
      <c r="O686" s="113">
        <f>F686/E686*N686</f>
        <v/>
      </c>
      <c r="P686" s="112">
        <f>G686/E686*N686</f>
        <v/>
      </c>
      <c r="Q686" s="109" t="n"/>
      <c r="R686" s="109" t="n"/>
      <c r="S686" s="109" t="inlineStr">
        <is>
          <t>OF25320LDJD124</t>
        </is>
      </c>
      <c r="T686" s="114" t="n">
        <v>82</v>
      </c>
      <c r="U686" s="109" t="inlineStr">
        <is>
          <t>02 UNITS SINOTRUK HOWO TX 6X4 CARGO TRUCK (VOIR BL)</t>
        </is>
      </c>
      <c r="V686" s="106" t="n"/>
      <c r="W686" s="106" t="n"/>
      <c r="X686" s="106" t="inlineStr">
        <is>
          <t>SOLDEE</t>
        </is>
      </c>
      <c r="Y686" s="116">
        <f>F686/E686</f>
        <v/>
      </c>
      <c r="Z686" s="30" t="n"/>
    </row>
    <row r="687" ht="18" customHeight="1" s="202">
      <c r="A687" s="106" t="n">
        <v>20260030</v>
      </c>
      <c r="B687" s="107" t="inlineStr">
        <is>
          <t>OCEAN FEATHER</t>
        </is>
      </c>
      <c r="C687" s="108" t="n">
        <v>46052</v>
      </c>
      <c r="D687" s="108" t="n">
        <v>46075</v>
      </c>
      <c r="E687" s="106" t="n">
        <v>1</v>
      </c>
      <c r="F687" s="106" t="n">
        <v>12.67</v>
      </c>
      <c r="G687" s="106" t="n">
        <v>24</v>
      </c>
      <c r="H687" s="109" t="inlineStr">
        <is>
          <t>SARL NESSER AL JANOUB TRAVAUX</t>
        </is>
      </c>
      <c r="I687" s="109" t="inlineStr">
        <is>
          <t>CAMIONS</t>
        </is>
      </c>
      <c r="J687" s="107" t="inlineStr">
        <is>
          <t>LOURD</t>
        </is>
      </c>
      <c r="K687" s="108">
        <f>D687+8</f>
        <v/>
      </c>
      <c r="L687" s="108">
        <f>K687+60</f>
        <v/>
      </c>
      <c r="M687" s="111" t="n"/>
      <c r="N687" s="112">
        <f>E687-1</f>
        <v/>
      </c>
      <c r="O687" s="113">
        <f>F687/E687*N687</f>
        <v/>
      </c>
      <c r="P687" s="112">
        <f>G687/E687*N687</f>
        <v/>
      </c>
      <c r="Q687" s="109" t="n"/>
      <c r="R687" s="109" t="n"/>
      <c r="S687" s="109" t="inlineStr">
        <is>
          <t>OF25320LDJD127</t>
        </is>
      </c>
      <c r="T687" s="114" t="n">
        <v>85</v>
      </c>
      <c r="U687" s="109" t="inlineStr">
        <is>
          <t>01 UNIT SHACMAN 6*4 F2000 DUMP TRUCK (VOIR BL)</t>
        </is>
      </c>
      <c r="V687" s="106" t="n"/>
      <c r="W687" s="106" t="n"/>
      <c r="X687" s="106" t="inlineStr">
        <is>
          <t>SOLDEE</t>
        </is>
      </c>
      <c r="Y687" s="116">
        <f>F687/E687</f>
        <v/>
      </c>
      <c r="Z687" s="30" t="n"/>
    </row>
    <row r="688" ht="18" customHeight="1" s="202">
      <c r="A688" s="116" t="n">
        <v>20260030</v>
      </c>
      <c r="B688" s="117" t="inlineStr">
        <is>
          <t>OCEAN FEATHER</t>
        </is>
      </c>
      <c r="C688" s="118" t="n">
        <v>46052</v>
      </c>
      <c r="D688" s="118" t="n">
        <v>46075</v>
      </c>
      <c r="E688" s="67" t="n">
        <v>1</v>
      </c>
      <c r="F688" s="119" t="n">
        <v>17</v>
      </c>
      <c r="G688" s="120" t="n">
        <v>24</v>
      </c>
      <c r="H688" s="121" t="inlineStr">
        <is>
          <t>SARL TGS GENIE CIVIL</t>
        </is>
      </c>
      <c r="I688" s="121" t="inlineStr">
        <is>
          <t>REMORQUES</t>
        </is>
      </c>
      <c r="J688" s="117" t="inlineStr">
        <is>
          <t>LOURD</t>
        </is>
      </c>
      <c r="K688" s="48">
        <f>D688+8</f>
        <v/>
      </c>
      <c r="L688" s="48">
        <f>K688+60</f>
        <v/>
      </c>
      <c r="M688" s="71" t="n"/>
      <c r="N688" s="72">
        <f>E688</f>
        <v/>
      </c>
      <c r="O688" s="50">
        <f>F688/E688*N688</f>
        <v/>
      </c>
      <c r="P688" s="273">
        <f>G688/E688*N688</f>
        <v/>
      </c>
      <c r="Q688" s="224" t="n"/>
      <c r="R688" s="58" t="n"/>
      <c r="S688" s="200" t="inlineStr">
        <is>
          <t>OF25320LDJD128</t>
        </is>
      </c>
      <c r="T688" s="201" t="n">
        <v>86</v>
      </c>
      <c r="U688" s="58" t="inlineStr">
        <is>
          <t>01 UNIT 3 AXLE 80TONS LOW BED SEMI-TRAILER ( VOIR BL)</t>
        </is>
      </c>
      <c r="V688" s="67" t="n"/>
      <c r="W688" s="67" t="n"/>
      <c r="X688" s="62" t="inlineStr">
        <is>
          <t>N-OP</t>
        </is>
      </c>
      <c r="Y688" s="116">
        <f>F688/E688</f>
        <v/>
      </c>
      <c r="Z688" s="64">
        <f>E688-N688</f>
        <v/>
      </c>
    </row>
    <row r="689" ht="18" customHeight="1" s="202">
      <c r="A689" s="106" t="n">
        <v>20260030</v>
      </c>
      <c r="B689" s="107" t="inlineStr">
        <is>
          <t>OCEAN FEATHER</t>
        </is>
      </c>
      <c r="C689" s="108" t="n">
        <v>46052</v>
      </c>
      <c r="D689" s="108" t="n">
        <v>46075</v>
      </c>
      <c r="E689" s="106" t="n">
        <v>1</v>
      </c>
      <c r="F689" s="106" t="n">
        <v>2.9</v>
      </c>
      <c r="G689" s="106" t="n">
        <v>24</v>
      </c>
      <c r="H689" s="109" t="inlineStr">
        <is>
          <t>EURL ENTREPRISE AMIRA CONFISSERIE ET CHOCOLATERIE</t>
        </is>
      </c>
      <c r="I689" s="109" t="inlineStr">
        <is>
          <t>CAMIONS</t>
        </is>
      </c>
      <c r="J689" s="107" t="inlineStr">
        <is>
          <t>LOURD</t>
        </is>
      </c>
      <c r="K689" s="108">
        <f>D689+8</f>
        <v/>
      </c>
      <c r="L689" s="108">
        <f>K689+60</f>
        <v/>
      </c>
      <c r="M689" s="111" t="n"/>
      <c r="N689" s="112">
        <f>E689-1</f>
        <v/>
      </c>
      <c r="O689" s="113">
        <f>F689/E689*N689</f>
        <v/>
      </c>
      <c r="P689" s="112">
        <f>G689/E689*N689</f>
        <v/>
      </c>
      <c r="Q689" s="109" t="n"/>
      <c r="R689" s="109" t="n"/>
      <c r="S689" s="109" t="inlineStr">
        <is>
          <t>OF25320LDJD138</t>
        </is>
      </c>
      <c r="T689" s="114" t="n">
        <v>90</v>
      </c>
      <c r="U689" s="109" t="inlineStr">
        <is>
          <t>01 UNIT CAMION REFRIGERE JMC 4×2 ( VOIR BL)</t>
        </is>
      </c>
      <c r="V689" s="106" t="n"/>
      <c r="W689" s="106" t="n"/>
      <c r="X689" s="106" t="inlineStr">
        <is>
          <t>SOLDEE</t>
        </is>
      </c>
      <c r="Y689" s="116">
        <f>F689/E689</f>
        <v/>
      </c>
      <c r="Z689" s="30" t="n"/>
    </row>
    <row r="690" ht="18" customHeight="1" s="202">
      <c r="A690" s="116" t="n">
        <v>20260030</v>
      </c>
      <c r="B690" s="117" t="inlineStr">
        <is>
          <t>OCEAN FEATHER</t>
        </is>
      </c>
      <c r="C690" s="118" t="n">
        <v>46052</v>
      </c>
      <c r="D690" s="118" t="n">
        <v>46075</v>
      </c>
      <c r="E690" s="67" t="n">
        <v>124</v>
      </c>
      <c r="F690" s="119" t="n">
        <v>708.127</v>
      </c>
      <c r="G690" s="120" t="n">
        <v>300</v>
      </c>
      <c r="H690" s="121" t="inlineStr">
        <is>
          <t>GROUPEMENT DE SOCIETE CHINA NATIONAL TECHNICAL IMP</t>
        </is>
      </c>
      <c r="I690" s="121" t="inlineStr">
        <is>
          <t>COLIS</t>
        </is>
      </c>
      <c r="J690" s="117" t="inlineStr">
        <is>
          <t>COLIS</t>
        </is>
      </c>
      <c r="K690" s="48">
        <f>D690+8</f>
        <v/>
      </c>
      <c r="L690" s="48">
        <f>K690+60</f>
        <v/>
      </c>
      <c r="M690" s="71" t="n"/>
      <c r="N690" s="72">
        <f>E690</f>
        <v/>
      </c>
      <c r="O690" s="50">
        <f>F690/E690*N690</f>
        <v/>
      </c>
      <c r="P690" s="273">
        <f>G690/E690*N690</f>
        <v/>
      </c>
      <c r="Q690" s="224" t="n"/>
      <c r="R690" s="58" t="n"/>
      <c r="S690" s="200" t="inlineStr">
        <is>
          <t>OF25320LDJD139</t>
        </is>
      </c>
      <c r="T690" s="201" t="n">
        <v>91</v>
      </c>
      <c r="U690" s="58" t="inlineStr">
        <is>
          <t>STEL STRUCTURE / PIPES/ FITINGS ( VOIR BL)</t>
        </is>
      </c>
      <c r="V690" s="67" t="n"/>
      <c r="W690" s="67" t="n"/>
      <c r="X690" s="62" t="inlineStr">
        <is>
          <t>N-OP</t>
        </is>
      </c>
      <c r="Y690" s="116">
        <f>F690/E690</f>
        <v/>
      </c>
      <c r="Z690" s="64">
        <f>E690-N690</f>
        <v/>
      </c>
    </row>
    <row r="691" ht="18" customHeight="1" s="202">
      <c r="A691" s="106" t="n">
        <v>20260030</v>
      </c>
      <c r="B691" s="107" t="inlineStr">
        <is>
          <t>OCEAN FEATHER</t>
        </is>
      </c>
      <c r="C691" s="108" t="n">
        <v>46052</v>
      </c>
      <c r="D691" s="108" t="n">
        <v>46075</v>
      </c>
      <c r="E691" s="106" t="n">
        <v>4</v>
      </c>
      <c r="F691" s="106" t="n">
        <v>14.245</v>
      </c>
      <c r="G691" s="106" t="n">
        <v>25</v>
      </c>
      <c r="H691" s="109" t="inlineStr">
        <is>
          <t>GROUPEMENT DE SOCIETE CHINA NATIONAL TECHNICAL IMP</t>
        </is>
      </c>
      <c r="I691" s="109" t="inlineStr">
        <is>
          <t>COLIS</t>
        </is>
      </c>
      <c r="J691" s="107" t="inlineStr">
        <is>
          <t>COLIS</t>
        </is>
      </c>
      <c r="K691" s="108">
        <f>D691+8</f>
        <v/>
      </c>
      <c r="L691" s="108">
        <f>K691+60</f>
        <v/>
      </c>
      <c r="M691" s="111" t="n"/>
      <c r="N691" s="112">
        <f>E691-4</f>
        <v/>
      </c>
      <c r="O691" s="113">
        <f>F691/E691*N691</f>
        <v/>
      </c>
      <c r="P691" s="112">
        <f>G691/E691*N691</f>
        <v/>
      </c>
      <c r="Q691" s="109" t="n"/>
      <c r="R691" s="109" t="n"/>
      <c r="S691" s="109" t="inlineStr">
        <is>
          <t>OF25320LDJD092</t>
        </is>
      </c>
      <c r="T691" s="114" t="n">
        <v>69</v>
      </c>
      <c r="U691" s="109" t="inlineStr">
        <is>
          <t>SPIRAL WOUND GASKET /BOLTS AND NUTS /CARBON STEEL FLANGE/STAINLESS STEEL FLANGE /STRAINER</t>
        </is>
      </c>
      <c r="V691" s="106" t="n"/>
      <c r="W691" s="106" t="n"/>
      <c r="X691" s="106" t="inlineStr">
        <is>
          <t>SOLDEE</t>
        </is>
      </c>
      <c r="Y691" s="116">
        <f>F691/E691</f>
        <v/>
      </c>
      <c r="Z691" s="64">
        <f>E691-N691</f>
        <v/>
      </c>
    </row>
    <row r="692" ht="18" customHeight="1" s="202">
      <c r="A692" s="106" t="n">
        <v>20260030</v>
      </c>
      <c r="B692" s="107" t="inlineStr">
        <is>
          <t>OCEAN FEATHER</t>
        </is>
      </c>
      <c r="C692" s="108" t="n">
        <v>46052</v>
      </c>
      <c r="D692" s="108" t="n">
        <v>46075</v>
      </c>
      <c r="E692" s="106" t="n">
        <v>15</v>
      </c>
      <c r="F692" s="106" t="n">
        <v>144.2</v>
      </c>
      <c r="G692" s="106" t="n">
        <v>80</v>
      </c>
      <c r="H692" s="109" t="inlineStr">
        <is>
          <t>GROUPEMENT DE SOCIETE CHINA NATIONAL TECHNICAL IMP</t>
        </is>
      </c>
      <c r="I692" s="109" t="inlineStr">
        <is>
          <t>COLIS</t>
        </is>
      </c>
      <c r="J692" s="107" t="inlineStr">
        <is>
          <t>COLIS</t>
        </is>
      </c>
      <c r="K692" s="108">
        <f>D692+8</f>
        <v/>
      </c>
      <c r="L692" s="108">
        <f>K692+60</f>
        <v/>
      </c>
      <c r="M692" s="111" t="n"/>
      <c r="N692" s="112">
        <f>E692-15</f>
        <v/>
      </c>
      <c r="O692" s="113">
        <f>F692/E692*N692</f>
        <v/>
      </c>
      <c r="P692" s="112">
        <f>G692/E692*N692</f>
        <v/>
      </c>
      <c r="Q692" s="109" t="n"/>
      <c r="R692" s="109" t="n"/>
      <c r="S692" s="109" t="inlineStr">
        <is>
          <t>OF25320LDJD094/095</t>
        </is>
      </c>
      <c r="T692" s="114" t="n">
        <v>67</v>
      </c>
      <c r="U692" s="109" t="inlineStr">
        <is>
          <t>INSTRUMENT CABLE /WAO SUMP TANK /FLOW CONTROL HOPPER</t>
        </is>
      </c>
      <c r="V692" s="106" t="n"/>
      <c r="W692" s="106" t="n"/>
      <c r="X692" s="106" t="inlineStr">
        <is>
          <t>SOLDEE</t>
        </is>
      </c>
      <c r="Y692" s="116">
        <f>F692/E692</f>
        <v/>
      </c>
      <c r="Z692" s="30" t="n"/>
    </row>
    <row r="693" ht="18" customHeight="1" s="202">
      <c r="A693" s="206" t="n">
        <v>20260030</v>
      </c>
      <c r="B693" s="207" t="inlineStr">
        <is>
          <t>OCEAN FEATHER</t>
        </is>
      </c>
      <c r="C693" s="208" t="n">
        <v>46052</v>
      </c>
      <c r="D693" s="208" t="n">
        <v>46075</v>
      </c>
      <c r="E693" s="209" t="n">
        <v>7</v>
      </c>
      <c r="F693" s="210" t="n">
        <v>79.12563</v>
      </c>
      <c r="G693" s="211" t="n">
        <v>25</v>
      </c>
      <c r="H693" s="212" t="inlineStr">
        <is>
          <t>GROUPEMENT DE SOCIETE CHINA NATIONAL TECHNICAL IMP</t>
        </is>
      </c>
      <c r="I693" s="212" t="inlineStr">
        <is>
          <t>COLIS</t>
        </is>
      </c>
      <c r="J693" s="207" t="inlineStr">
        <is>
          <t>COLIS</t>
        </is>
      </c>
      <c r="K693" s="213">
        <f>D693+8</f>
        <v/>
      </c>
      <c r="L693" s="213">
        <f>K693+60</f>
        <v/>
      </c>
      <c r="M693" s="214" t="n"/>
      <c r="N693" s="215">
        <f>E693-6</f>
        <v/>
      </c>
      <c r="O693" s="216">
        <f>F693/E693*N693</f>
        <v/>
      </c>
      <c r="P693" s="218">
        <f>G693/E693*N693</f>
        <v/>
      </c>
      <c r="Q693" s="224" t="n"/>
      <c r="R693" s="58" t="n"/>
      <c r="S693" s="200" t="inlineStr">
        <is>
          <t>OF25320LDJD101/104</t>
        </is>
      </c>
      <c r="T693" s="201" t="n">
        <v>66</v>
      </c>
      <c r="U693" s="58" t="inlineStr">
        <is>
          <t>TUBE /ANGLE STEEL/STAINLESS STEEL FITTING/FITTING/FLANGE / BALL VALVE/U-BOLT/AIR DISTRIBUTOR /CHECK VALVE /GATE VALVE/ GLOBE VALVE</t>
        </is>
      </c>
      <c r="V693" s="67" t="n"/>
      <c r="W693" s="67" t="n"/>
      <c r="X693" s="99" t="inlineStr">
        <is>
          <t>OPER</t>
        </is>
      </c>
      <c r="Y693" s="116">
        <f>F693/E693</f>
        <v/>
      </c>
      <c r="Z693" s="64">
        <f>E693-N693</f>
        <v/>
      </c>
    </row>
    <row r="694" ht="18" customHeight="1" s="202">
      <c r="A694" s="106" t="n">
        <v>20260030</v>
      </c>
      <c r="B694" s="107" t="inlineStr">
        <is>
          <t>OCEAN FEATHER</t>
        </is>
      </c>
      <c r="C694" s="108" t="n">
        <v>46052</v>
      </c>
      <c r="D694" s="108" t="n">
        <v>46075</v>
      </c>
      <c r="E694" s="106" t="n">
        <v>1</v>
      </c>
      <c r="F694" s="106" t="n">
        <v>37.43</v>
      </c>
      <c r="G694" s="106" t="n">
        <v>24</v>
      </c>
      <c r="H694" s="109" t="inlineStr">
        <is>
          <t>HADJI HAKIM</t>
        </is>
      </c>
      <c r="I694" s="109" t="inlineStr">
        <is>
          <t>EXCAVATEURS</t>
        </is>
      </c>
      <c r="J694" s="107" t="inlineStr">
        <is>
          <t>ENGINS</t>
        </is>
      </c>
      <c r="K694" s="108">
        <f>D694+8</f>
        <v/>
      </c>
      <c r="L694" s="108">
        <f>K694+60</f>
        <v/>
      </c>
      <c r="M694" s="111" t="n"/>
      <c r="N694" s="112">
        <f>E694-1</f>
        <v/>
      </c>
      <c r="O694" s="113">
        <f>F694/E694*N694</f>
        <v/>
      </c>
      <c r="P694" s="112">
        <f>G694/E694*N694</f>
        <v/>
      </c>
      <c r="Q694" s="109" t="n"/>
      <c r="R694" s="109" t="n"/>
      <c r="S694" s="109" t="inlineStr">
        <is>
          <t>OF25320LDJD142</t>
        </is>
      </c>
      <c r="T694" s="114" t="n">
        <v>93</v>
      </c>
      <c r="U694" s="109" t="inlineStr">
        <is>
          <t>01 UNIT HYUNDAI CRAWLER EXCAVATOR HX340HD AND ACCESSORIES (VOIR BL)</t>
        </is>
      </c>
      <c r="V694" s="106" t="n"/>
      <c r="W694" s="106" t="n"/>
      <c r="X694" s="106" t="inlineStr">
        <is>
          <t>SOLDEE</t>
        </is>
      </c>
      <c r="Y694" s="116">
        <f>F694/E694</f>
        <v/>
      </c>
      <c r="Z694" s="30" t="n"/>
    </row>
    <row r="695" ht="18" customHeight="1" s="202">
      <c r="A695" s="106" t="n">
        <v>20260030</v>
      </c>
      <c r="B695" s="107" t="inlineStr">
        <is>
          <t>OCEAN FEATHER</t>
        </is>
      </c>
      <c r="C695" s="108" t="n">
        <v>46052</v>
      </c>
      <c r="D695" s="108" t="n">
        <v>46075</v>
      </c>
      <c r="E695" s="106" t="n">
        <v>2</v>
      </c>
      <c r="F695" s="106" t="n">
        <v>0</v>
      </c>
      <c r="G695" s="106" t="n">
        <v>6</v>
      </c>
      <c r="H695" s="109" t="inlineStr">
        <is>
          <t>HADJI HAKIM</t>
        </is>
      </c>
      <c r="I695" s="109" t="inlineStr">
        <is>
          <t>COLIS</t>
        </is>
      </c>
      <c r="J695" s="107" t="inlineStr">
        <is>
          <t>COLIS</t>
        </is>
      </c>
      <c r="K695" s="108">
        <f>D695+8</f>
        <v/>
      </c>
      <c r="L695" s="108">
        <f>K695+60</f>
        <v/>
      </c>
      <c r="M695" s="111" t="n"/>
      <c r="N695" s="112">
        <f>E695-2</f>
        <v/>
      </c>
      <c r="O695" s="113">
        <f>F695/E695*N695</f>
        <v/>
      </c>
      <c r="P695" s="112">
        <f>G695/E695*N695</f>
        <v/>
      </c>
      <c r="Q695" s="109" t="n"/>
      <c r="R695" s="109" t="n"/>
      <c r="S695" s="109" t="inlineStr">
        <is>
          <t>OF25320LDJD142</t>
        </is>
      </c>
      <c r="T695" s="114" t="n">
        <v>93</v>
      </c>
      <c r="U695" s="109" t="n"/>
      <c r="V695" s="106" t="n"/>
      <c r="W695" s="106" t="n"/>
      <c r="X695" s="106" t="inlineStr">
        <is>
          <t>SOLDEE</t>
        </is>
      </c>
      <c r="Y695" s="116">
        <f>F695/E695</f>
        <v/>
      </c>
      <c r="Z695" s="30" t="n"/>
    </row>
    <row r="696" ht="18" customHeight="1" s="202">
      <c r="A696" s="106" t="n">
        <v>20260030</v>
      </c>
      <c r="B696" s="107" t="inlineStr">
        <is>
          <t>OCEAN FEATHER</t>
        </is>
      </c>
      <c r="C696" s="108" t="n">
        <v>46052</v>
      </c>
      <c r="D696" s="108" t="n">
        <v>46075</v>
      </c>
      <c r="E696" s="106" t="n">
        <v>1</v>
      </c>
      <c r="F696" s="106" t="n">
        <v>12.67</v>
      </c>
      <c r="G696" s="106" t="n">
        <v>24</v>
      </c>
      <c r="H696" s="109" t="inlineStr">
        <is>
          <t>EURL YADEM PRESTATION</t>
        </is>
      </c>
      <c r="I696" s="109" t="inlineStr">
        <is>
          <t>CAMIONS</t>
        </is>
      </c>
      <c r="J696" s="107" t="inlineStr">
        <is>
          <t>LOURD</t>
        </is>
      </c>
      <c r="K696" s="108">
        <f>D696+8</f>
        <v/>
      </c>
      <c r="L696" s="108">
        <f>K696+60</f>
        <v/>
      </c>
      <c r="M696" s="111" t="n"/>
      <c r="N696" s="112">
        <f>E696-1</f>
        <v/>
      </c>
      <c r="O696" s="113">
        <f>F696/E696*N696</f>
        <v/>
      </c>
      <c r="P696" s="112">
        <f>G696/E696*N696</f>
        <v/>
      </c>
      <c r="Q696" s="109" t="n"/>
      <c r="R696" s="109" t="n"/>
      <c r="S696" s="109" t="inlineStr">
        <is>
          <t>OF25320LDJD147</t>
        </is>
      </c>
      <c r="T696" s="114" t="n">
        <v>96</v>
      </c>
      <c r="U696" s="109" t="inlineStr">
        <is>
          <t>01 UNIT SHACMAN 6*4 F2000 DUMP TRUCK ( VOIR BL)</t>
        </is>
      </c>
      <c r="V696" s="106" t="n"/>
      <c r="W696" s="106" t="n"/>
      <c r="X696" s="106" t="inlineStr">
        <is>
          <t>SOLDEE</t>
        </is>
      </c>
      <c r="Y696" s="116">
        <f>F696/E696</f>
        <v/>
      </c>
      <c r="Z696" s="30" t="n"/>
    </row>
    <row r="697" ht="18" customHeight="1" s="202">
      <c r="A697" s="106" t="n">
        <v>20260030</v>
      </c>
      <c r="B697" s="107" t="inlineStr">
        <is>
          <t>OCEAN FEATHER</t>
        </is>
      </c>
      <c r="C697" s="108" t="n">
        <v>46052</v>
      </c>
      <c r="D697" s="108" t="n">
        <v>46075</v>
      </c>
      <c r="E697" s="106" t="n">
        <v>3</v>
      </c>
      <c r="F697" s="106" t="n">
        <v>102</v>
      </c>
      <c r="G697" s="106" t="n">
        <v>72</v>
      </c>
      <c r="H697" s="109" t="inlineStr">
        <is>
          <t>EURL FORT BRST SERVICES</t>
        </is>
      </c>
      <c r="I697" s="109" t="inlineStr">
        <is>
          <t>EXCAVATEURS</t>
        </is>
      </c>
      <c r="J697" s="107" t="inlineStr">
        <is>
          <t>ENGINS</t>
        </is>
      </c>
      <c r="K697" s="108">
        <f>D697+8</f>
        <v/>
      </c>
      <c r="L697" s="108">
        <f>K697+60</f>
        <v/>
      </c>
      <c r="M697" s="111" t="n"/>
      <c r="N697" s="112">
        <f>E697-3</f>
        <v/>
      </c>
      <c r="O697" s="113">
        <f>F697/E697*N697</f>
        <v/>
      </c>
      <c r="P697" s="112">
        <f>G697/E697*N697</f>
        <v/>
      </c>
      <c r="Q697" s="109" t="n"/>
      <c r="R697" s="109" t="n"/>
      <c r="S697" s="109" t="inlineStr">
        <is>
          <t>OF25320LDJD148</t>
        </is>
      </c>
      <c r="T697" s="114" t="n">
        <v>97</v>
      </c>
      <c r="U697" s="109" t="inlineStr">
        <is>
          <t>03 UNITS HYUNDAI EXCAVATOR HX340HD ( VOIR BL)</t>
        </is>
      </c>
      <c r="V697" s="106" t="n"/>
      <c r="W697" s="106" t="n"/>
      <c r="X697" s="106" t="inlineStr">
        <is>
          <t>SOLDEE</t>
        </is>
      </c>
      <c r="Y697" s="116">
        <f>F697/E697</f>
        <v/>
      </c>
      <c r="Z697" s="30" t="n"/>
    </row>
    <row r="698" ht="18" customHeight="1" s="202">
      <c r="A698" s="106" t="n">
        <v>20260030</v>
      </c>
      <c r="B698" s="107" t="inlineStr">
        <is>
          <t>OCEAN FEATHER</t>
        </is>
      </c>
      <c r="C698" s="108" t="n">
        <v>46052</v>
      </c>
      <c r="D698" s="108" t="n">
        <v>46075</v>
      </c>
      <c r="E698" s="106" t="n">
        <v>3</v>
      </c>
      <c r="F698" s="106" t="n">
        <v>0</v>
      </c>
      <c r="G698" s="106" t="n">
        <v>9</v>
      </c>
      <c r="H698" s="109" t="inlineStr">
        <is>
          <t>EURL FORT BRST SERVICES</t>
        </is>
      </c>
      <c r="I698" s="109" t="inlineStr">
        <is>
          <t>COLIS</t>
        </is>
      </c>
      <c r="J698" s="107" t="inlineStr">
        <is>
          <t>COLIS</t>
        </is>
      </c>
      <c r="K698" s="108">
        <f>D698+8</f>
        <v/>
      </c>
      <c r="L698" s="108">
        <f>K698+60</f>
        <v/>
      </c>
      <c r="M698" s="111" t="n"/>
      <c r="N698" s="112">
        <f>E698-3</f>
        <v/>
      </c>
      <c r="O698" s="113">
        <f>F698/E698*N698</f>
        <v/>
      </c>
      <c r="P698" s="112">
        <f>G698/E698*N698</f>
        <v/>
      </c>
      <c r="Q698" s="109" t="n"/>
      <c r="R698" s="109" t="n"/>
      <c r="S698" s="109" t="inlineStr">
        <is>
          <t>OF25320LDJD148</t>
        </is>
      </c>
      <c r="T698" s="114" t="n">
        <v>97</v>
      </c>
      <c r="U698" s="109" t="n"/>
      <c r="V698" s="106" t="n"/>
      <c r="W698" s="106" t="n"/>
      <c r="X698" s="106" t="inlineStr">
        <is>
          <t>SOLDEE</t>
        </is>
      </c>
      <c r="Y698" s="116">
        <f>F698/E698</f>
        <v/>
      </c>
      <c r="Z698" s="30" t="n"/>
    </row>
    <row r="699" ht="18" customHeight="1" s="202">
      <c r="A699" s="106" t="n">
        <v>20260030</v>
      </c>
      <c r="B699" s="107" t="inlineStr">
        <is>
          <t>OCEAN FEATHER</t>
        </is>
      </c>
      <c r="C699" s="108" t="n">
        <v>46052</v>
      </c>
      <c r="D699" s="108" t="n">
        <v>46075</v>
      </c>
      <c r="E699" s="106" t="n">
        <v>1</v>
      </c>
      <c r="F699" s="106" t="n">
        <v>12.33</v>
      </c>
      <c r="G699" s="106" t="n">
        <v>24</v>
      </c>
      <c r="H699" s="109" t="inlineStr">
        <is>
          <t>SARLSIDI OUMEUR</t>
        </is>
      </c>
      <c r="I699" s="109" t="inlineStr">
        <is>
          <t>CAMIONS</t>
        </is>
      </c>
      <c r="J699" s="107" t="inlineStr">
        <is>
          <t>LOURD</t>
        </is>
      </c>
      <c r="K699" s="108">
        <f>D699+8</f>
        <v/>
      </c>
      <c r="L699" s="108">
        <f>K699+60</f>
        <v/>
      </c>
      <c r="M699" s="111" t="n"/>
      <c r="N699" s="112">
        <f>E699-1</f>
        <v/>
      </c>
      <c r="O699" s="113">
        <f>F699/E699*N699</f>
        <v/>
      </c>
      <c r="P699" s="112">
        <f>G699/E699*N699</f>
        <v/>
      </c>
      <c r="Q699" s="109" t="n"/>
      <c r="R699" s="109" t="n"/>
      <c r="S699" s="109" t="inlineStr">
        <is>
          <t>OF25320LDJD149</t>
        </is>
      </c>
      <c r="T699" s="114" t="n">
        <v>98</v>
      </c>
      <c r="U699" s="109" t="inlineStr">
        <is>
          <t>01 UNIT SHACMAN F2000 6×4 DUMP TRUCK ( VOIR BL)</t>
        </is>
      </c>
      <c r="V699" s="106" t="n"/>
      <c r="W699" s="106" t="n"/>
      <c r="X699" s="106" t="inlineStr">
        <is>
          <t>SOLDEE</t>
        </is>
      </c>
      <c r="Y699" s="116">
        <f>F699/E699</f>
        <v/>
      </c>
      <c r="Z699" s="64">
        <f>E699-N699</f>
        <v/>
      </c>
    </row>
    <row r="700" ht="18" customHeight="1" s="202">
      <c r="A700" s="106" t="n">
        <v>20260030</v>
      </c>
      <c r="B700" s="107" t="inlineStr">
        <is>
          <t>OCEAN FEATHER</t>
        </is>
      </c>
      <c r="C700" s="108" t="n">
        <v>46052</v>
      </c>
      <c r="D700" s="108" t="n">
        <v>46075</v>
      </c>
      <c r="E700" s="106" t="n">
        <v>1</v>
      </c>
      <c r="F700" s="106" t="n">
        <v>12.33</v>
      </c>
      <c r="G700" s="106" t="n">
        <v>24</v>
      </c>
      <c r="H700" s="109" t="inlineStr">
        <is>
          <t>EURL GHAB MULTI SERVICES</t>
        </is>
      </c>
      <c r="I700" s="109" t="inlineStr">
        <is>
          <t>CAMIONS</t>
        </is>
      </c>
      <c r="J700" s="107" t="inlineStr">
        <is>
          <t>LOURD</t>
        </is>
      </c>
      <c r="K700" s="108">
        <f>D700+8</f>
        <v/>
      </c>
      <c r="L700" s="108">
        <f>K700+60</f>
        <v/>
      </c>
      <c r="M700" s="111" t="n"/>
      <c r="N700" s="112">
        <f>E700-1</f>
        <v/>
      </c>
      <c r="O700" s="113">
        <f>F700/E700*N700</f>
        <v/>
      </c>
      <c r="P700" s="112">
        <f>G700/E700*N700</f>
        <v/>
      </c>
      <c r="Q700" s="109" t="n"/>
      <c r="R700" s="109" t="n"/>
      <c r="S700" s="109" t="inlineStr">
        <is>
          <t>OF25320LDJD160</t>
        </is>
      </c>
      <c r="T700" s="114" t="n">
        <v>108</v>
      </c>
      <c r="U700" s="109" t="inlineStr">
        <is>
          <t>01 UNIT SHACMAN F2000 6×4 DUMP TRUCK ( VOIR BL )</t>
        </is>
      </c>
      <c r="V700" s="106" t="n"/>
      <c r="W700" s="106" t="n"/>
      <c r="X700" s="106" t="inlineStr">
        <is>
          <t>SOLDEE</t>
        </is>
      </c>
      <c r="Y700" s="116">
        <f>F700/E700</f>
        <v/>
      </c>
      <c r="Z700" s="30" t="n"/>
    </row>
    <row r="701" ht="18" customHeight="1" s="202">
      <c r="A701" s="106" t="n">
        <v>20260030</v>
      </c>
      <c r="B701" s="107" t="inlineStr">
        <is>
          <t>OCEAN FEATHER</t>
        </is>
      </c>
      <c r="C701" s="108" t="n">
        <v>46052</v>
      </c>
      <c r="D701" s="108" t="n">
        <v>46075</v>
      </c>
      <c r="E701" s="106" t="n">
        <v>2</v>
      </c>
      <c r="F701" s="106" t="n">
        <v>24.6</v>
      </c>
      <c r="G701" s="106" t="n">
        <v>80</v>
      </c>
      <c r="H701" s="109" t="inlineStr">
        <is>
          <t>ALLAOUA NACIM</t>
        </is>
      </c>
      <c r="I701" s="109" t="inlineStr">
        <is>
          <t>BUS</t>
        </is>
      </c>
      <c r="J701" s="107" t="inlineStr">
        <is>
          <t>UTILITAIRE</t>
        </is>
      </c>
      <c r="K701" s="108">
        <f>D701+8</f>
        <v/>
      </c>
      <c r="L701" s="108">
        <f>K701+60</f>
        <v/>
      </c>
      <c r="M701" s="111" t="n"/>
      <c r="N701" s="112">
        <f>E701-2</f>
        <v/>
      </c>
      <c r="O701" s="113">
        <f>F701/E701*N701</f>
        <v/>
      </c>
      <c r="P701" s="112">
        <f>G701/E701*N701</f>
        <v/>
      </c>
      <c r="Q701" s="109" t="n"/>
      <c r="R701" s="109" t="n"/>
      <c r="S701" s="109" t="inlineStr">
        <is>
          <t>OF25320LDJD163</t>
        </is>
      </c>
      <c r="T701" s="114" t="n">
        <v>110</v>
      </c>
      <c r="U701" s="109" t="inlineStr">
        <is>
          <t>02 UNITS HIGER AUTOCAR V91 STANDARD ( VOIR BL)</t>
        </is>
      </c>
      <c r="V701" s="106" t="n"/>
      <c r="W701" s="106" t="n"/>
      <c r="X701" s="106" t="inlineStr">
        <is>
          <t>SOLDEE</t>
        </is>
      </c>
      <c r="Y701" s="116">
        <f>F701/E701</f>
        <v/>
      </c>
      <c r="Z701" s="30" t="n"/>
    </row>
    <row r="702" ht="18" customHeight="1" s="202">
      <c r="A702" s="106" t="n">
        <v>20260030</v>
      </c>
      <c r="B702" s="107" t="inlineStr">
        <is>
          <t>OCEAN FEATHER</t>
        </is>
      </c>
      <c r="C702" s="108" t="n">
        <v>46052</v>
      </c>
      <c r="D702" s="108" t="n">
        <v>46075</v>
      </c>
      <c r="E702" s="106" t="n">
        <v>10</v>
      </c>
      <c r="F702" s="106" t="n">
        <v>0.142</v>
      </c>
      <c r="G702" s="106" t="n">
        <v>0</v>
      </c>
      <c r="H702" s="109" t="inlineStr">
        <is>
          <t>ALLAOUA NACIM</t>
        </is>
      </c>
      <c r="I702" s="109" t="inlineStr">
        <is>
          <t>COLIS</t>
        </is>
      </c>
      <c r="J702" s="107" t="inlineStr">
        <is>
          <t>COLIS</t>
        </is>
      </c>
      <c r="K702" s="108">
        <f>D702+8</f>
        <v/>
      </c>
      <c r="L702" s="108">
        <f>K702+60</f>
        <v/>
      </c>
      <c r="M702" s="111" t="n"/>
      <c r="N702" s="112">
        <f>E702-10</f>
        <v/>
      </c>
      <c r="O702" s="113">
        <f>F702/E702*N702</f>
        <v/>
      </c>
      <c r="P702" s="112">
        <f>G702/E702*N702</f>
        <v/>
      </c>
      <c r="Q702" s="109" t="n"/>
      <c r="R702" s="109" t="n"/>
      <c r="S702" s="109" t="inlineStr">
        <is>
          <t>OF25320LDJD170</t>
        </is>
      </c>
      <c r="T702" s="114" t="n">
        <v>117</v>
      </c>
      <c r="U702" s="109" t="inlineStr">
        <is>
          <t>SPARE PARTS FOR BUS</t>
        </is>
      </c>
      <c r="V702" s="106" t="n"/>
      <c r="W702" s="106" t="n"/>
      <c r="X702" s="106" t="inlineStr">
        <is>
          <t>SOLDEE</t>
        </is>
      </c>
      <c r="Y702" s="116">
        <f>F702/E702</f>
        <v/>
      </c>
      <c r="Z702" s="30" t="n"/>
    </row>
    <row r="703" ht="18" customHeight="1" s="202">
      <c r="A703" s="106" t="n">
        <v>20260030</v>
      </c>
      <c r="B703" s="107" t="inlineStr">
        <is>
          <t>OCEAN FEATHER</t>
        </is>
      </c>
      <c r="C703" s="108" t="n">
        <v>46052</v>
      </c>
      <c r="D703" s="108" t="n">
        <v>46075</v>
      </c>
      <c r="E703" s="106" t="n">
        <v>2</v>
      </c>
      <c r="F703" s="106" t="n">
        <v>5.1</v>
      </c>
      <c r="G703" s="106" t="n">
        <v>48</v>
      </c>
      <c r="H703" s="109" t="inlineStr">
        <is>
          <t>SPA METALCO EXTRUSION</t>
        </is>
      </c>
      <c r="I703" s="109" t="inlineStr">
        <is>
          <t>MINI BUS</t>
        </is>
      </c>
      <c r="J703" s="107" t="inlineStr">
        <is>
          <t>UTILITAIRE</t>
        </is>
      </c>
      <c r="K703" s="108">
        <f>D703+8</f>
        <v/>
      </c>
      <c r="L703" s="108">
        <f>K703+60</f>
        <v/>
      </c>
      <c r="M703" s="111" t="n"/>
      <c r="N703" s="112">
        <f>E703-2</f>
        <v/>
      </c>
      <c r="O703" s="113">
        <f>F703/E703*N703</f>
        <v/>
      </c>
      <c r="P703" s="112">
        <f>G703/E703*N703</f>
        <v/>
      </c>
      <c r="Q703" s="109" t="n"/>
      <c r="R703" s="109" t="n"/>
      <c r="S703" s="109" t="inlineStr">
        <is>
          <t>OF25320LDJD166</t>
        </is>
      </c>
      <c r="T703" s="114" t="n">
        <v>113</v>
      </c>
      <c r="U703" s="109" t="inlineStr">
        <is>
          <t>02 UNITS HIGER MICRO BUS 19 SEAT VAN (VOIR BL)</t>
        </is>
      </c>
      <c r="V703" s="106" t="n"/>
      <c r="W703" s="106" t="n"/>
      <c r="X703" s="106" t="inlineStr">
        <is>
          <t>SOLDEE</t>
        </is>
      </c>
      <c r="Y703" s="116">
        <f>F703/E703</f>
        <v/>
      </c>
      <c r="Z703" s="30" t="n"/>
    </row>
    <row r="704" ht="18" customHeight="1" s="202">
      <c r="A704" s="106" t="n">
        <v>20260030</v>
      </c>
      <c r="B704" s="107" t="inlineStr">
        <is>
          <t>OCEAN FEATHER</t>
        </is>
      </c>
      <c r="C704" s="108" t="n">
        <v>46052</v>
      </c>
      <c r="D704" s="108" t="n">
        <v>46075</v>
      </c>
      <c r="E704" s="106" t="n">
        <v>1</v>
      </c>
      <c r="F704" s="106" t="n">
        <v>10.3</v>
      </c>
      <c r="G704" s="106" t="n">
        <v>40</v>
      </c>
      <c r="H704" s="109" t="inlineStr">
        <is>
          <t>SARL ANGUEK TOYS</t>
        </is>
      </c>
      <c r="I704" s="109" t="inlineStr">
        <is>
          <t>BUS</t>
        </is>
      </c>
      <c r="J704" s="107" t="inlineStr">
        <is>
          <t>UTILITAIRE</t>
        </is>
      </c>
      <c r="K704" s="108">
        <f>D704+8</f>
        <v/>
      </c>
      <c r="L704" s="108">
        <f>K704+60</f>
        <v/>
      </c>
      <c r="M704" s="111" t="n"/>
      <c r="N704" s="112">
        <f>E704-1</f>
        <v/>
      </c>
      <c r="O704" s="113">
        <f>F704/E704*N704</f>
        <v/>
      </c>
      <c r="P704" s="112">
        <f>G704/E704*N704</f>
        <v/>
      </c>
      <c r="Q704" s="109" t="n"/>
      <c r="R704" s="109" t="n"/>
      <c r="S704" s="109" t="inlineStr">
        <is>
          <t>OF25320LDJD168</t>
        </is>
      </c>
      <c r="T704" s="114" t="n">
        <v>115</v>
      </c>
      <c r="U704" s="109" t="inlineStr">
        <is>
          <t>01 UNIT HIGER AUTOBUS C100 ( VOIR BL)</t>
        </is>
      </c>
      <c r="V704" s="106" t="n"/>
      <c r="W704" s="106" t="n"/>
      <c r="X704" s="106" t="inlineStr">
        <is>
          <t>SOLDEE</t>
        </is>
      </c>
      <c r="Y704" s="116">
        <f>F704/E704</f>
        <v/>
      </c>
      <c r="Z704" s="30" t="n"/>
    </row>
    <row r="705" ht="18" customHeight="1" s="202">
      <c r="A705" s="106" t="n">
        <v>20260030</v>
      </c>
      <c r="B705" s="107" t="inlineStr">
        <is>
          <t>OCEAN FEATHER</t>
        </is>
      </c>
      <c r="C705" s="108" t="n">
        <v>46052</v>
      </c>
      <c r="D705" s="108" t="n">
        <v>46075</v>
      </c>
      <c r="E705" s="106" t="n">
        <v>1</v>
      </c>
      <c r="F705" s="106" t="n">
        <v>26.41</v>
      </c>
      <c r="G705" s="106" t="n">
        <v>24</v>
      </c>
      <c r="H705" s="109" t="inlineStr">
        <is>
          <t>BOUZID NACER EDDINE</t>
        </is>
      </c>
      <c r="I705" s="109" t="inlineStr">
        <is>
          <t>EXCAVATEURS</t>
        </is>
      </c>
      <c r="J705" s="107" t="inlineStr">
        <is>
          <t>ENGINS</t>
        </is>
      </c>
      <c r="K705" s="108">
        <f>D705+8</f>
        <v/>
      </c>
      <c r="L705" s="108">
        <f>K705+60</f>
        <v/>
      </c>
      <c r="M705" s="111" t="n"/>
      <c r="N705" s="112">
        <f>E705-1</f>
        <v/>
      </c>
      <c r="O705" s="113">
        <f>F705/E705*N705</f>
        <v/>
      </c>
      <c r="P705" s="112">
        <f>G705/E705*N705</f>
        <v/>
      </c>
      <c r="Q705" s="109" t="n"/>
      <c r="R705" s="109" t="n"/>
      <c r="S705" s="109" t="inlineStr">
        <is>
          <t>OF25320LDJD175</t>
        </is>
      </c>
      <c r="T705" s="114" t="n">
        <v>120</v>
      </c>
      <c r="U705" s="109" t="inlineStr">
        <is>
          <t>01 UNIT CRAWLER EXCAVATOR 01 UNIT SL1400 HYDRAULIE BREAKER(VOIR BL)</t>
        </is>
      </c>
      <c r="V705" s="106" t="n"/>
      <c r="W705" s="106" t="n"/>
      <c r="X705" s="106" t="inlineStr">
        <is>
          <t>SOLDEE</t>
        </is>
      </c>
      <c r="Y705" s="116">
        <f>F705/E705</f>
        <v/>
      </c>
      <c r="Z705" s="64">
        <f>E705-N705</f>
        <v/>
      </c>
    </row>
    <row r="706" ht="18" customHeight="1" s="202">
      <c r="A706" s="106" t="n">
        <v>20260030</v>
      </c>
      <c r="B706" s="107" t="inlineStr">
        <is>
          <t>OCEAN FEATHER</t>
        </is>
      </c>
      <c r="C706" s="108" t="n">
        <v>46052</v>
      </c>
      <c r="D706" s="108" t="n">
        <v>46075</v>
      </c>
      <c r="E706" s="106" t="n">
        <v>1</v>
      </c>
      <c r="F706" s="106" t="n">
        <v>0</v>
      </c>
      <c r="G706" s="106" t="n">
        <v>3</v>
      </c>
      <c r="H706" s="109" t="inlineStr">
        <is>
          <t>BOUZID NACER EDDINE</t>
        </is>
      </c>
      <c r="I706" s="109" t="inlineStr">
        <is>
          <t>COLIS</t>
        </is>
      </c>
      <c r="J706" s="107" t="inlineStr">
        <is>
          <t>COLIS</t>
        </is>
      </c>
      <c r="K706" s="108">
        <f>D706+8</f>
        <v/>
      </c>
      <c r="L706" s="108">
        <f>K706+60</f>
        <v/>
      </c>
      <c r="M706" s="111" t="n"/>
      <c r="N706" s="112">
        <f>E706-1</f>
        <v/>
      </c>
      <c r="O706" s="113">
        <f>F706/E706*N706</f>
        <v/>
      </c>
      <c r="P706" s="112">
        <f>G706/E706*N706</f>
        <v/>
      </c>
      <c r="Q706" s="109" t="n"/>
      <c r="R706" s="109" t="n"/>
      <c r="S706" s="109" t="inlineStr">
        <is>
          <t>OF25320LDJD175</t>
        </is>
      </c>
      <c r="T706" s="114" t="n">
        <v>120</v>
      </c>
      <c r="U706" s="109" t="n"/>
      <c r="V706" s="106" t="n"/>
      <c r="W706" s="106" t="n"/>
      <c r="X706" s="106" t="inlineStr">
        <is>
          <t>SOLDEE</t>
        </is>
      </c>
      <c r="Y706" s="116">
        <f>F706/E706</f>
        <v/>
      </c>
      <c r="Z706" s="64">
        <f>E706-N706</f>
        <v/>
      </c>
    </row>
    <row r="707" ht="18" customHeight="1" s="202">
      <c r="A707" s="106" t="n">
        <v>20260030</v>
      </c>
      <c r="B707" s="107" t="inlineStr">
        <is>
          <t>OCEAN FEATHER</t>
        </is>
      </c>
      <c r="C707" s="108" t="n">
        <v>46052</v>
      </c>
      <c r="D707" s="108" t="n">
        <v>46075</v>
      </c>
      <c r="E707" s="106" t="n">
        <v>31</v>
      </c>
      <c r="F707" s="106" t="n">
        <v>123.845</v>
      </c>
      <c r="G707" s="106" t="n">
        <v>150</v>
      </c>
      <c r="H707" s="109" t="inlineStr">
        <is>
          <t>SH ACTIVITE RPC</t>
        </is>
      </c>
      <c r="I707" s="109" t="inlineStr">
        <is>
          <t>COLIS</t>
        </is>
      </c>
      <c r="J707" s="107" t="inlineStr">
        <is>
          <t>COLIS</t>
        </is>
      </c>
      <c r="K707" s="108">
        <f>D707+8</f>
        <v/>
      </c>
      <c r="L707" s="108">
        <f>K707+60</f>
        <v/>
      </c>
      <c r="M707" s="111" t="n"/>
      <c r="N707" s="112">
        <f>E707-30-1</f>
        <v/>
      </c>
      <c r="O707" s="113">
        <f>F707/E707*N707</f>
        <v/>
      </c>
      <c r="P707" s="112">
        <f>G707/E707*N707</f>
        <v/>
      </c>
      <c r="Q707" s="109" t="n"/>
      <c r="R707" s="109" t="n"/>
      <c r="S707" s="109" t="inlineStr">
        <is>
          <t>OF25320LDJD082</t>
        </is>
      </c>
      <c r="T707" s="114" t="n">
        <v>63</v>
      </c>
      <c r="U707" s="109" t="inlineStr">
        <is>
          <t>COMBINED TYPE AIR-CONDITIONING UNIT; AIR-COOLED SCREW CHILLER</t>
        </is>
      </c>
      <c r="V707" s="106" t="n"/>
      <c r="W707" s="106" t="n"/>
      <c r="X707" s="106" t="inlineStr">
        <is>
          <t>SOLDEE</t>
        </is>
      </c>
      <c r="Y707" s="116">
        <f>F707/E707</f>
        <v/>
      </c>
      <c r="Z707" s="64">
        <f>E707-N707</f>
        <v/>
      </c>
    </row>
    <row r="708" ht="18" customHeight="1" s="202">
      <c r="A708" s="116" t="n">
        <v>20260030</v>
      </c>
      <c r="B708" s="117" t="inlineStr">
        <is>
          <t>OCEAN FEATHER</t>
        </is>
      </c>
      <c r="C708" s="118" t="n">
        <v>46052</v>
      </c>
      <c r="D708" s="118" t="n">
        <v>46075</v>
      </c>
      <c r="E708" s="67" t="n">
        <v>7</v>
      </c>
      <c r="F708" s="119" t="n">
        <v>40.27</v>
      </c>
      <c r="G708" s="120" t="n">
        <v>24</v>
      </c>
      <c r="H708" s="121" t="inlineStr">
        <is>
          <t>SH ACTIVITE RPC</t>
        </is>
      </c>
      <c r="I708" s="121" t="inlineStr">
        <is>
          <t>COLIS</t>
        </is>
      </c>
      <c r="J708" s="117" t="inlineStr">
        <is>
          <t>COLIS</t>
        </is>
      </c>
      <c r="K708" s="48">
        <f>D708+8</f>
        <v/>
      </c>
      <c r="L708" s="48">
        <f>K708+60</f>
        <v/>
      </c>
      <c r="M708" s="71" t="n"/>
      <c r="N708" s="72">
        <f>E708</f>
        <v/>
      </c>
      <c r="O708" s="50">
        <f>F708/E708*N708</f>
        <v/>
      </c>
      <c r="P708" s="273">
        <f>G708/E708*N708</f>
        <v/>
      </c>
      <c r="Q708" s="224" t="n"/>
      <c r="R708" s="58" t="n"/>
      <c r="S708" s="200" t="inlineStr">
        <is>
          <t>OF25320LDJD084</t>
        </is>
      </c>
      <c r="T708" s="201" t="n">
        <v>64</v>
      </c>
      <c r="U708" s="58" t="inlineStr">
        <is>
          <t>MATERIELS ET MATERIAUX ( VOIR BL)</t>
        </is>
      </c>
      <c r="V708" s="67" t="n"/>
      <c r="W708" s="67" t="n"/>
      <c r="X708" s="62" t="inlineStr">
        <is>
          <t>N-OP</t>
        </is>
      </c>
      <c r="Y708" s="116">
        <f>F708/E708</f>
        <v/>
      </c>
      <c r="Z708" s="64">
        <f>E708-N708</f>
        <v/>
      </c>
    </row>
    <row r="709" ht="18" customHeight="1" s="202">
      <c r="A709" s="106" t="n">
        <v>20260030</v>
      </c>
      <c r="B709" s="107" t="inlineStr">
        <is>
          <t>OCEAN FEATHER</t>
        </is>
      </c>
      <c r="C709" s="108" t="n">
        <v>46052</v>
      </c>
      <c r="D709" s="108" t="n">
        <v>46075</v>
      </c>
      <c r="E709" s="106" t="n">
        <v>3</v>
      </c>
      <c r="F709" s="106" t="n">
        <v>18.445</v>
      </c>
      <c r="G709" s="106" t="n">
        <v>15</v>
      </c>
      <c r="H709" s="109" t="inlineStr">
        <is>
          <t>SH ACTIVITE RPC</t>
        </is>
      </c>
      <c r="I709" s="109" t="inlineStr">
        <is>
          <t>COLIS</t>
        </is>
      </c>
      <c r="J709" s="107" t="inlineStr">
        <is>
          <t>COLIS</t>
        </is>
      </c>
      <c r="K709" s="108">
        <f>D709+8</f>
        <v/>
      </c>
      <c r="L709" s="108">
        <f>K709+60</f>
        <v/>
      </c>
      <c r="M709" s="111" t="n"/>
      <c r="N709" s="112">
        <f>E709-3</f>
        <v/>
      </c>
      <c r="O709" s="113">
        <f>F709/E709*N709</f>
        <v/>
      </c>
      <c r="P709" s="112">
        <f>G709/E709*N709</f>
        <v/>
      </c>
      <c r="Q709" s="109" t="n"/>
      <c r="R709" s="109" t="n"/>
      <c r="S709" s="109" t="inlineStr">
        <is>
          <t>OF25320LDJD088/089</t>
        </is>
      </c>
      <c r="T709" s="114" t="n">
        <v>65</v>
      </c>
      <c r="U709" s="109" t="inlineStr">
        <is>
          <t>SPRING SUPPORTS /WELDED STEEL PIPE /SEAMED PIPE /WELDED STEEL PIPE /CARBON STEEL ANGLE /CHANNEL STEEL</t>
        </is>
      </c>
      <c r="V709" s="106" t="n"/>
      <c r="W709" s="106" t="n"/>
      <c r="X709" s="106" t="inlineStr">
        <is>
          <t>SOLDEE</t>
        </is>
      </c>
      <c r="Y709" s="116">
        <f>F709/E709</f>
        <v/>
      </c>
      <c r="Z709" s="30" t="n"/>
    </row>
    <row r="710" ht="18" customHeight="1" s="202">
      <c r="A710" s="116" t="n">
        <v>20260030</v>
      </c>
      <c r="B710" s="117" t="inlineStr">
        <is>
          <t>OCEAN FEATHER</t>
        </is>
      </c>
      <c r="C710" s="118" t="n">
        <v>46052</v>
      </c>
      <c r="D710" s="118" t="n">
        <v>46075</v>
      </c>
      <c r="E710" s="67" t="n">
        <v>44</v>
      </c>
      <c r="F710" s="119" t="n">
        <v>281.9934</v>
      </c>
      <c r="G710" s="120" t="n">
        <v>200</v>
      </c>
      <c r="H710" s="121" t="inlineStr">
        <is>
          <t>SH ACTIVITE RPC</t>
        </is>
      </c>
      <c r="I710" s="121" t="inlineStr">
        <is>
          <t>COLIS</t>
        </is>
      </c>
      <c r="J710" s="117" t="inlineStr">
        <is>
          <t>COLIS</t>
        </is>
      </c>
      <c r="K710" s="48">
        <f>D710+8</f>
        <v/>
      </c>
      <c r="L710" s="48">
        <f>K710+60</f>
        <v/>
      </c>
      <c r="M710" s="71" t="n"/>
      <c r="N710" s="72">
        <f>E710</f>
        <v/>
      </c>
      <c r="O710" s="50">
        <f>F710/E710*N710</f>
        <v/>
      </c>
      <c r="P710" s="273">
        <f>G710/E710*N710</f>
        <v/>
      </c>
      <c r="Q710" s="224" t="n"/>
      <c r="R710" s="58" t="n"/>
      <c r="S710" s="200" t="inlineStr">
        <is>
          <t>OF25320LDJD100</t>
        </is>
      </c>
      <c r="T710" s="201" t="n">
        <v>68</v>
      </c>
      <c r="U710" s="58" t="inlineStr">
        <is>
          <t>MATERIELS ET MATERIAUX ( VOIR BL)</t>
        </is>
      </c>
      <c r="V710" s="67" t="n"/>
      <c r="W710" s="67" t="n"/>
      <c r="X710" s="62" t="inlineStr">
        <is>
          <t>N-OP</t>
        </is>
      </c>
      <c r="Y710" s="116">
        <f>F710/E710</f>
        <v/>
      </c>
      <c r="Z710" s="64">
        <f>E710-N710</f>
        <v/>
      </c>
    </row>
    <row r="711" ht="18" customHeight="1" s="202">
      <c r="A711" s="206" t="n">
        <v>20260030</v>
      </c>
      <c r="B711" s="207" t="inlineStr">
        <is>
          <t>OCEAN FEATHER</t>
        </is>
      </c>
      <c r="C711" s="208" t="n">
        <v>46052</v>
      </c>
      <c r="D711" s="208" t="n">
        <v>46075</v>
      </c>
      <c r="E711" s="209" t="n">
        <v>3640</v>
      </c>
      <c r="F711" s="210" t="n">
        <v>4013.1</v>
      </c>
      <c r="G711" s="211" t="n">
        <v>3167</v>
      </c>
      <c r="H711" s="212" t="inlineStr">
        <is>
          <t>TRANSFORMATION DE PLASTIQUE STP SARL</t>
        </is>
      </c>
      <c r="I711" s="212" t="inlineStr">
        <is>
          <t>PET RESIN EN BIG BAG</t>
        </is>
      </c>
      <c r="J711" s="207" t="inlineStr">
        <is>
          <t>BIG BAG</t>
        </is>
      </c>
      <c r="K711" s="213">
        <f>D711+8</f>
        <v/>
      </c>
      <c r="L711" s="213">
        <f>K711+60</f>
        <v/>
      </c>
      <c r="M711" s="214" t="n"/>
      <c r="N711" s="215">
        <f>E711-3636</f>
        <v/>
      </c>
      <c r="O711" s="216">
        <f>F711/E711*N711</f>
        <v/>
      </c>
      <c r="P711" s="218">
        <f>G711/E711*N711</f>
        <v/>
      </c>
      <c r="Q711" s="224" t="n"/>
      <c r="R711" s="58" t="n"/>
      <c r="S711" s="200" t="inlineStr">
        <is>
          <t>OF25320LDJD007</t>
        </is>
      </c>
      <c r="T711" s="201" t="n">
        <v>5</v>
      </c>
      <c r="U711" s="58" t="inlineStr">
        <is>
          <t>PET RESIN,JADE CZ-302, WATER BOTTLE GRADE</t>
        </is>
      </c>
      <c r="V711" s="67" t="n"/>
      <c r="W711" s="67" t="n"/>
      <c r="X711" s="99" t="inlineStr">
        <is>
          <t>OPER</t>
        </is>
      </c>
      <c r="Y711" s="116">
        <f>F711/E711</f>
        <v/>
      </c>
      <c r="Z711" s="64">
        <f>E711-N711</f>
        <v/>
      </c>
    </row>
    <row r="712" ht="18" customHeight="1" s="202">
      <c r="A712" s="106" t="n">
        <v>20260030</v>
      </c>
      <c r="B712" s="107" t="inlineStr">
        <is>
          <t>OCEAN FEATHER</t>
        </is>
      </c>
      <c r="C712" s="108" t="n">
        <v>46052</v>
      </c>
      <c r="D712" s="108" t="n">
        <v>46075</v>
      </c>
      <c r="E712" s="106" t="n">
        <v>910</v>
      </c>
      <c r="F712" s="106" t="n">
        <v>1003.275</v>
      </c>
      <c r="G712" s="106" t="n">
        <v>792</v>
      </c>
      <c r="H712" s="109" t="inlineStr">
        <is>
          <t>EURL PROFORM</t>
        </is>
      </c>
      <c r="I712" s="109" t="inlineStr">
        <is>
          <t>PET RESIN EN BIG BAG</t>
        </is>
      </c>
      <c r="J712" s="107" t="inlineStr">
        <is>
          <t>BIG BAG</t>
        </is>
      </c>
      <c r="K712" s="108">
        <f>D712+8</f>
        <v/>
      </c>
      <c r="L712" s="108">
        <f>K712+60</f>
        <v/>
      </c>
      <c r="M712" s="111" t="n"/>
      <c r="N712" s="112">
        <f>E712-782-78-50</f>
        <v/>
      </c>
      <c r="O712" s="113">
        <f>F712/E712*N712</f>
        <v/>
      </c>
      <c r="P712" s="112">
        <f>G712/E712*N712</f>
        <v/>
      </c>
      <c r="Q712" s="109" t="n"/>
      <c r="R712" s="109" t="n"/>
      <c r="S712" s="109" t="inlineStr">
        <is>
          <t>OF25320LDJD008</t>
        </is>
      </c>
      <c r="T712" s="114" t="n">
        <v>6</v>
      </c>
      <c r="U712" s="109" t="inlineStr">
        <is>
          <t>PET RESIN, 100% VIRGIN JADE CZ-302 I.V.0.800 +/-0.02, /BOTTLE GRADE</t>
        </is>
      </c>
      <c r="V712" s="106" t="n"/>
      <c r="W712" s="106" t="n"/>
      <c r="X712" s="106" t="inlineStr">
        <is>
          <t>SOLDEE</t>
        </is>
      </c>
      <c r="Y712" s="116">
        <f>F712/E712</f>
        <v/>
      </c>
      <c r="Z712" s="30" t="n"/>
    </row>
    <row r="713" ht="18" customHeight="1" s="202">
      <c r="A713" s="206" t="n">
        <v>20260030</v>
      </c>
      <c r="B713" s="207" t="inlineStr">
        <is>
          <t>OCEAN FEATHER</t>
        </is>
      </c>
      <c r="C713" s="208" t="n">
        <v>46052</v>
      </c>
      <c r="D713" s="208" t="n">
        <v>46075</v>
      </c>
      <c r="E713" s="209" t="n">
        <v>460</v>
      </c>
      <c r="F713" s="210" t="n">
        <v>507.38</v>
      </c>
      <c r="G713" s="211" t="n">
        <v>400</v>
      </c>
      <c r="H713" s="212" t="inlineStr">
        <is>
          <t>SPA INTERNATIONAL DRINKS COMPANY (IDC)</t>
        </is>
      </c>
      <c r="I713" s="212" t="inlineStr">
        <is>
          <t>PET RESIN EN BIG BAG</t>
        </is>
      </c>
      <c r="J713" s="207" t="inlineStr">
        <is>
          <t>BIG BAG</t>
        </is>
      </c>
      <c r="K713" s="213">
        <f>D713+8</f>
        <v/>
      </c>
      <c r="L713" s="213">
        <f>K713+60</f>
        <v/>
      </c>
      <c r="M713" s="214" t="n"/>
      <c r="N713" s="215">
        <f>E713-87-209-116</f>
        <v/>
      </c>
      <c r="O713" s="216">
        <f>F713/E713*N713</f>
        <v/>
      </c>
      <c r="P713" s="218">
        <f>G713/E713*N713</f>
        <v/>
      </c>
      <c r="Q713" s="224" t="n"/>
      <c r="R713" s="58" t="n"/>
      <c r="S713" s="200" t="inlineStr">
        <is>
          <t>OF25320LDJD174</t>
        </is>
      </c>
      <c r="T713" s="201" t="n">
        <v>119</v>
      </c>
      <c r="U713" s="58" t="inlineStr">
        <is>
          <t>PET RESIN BOTTLE GRADE</t>
        </is>
      </c>
      <c r="V713" s="67" t="n"/>
      <c r="W713" s="67" t="n"/>
      <c r="X713" s="99" t="inlineStr">
        <is>
          <t>OPER</t>
        </is>
      </c>
      <c r="Y713" s="116">
        <f>F713/E713</f>
        <v/>
      </c>
      <c r="Z713" s="64">
        <f>E713-N713</f>
        <v/>
      </c>
    </row>
    <row r="714" ht="18" customHeight="1" s="202">
      <c r="A714" s="106" t="n">
        <v>20260030</v>
      </c>
      <c r="B714" s="107" t="inlineStr">
        <is>
          <t>OCEAN FEATHER</t>
        </is>
      </c>
      <c r="C714" s="108" t="n">
        <v>46052</v>
      </c>
      <c r="D714" s="108" t="n">
        <v>46075</v>
      </c>
      <c r="E714" s="106" t="n">
        <v>250</v>
      </c>
      <c r="F714" s="106" t="n">
        <v>426.15</v>
      </c>
      <c r="G714" s="106" t="n">
        <v>108</v>
      </c>
      <c r="H714" s="109" t="inlineStr">
        <is>
          <t>SARL GSM GHESSAB SAMIR ET MOHAMED</t>
        </is>
      </c>
      <c r="I714" s="109" t="inlineStr">
        <is>
          <t>MDF</t>
        </is>
      </c>
      <c r="J714" s="107" t="inlineStr">
        <is>
          <t>CTP</t>
        </is>
      </c>
      <c r="K714" s="108">
        <f>D714+8</f>
        <v/>
      </c>
      <c r="L714" s="108">
        <f>K714+60</f>
        <v/>
      </c>
      <c r="M714" s="111" t="n"/>
      <c r="N714" s="112">
        <f>E714-136-114</f>
        <v/>
      </c>
      <c r="O714" s="113">
        <f>F714/E714*N714</f>
        <v/>
      </c>
      <c r="P714" s="112">
        <f>G714/E714*N714</f>
        <v/>
      </c>
      <c r="Q714" s="109" t="n"/>
      <c r="R714" s="109" t="n"/>
      <c r="S714" s="109" t="inlineStr">
        <is>
          <t>OF25320LDJD150</t>
        </is>
      </c>
      <c r="T714" s="114" t="n">
        <v>99</v>
      </c>
      <c r="U714" s="109" t="inlineStr">
        <is>
          <t>PLAIN MDF</t>
        </is>
      </c>
      <c r="V714" s="106" t="n"/>
      <c r="W714" s="106" t="n"/>
      <c r="X714" s="106" t="inlineStr">
        <is>
          <t>SOLDEE</t>
        </is>
      </c>
      <c r="Y714" s="116">
        <f>F714/E714</f>
        <v/>
      </c>
      <c r="Z714" s="30" t="n"/>
    </row>
    <row r="715" ht="18" customHeight="1" s="202">
      <c r="A715" s="206" t="n">
        <v>20260030</v>
      </c>
      <c r="B715" s="207" t="inlineStr">
        <is>
          <t>OCEAN FEATHER</t>
        </is>
      </c>
      <c r="C715" s="208" t="n">
        <v>46052</v>
      </c>
      <c r="D715" s="208" t="n">
        <v>46075</v>
      </c>
      <c r="E715" s="209" t="n">
        <v>230</v>
      </c>
      <c r="F715" s="210" t="n">
        <v>542.75</v>
      </c>
      <c r="G715" s="211" t="n">
        <v>99</v>
      </c>
      <c r="H715" s="212" t="inlineStr">
        <is>
          <t>EURL PANOTEC</t>
        </is>
      </c>
      <c r="I715" s="212" t="inlineStr">
        <is>
          <t>MDF</t>
        </is>
      </c>
      <c r="J715" s="207" t="inlineStr">
        <is>
          <t>CTP</t>
        </is>
      </c>
      <c r="K715" s="213">
        <f>D715+8</f>
        <v/>
      </c>
      <c r="L715" s="213">
        <f>K715+60</f>
        <v/>
      </c>
      <c r="M715" s="214" t="n"/>
      <c r="N715" s="215">
        <f>E715-20-40-72-60-20</f>
        <v/>
      </c>
      <c r="O715" s="216">
        <f>F715/E715*N715</f>
        <v/>
      </c>
      <c r="P715" s="218">
        <f>G715/E715*N715</f>
        <v/>
      </c>
      <c r="Q715" s="224" t="n"/>
      <c r="R715" s="58" t="n"/>
      <c r="S715" s="200" t="inlineStr">
        <is>
          <t>OF25320LDJD151</t>
        </is>
      </c>
      <c r="T715" s="201" t="n">
        <v>100</v>
      </c>
      <c r="U715" s="58" t="inlineStr">
        <is>
          <t>PLAIN MDF</t>
        </is>
      </c>
      <c r="V715" s="67" t="n"/>
      <c r="W715" s="67" t="n"/>
      <c r="X715" s="99" t="inlineStr">
        <is>
          <t>OPER</t>
        </is>
      </c>
      <c r="Y715" s="116">
        <f>F715/E715</f>
        <v/>
      </c>
      <c r="Z715" s="64">
        <f>E715-N715</f>
        <v/>
      </c>
    </row>
    <row r="716" ht="18" customHeight="1" s="202">
      <c r="A716" s="206" t="n">
        <v>20260030</v>
      </c>
      <c r="B716" s="207" t="inlineStr">
        <is>
          <t>OCEAN FEATHER</t>
        </is>
      </c>
      <c r="C716" s="208" t="n">
        <v>46052</v>
      </c>
      <c r="D716" s="208" t="n">
        <v>46075</v>
      </c>
      <c r="E716" s="209" t="n">
        <v>410</v>
      </c>
      <c r="F716" s="210" t="n">
        <v>895.25</v>
      </c>
      <c r="G716" s="211" t="n">
        <v>177</v>
      </c>
      <c r="H716" s="212" t="inlineStr">
        <is>
          <t>EURL PROPROFIL</t>
        </is>
      </c>
      <c r="I716" s="212" t="inlineStr">
        <is>
          <t>MDF</t>
        </is>
      </c>
      <c r="J716" s="207" t="inlineStr">
        <is>
          <t>CTP</t>
        </is>
      </c>
      <c r="K716" s="213">
        <f>D716+8</f>
        <v/>
      </c>
      <c r="L716" s="213">
        <f>K716+60</f>
        <v/>
      </c>
      <c r="M716" s="214" t="n"/>
      <c r="N716" s="215">
        <f>E716-60-40-100-100-40-20-38</f>
        <v/>
      </c>
      <c r="O716" s="216">
        <f>F716/E716*N716</f>
        <v/>
      </c>
      <c r="P716" s="218">
        <f>G716/E716*N716</f>
        <v/>
      </c>
      <c r="Q716" s="224" t="n"/>
      <c r="R716" s="58" t="n"/>
      <c r="S716" s="200" t="inlineStr">
        <is>
          <t>OF25320LDJD152</t>
        </is>
      </c>
      <c r="T716" s="201" t="n">
        <v>101</v>
      </c>
      <c r="U716" s="58" t="inlineStr">
        <is>
          <t>PLAIN MDF</t>
        </is>
      </c>
      <c r="V716" s="67" t="n"/>
      <c r="W716" s="67" t="n"/>
      <c r="X716" s="99" t="inlineStr">
        <is>
          <t>OPER</t>
        </is>
      </c>
      <c r="Y716" s="116">
        <f>F716/E716</f>
        <v/>
      </c>
      <c r="Z716" s="64">
        <f>E716-N716</f>
        <v/>
      </c>
    </row>
    <row r="717" ht="18" customHeight="1" s="202">
      <c r="A717" s="106" t="n">
        <v>20260030</v>
      </c>
      <c r="B717" s="107" t="inlineStr">
        <is>
          <t>OCEAN FEATHER</t>
        </is>
      </c>
      <c r="C717" s="108" t="n">
        <v>46052</v>
      </c>
      <c r="D717" s="108" t="n">
        <v>46075</v>
      </c>
      <c r="E717" s="106" t="n">
        <v>80</v>
      </c>
      <c r="F717" s="106" t="n">
        <v>168.4</v>
      </c>
      <c r="G717" s="106" t="n">
        <v>35</v>
      </c>
      <c r="H717" s="109" t="inlineStr">
        <is>
          <t>EURL PROPROFIL</t>
        </is>
      </c>
      <c r="I717" s="109" t="inlineStr">
        <is>
          <t>MDF</t>
        </is>
      </c>
      <c r="J717" s="107" t="inlineStr">
        <is>
          <t>CTP</t>
        </is>
      </c>
      <c r="K717" s="108">
        <f>D717+8</f>
        <v/>
      </c>
      <c r="L717" s="108">
        <f>K717+60</f>
        <v/>
      </c>
      <c r="M717" s="111" t="n"/>
      <c r="N717" s="112">
        <f>E717-80</f>
        <v/>
      </c>
      <c r="O717" s="113">
        <f>F717/E717*N717</f>
        <v/>
      </c>
      <c r="P717" s="112">
        <f>G717/E717*N717</f>
        <v/>
      </c>
      <c r="Q717" s="109" t="n"/>
      <c r="R717" s="109" t="n"/>
      <c r="S717" s="109" t="inlineStr">
        <is>
          <t>OF25320LDJD158</t>
        </is>
      </c>
      <c r="T717" s="114" t="n">
        <v>106</v>
      </c>
      <c r="U717" s="109" t="inlineStr">
        <is>
          <t>PANEL MDF CHIPBOARD MR</t>
        </is>
      </c>
      <c r="V717" s="106" t="n"/>
      <c r="W717" s="106" t="n"/>
      <c r="X717" s="106" t="inlineStr">
        <is>
          <t>SOLDEE</t>
        </is>
      </c>
      <c r="Y717" s="116">
        <f>F717/E717</f>
        <v/>
      </c>
      <c r="Z717" s="30" t="n"/>
    </row>
    <row r="718" ht="18" customHeight="1" s="202">
      <c r="A718" s="206" t="n">
        <v>20260030</v>
      </c>
      <c r="B718" s="207" t="inlineStr">
        <is>
          <t>OCEAN FEATHER</t>
        </is>
      </c>
      <c r="C718" s="208" t="n">
        <v>46052</v>
      </c>
      <c r="D718" s="208" t="n">
        <v>46075</v>
      </c>
      <c r="E718" s="209" t="n">
        <v>247</v>
      </c>
      <c r="F718" s="210" t="n">
        <v>248.25</v>
      </c>
      <c r="G718" s="211" t="n">
        <v>107</v>
      </c>
      <c r="H718" s="212" t="inlineStr">
        <is>
          <t>SARL OFISCO</t>
        </is>
      </c>
      <c r="I718" s="212" t="inlineStr">
        <is>
          <t>MDF</t>
        </is>
      </c>
      <c r="J718" s="207" t="inlineStr">
        <is>
          <t>CTP</t>
        </is>
      </c>
      <c r="K718" s="213">
        <f>D718+8</f>
        <v/>
      </c>
      <c r="L718" s="213">
        <f>K718+60</f>
        <v/>
      </c>
      <c r="M718" s="214" t="n"/>
      <c r="N718" s="215">
        <f>E718-120-80-40</f>
        <v/>
      </c>
      <c r="O718" s="216">
        <f>F718/E718*N718</f>
        <v/>
      </c>
      <c r="P718" s="218">
        <f>G718/E718*N718</f>
        <v/>
      </c>
      <c r="Q718" s="224" t="n"/>
      <c r="R718" s="58" t="n"/>
      <c r="S718" s="200" t="inlineStr">
        <is>
          <t>OF25320LDJD153</t>
        </is>
      </c>
      <c r="T718" s="201" t="n">
        <v>103</v>
      </c>
      <c r="U718" s="58" t="inlineStr">
        <is>
          <t>PLYWOOD</t>
        </is>
      </c>
      <c r="V718" s="67" t="n"/>
      <c r="W718" s="67" t="n"/>
      <c r="X718" s="99" t="inlineStr">
        <is>
          <t>OPER</t>
        </is>
      </c>
      <c r="Y718" s="116">
        <f>F718/E718</f>
        <v/>
      </c>
      <c r="Z718" s="64">
        <f>E718-N718</f>
        <v/>
      </c>
    </row>
    <row r="719" ht="18" customHeight="1" s="202">
      <c r="A719" s="206" t="n">
        <v>20260030</v>
      </c>
      <c r="B719" s="207" t="inlineStr">
        <is>
          <t>OCEAN FEATHER</t>
        </is>
      </c>
      <c r="C719" s="208" t="n">
        <v>46052</v>
      </c>
      <c r="D719" s="208" t="n">
        <v>46075</v>
      </c>
      <c r="E719" s="209" t="n">
        <v>247</v>
      </c>
      <c r="F719" s="210" t="n">
        <v>248.25</v>
      </c>
      <c r="G719" s="211" t="n">
        <v>107</v>
      </c>
      <c r="H719" s="212" t="inlineStr">
        <is>
          <t>SARL OFISCO</t>
        </is>
      </c>
      <c r="I719" s="212" t="inlineStr">
        <is>
          <t>MDF</t>
        </is>
      </c>
      <c r="J719" s="207" t="inlineStr">
        <is>
          <t>CTP</t>
        </is>
      </c>
      <c r="K719" s="213">
        <f>D719+8</f>
        <v/>
      </c>
      <c r="L719" s="213">
        <f>K719+60</f>
        <v/>
      </c>
      <c r="M719" s="214" t="n"/>
      <c r="N719" s="215">
        <f>E719-240</f>
        <v/>
      </c>
      <c r="O719" s="216">
        <f>F719/E719*N719</f>
        <v/>
      </c>
      <c r="P719" s="218">
        <f>G719/E719*N719</f>
        <v/>
      </c>
      <c r="Q719" s="224" t="n"/>
      <c r="R719" s="58" t="n"/>
      <c r="S719" s="200" t="inlineStr">
        <is>
          <t>OF25320LDJD154</t>
        </is>
      </c>
      <c r="T719" s="201" t="n">
        <v>103</v>
      </c>
      <c r="U719" s="58" t="inlineStr">
        <is>
          <t>PLYWOOD</t>
        </is>
      </c>
      <c r="V719" s="67" t="n"/>
      <c r="W719" s="67" t="n"/>
      <c r="X719" s="99" t="inlineStr">
        <is>
          <t>OPER</t>
        </is>
      </c>
      <c r="Y719" s="116">
        <f>F719/E719</f>
        <v/>
      </c>
      <c r="Z719" s="64">
        <f>E719-N719</f>
        <v/>
      </c>
    </row>
    <row r="720" ht="18" customHeight="1" s="202">
      <c r="A720" s="116" t="n">
        <v>20260030</v>
      </c>
      <c r="B720" s="117" t="inlineStr">
        <is>
          <t>OCEAN FEATHER</t>
        </is>
      </c>
      <c r="C720" s="118" t="n">
        <v>46052</v>
      </c>
      <c r="D720" s="118" t="n">
        <v>46075</v>
      </c>
      <c r="E720" s="67" t="n">
        <v>120</v>
      </c>
      <c r="F720" s="119" t="n">
        <v>188.46</v>
      </c>
      <c r="G720" s="120" t="n">
        <v>52</v>
      </c>
      <c r="H720" s="121" t="inlineStr">
        <is>
          <t>SARL TAJHIZATE COMPANY</t>
        </is>
      </c>
      <c r="I720" s="121" t="inlineStr">
        <is>
          <t>MDF</t>
        </is>
      </c>
      <c r="J720" s="117" t="inlineStr">
        <is>
          <t>CTP</t>
        </is>
      </c>
      <c r="K720" s="48">
        <f>D720+8</f>
        <v/>
      </c>
      <c r="L720" s="48">
        <f>K720+60</f>
        <v/>
      </c>
      <c r="M720" s="71" t="n"/>
      <c r="N720" s="72">
        <f>E720</f>
        <v/>
      </c>
      <c r="O720" s="50">
        <f>F720/E720*N720</f>
        <v/>
      </c>
      <c r="P720" s="273">
        <f>G720/E720*N720</f>
        <v/>
      </c>
      <c r="Q720" s="224" t="n"/>
      <c r="R720" s="58" t="n"/>
      <c r="S720" s="200" t="inlineStr">
        <is>
          <t>OF25320LDJD156</t>
        </is>
      </c>
      <c r="T720" s="201" t="n">
        <v>104</v>
      </c>
      <c r="U720" s="58" t="inlineStr">
        <is>
          <t>PLYWOOD</t>
        </is>
      </c>
      <c r="V720" s="67" t="n"/>
      <c r="W720" s="67" t="n"/>
      <c r="X720" s="62" t="inlineStr">
        <is>
          <t>N-OP</t>
        </is>
      </c>
      <c r="Y720" s="116">
        <f>F720/E720</f>
        <v/>
      </c>
      <c r="Z720" s="64">
        <f>E720-N720</f>
        <v/>
      </c>
    </row>
    <row r="721" ht="18" customHeight="1" s="202">
      <c r="A721" s="206" t="n">
        <v>20260030</v>
      </c>
      <c r="B721" s="207" t="inlineStr">
        <is>
          <t>OCEAN FEATHER</t>
        </is>
      </c>
      <c r="C721" s="208" t="n">
        <v>46052</v>
      </c>
      <c r="D721" s="208" t="n">
        <v>46075</v>
      </c>
      <c r="E721" s="209" t="n">
        <v>68</v>
      </c>
      <c r="F721" s="210" t="n">
        <v>107.385</v>
      </c>
      <c r="G721" s="211" t="n">
        <v>29</v>
      </c>
      <c r="H721" s="212" t="inlineStr">
        <is>
          <t>EURL GENERAL EQUIPEMENT</t>
        </is>
      </c>
      <c r="I721" s="212" t="inlineStr">
        <is>
          <t>MDF</t>
        </is>
      </c>
      <c r="J721" s="207" t="inlineStr">
        <is>
          <t>CTP</t>
        </is>
      </c>
      <c r="K721" s="213">
        <f>D721+8</f>
        <v/>
      </c>
      <c r="L721" s="213">
        <f>K721+60</f>
        <v/>
      </c>
      <c r="M721" s="214" t="n"/>
      <c r="N721" s="215">
        <f>E721-40-20</f>
        <v/>
      </c>
      <c r="O721" s="216">
        <f>F721/E721*N721</f>
        <v/>
      </c>
      <c r="P721" s="218">
        <f>G721/E721*N721</f>
        <v/>
      </c>
      <c r="Q721" s="224" t="n"/>
      <c r="R721" s="58" t="n"/>
      <c r="S721" s="200" t="inlineStr">
        <is>
          <t>OF25320LDJD157</t>
        </is>
      </c>
      <c r="T721" s="201" t="n">
        <v>105</v>
      </c>
      <c r="U721" s="58" t="inlineStr">
        <is>
          <t>PLYWOOD</t>
        </is>
      </c>
      <c r="V721" s="67" t="n"/>
      <c r="W721" s="67" t="n"/>
      <c r="X721" s="99" t="inlineStr">
        <is>
          <t>OPER</t>
        </is>
      </c>
      <c r="Y721" s="116">
        <f>F721/E721</f>
        <v/>
      </c>
      <c r="Z721" s="64">
        <f>E721-N721</f>
        <v/>
      </c>
    </row>
    <row r="722" ht="18" customHeight="1" s="202">
      <c r="A722" s="106" t="n">
        <v>20260030</v>
      </c>
      <c r="B722" s="107" t="inlineStr">
        <is>
          <t>OCEAN FEATHER</t>
        </is>
      </c>
      <c r="C722" s="108" t="n">
        <v>46052</v>
      </c>
      <c r="D722" s="108" t="n">
        <v>46075</v>
      </c>
      <c r="E722" s="106" t="n">
        <v>75</v>
      </c>
      <c r="F722" s="106" t="n">
        <v>159.375</v>
      </c>
      <c r="G722" s="106" t="n">
        <v>32</v>
      </c>
      <c r="H722" s="109" t="inlineStr">
        <is>
          <t>SARL BEST BF</t>
        </is>
      </c>
      <c r="I722" s="109" t="inlineStr">
        <is>
          <t>MDF</t>
        </is>
      </c>
      <c r="J722" s="107" t="inlineStr">
        <is>
          <t>CTP</t>
        </is>
      </c>
      <c r="K722" s="108">
        <f>D722+8</f>
        <v/>
      </c>
      <c r="L722" s="108">
        <f>K722+60</f>
        <v/>
      </c>
      <c r="M722" s="111" t="n"/>
      <c r="N722" s="112">
        <f>E722-40-35</f>
        <v/>
      </c>
      <c r="O722" s="113">
        <f>F722/E722*N722</f>
        <v/>
      </c>
      <c r="P722" s="112">
        <f>G722/E722*N722</f>
        <v/>
      </c>
      <c r="Q722" s="109" t="n"/>
      <c r="R722" s="109" t="n"/>
      <c r="S722" s="109" t="inlineStr">
        <is>
          <t>OF25320LDJD159</t>
        </is>
      </c>
      <c r="T722" s="114" t="n">
        <v>107</v>
      </c>
      <c r="U722" s="109" t="inlineStr">
        <is>
          <t>PLAIN MDF</t>
        </is>
      </c>
      <c r="V722" s="106" t="n"/>
      <c r="W722" s="106" t="n"/>
      <c r="X722" s="106" t="inlineStr">
        <is>
          <t>SOLDEE</t>
        </is>
      </c>
      <c r="Y722" s="116">
        <f>F722/E722</f>
        <v/>
      </c>
      <c r="Z722" s="30" t="n"/>
    </row>
    <row r="723" ht="18" customHeight="1" s="202">
      <c r="A723" s="106" t="n">
        <v>20260030</v>
      </c>
      <c r="B723" s="107" t="inlineStr">
        <is>
          <t>OCEAN FEATHER</t>
        </is>
      </c>
      <c r="C723" s="108" t="n">
        <v>46052</v>
      </c>
      <c r="D723" s="108" t="n">
        <v>46075</v>
      </c>
      <c r="E723" s="106" t="n">
        <v>18</v>
      </c>
      <c r="F723" s="106" t="n">
        <v>231.28</v>
      </c>
      <c r="G723" s="106" t="n">
        <v>16</v>
      </c>
      <c r="H723" s="109" t="inlineStr">
        <is>
          <t>EXTRA METAL SARL</t>
        </is>
      </c>
      <c r="I723" s="109" t="inlineStr">
        <is>
          <t>BOBINES</t>
        </is>
      </c>
      <c r="J723" s="107" t="inlineStr">
        <is>
          <t>BOBINES</t>
        </is>
      </c>
      <c r="K723" s="108">
        <f>D723+8</f>
        <v/>
      </c>
      <c r="L723" s="108">
        <f>K723+60</f>
        <v/>
      </c>
      <c r="M723" s="111" t="n"/>
      <c r="N723" s="112">
        <f>E723-8-4-4-2</f>
        <v/>
      </c>
      <c r="O723" s="113">
        <f>F723/E723*N723</f>
        <v/>
      </c>
      <c r="P723" s="112">
        <f>G723/E723*N723</f>
        <v/>
      </c>
      <c r="Q723" s="109" t="n"/>
      <c r="R723" s="109" t="n"/>
      <c r="S723" s="109" t="inlineStr">
        <is>
          <t>OF25320RDJD001</t>
        </is>
      </c>
      <c r="T723" s="114" t="n">
        <v>122</v>
      </c>
      <c r="U723" s="109" t="inlineStr">
        <is>
          <t>PRIME HOT ROLLED STEEL COILS</t>
        </is>
      </c>
      <c r="V723" s="106" t="n"/>
      <c r="W723" s="106" t="n"/>
      <c r="X723" s="106" t="inlineStr">
        <is>
          <t>SOLDEE</t>
        </is>
      </c>
      <c r="Y723" s="116">
        <f>F723/E723</f>
        <v/>
      </c>
      <c r="Z723" s="30" t="n"/>
    </row>
    <row r="724" ht="18" customHeight="1" s="202">
      <c r="A724" s="206" t="n">
        <v>20260030</v>
      </c>
      <c r="B724" s="207" t="inlineStr">
        <is>
          <t>OCEAN FEATHER</t>
        </is>
      </c>
      <c r="C724" s="208" t="n">
        <v>46052</v>
      </c>
      <c r="D724" s="208" t="n">
        <v>46075</v>
      </c>
      <c r="E724" s="209" t="n">
        <v>208</v>
      </c>
      <c r="F724" s="210" t="n">
        <v>2172.435</v>
      </c>
      <c r="G724" s="211" t="n">
        <v>181</v>
      </c>
      <c r="H724" s="212" t="inlineStr">
        <is>
          <t>EXTRA METAL SARL</t>
        </is>
      </c>
      <c r="I724" s="212" t="inlineStr">
        <is>
          <t>BOBINES</t>
        </is>
      </c>
      <c r="J724" s="207" t="inlineStr">
        <is>
          <t>BOBINES</t>
        </is>
      </c>
      <c r="K724" s="213">
        <f>D724+8</f>
        <v/>
      </c>
      <c r="L724" s="213">
        <f>K724+60</f>
        <v/>
      </c>
      <c r="M724" s="214" t="n"/>
      <c r="N724" s="215">
        <f>E724-20-20-10-13-14-18-18-18-8-13-48</f>
        <v/>
      </c>
      <c r="O724" s="216">
        <f>F724/E724*N724</f>
        <v/>
      </c>
      <c r="P724" s="218">
        <f>G724/E724*N724</f>
        <v/>
      </c>
      <c r="Q724" s="224" t="n"/>
      <c r="R724" s="58" t="n"/>
      <c r="S724" s="200" t="inlineStr">
        <is>
          <t>OF25320RDJD002/003</t>
        </is>
      </c>
      <c r="T724" s="201" t="n">
        <v>123</v>
      </c>
      <c r="U724" s="58" t="inlineStr">
        <is>
          <t>PRIME HOT ROLLED STEEL COILS</t>
        </is>
      </c>
      <c r="V724" s="67" t="n"/>
      <c r="W724" s="67" t="n"/>
      <c r="X724" s="99" t="inlineStr">
        <is>
          <t>OPER</t>
        </is>
      </c>
      <c r="Y724" s="116">
        <f>F724/E724</f>
        <v/>
      </c>
      <c r="Z724" s="64">
        <f>E724-N724</f>
        <v/>
      </c>
    </row>
    <row r="725" ht="18" customHeight="1" s="202">
      <c r="A725" s="206" t="n">
        <v>20260030</v>
      </c>
      <c r="B725" s="207" t="inlineStr">
        <is>
          <t>OCEAN FEATHER</t>
        </is>
      </c>
      <c r="C725" s="208" t="n">
        <v>46052</v>
      </c>
      <c r="D725" s="208" t="n">
        <v>46075</v>
      </c>
      <c r="E725" s="209" t="n">
        <v>307</v>
      </c>
      <c r="F725" s="210" t="n">
        <v>3708.75</v>
      </c>
      <c r="G725" s="211" t="n">
        <v>267</v>
      </c>
      <c r="H725" s="212" t="inlineStr">
        <is>
          <t>SARL STEEL PROCESSING COMPANY</t>
        </is>
      </c>
      <c r="I725" s="212" t="inlineStr">
        <is>
          <t>BOBINES</t>
        </is>
      </c>
      <c r="J725" s="207" t="inlineStr">
        <is>
          <t>BOBINES</t>
        </is>
      </c>
      <c r="K725" s="213">
        <f>D725+8</f>
        <v/>
      </c>
      <c r="L725" s="213">
        <f>K725+60</f>
        <v/>
      </c>
      <c r="M725" s="214" t="n"/>
      <c r="N725" s="215">
        <f>E725-20-20-20-28-8-16-4-28-32-24-8</f>
        <v/>
      </c>
      <c r="O725" s="216">
        <f>F725/E725*N725</f>
        <v/>
      </c>
      <c r="P725" s="218">
        <f>G725/E725*N725</f>
        <v/>
      </c>
      <c r="Q725" s="224" t="n"/>
      <c r="R725" s="58" t="n"/>
      <c r="S725" s="200" t="inlineStr">
        <is>
          <t>OF25320RDJD004</t>
        </is>
      </c>
      <c r="T725" s="201" t="n">
        <v>124</v>
      </c>
      <c r="U725" s="58" t="inlineStr">
        <is>
          <t>HOT ROLLED COILS</t>
        </is>
      </c>
      <c r="V725" s="67" t="n"/>
      <c r="W725" s="67" t="n"/>
      <c r="X725" s="99" t="inlineStr">
        <is>
          <t>OPER</t>
        </is>
      </c>
      <c r="Y725" s="116">
        <f>F725/E725</f>
        <v/>
      </c>
      <c r="Z725" s="64">
        <f>E725-N725</f>
        <v/>
      </c>
    </row>
    <row r="726" ht="18" customHeight="1" s="202">
      <c r="A726" s="206" t="n">
        <v>20260030</v>
      </c>
      <c r="B726" s="207" t="inlineStr">
        <is>
          <t>OCEAN FEATHER</t>
        </is>
      </c>
      <c r="C726" s="208" t="n">
        <v>46052</v>
      </c>
      <c r="D726" s="208" t="n">
        <v>46075</v>
      </c>
      <c r="E726" s="209" t="n">
        <v>242</v>
      </c>
      <c r="F726" s="210" t="n">
        <v>2970.5</v>
      </c>
      <c r="G726" s="211" t="n">
        <v>211</v>
      </c>
      <c r="H726" s="212" t="inlineStr">
        <is>
          <t>EURL STEEL SOLIDE</t>
        </is>
      </c>
      <c r="I726" s="212" t="inlineStr">
        <is>
          <t>BOBINES</t>
        </is>
      </c>
      <c r="J726" s="207" t="inlineStr">
        <is>
          <t>BOBINES</t>
        </is>
      </c>
      <c r="K726" s="213">
        <f>D726+8</f>
        <v/>
      </c>
      <c r="L726" s="213">
        <f>K726+60</f>
        <v/>
      </c>
      <c r="M726" s="214" t="n"/>
      <c r="N726" s="215">
        <f>E726-16-12-16</f>
        <v/>
      </c>
      <c r="O726" s="216">
        <f>F726/E726*N726</f>
        <v/>
      </c>
      <c r="P726" s="218">
        <f>G726/E726*N726</f>
        <v/>
      </c>
      <c r="Q726" s="224" t="n"/>
      <c r="R726" s="58" t="n"/>
      <c r="S726" s="200" t="inlineStr">
        <is>
          <t>OF25320RDJD005</t>
        </is>
      </c>
      <c r="T726" s="201" t="n">
        <v>125</v>
      </c>
      <c r="U726" s="58" t="inlineStr">
        <is>
          <t>PRIME NEWLY PRODUCED HOT ROLLED STEEL COILS</t>
        </is>
      </c>
      <c r="V726" s="67" t="n"/>
      <c r="W726" s="67" t="n"/>
      <c r="X726" s="182" t="inlineStr">
        <is>
          <t>OPER</t>
        </is>
      </c>
      <c r="Y726" s="116">
        <f>F726/E726</f>
        <v/>
      </c>
      <c r="Z726" s="64">
        <f>E726-N726</f>
        <v/>
      </c>
    </row>
    <row r="727" ht="18" customHeight="1" s="202">
      <c r="A727" s="206" t="n">
        <v>20260030</v>
      </c>
      <c r="B727" s="207" t="inlineStr">
        <is>
          <t>OCEAN FEATHER</t>
        </is>
      </c>
      <c r="C727" s="208" t="n">
        <v>46052</v>
      </c>
      <c r="D727" s="208" t="n">
        <v>46075</v>
      </c>
      <c r="E727" s="209" t="n">
        <v>250</v>
      </c>
      <c r="F727" s="210" t="n">
        <v>2993.325</v>
      </c>
      <c r="G727" s="211" t="n">
        <v>218</v>
      </c>
      <c r="H727" s="212" t="inlineStr">
        <is>
          <t>SARL AMYIS FER</t>
        </is>
      </c>
      <c r="I727" s="212" t="inlineStr">
        <is>
          <t>BOBINES</t>
        </is>
      </c>
      <c r="J727" s="207" t="inlineStr">
        <is>
          <t>BOBINES</t>
        </is>
      </c>
      <c r="K727" s="213">
        <f>D727+8</f>
        <v/>
      </c>
      <c r="L727" s="213">
        <f>K727+60</f>
        <v/>
      </c>
      <c r="M727" s="214" t="n"/>
      <c r="N727" s="215">
        <f>E727-12-16-28-12-28-16-20-20-72-20</f>
        <v/>
      </c>
      <c r="O727" s="216">
        <f>F727/E727*N727</f>
        <v/>
      </c>
      <c r="P727" s="218">
        <f>G727/E727*N727</f>
        <v/>
      </c>
      <c r="Q727" s="224" t="n"/>
      <c r="R727" s="58" t="n"/>
      <c r="S727" s="200" t="inlineStr">
        <is>
          <t>OF25320RDJD006/007</t>
        </is>
      </c>
      <c r="T727" s="201" t="n">
        <v>126</v>
      </c>
      <c r="U727" s="58" t="inlineStr">
        <is>
          <t>HOT ROLLED COILS</t>
        </is>
      </c>
      <c r="V727" s="67" t="n"/>
      <c r="W727" s="67" t="n"/>
      <c r="X727" s="99" t="inlineStr">
        <is>
          <t>OPER</t>
        </is>
      </c>
      <c r="Y727" s="116">
        <f>F727/E727</f>
        <v/>
      </c>
      <c r="Z727" s="64">
        <f>E727-N727</f>
        <v/>
      </c>
    </row>
    <row r="728" ht="18" customHeight="1" s="202">
      <c r="A728" s="106" t="n">
        <v>20260030</v>
      </c>
      <c r="B728" s="107" t="inlineStr">
        <is>
          <t>OCEAN FEATHER</t>
        </is>
      </c>
      <c r="C728" s="108" t="n">
        <v>46052</v>
      </c>
      <c r="D728" s="108" t="n">
        <v>46075</v>
      </c>
      <c r="E728" s="106" t="n">
        <v>39</v>
      </c>
      <c r="F728" s="106" t="n">
        <v>253.408</v>
      </c>
      <c r="G728" s="106" t="n">
        <v>34</v>
      </c>
      <c r="H728" s="109" t="inlineStr">
        <is>
          <t>SARL EUROPANNEAUX ALGERIE</t>
        </is>
      </c>
      <c r="I728" s="109" t="inlineStr">
        <is>
          <t>BOBINES</t>
        </is>
      </c>
      <c r="J728" s="107" t="inlineStr">
        <is>
          <t>BOBINES</t>
        </is>
      </c>
      <c r="K728" s="108">
        <f>D728+8</f>
        <v/>
      </c>
      <c r="L728" s="108">
        <f>K728+60</f>
        <v/>
      </c>
      <c r="M728" s="111" t="n"/>
      <c r="N728" s="112">
        <f>E728-16-16-7</f>
        <v/>
      </c>
      <c r="O728" s="113">
        <f>F728/E728*N728</f>
        <v/>
      </c>
      <c r="P728" s="112">
        <f>G728/E728*N728</f>
        <v/>
      </c>
      <c r="Q728" s="109" t="n"/>
      <c r="R728" s="109" t="n"/>
      <c r="S728" s="109" t="inlineStr">
        <is>
          <t>OF25320XDJD001</t>
        </is>
      </c>
      <c r="T728" s="114" t="n">
        <v>127</v>
      </c>
      <c r="U728" s="109" t="inlineStr">
        <is>
          <t>PREPAINTED GALVANISED STEEL SHEET IN COILS</t>
        </is>
      </c>
      <c r="V728" s="106" t="n"/>
      <c r="W728" s="106" t="n"/>
      <c r="X728" s="106" t="inlineStr">
        <is>
          <t>SOLDEE</t>
        </is>
      </c>
      <c r="Y728" s="116">
        <f>F728/E728</f>
        <v/>
      </c>
      <c r="Z728" s="30" t="n"/>
    </row>
    <row r="729" ht="18" customHeight="1" s="202">
      <c r="A729" s="106" t="n">
        <v>20260030</v>
      </c>
      <c r="B729" s="107" t="inlineStr">
        <is>
          <t>OCEAN FEATHER</t>
        </is>
      </c>
      <c r="C729" s="108" t="n">
        <v>46052</v>
      </c>
      <c r="D729" s="108" t="n">
        <v>46075</v>
      </c>
      <c r="E729" s="106" t="n">
        <v>39</v>
      </c>
      <c r="F729" s="106" t="n">
        <v>252.72</v>
      </c>
      <c r="G729" s="106" t="n">
        <v>34</v>
      </c>
      <c r="H729" s="109" t="inlineStr">
        <is>
          <t>SARL EUROPANNEAUX ALGERIE</t>
        </is>
      </c>
      <c r="I729" s="109" t="inlineStr">
        <is>
          <t>BOBINES</t>
        </is>
      </c>
      <c r="J729" s="107" t="inlineStr">
        <is>
          <t>BOBINES</t>
        </is>
      </c>
      <c r="K729" s="108">
        <f>D729+8</f>
        <v/>
      </c>
      <c r="L729" s="108">
        <f>K729+60</f>
        <v/>
      </c>
      <c r="M729" s="111" t="n"/>
      <c r="N729" s="112">
        <f>E729-24-7-8</f>
        <v/>
      </c>
      <c r="O729" s="113">
        <f>F729/E729*N729</f>
        <v/>
      </c>
      <c r="P729" s="112">
        <f>G729/E729*N729</f>
        <v/>
      </c>
      <c r="Q729" s="109" t="n"/>
      <c r="R729" s="109" t="n"/>
      <c r="S729" s="109" t="inlineStr">
        <is>
          <t>OF25320XDJD002</t>
        </is>
      </c>
      <c r="T729" s="114" t="n">
        <v>128</v>
      </c>
      <c r="U729" s="109" t="inlineStr">
        <is>
          <t>PREPAINTED GALVANISED STEEL SHEET IN COILS</t>
        </is>
      </c>
      <c r="V729" s="106" t="n"/>
      <c r="W729" s="106" t="n"/>
      <c r="X729" s="106" t="inlineStr">
        <is>
          <t>SOLDEE</t>
        </is>
      </c>
      <c r="Y729" s="116">
        <f>F729/E729</f>
        <v/>
      </c>
      <c r="Z729" s="30" t="n"/>
    </row>
    <row r="730" ht="18" customHeight="1" s="202">
      <c r="A730" s="106" t="n">
        <v>20260030</v>
      </c>
      <c r="B730" s="107" t="inlineStr">
        <is>
          <t>OCEAN FEATHER</t>
        </is>
      </c>
      <c r="C730" s="108" t="n">
        <v>46052</v>
      </c>
      <c r="D730" s="108" t="n">
        <v>46075</v>
      </c>
      <c r="E730" s="106" t="n">
        <v>34</v>
      </c>
      <c r="F730" s="106" t="n">
        <v>207.322</v>
      </c>
      <c r="G730" s="106" t="n">
        <v>30</v>
      </c>
      <c r="H730" s="109" t="inlineStr">
        <is>
          <t>EURL METALUS</t>
        </is>
      </c>
      <c r="I730" s="109" t="inlineStr">
        <is>
          <t>BOBINES</t>
        </is>
      </c>
      <c r="J730" s="107" t="inlineStr">
        <is>
          <t>BOBINES</t>
        </is>
      </c>
      <c r="K730" s="108">
        <f>D730+8</f>
        <v/>
      </c>
      <c r="L730" s="108">
        <f>K730+60</f>
        <v/>
      </c>
      <c r="M730" s="111" t="n"/>
      <c r="N730" s="112">
        <f>E730-32-2</f>
        <v/>
      </c>
      <c r="O730" s="113">
        <f>F730/E730*N730</f>
        <v/>
      </c>
      <c r="P730" s="112">
        <f>G730/E730*N730</f>
        <v/>
      </c>
      <c r="Q730" s="109" t="n"/>
      <c r="R730" s="109" t="n"/>
      <c r="S730" s="109" t="inlineStr">
        <is>
          <t>OF25320XDJD003</t>
        </is>
      </c>
      <c r="T730" s="114" t="n">
        <v>129</v>
      </c>
      <c r="U730" s="109" t="inlineStr">
        <is>
          <t>HOT ROLLED STEEL COIL</t>
        </is>
      </c>
      <c r="V730" s="106" t="n"/>
      <c r="W730" s="106" t="n"/>
      <c r="X730" s="106" t="inlineStr">
        <is>
          <t>SOLDEE</t>
        </is>
      </c>
      <c r="Y730" s="116">
        <f>F730/E730</f>
        <v/>
      </c>
      <c r="Z730" s="64">
        <f>E730-N730</f>
        <v/>
      </c>
    </row>
    <row r="731" ht="18" customHeight="1" s="202">
      <c r="A731" s="106" t="n">
        <v>20260030</v>
      </c>
      <c r="B731" s="107" t="inlineStr">
        <is>
          <t>OCEAN FEATHER</t>
        </is>
      </c>
      <c r="C731" s="108" t="n">
        <v>46052</v>
      </c>
      <c r="D731" s="108" t="n">
        <v>46075</v>
      </c>
      <c r="E731" s="106" t="n">
        <v>38</v>
      </c>
      <c r="F731" s="106" t="n">
        <v>234.104</v>
      </c>
      <c r="G731" s="106" t="n">
        <v>33</v>
      </c>
      <c r="H731" s="109" t="inlineStr">
        <is>
          <t>EURL METALUS</t>
        </is>
      </c>
      <c r="I731" s="109" t="inlineStr">
        <is>
          <t>BOBINES</t>
        </is>
      </c>
      <c r="J731" s="107" t="inlineStr">
        <is>
          <t>BOBINES</t>
        </is>
      </c>
      <c r="K731" s="108">
        <f>D731+8</f>
        <v/>
      </c>
      <c r="L731" s="108">
        <f>K731+60</f>
        <v/>
      </c>
      <c r="M731" s="111" t="n"/>
      <c r="N731" s="112">
        <f>E731-32-6</f>
        <v/>
      </c>
      <c r="O731" s="113">
        <f>F731/E731*N731</f>
        <v/>
      </c>
      <c r="P731" s="112">
        <f>G731/E731*N731</f>
        <v/>
      </c>
      <c r="Q731" s="109" t="n"/>
      <c r="R731" s="109" t="n"/>
      <c r="S731" s="109" t="inlineStr">
        <is>
          <t>OF25320XDJD004</t>
        </is>
      </c>
      <c r="T731" s="114" t="n">
        <v>130</v>
      </c>
      <c r="U731" s="109" t="inlineStr">
        <is>
          <t>HOT ROLLED STEEL COIL</t>
        </is>
      </c>
      <c r="V731" s="106" t="n"/>
      <c r="W731" s="106" t="n"/>
      <c r="X731" s="106" t="inlineStr">
        <is>
          <t>SOLDEE</t>
        </is>
      </c>
      <c r="Y731" s="116">
        <f>F731/E731</f>
        <v/>
      </c>
      <c r="Z731" s="30" t="n"/>
    </row>
    <row r="732" ht="18" customHeight="1" s="202">
      <c r="A732" s="206" t="n">
        <v>20260030</v>
      </c>
      <c r="B732" s="207" t="inlineStr">
        <is>
          <t>OCEAN FEATHER</t>
        </is>
      </c>
      <c r="C732" s="208" t="n">
        <v>46052</v>
      </c>
      <c r="D732" s="208" t="n">
        <v>46075</v>
      </c>
      <c r="E732" s="209" t="n">
        <v>63</v>
      </c>
      <c r="F732" s="210" t="n">
        <v>513.852</v>
      </c>
      <c r="G732" s="211" t="n">
        <v>55</v>
      </c>
      <c r="H732" s="212" t="inlineStr">
        <is>
          <t>EURL ECOLOGE</t>
        </is>
      </c>
      <c r="I732" s="212" t="inlineStr">
        <is>
          <t>BOBINES</t>
        </is>
      </c>
      <c r="J732" s="207" t="inlineStr">
        <is>
          <t>BOBINES</t>
        </is>
      </c>
      <c r="K732" s="213">
        <f>D732+8</f>
        <v/>
      </c>
      <c r="L732" s="213">
        <f>K732+60</f>
        <v/>
      </c>
      <c r="M732" s="214" t="n"/>
      <c r="N732" s="215">
        <f>E732-51-11</f>
        <v/>
      </c>
      <c r="O732" s="216">
        <f>F732/E732*N732</f>
        <v/>
      </c>
      <c r="P732" s="218">
        <f>G732/E732*N732</f>
        <v/>
      </c>
      <c r="Q732" s="224" t="n"/>
      <c r="R732" s="58" t="n"/>
      <c r="S732" s="200" t="inlineStr">
        <is>
          <t>OF25320XDJD005</t>
        </is>
      </c>
      <c r="T732" s="201" t="n">
        <v>131</v>
      </c>
      <c r="U732" s="58" t="inlineStr">
        <is>
          <t>HOT DIP GALVANIZED STEEL STRIP</t>
        </is>
      </c>
      <c r="V732" s="67" t="n"/>
      <c r="W732" s="67" t="n"/>
      <c r="X732" s="99" t="inlineStr">
        <is>
          <t>OPER</t>
        </is>
      </c>
      <c r="Y732" s="116">
        <f>F732/E732</f>
        <v/>
      </c>
      <c r="Z732" s="64">
        <f>E732-N732</f>
        <v/>
      </c>
    </row>
    <row r="733" ht="18" customHeight="1" s="202">
      <c r="A733" s="106" t="n">
        <v>20260030</v>
      </c>
      <c r="B733" s="107" t="inlineStr">
        <is>
          <t>OCEAN FEATHER</t>
        </is>
      </c>
      <c r="C733" s="108" t="n">
        <v>46052</v>
      </c>
      <c r="D733" s="108" t="n">
        <v>46075</v>
      </c>
      <c r="E733" s="106" t="n">
        <v>68</v>
      </c>
      <c r="F733" s="106" t="n">
        <v>364.917</v>
      </c>
      <c r="G733" s="106" t="n">
        <v>59</v>
      </c>
      <c r="H733" s="109" t="inlineStr">
        <is>
          <t>EURL PROFILO METTAL</t>
        </is>
      </c>
      <c r="I733" s="109" t="inlineStr">
        <is>
          <t>BOBINES</t>
        </is>
      </c>
      <c r="J733" s="107" t="inlineStr">
        <is>
          <t>BOBINES</t>
        </is>
      </c>
      <c r="K733" s="108">
        <f>D733+8</f>
        <v/>
      </c>
      <c r="L733" s="108">
        <f>K733+60</f>
        <v/>
      </c>
      <c r="M733" s="111" t="n"/>
      <c r="N733" s="112">
        <f>E733-20-30-18</f>
        <v/>
      </c>
      <c r="O733" s="113">
        <f>F733/E733*N733</f>
        <v/>
      </c>
      <c r="P733" s="112">
        <f>G733/E733*N733</f>
        <v/>
      </c>
      <c r="Q733" s="109" t="n"/>
      <c r="R733" s="109" t="n"/>
      <c r="S733" s="109" t="inlineStr">
        <is>
          <t>OF25320XDJD006/007</t>
        </is>
      </c>
      <c r="T733" s="114" t="n">
        <v>132</v>
      </c>
      <c r="U733" s="109" t="inlineStr">
        <is>
          <t>HOT DIP GALVANIZED STEEL STRIP</t>
        </is>
      </c>
      <c r="V733" s="106" t="n"/>
      <c r="W733" s="106" t="n"/>
      <c r="X733" s="106" t="inlineStr">
        <is>
          <t>SOLDEE</t>
        </is>
      </c>
      <c r="Y733" s="116">
        <f>F733/E733</f>
        <v/>
      </c>
      <c r="Z733" s="30" t="n"/>
    </row>
    <row r="734" ht="18" customHeight="1" s="202">
      <c r="A734" s="300" t="n">
        <v>20260030</v>
      </c>
      <c r="B734" s="301" t="inlineStr">
        <is>
          <t>OCEAN FEATHER</t>
        </is>
      </c>
      <c r="C734" s="302" t="n">
        <v>46052</v>
      </c>
      <c r="D734" s="302" t="n">
        <v>46075</v>
      </c>
      <c r="E734" s="303" t="n">
        <v>451</v>
      </c>
      <c r="F734" s="304" t="n">
        <v>2810.274</v>
      </c>
      <c r="G734" s="305" t="n">
        <v>393</v>
      </c>
      <c r="H734" s="306" t="inlineStr">
        <is>
          <t>SARL LOTUS SAT</t>
        </is>
      </c>
      <c r="I734" s="306" t="inlineStr">
        <is>
          <t>BOBINES</t>
        </is>
      </c>
      <c r="J734" s="301" t="inlineStr">
        <is>
          <t>BOBINES</t>
        </is>
      </c>
      <c r="K734" s="307">
        <f>D734+8</f>
        <v/>
      </c>
      <c r="L734" s="307">
        <f>K734+60</f>
        <v/>
      </c>
      <c r="M734" s="308" t="n"/>
      <c r="N734" s="309">
        <f>E734-64-64-50-56-71-24-54</f>
        <v/>
      </c>
      <c r="O734" s="310">
        <f>F734/E734*N734</f>
        <v/>
      </c>
      <c r="P734" s="311">
        <f>G734/E734*N734</f>
        <v/>
      </c>
      <c r="Q734" s="224" t="n"/>
      <c r="R734" s="58" t="n"/>
      <c r="S734" s="200" t="inlineStr">
        <is>
          <t>OF25320XDJD008-018</t>
        </is>
      </c>
      <c r="T734" s="201" t="n">
        <v>133</v>
      </c>
      <c r="U734" s="58" t="inlineStr">
        <is>
          <t>PRE-PAINTED ALUZINC STEEL COILS</t>
        </is>
      </c>
      <c r="V734" s="67" t="n"/>
      <c r="W734" s="67" t="n"/>
      <c r="X734" s="312" t="inlineStr">
        <is>
          <t>OPER</t>
        </is>
      </c>
      <c r="Y734" s="116">
        <f>F734/E734</f>
        <v/>
      </c>
      <c r="Z734" s="64">
        <f>E734-N734</f>
        <v/>
      </c>
    </row>
    <row r="735" ht="18" customHeight="1" s="202">
      <c r="A735" s="106" t="n">
        <v>20260030</v>
      </c>
      <c r="B735" s="107" t="inlineStr">
        <is>
          <t>OCEAN FEATHER</t>
        </is>
      </c>
      <c r="C735" s="108" t="n">
        <v>46052</v>
      </c>
      <c r="D735" s="108" t="n">
        <v>46075</v>
      </c>
      <c r="E735" s="106" t="n">
        <v>183</v>
      </c>
      <c r="F735" s="106" t="n">
        <v>1107.792</v>
      </c>
      <c r="G735" s="106" t="n">
        <v>112</v>
      </c>
      <c r="H735" s="109" t="inlineStr">
        <is>
          <t>NATRA INTERNATIONAL SPA</t>
        </is>
      </c>
      <c r="I735" s="107" t="inlineStr">
        <is>
          <t>TOLES EN PLAQUES</t>
        </is>
      </c>
      <c r="J735" s="107" t="inlineStr">
        <is>
          <t>TOLES EN PLAQUES</t>
        </is>
      </c>
      <c r="K735" s="108">
        <f>D735+8</f>
        <v/>
      </c>
      <c r="L735" s="108">
        <f>K735+60</f>
        <v/>
      </c>
      <c r="M735" s="111" t="n"/>
      <c r="N735" s="112">
        <f>E735-111-72</f>
        <v/>
      </c>
      <c r="O735" s="113">
        <f>F735/E735*N735</f>
        <v/>
      </c>
      <c r="P735" s="112">
        <f>G735/E735*N735</f>
        <v/>
      </c>
      <c r="Q735" s="109" t="n"/>
      <c r="R735" s="109" t="n"/>
      <c r="S735" s="109" t="inlineStr">
        <is>
          <t xml:space="preserve">OF25320XDJD019       </t>
        </is>
      </c>
      <c r="T735" s="114" t="n">
        <v>134</v>
      </c>
      <c r="U735" s="109" t="inlineStr">
        <is>
          <t>PREPAINTED STEEL COILS IN DX51D</t>
        </is>
      </c>
      <c r="V735" s="106" t="n"/>
      <c r="W735" s="106" t="n"/>
      <c r="X735" s="106" t="inlineStr">
        <is>
          <t>SOLDEE</t>
        </is>
      </c>
      <c r="Y735" s="116">
        <f>F735/E735</f>
        <v/>
      </c>
      <c r="Z735" s="30" t="n"/>
    </row>
    <row r="736" ht="18" customHeight="1" s="202">
      <c r="A736" s="206" t="n">
        <v>20260030</v>
      </c>
      <c r="B736" s="207" t="inlineStr">
        <is>
          <t>OCEAN FEATHER</t>
        </is>
      </c>
      <c r="C736" s="208" t="n">
        <v>46052</v>
      </c>
      <c r="D736" s="208" t="n">
        <v>46075</v>
      </c>
      <c r="E736" s="209" t="n">
        <v>161</v>
      </c>
      <c r="F736" s="210" t="n">
        <v>517.22</v>
      </c>
      <c r="G736" s="211" t="n">
        <v>128</v>
      </c>
      <c r="H736" s="212" t="inlineStr">
        <is>
          <t>NATRA INTERNATIONAL SPA</t>
        </is>
      </c>
      <c r="I736" s="212" t="inlineStr">
        <is>
          <t>POUTRELLES</t>
        </is>
      </c>
      <c r="J736" s="207" t="inlineStr">
        <is>
          <t>POUTRELLES</t>
        </is>
      </c>
      <c r="K736" s="213">
        <f>D736+8</f>
        <v/>
      </c>
      <c r="L736" s="213">
        <f>K736+60</f>
        <v/>
      </c>
      <c r="M736" s="214" t="n"/>
      <c r="N736" s="215">
        <f>E736-10</f>
        <v/>
      </c>
      <c r="O736" s="216">
        <f>F736/E736*N736</f>
        <v/>
      </c>
      <c r="P736" s="218">
        <f>G736/E736*N736</f>
        <v/>
      </c>
      <c r="Q736" s="224" t="n"/>
      <c r="R736" s="58" t="n"/>
      <c r="S736" s="200" t="inlineStr">
        <is>
          <t>OF25320XDJD069/070</t>
        </is>
      </c>
      <c r="T736" s="201" t="n">
        <v>142</v>
      </c>
      <c r="U736" s="58" t="inlineStr">
        <is>
          <t>COLD ROLLED STEEL COIL</t>
        </is>
      </c>
      <c r="V736" s="67" t="n"/>
      <c r="W736" s="67" t="n"/>
      <c r="X736" s="99" t="inlineStr">
        <is>
          <t>OPER</t>
        </is>
      </c>
      <c r="Y736" s="116">
        <f>F736/E736</f>
        <v/>
      </c>
      <c r="Z736" s="64">
        <f>E736-N736</f>
        <v/>
      </c>
    </row>
    <row r="737" ht="18" customHeight="1" s="202">
      <c r="A737" s="188" t="n">
        <v>20260030</v>
      </c>
      <c r="B737" s="189" t="inlineStr">
        <is>
          <t>OCEAN FEATHER</t>
        </is>
      </c>
      <c r="C737" s="190" t="n">
        <v>46052</v>
      </c>
      <c r="D737" s="190" t="n">
        <v>46075</v>
      </c>
      <c r="E737" s="191" t="n">
        <v>494</v>
      </c>
      <c r="F737" s="192" t="n">
        <v>2769.716</v>
      </c>
      <c r="G737" s="193" t="n">
        <v>430</v>
      </c>
      <c r="H737" s="194" t="inlineStr">
        <is>
          <t>SARL TOUALI METAL IMP EXP</t>
        </is>
      </c>
      <c r="I737" s="194" t="inlineStr">
        <is>
          <t>BOBINES</t>
        </is>
      </c>
      <c r="J737" s="189" t="inlineStr">
        <is>
          <t>BOBINES</t>
        </is>
      </c>
      <c r="K737" s="203">
        <f>D737+8</f>
        <v/>
      </c>
      <c r="L737" s="203">
        <f>K737+60</f>
        <v/>
      </c>
      <c r="M737" s="195" t="n"/>
      <c r="N737" s="196">
        <f>E737-256-7-117-16-9-45-18-26</f>
        <v/>
      </c>
      <c r="O737" s="197">
        <f>F737/E737*N737</f>
        <v/>
      </c>
      <c r="P737" s="198">
        <f>G737/E737*N737</f>
        <v/>
      </c>
      <c r="Q737" s="224" t="n"/>
      <c r="R737" s="58" t="n"/>
      <c r="S737" s="200" t="inlineStr">
        <is>
          <t>OF25320XDJD020-030</t>
        </is>
      </c>
      <c r="T737" s="201" t="n">
        <v>135</v>
      </c>
      <c r="U737" s="58" t="inlineStr">
        <is>
          <t>HOT DIP GALVANISED STEEL STRIPS</t>
        </is>
      </c>
      <c r="V737" s="67" t="n"/>
      <c r="W737" s="67" t="n"/>
      <c r="X737" s="99" t="inlineStr">
        <is>
          <t>SOLDEE</t>
        </is>
      </c>
      <c r="Y737" s="116">
        <f>F737/E737</f>
        <v/>
      </c>
      <c r="Z737" s="64">
        <f>E737-N737</f>
        <v/>
      </c>
    </row>
    <row r="738" ht="18" customHeight="1" s="202">
      <c r="A738" s="300" t="n">
        <v>20260030</v>
      </c>
      <c r="B738" s="301" t="inlineStr">
        <is>
          <t>OCEAN FEATHER</t>
        </is>
      </c>
      <c r="C738" s="302" t="n">
        <v>46052</v>
      </c>
      <c r="D738" s="302" t="n">
        <v>46075</v>
      </c>
      <c r="E738" s="303" t="n">
        <v>94</v>
      </c>
      <c r="F738" s="304" t="n">
        <v>801.4</v>
      </c>
      <c r="G738" s="305" t="n">
        <v>82</v>
      </c>
      <c r="H738" s="306" t="inlineStr">
        <is>
          <t>SARL STM STEEL</t>
        </is>
      </c>
      <c r="I738" s="306" t="inlineStr">
        <is>
          <t>BOBINES</t>
        </is>
      </c>
      <c r="J738" s="301" t="inlineStr">
        <is>
          <t>BOBINES</t>
        </is>
      </c>
      <c r="K738" s="307">
        <f>D738+8</f>
        <v/>
      </c>
      <c r="L738" s="307">
        <f>K738+60</f>
        <v/>
      </c>
      <c r="M738" s="308" t="n"/>
      <c r="N738" s="309">
        <f>E738-28-12</f>
        <v/>
      </c>
      <c r="O738" s="310">
        <f>F738/E738*N738</f>
        <v/>
      </c>
      <c r="P738" s="311">
        <f>G738/E738*N738</f>
        <v/>
      </c>
      <c r="Q738" s="224" t="n"/>
      <c r="R738" s="58" t="n"/>
      <c r="S738" s="200" t="inlineStr">
        <is>
          <t xml:space="preserve">OF25320XDJD031-033    </t>
        </is>
      </c>
      <c r="T738" s="201" t="n"/>
      <c r="U738" s="58" t="inlineStr">
        <is>
          <t>PREPAINTED STEEL COILS</t>
        </is>
      </c>
      <c r="V738" s="67" t="n"/>
      <c r="W738" s="67" t="n"/>
      <c r="X738" s="312" t="inlineStr">
        <is>
          <t>OPER</t>
        </is>
      </c>
      <c r="Y738" s="116">
        <f>F738/E738</f>
        <v/>
      </c>
      <c r="Z738" s="64">
        <f>E738-N738</f>
        <v/>
      </c>
    </row>
    <row r="739" ht="18" customHeight="1" s="202">
      <c r="A739" s="188" t="n">
        <v>20260030</v>
      </c>
      <c r="B739" s="189" t="inlineStr">
        <is>
          <t>OCEAN FEATHER</t>
        </is>
      </c>
      <c r="C739" s="190" t="n">
        <v>46052</v>
      </c>
      <c r="D739" s="190" t="n">
        <v>46075</v>
      </c>
      <c r="E739" s="191" t="n">
        <v>110</v>
      </c>
      <c r="F739" s="192" t="n">
        <v>447.765</v>
      </c>
      <c r="G739" s="193" t="n">
        <v>96</v>
      </c>
      <c r="H739" s="194" t="inlineStr">
        <is>
          <t>SARL STM STEEL</t>
        </is>
      </c>
      <c r="I739" s="194" t="inlineStr">
        <is>
          <t>BOBINES</t>
        </is>
      </c>
      <c r="J739" s="189" t="inlineStr">
        <is>
          <t>BOBINES</t>
        </is>
      </c>
      <c r="K739" s="203">
        <f>D739+8</f>
        <v/>
      </c>
      <c r="L739" s="203">
        <f>K739+60</f>
        <v/>
      </c>
      <c r="M739" s="195" t="n"/>
      <c r="N739" s="196">
        <f>E739-36-13-12-11</f>
        <v/>
      </c>
      <c r="O739" s="197">
        <f>F739/E739*N739</f>
        <v/>
      </c>
      <c r="P739" s="198">
        <f>G739/E739*N739</f>
        <v/>
      </c>
      <c r="Q739" s="224" t="n"/>
      <c r="R739" s="58" t="n"/>
      <c r="S739" s="200" t="inlineStr">
        <is>
          <t xml:space="preserve">OF25320XDJD034/035  </t>
        </is>
      </c>
      <c r="T739" s="201" t="n">
        <v>137</v>
      </c>
      <c r="U739" s="58" t="inlineStr">
        <is>
          <t>PREPAINTED STEEL COILS</t>
        </is>
      </c>
      <c r="V739" s="67" t="n"/>
      <c r="W739" s="67" t="n"/>
      <c r="X739" s="99" t="inlineStr">
        <is>
          <t>OPER</t>
        </is>
      </c>
      <c r="Y739" s="116">
        <f>F739/E739</f>
        <v/>
      </c>
      <c r="Z739" s="64">
        <f>E739-N739</f>
        <v/>
      </c>
    </row>
    <row r="740" ht="18" customHeight="1" s="202">
      <c r="A740" s="106" t="n">
        <v>20260030</v>
      </c>
      <c r="B740" s="107" t="inlineStr">
        <is>
          <t>OCEAN FEATHER</t>
        </is>
      </c>
      <c r="C740" s="108" t="n">
        <v>46052</v>
      </c>
      <c r="D740" s="108" t="n">
        <v>46075</v>
      </c>
      <c r="E740" s="106" t="n">
        <v>109</v>
      </c>
      <c r="F740" s="106" t="n">
        <v>589.116</v>
      </c>
      <c r="G740" s="106" t="n">
        <v>95</v>
      </c>
      <c r="H740" s="109" t="inlineStr">
        <is>
          <t>SARL STM STEEL</t>
        </is>
      </c>
      <c r="I740" s="109" t="inlineStr">
        <is>
          <t>BOBINES</t>
        </is>
      </c>
      <c r="J740" s="107" t="inlineStr">
        <is>
          <t>BOBINES</t>
        </is>
      </c>
      <c r="K740" s="108">
        <f>D740+8</f>
        <v/>
      </c>
      <c r="L740" s="108">
        <f>K740+60</f>
        <v/>
      </c>
      <c r="M740" s="111" t="n"/>
      <c r="N740" s="112">
        <f>E740-40-9-60</f>
        <v/>
      </c>
      <c r="O740" s="113">
        <f>F740/E740*N740</f>
        <v/>
      </c>
      <c r="P740" s="112">
        <f>G740/E740*N740</f>
        <v/>
      </c>
      <c r="Q740" s="109" t="n"/>
      <c r="R740" s="109" t="n"/>
      <c r="S740" s="109" t="inlineStr">
        <is>
          <t xml:space="preserve">OF25320XDJD071-081       </t>
        </is>
      </c>
      <c r="T740" s="114" t="n">
        <v>143</v>
      </c>
      <c r="U740" s="109" t="inlineStr">
        <is>
          <t>BOBINES PRELAQUEES PPGI COILS</t>
        </is>
      </c>
      <c r="V740" s="106" t="n"/>
      <c r="W740" s="106" t="n"/>
      <c r="X740" s="106" t="inlineStr">
        <is>
          <t>SOLDEE</t>
        </is>
      </c>
      <c r="Y740" s="116">
        <f>F740/E740</f>
        <v/>
      </c>
      <c r="Z740" s="30" t="n"/>
    </row>
    <row r="741" ht="18" customHeight="1" s="202">
      <c r="A741" s="116" t="n">
        <v>20260030</v>
      </c>
      <c r="B741" s="117" t="inlineStr">
        <is>
          <t>OCEAN FEATHER</t>
        </is>
      </c>
      <c r="C741" s="118" t="n">
        <v>46052</v>
      </c>
      <c r="D741" s="118" t="n">
        <v>46075</v>
      </c>
      <c r="E741" s="67" t="n">
        <v>36</v>
      </c>
      <c r="F741" s="119" t="n">
        <v>153.257</v>
      </c>
      <c r="G741" s="120" t="n">
        <v>31</v>
      </c>
      <c r="H741" s="121" t="inlineStr">
        <is>
          <t>SARL STM STEEL</t>
        </is>
      </c>
      <c r="I741" s="121" t="inlineStr">
        <is>
          <t>BOBINES</t>
        </is>
      </c>
      <c r="J741" s="117" t="inlineStr">
        <is>
          <t>BOBINES</t>
        </is>
      </c>
      <c r="K741" s="48">
        <f>D741+8</f>
        <v/>
      </c>
      <c r="L741" s="48">
        <f>K741+60</f>
        <v/>
      </c>
      <c r="M741" s="71" t="n"/>
      <c r="N741" s="72">
        <f>E741</f>
        <v/>
      </c>
      <c r="O741" s="50">
        <f>F741/E741*N741</f>
        <v/>
      </c>
      <c r="P741" s="273">
        <f>G741/E741*N741</f>
        <v/>
      </c>
      <c r="Q741" s="224" t="n"/>
      <c r="R741" s="58" t="n"/>
      <c r="S741" s="200" t="inlineStr">
        <is>
          <t xml:space="preserve">OF25320XDJD098-100           </t>
        </is>
      </c>
      <c r="T741" s="201" t="n">
        <v>140</v>
      </c>
      <c r="U741" s="58" t="inlineStr">
        <is>
          <t>PREPAINTED GALVANIZED STEEL SHEET IN COILS</t>
        </is>
      </c>
      <c r="V741" s="67" t="n"/>
      <c r="W741" s="67" t="n"/>
      <c r="X741" s="62" t="inlineStr">
        <is>
          <t>N-OP</t>
        </is>
      </c>
      <c r="Y741" s="116">
        <f>F741/E741</f>
        <v/>
      </c>
      <c r="Z741" s="64">
        <f>E741-N741</f>
        <v/>
      </c>
    </row>
    <row r="742" ht="18" customHeight="1" s="202">
      <c r="A742" s="106" t="n">
        <v>20260030</v>
      </c>
      <c r="B742" s="107" t="inlineStr">
        <is>
          <t>OCEAN FEATHER</t>
        </is>
      </c>
      <c r="C742" s="108" t="n">
        <v>46052</v>
      </c>
      <c r="D742" s="108" t="n">
        <v>46075</v>
      </c>
      <c r="E742" s="106" t="n">
        <v>185</v>
      </c>
      <c r="F742" s="106" t="n">
        <v>993.3200000000001</v>
      </c>
      <c r="G742" s="106" t="n">
        <v>161</v>
      </c>
      <c r="H742" s="109" t="inlineStr">
        <is>
          <t>SARL SPL METAL</t>
        </is>
      </c>
      <c r="I742" s="109" t="inlineStr">
        <is>
          <t>BOBINES</t>
        </is>
      </c>
      <c r="J742" s="107" t="inlineStr">
        <is>
          <t>BOBINES</t>
        </is>
      </c>
      <c r="K742" s="108">
        <f>D742+8</f>
        <v/>
      </c>
      <c r="L742" s="108">
        <f>K742+60</f>
        <v/>
      </c>
      <c r="M742" s="111" t="n"/>
      <c r="N742" s="112">
        <f>E742-60-70-55</f>
        <v/>
      </c>
      <c r="O742" s="113">
        <f>F742/E742*N742</f>
        <v/>
      </c>
      <c r="P742" s="112">
        <f>G742/E742*N742</f>
        <v/>
      </c>
      <c r="Q742" s="109" t="n"/>
      <c r="R742" s="109" t="n"/>
      <c r="S742" s="109" t="inlineStr">
        <is>
          <t>OF25320XDJD047-050</t>
        </is>
      </c>
      <c r="T742" s="114" t="n">
        <v>138</v>
      </c>
      <c r="U742" s="109" t="inlineStr">
        <is>
          <t>PRIME PRE PAINTED STEEL COILS</t>
        </is>
      </c>
      <c r="V742" s="106" t="n"/>
      <c r="W742" s="106" t="n"/>
      <c r="X742" s="106" t="inlineStr">
        <is>
          <t>SOLDEE</t>
        </is>
      </c>
      <c r="Y742" s="116">
        <f>F742/E742</f>
        <v/>
      </c>
      <c r="Z742" s="30" t="n"/>
    </row>
    <row r="743" ht="18" customHeight="1" s="202">
      <c r="A743" s="106" t="n">
        <v>20260030</v>
      </c>
      <c r="B743" s="107" t="inlineStr">
        <is>
          <t>OCEAN FEATHER</t>
        </is>
      </c>
      <c r="C743" s="108" t="n">
        <v>46052</v>
      </c>
      <c r="D743" s="108" t="n">
        <v>46075</v>
      </c>
      <c r="E743" s="106" t="n">
        <v>237</v>
      </c>
      <c r="F743" s="106" t="n">
        <v>1004.636</v>
      </c>
      <c r="G743" s="106" t="n">
        <v>206</v>
      </c>
      <c r="H743" s="109" t="inlineStr">
        <is>
          <t>SARL SPL METAL</t>
        </is>
      </c>
      <c r="I743" s="109" t="inlineStr">
        <is>
          <t>BOBINES</t>
        </is>
      </c>
      <c r="J743" s="107" t="inlineStr">
        <is>
          <t>BOBINES</t>
        </is>
      </c>
      <c r="K743" s="108">
        <f>D743+8</f>
        <v/>
      </c>
      <c r="L743" s="108">
        <f>K743+60</f>
        <v/>
      </c>
      <c r="M743" s="111" t="n"/>
      <c r="N743" s="112">
        <f>E743-168-51-18</f>
        <v/>
      </c>
      <c r="O743" s="113">
        <f>F743/E743*N743</f>
        <v/>
      </c>
      <c r="P743" s="112">
        <f>G743/E743*N743</f>
        <v/>
      </c>
      <c r="Q743" s="109" t="n"/>
      <c r="R743" s="107" t="n"/>
      <c r="S743" s="109" t="inlineStr">
        <is>
          <t>OF25320XDJD101-104</t>
        </is>
      </c>
      <c r="T743" s="114" t="n">
        <v>148</v>
      </c>
      <c r="U743" s="109" t="inlineStr">
        <is>
          <t>PRIME PRE PAINTED STEEL COILS</t>
        </is>
      </c>
      <c r="V743" s="106" t="n"/>
      <c r="W743" s="106" t="n"/>
      <c r="X743" s="106" t="inlineStr">
        <is>
          <t>SOLDEE</t>
        </is>
      </c>
      <c r="Y743" s="116">
        <f>F743/E743</f>
        <v/>
      </c>
      <c r="Z743" s="30" t="n"/>
    </row>
    <row r="744" ht="18" customHeight="1" s="202">
      <c r="A744" s="313" t="n">
        <v>20260030</v>
      </c>
      <c r="B744" s="314" t="inlineStr">
        <is>
          <t>OCEAN FEATHER</t>
        </is>
      </c>
      <c r="C744" s="315" t="n">
        <v>46052</v>
      </c>
      <c r="D744" s="315" t="n">
        <v>46075</v>
      </c>
      <c r="E744" s="313" t="n">
        <v>248</v>
      </c>
      <c r="F744" s="313" t="n">
        <v>1803.816</v>
      </c>
      <c r="G744" s="313" t="n">
        <v>216</v>
      </c>
      <c r="H744" s="316" t="inlineStr">
        <is>
          <t>SARL SOUIPANEL</t>
        </is>
      </c>
      <c r="I744" s="316" t="inlineStr">
        <is>
          <t>BOBINES</t>
        </is>
      </c>
      <c r="J744" s="314" t="inlineStr">
        <is>
          <t>BOBINES</t>
        </is>
      </c>
      <c r="K744" s="315">
        <f>D744+8</f>
        <v/>
      </c>
      <c r="L744" s="315">
        <f>K744+60</f>
        <v/>
      </c>
      <c r="M744" s="317" t="n"/>
      <c r="N744" s="318">
        <f>E744-197-44-46</f>
        <v/>
      </c>
      <c r="O744" s="319">
        <f>F744/E744*N744</f>
        <v/>
      </c>
      <c r="P744" s="318">
        <f>G744/E744*N744</f>
        <v/>
      </c>
      <c r="Q744" s="316" t="n"/>
      <c r="R744" s="316" t="n"/>
      <c r="S744" s="316" t="inlineStr">
        <is>
          <t>OF25320XDJD051-057</t>
        </is>
      </c>
      <c r="T744" s="320" t="n">
        <v>150</v>
      </c>
      <c r="U744" s="316" t="inlineStr">
        <is>
          <t>PRE-PAINTED GALVANISED STEEL COILS</t>
        </is>
      </c>
      <c r="V744" s="313" t="n"/>
      <c r="W744" s="313" t="n"/>
      <c r="X744" s="321" t="inlineStr">
        <is>
          <t>SOLDEE</t>
        </is>
      </c>
      <c r="Y744" s="116">
        <f>F744/E744</f>
        <v/>
      </c>
      <c r="Z744" s="64">
        <f>E744-N744</f>
        <v/>
      </c>
    </row>
    <row r="745" ht="18" customHeight="1" s="202">
      <c r="A745" s="106" t="n">
        <v>20260030</v>
      </c>
      <c r="B745" s="107" t="inlineStr">
        <is>
          <t>OCEAN FEATHER</t>
        </is>
      </c>
      <c r="C745" s="108" t="n">
        <v>46052</v>
      </c>
      <c r="D745" s="108" t="n">
        <v>46075</v>
      </c>
      <c r="E745" s="106" t="n">
        <v>278</v>
      </c>
      <c r="F745" s="106" t="n">
        <v>1827.432</v>
      </c>
      <c r="G745" s="106" t="n">
        <v>242</v>
      </c>
      <c r="H745" s="109" t="inlineStr">
        <is>
          <t>SARL SOUIPANEL</t>
        </is>
      </c>
      <c r="I745" s="109" t="inlineStr">
        <is>
          <t>BOBINES</t>
        </is>
      </c>
      <c r="J745" s="107" t="inlineStr">
        <is>
          <t>BOBINES</t>
        </is>
      </c>
      <c r="K745" s="108">
        <f>D745+8</f>
        <v/>
      </c>
      <c r="L745" s="108">
        <f>K745+60</f>
        <v/>
      </c>
      <c r="M745" s="111" t="n"/>
      <c r="N745" s="112">
        <f>E745-36-72-104-56-10</f>
        <v/>
      </c>
      <c r="O745" s="113">
        <f>F745/E745*N745</f>
        <v/>
      </c>
      <c r="P745" s="112">
        <f>G745/E745*N745</f>
        <v/>
      </c>
      <c r="Q745" s="109" t="n"/>
      <c r="R745" s="109" t="n"/>
      <c r="S745" s="109" t="inlineStr">
        <is>
          <t>OF25320XDJD058-065</t>
        </is>
      </c>
      <c r="T745" s="114" t="n">
        <v>151</v>
      </c>
      <c r="U745" s="109" t="inlineStr">
        <is>
          <t>PRE-PAINTED GALVANISED STEEL COILS</t>
        </is>
      </c>
      <c r="V745" s="106" t="n"/>
      <c r="W745" s="106" t="n"/>
      <c r="X745" s="106" t="inlineStr">
        <is>
          <t>SOLDEE</t>
        </is>
      </c>
      <c r="Y745" s="116">
        <f>F745/E745</f>
        <v/>
      </c>
      <c r="Z745" s="30" t="n"/>
    </row>
    <row r="746" ht="18" customHeight="1" s="202">
      <c r="A746" s="116" t="n">
        <v>20260030</v>
      </c>
      <c r="B746" s="117" t="inlineStr">
        <is>
          <t>OCEAN FEATHER</t>
        </is>
      </c>
      <c r="C746" s="118" t="n">
        <v>46052</v>
      </c>
      <c r="D746" s="118" t="n">
        <v>46075</v>
      </c>
      <c r="E746" s="67" t="n">
        <v>170</v>
      </c>
      <c r="F746" s="119" t="n">
        <v>1225.504</v>
      </c>
      <c r="G746" s="120" t="n">
        <v>148</v>
      </c>
      <c r="H746" s="121" t="inlineStr">
        <is>
          <t>SARL SOUIPANEL</t>
        </is>
      </c>
      <c r="I746" s="121" t="inlineStr">
        <is>
          <t>BOBINES</t>
        </is>
      </c>
      <c r="J746" s="117" t="inlineStr">
        <is>
          <t>BOBINES</t>
        </is>
      </c>
      <c r="K746" s="48">
        <f>D746+8</f>
        <v/>
      </c>
      <c r="L746" s="48">
        <f>K746+60</f>
        <v/>
      </c>
      <c r="M746" s="71" t="n"/>
      <c r="N746" s="72">
        <f>E746</f>
        <v/>
      </c>
      <c r="O746" s="50">
        <f>F746/E746*N746</f>
        <v/>
      </c>
      <c r="P746" s="273">
        <f>G746/E746*N746</f>
        <v/>
      </c>
      <c r="Q746" s="224" t="n"/>
      <c r="R746" s="58" t="n"/>
      <c r="S746" s="200" t="inlineStr">
        <is>
          <t>OF25320XDJD108</t>
        </is>
      </c>
      <c r="T746" s="201" t="n">
        <v>141</v>
      </c>
      <c r="U746" s="58" t="inlineStr">
        <is>
          <t>PRIME PRE PAINTED STEEL COILS</t>
        </is>
      </c>
      <c r="V746" s="67" t="n"/>
      <c r="W746" s="67" t="n"/>
      <c r="X746" s="62" t="inlineStr">
        <is>
          <t>N-OP</t>
        </is>
      </c>
      <c r="Y746" s="116">
        <f>F746/E746</f>
        <v/>
      </c>
      <c r="Z746" s="64">
        <f>E746-N746</f>
        <v/>
      </c>
    </row>
    <row r="747" ht="18" customHeight="1" s="202">
      <c r="A747" s="106" t="n">
        <v>20260030</v>
      </c>
      <c r="B747" s="107" t="inlineStr">
        <is>
          <t>OCEAN FEATHER</t>
        </is>
      </c>
      <c r="C747" s="108" t="n">
        <v>46052</v>
      </c>
      <c r="D747" s="108" t="n">
        <v>46075</v>
      </c>
      <c r="E747" s="106" t="n">
        <v>169</v>
      </c>
      <c r="F747" s="106" t="n">
        <v>1220.982</v>
      </c>
      <c r="G747" s="106" t="n">
        <v>147</v>
      </c>
      <c r="H747" s="109" t="inlineStr">
        <is>
          <t>SARL SOUIPANEL</t>
        </is>
      </c>
      <c r="I747" s="109" t="inlineStr">
        <is>
          <t>BOBINES</t>
        </is>
      </c>
      <c r="J747" s="107" t="inlineStr">
        <is>
          <t>BOBINES</t>
        </is>
      </c>
      <c r="K747" s="108">
        <f>D747+8</f>
        <v/>
      </c>
      <c r="L747" s="108">
        <f>K747+60</f>
        <v/>
      </c>
      <c r="M747" s="111" t="n"/>
      <c r="N747" s="112">
        <f>E747-84-28-57</f>
        <v/>
      </c>
      <c r="O747" s="113">
        <f>F747/E747*N747</f>
        <v/>
      </c>
      <c r="P747" s="112">
        <f>G747/E747*N747</f>
        <v/>
      </c>
      <c r="Q747" s="109" t="n"/>
      <c r="R747" s="109" t="n"/>
      <c r="S747" s="109" t="inlineStr">
        <is>
          <t>OF25320XDJD110-114</t>
        </is>
      </c>
      <c r="T747" s="114" t="n">
        <v>144</v>
      </c>
      <c r="U747" s="109" t="inlineStr">
        <is>
          <t>PRE-PAINTED GALVANISED STEEL COILS</t>
        </is>
      </c>
      <c r="V747" s="106" t="n"/>
      <c r="W747" s="106" t="n"/>
      <c r="X747" s="106" t="inlineStr">
        <is>
          <t>SOLDEE</t>
        </is>
      </c>
      <c r="Y747" s="116">
        <f>F747/E747</f>
        <v/>
      </c>
      <c r="Z747" s="30" t="n"/>
    </row>
    <row r="748" ht="18" customHeight="1" s="202">
      <c r="A748" s="106" t="n">
        <v>20260030</v>
      </c>
      <c r="B748" s="107" t="inlineStr">
        <is>
          <t>OCEAN FEATHER</t>
        </is>
      </c>
      <c r="C748" s="108" t="n">
        <v>46052</v>
      </c>
      <c r="D748" s="108" t="n">
        <v>46075</v>
      </c>
      <c r="E748" s="106" t="n">
        <v>84</v>
      </c>
      <c r="F748" s="106" t="n">
        <v>589.904</v>
      </c>
      <c r="G748" s="106" t="n">
        <v>73</v>
      </c>
      <c r="H748" s="109" t="inlineStr">
        <is>
          <t>SARL HODNA METAL</t>
        </is>
      </c>
      <c r="I748" s="109" t="inlineStr">
        <is>
          <t>BOBINES</t>
        </is>
      </c>
      <c r="J748" s="107" t="inlineStr">
        <is>
          <t>BOBINES</t>
        </is>
      </c>
      <c r="K748" s="108">
        <f>D748+8</f>
        <v/>
      </c>
      <c r="L748" s="108">
        <f>K748+60</f>
        <v/>
      </c>
      <c r="M748" s="111" t="n"/>
      <c r="N748" s="112">
        <f>E748-20-21-14-16-13</f>
        <v/>
      </c>
      <c r="O748" s="113">
        <f>F748/E748*N748</f>
        <v/>
      </c>
      <c r="P748" s="112">
        <f>G748/E748*N748</f>
        <v/>
      </c>
      <c r="Q748" s="109" t="n"/>
      <c r="R748" s="109" t="n"/>
      <c r="S748" s="109" t="inlineStr">
        <is>
          <t xml:space="preserve">OF25320XDJD066-068         </t>
        </is>
      </c>
      <c r="T748" s="114" t="n">
        <v>141</v>
      </c>
      <c r="U748" s="109" t="inlineStr">
        <is>
          <t>GALVANISED PREPAINTED STEEL COILS</t>
        </is>
      </c>
      <c r="V748" s="106" t="n"/>
      <c r="W748" s="106" t="n"/>
      <c r="X748" s="106" t="inlineStr">
        <is>
          <t>SOLDEE</t>
        </is>
      </c>
      <c r="Y748" s="116">
        <f>F748/E748</f>
        <v/>
      </c>
      <c r="Z748" s="30" t="n"/>
    </row>
    <row r="749" ht="18" customHeight="1" s="202">
      <c r="A749" s="300" t="n">
        <v>20260030</v>
      </c>
      <c r="B749" s="301" t="inlineStr">
        <is>
          <t>OCEAN FEATHER</t>
        </is>
      </c>
      <c r="C749" s="302" t="n">
        <v>46052</v>
      </c>
      <c r="D749" s="302" t="n">
        <v>46075</v>
      </c>
      <c r="E749" s="303" t="n">
        <v>155</v>
      </c>
      <c r="F749" s="304" t="n">
        <v>1144.307</v>
      </c>
      <c r="G749" s="305" t="n">
        <v>135</v>
      </c>
      <c r="H749" s="306" t="inlineStr">
        <is>
          <t>SARL HODNA METAL</t>
        </is>
      </c>
      <c r="I749" s="306" t="inlineStr">
        <is>
          <t>BOBINES</t>
        </is>
      </c>
      <c r="J749" s="301" t="inlineStr">
        <is>
          <t>BOBINES</t>
        </is>
      </c>
      <c r="K749" s="307">
        <f>D749+8</f>
        <v/>
      </c>
      <c r="L749" s="307">
        <f>K749+60</f>
        <v/>
      </c>
      <c r="M749" s="308" t="n"/>
      <c r="N749" s="309">
        <f>E749-33</f>
        <v/>
      </c>
      <c r="O749" s="310">
        <f>F749/E749*N749</f>
        <v/>
      </c>
      <c r="P749" s="311">
        <f>G749/E749*N749</f>
        <v/>
      </c>
      <c r="Q749" s="224" t="n"/>
      <c r="R749" s="58" t="n"/>
      <c r="S749" s="200" t="inlineStr">
        <is>
          <t>OF25320XDJD093-097</t>
        </is>
      </c>
      <c r="T749" s="201" t="n">
        <v>146</v>
      </c>
      <c r="U749" s="58" t="inlineStr">
        <is>
          <t>PREPAINTED GALVANIZED STEEL COILS</t>
        </is>
      </c>
      <c r="V749" s="67" t="n"/>
      <c r="W749" s="67" t="n"/>
      <c r="X749" s="312" t="inlineStr">
        <is>
          <t>OPER</t>
        </is>
      </c>
      <c r="Y749" s="116">
        <f>F749/E749</f>
        <v/>
      </c>
      <c r="Z749" s="64">
        <f>E749-N749</f>
        <v/>
      </c>
    </row>
    <row r="750" ht="18" customHeight="1" s="202">
      <c r="A750" s="135" t="n">
        <v>20260030</v>
      </c>
      <c r="B750" s="136" t="inlineStr">
        <is>
          <t>OCEAN FEATHER</t>
        </is>
      </c>
      <c r="C750" s="137" t="n">
        <v>46052</v>
      </c>
      <c r="D750" s="137" t="n">
        <v>46075</v>
      </c>
      <c r="E750" s="138" t="n">
        <v>228</v>
      </c>
      <c r="F750" s="139" t="n">
        <v>1000.16</v>
      </c>
      <c r="G750" s="140" t="n">
        <v>198</v>
      </c>
      <c r="H750" s="271" t="inlineStr">
        <is>
          <t>METAL TAM</t>
        </is>
      </c>
      <c r="I750" s="141" t="inlineStr">
        <is>
          <t>BOBINES</t>
        </is>
      </c>
      <c r="J750" s="136" t="inlineStr">
        <is>
          <t>BOBINES</t>
        </is>
      </c>
      <c r="K750" s="142">
        <f>D750+8</f>
        <v/>
      </c>
      <c r="L750" s="142">
        <f>K750+60</f>
        <v/>
      </c>
      <c r="M750" s="143" t="n"/>
      <c r="N750" s="144">
        <f>E750-24-24-22-21-9-36-14-12-12-B2068</f>
        <v/>
      </c>
      <c r="O750" s="145">
        <f>F750/E750*N750</f>
        <v/>
      </c>
      <c r="P750" s="146">
        <f>G750/E750*N750</f>
        <v/>
      </c>
      <c r="Q750" s="224" t="n"/>
      <c r="R750" s="58" t="n"/>
      <c r="S750" s="200" t="inlineStr">
        <is>
          <t>OF25320XDJD088-092</t>
        </is>
      </c>
      <c r="T750" s="201" t="n">
        <v>152</v>
      </c>
      <c r="U750" s="58" t="inlineStr">
        <is>
          <t>FEUILLARD GALVANISE</t>
        </is>
      </c>
      <c r="V750" s="67" t="n"/>
      <c r="W750" s="67" t="n"/>
      <c r="X750" s="99" t="inlineStr">
        <is>
          <t>OPER</t>
        </is>
      </c>
      <c r="Y750" s="116">
        <f>F750/E750</f>
        <v/>
      </c>
      <c r="Z750" s="64">
        <f>E750-N750</f>
        <v/>
      </c>
    </row>
    <row r="751" ht="18" customHeight="1" s="202">
      <c r="A751" s="116" t="n">
        <v>20260030</v>
      </c>
      <c r="B751" s="117" t="inlineStr">
        <is>
          <t>OCEAN FEATHER</t>
        </is>
      </c>
      <c r="C751" s="118" t="n">
        <v>46052</v>
      </c>
      <c r="D751" s="118" t="n">
        <v>46075</v>
      </c>
      <c r="E751" s="67" t="n">
        <v>239</v>
      </c>
      <c r="F751" s="119" t="n">
        <v>1119.172</v>
      </c>
      <c r="G751" s="120" t="n">
        <v>208</v>
      </c>
      <c r="H751" s="121" t="inlineStr">
        <is>
          <t>EURL RAGOUB METTAL</t>
        </is>
      </c>
      <c r="I751" s="121" t="inlineStr">
        <is>
          <t>BOBINES</t>
        </is>
      </c>
      <c r="J751" s="117" t="inlineStr">
        <is>
          <t>BOBINES</t>
        </is>
      </c>
      <c r="K751" s="48">
        <f>D751+8</f>
        <v/>
      </c>
      <c r="L751" s="48">
        <f>K751+60</f>
        <v/>
      </c>
      <c r="M751" s="71" t="n"/>
      <c r="N751" s="72">
        <f>E751</f>
        <v/>
      </c>
      <c r="O751" s="50">
        <f>F751/E751*N751</f>
        <v/>
      </c>
      <c r="P751" s="273">
        <f>G751/E751*N751</f>
        <v/>
      </c>
      <c r="Q751" s="224" t="n"/>
      <c r="R751" s="58" t="n"/>
      <c r="S751" s="200" t="inlineStr">
        <is>
          <t>OF25320XDJD019</t>
        </is>
      </c>
      <c r="T751" s="201" t="n">
        <v>134</v>
      </c>
      <c r="U751" s="58" t="inlineStr">
        <is>
          <t>HOT ROLLED STEEL PLATES</t>
        </is>
      </c>
      <c r="V751" s="67" t="n"/>
      <c r="W751" s="67" t="n"/>
      <c r="X751" s="62" t="inlineStr">
        <is>
          <t>N-OP</t>
        </is>
      </c>
      <c r="Y751" s="116">
        <f>F751/E751</f>
        <v/>
      </c>
      <c r="Z751" s="64">
        <f>E751-N751</f>
        <v/>
      </c>
    </row>
    <row r="752" ht="18" customHeight="1" s="202">
      <c r="A752" s="106" t="n">
        <v>20260030</v>
      </c>
      <c r="B752" s="107" t="inlineStr">
        <is>
          <t>OCEAN FEATHER</t>
        </is>
      </c>
      <c r="C752" s="108" t="n">
        <v>46052</v>
      </c>
      <c r="D752" s="108" t="n">
        <v>46075</v>
      </c>
      <c r="E752" s="106" t="n">
        <v>159</v>
      </c>
      <c r="F752" s="106" t="n">
        <v>1255.918</v>
      </c>
      <c r="G752" s="106" t="n">
        <v>138</v>
      </c>
      <c r="H752" s="109" t="inlineStr">
        <is>
          <t>BENOUATAS INDUSTRIE SARL</t>
        </is>
      </c>
      <c r="I752" s="109" t="inlineStr">
        <is>
          <t>BOBINES</t>
        </is>
      </c>
      <c r="J752" s="107" t="inlineStr">
        <is>
          <t>BOBINES</t>
        </is>
      </c>
      <c r="K752" s="108">
        <f>D752+8</f>
        <v/>
      </c>
      <c r="L752" s="108">
        <f>K752+60</f>
        <v/>
      </c>
      <c r="M752" s="111" t="n"/>
      <c r="N752" s="112">
        <f>E752-127-32</f>
        <v/>
      </c>
      <c r="O752" s="113">
        <f>F752/E752*N752</f>
        <v/>
      </c>
      <c r="P752" s="112">
        <f>G752/E752*N752</f>
        <v/>
      </c>
      <c r="Q752" s="109" t="n"/>
      <c r="R752" s="109" t="n"/>
      <c r="S752" s="109" t="inlineStr">
        <is>
          <t>OF25320XDJD106/126</t>
        </is>
      </c>
      <c r="T752" s="114" t="n">
        <v>149</v>
      </c>
      <c r="U752" s="109" t="inlineStr">
        <is>
          <t>HOT ROLLED STEEL PLATES</t>
        </is>
      </c>
      <c r="V752" s="106" t="n"/>
      <c r="W752" s="106" t="n"/>
      <c r="X752" s="106" t="inlineStr">
        <is>
          <t>SOLDEE</t>
        </is>
      </c>
      <c r="Y752" s="116">
        <f>F752/E752</f>
        <v/>
      </c>
      <c r="Z752" s="30" t="n"/>
    </row>
    <row r="753" ht="18" customHeight="1" s="202">
      <c r="A753" s="106" t="n">
        <v>20260030</v>
      </c>
      <c r="B753" s="107" t="inlineStr">
        <is>
          <t>OCEAN FEATHER</t>
        </is>
      </c>
      <c r="C753" s="108" t="n">
        <v>46052</v>
      </c>
      <c r="D753" s="108" t="n">
        <v>46075</v>
      </c>
      <c r="E753" s="106" t="n">
        <v>601</v>
      </c>
      <c r="F753" s="106" t="n">
        <v>1466.38</v>
      </c>
      <c r="G753" s="106" t="n">
        <v>369</v>
      </c>
      <c r="H753" s="109" t="inlineStr">
        <is>
          <t>SARL ALFA STEEL</t>
        </is>
      </c>
      <c r="I753" s="107" t="inlineStr">
        <is>
          <t>TOLES EN PLAQUES</t>
        </is>
      </c>
      <c r="J753" s="107" t="inlineStr">
        <is>
          <t>TOLES EN PLAQUES</t>
        </is>
      </c>
      <c r="K753" s="108">
        <f>D753+8</f>
        <v/>
      </c>
      <c r="L753" s="108">
        <f>K753+60</f>
        <v/>
      </c>
      <c r="M753" s="111" t="n"/>
      <c r="N753" s="112">
        <f>E753-151-61-75-61-100-153</f>
        <v/>
      </c>
      <c r="O753" s="113">
        <f>F753/E753*N753</f>
        <v/>
      </c>
      <c r="P753" s="112">
        <f>G753/E753*N753</f>
        <v/>
      </c>
      <c r="Q753" s="109" t="n"/>
      <c r="R753" s="109" t="n"/>
      <c r="S753" s="109" t="inlineStr">
        <is>
          <t>OF25320XDJD121-125</t>
        </is>
      </c>
      <c r="T753" s="114" t="n">
        <v>152</v>
      </c>
      <c r="U753" s="109" t="inlineStr">
        <is>
          <t>PRIME HOT ROLLED STEEL H-BEAMS PRIME NEWLY HOT ROLLED STEEL CHANNEL PRIME NEWLY HOT ROLLED STEEL ANGLE</t>
        </is>
      </c>
      <c r="V753" s="106" t="n"/>
      <c r="W753" s="106" t="n"/>
      <c r="X753" s="106" t="inlineStr">
        <is>
          <t>SOLDEE</t>
        </is>
      </c>
      <c r="Y753" s="116">
        <f>F753/E753</f>
        <v/>
      </c>
      <c r="Z753" s="30" t="n"/>
    </row>
    <row r="754" ht="15.75" customHeight="1" s="202">
      <c r="A754" s="106" t="n">
        <v>20260063</v>
      </c>
      <c r="B754" s="107" t="inlineStr">
        <is>
          <t>ATHOS</t>
        </is>
      </c>
      <c r="C754" s="108" t="n">
        <v>46074</v>
      </c>
      <c r="D754" s="108" t="n">
        <v>46075</v>
      </c>
      <c r="E754" s="106" t="n">
        <v>1</v>
      </c>
      <c r="F754" s="106" t="n">
        <v>15</v>
      </c>
      <c r="G754" s="106" t="n">
        <v>24</v>
      </c>
      <c r="H754" s="107" t="inlineStr">
        <is>
          <t>BENDRISSE SLIMANE</t>
        </is>
      </c>
      <c r="I754" s="107" t="inlineStr">
        <is>
          <t>CAMIONS</t>
        </is>
      </c>
      <c r="J754" s="107" t="inlineStr">
        <is>
          <t>LOURD</t>
        </is>
      </c>
      <c r="K754" s="108">
        <f>D754+8</f>
        <v/>
      </c>
      <c r="L754" s="108">
        <f>K754+60</f>
        <v/>
      </c>
      <c r="M754" s="107" t="n"/>
      <c r="N754" s="112">
        <f>E754-1</f>
        <v/>
      </c>
      <c r="O754" s="113">
        <f>F754/E754*N754</f>
        <v/>
      </c>
      <c r="P754" s="112">
        <f>G754/E754*N754</f>
        <v/>
      </c>
      <c r="Q754" s="109" t="n"/>
      <c r="R754" s="107" t="n"/>
      <c r="S754" s="109" t="inlineStr">
        <is>
          <t>AS25353LDJD002</t>
        </is>
      </c>
      <c r="T754" s="114" t="n">
        <v>2</v>
      </c>
      <c r="U754" s="109" t="inlineStr">
        <is>
          <t>01 UNIT SINOTRUCK HOWO TX 6X4 TIPPER TRUCK LHD-18 ( VOIR BL)</t>
        </is>
      </c>
      <c r="V754" s="106" t="n"/>
      <c r="W754" s="106" t="n"/>
      <c r="X754" s="106" t="inlineStr">
        <is>
          <t>SOLDEE</t>
        </is>
      </c>
      <c r="Y754" s="116">
        <f>F754/E754</f>
        <v/>
      </c>
    </row>
    <row r="755" ht="15.75" customHeight="1" s="202">
      <c r="A755" s="106" t="n">
        <v>20260063</v>
      </c>
      <c r="B755" s="107" t="inlineStr">
        <is>
          <t>ATHOS</t>
        </is>
      </c>
      <c r="C755" s="108" t="n">
        <v>46074</v>
      </c>
      <c r="D755" s="108" t="n">
        <v>46075</v>
      </c>
      <c r="E755" s="106" t="n">
        <v>1</v>
      </c>
      <c r="F755" s="106" t="n">
        <v>17.1</v>
      </c>
      <c r="G755" s="106" t="n">
        <v>24</v>
      </c>
      <c r="H755" s="107" t="inlineStr">
        <is>
          <t>BENGOURINA MESSAOUD</t>
        </is>
      </c>
      <c r="I755" s="107" t="inlineStr">
        <is>
          <t>RETROCHATGEURS</t>
        </is>
      </c>
      <c r="J755" s="107" t="inlineStr">
        <is>
          <t>ENGINS</t>
        </is>
      </c>
      <c r="K755" s="108">
        <f>D755+8</f>
        <v/>
      </c>
      <c r="L755" s="108">
        <f>K755+60</f>
        <v/>
      </c>
      <c r="M755" s="107" t="n"/>
      <c r="N755" s="112">
        <f>E755-1</f>
        <v/>
      </c>
      <c r="O755" s="113">
        <f>F755/E755*N755</f>
        <v/>
      </c>
      <c r="P755" s="112">
        <f>G755/E755*N755</f>
        <v/>
      </c>
      <c r="Q755" s="109" t="n"/>
      <c r="R755" s="107" t="n"/>
      <c r="S755" s="109" t="inlineStr">
        <is>
          <t>AS25353LDJD003</t>
        </is>
      </c>
      <c r="T755" s="114" t="n">
        <v>3</v>
      </c>
      <c r="U755" s="109" t="inlineStr">
        <is>
          <t>01 UNIT RETRO CHARGEUR ZL50GN (VOIR BL)</t>
        </is>
      </c>
      <c r="V755" s="106" t="n"/>
      <c r="W755" s="106" t="n"/>
      <c r="X755" s="106" t="inlineStr">
        <is>
          <t>SOLDEE</t>
        </is>
      </c>
      <c r="Y755" s="116">
        <f>F755/E755</f>
        <v/>
      </c>
      <c r="Z755" s="64">
        <f>E755-N755</f>
        <v/>
      </c>
    </row>
    <row r="756" ht="15.75" customHeight="1" s="202">
      <c r="A756" s="106" t="n">
        <v>20260063</v>
      </c>
      <c r="B756" s="107" t="inlineStr">
        <is>
          <t>ATHOS</t>
        </is>
      </c>
      <c r="C756" s="108" t="n">
        <v>46074</v>
      </c>
      <c r="D756" s="108" t="n">
        <v>46075</v>
      </c>
      <c r="E756" s="106" t="n">
        <v>1</v>
      </c>
      <c r="F756" s="106" t="n">
        <v>17.15</v>
      </c>
      <c r="G756" s="106" t="n">
        <v>24</v>
      </c>
      <c r="H756" s="107" t="inlineStr">
        <is>
          <t>EURL AFAK CONSTRUCTION</t>
        </is>
      </c>
      <c r="I756" s="107" t="inlineStr">
        <is>
          <t>CHARGEURS</t>
        </is>
      </c>
      <c r="J756" s="107" t="inlineStr">
        <is>
          <t>ENGINS</t>
        </is>
      </c>
      <c r="K756" s="108">
        <f>D756+8</f>
        <v/>
      </c>
      <c r="L756" s="108">
        <f>K756+60</f>
        <v/>
      </c>
      <c r="M756" s="107" t="n"/>
      <c r="N756" s="112">
        <f>E756-1</f>
        <v/>
      </c>
      <c r="O756" s="113">
        <f>F756/E756*N756</f>
        <v/>
      </c>
      <c r="P756" s="112">
        <f>G756*E756*N756</f>
        <v/>
      </c>
      <c r="Q756" s="109" t="n"/>
      <c r="R756" s="107" t="n"/>
      <c r="S756" s="109" t="inlineStr">
        <is>
          <t>AS25353LDJD004</t>
        </is>
      </c>
      <c r="T756" s="114" t="n">
        <v>4</v>
      </c>
      <c r="U756" s="109" t="inlineStr">
        <is>
          <t>01 UNIT XCMG ZL 50GN NEW 5,5TON WHEEL LOADER (VOIR BL )</t>
        </is>
      </c>
      <c r="V756" s="106" t="n"/>
      <c r="W756" s="106" t="n"/>
      <c r="X756" s="106" t="inlineStr">
        <is>
          <t>SOLDEE</t>
        </is>
      </c>
      <c r="Y756" s="116">
        <f>F756/E756</f>
        <v/>
      </c>
    </row>
    <row r="757" ht="15.75" customHeight="1" s="202">
      <c r="A757" s="106" t="n">
        <v>20260063</v>
      </c>
      <c r="B757" s="107" t="inlineStr">
        <is>
          <t>ATHOS</t>
        </is>
      </c>
      <c r="C757" s="108" t="n">
        <v>46074</v>
      </c>
      <c r="D757" s="108" t="n">
        <v>46075</v>
      </c>
      <c r="E757" s="106" t="n">
        <v>1</v>
      </c>
      <c r="F757" s="106" t="n">
        <v>8.016999999999999</v>
      </c>
      <c r="G757" s="106" t="n">
        <v>24</v>
      </c>
      <c r="H757" s="107" t="inlineStr">
        <is>
          <t>SARL TOWN LIGHTS LED ELECTRICAL</t>
        </is>
      </c>
      <c r="I757" s="107" t="inlineStr">
        <is>
          <t>CAMIONS</t>
        </is>
      </c>
      <c r="J757" s="107" t="inlineStr">
        <is>
          <t>LOURD</t>
        </is>
      </c>
      <c r="K757" s="108">
        <f>D757+8</f>
        <v/>
      </c>
      <c r="L757" s="108">
        <f>K757+60</f>
        <v/>
      </c>
      <c r="M757" s="107" t="n"/>
      <c r="N757" s="112">
        <f>E757-1</f>
        <v/>
      </c>
      <c r="O757" s="113">
        <f>F757/E757*N757</f>
        <v/>
      </c>
      <c r="P757" s="112">
        <f>G757/E757*N757</f>
        <v/>
      </c>
      <c r="Q757" s="109" t="n"/>
      <c r="R757" s="107" t="n"/>
      <c r="S757" s="109" t="inlineStr">
        <is>
          <t>AS25353LDJD005A/008A</t>
        </is>
      </c>
      <c r="T757" s="114" t="n">
        <v>5</v>
      </c>
      <c r="U757" s="109" t="inlineStr">
        <is>
          <t>01 UNIT SINOTRUK SITRAK TRACTOR 4*2 AUTOMATIC GEARBOX LHD WITH SPARE PARTS ( VOIR BL)</t>
        </is>
      </c>
      <c r="V757" s="106" t="n"/>
      <c r="W757" s="106" t="n"/>
      <c r="X757" s="106" t="inlineStr">
        <is>
          <t>SOLDEE</t>
        </is>
      </c>
      <c r="Y757" s="116">
        <f>F757/E757</f>
        <v/>
      </c>
    </row>
    <row r="758" ht="15.75" customHeight="1" s="202">
      <c r="A758" s="106" t="n">
        <v>20260063</v>
      </c>
      <c r="B758" s="107" t="inlineStr">
        <is>
          <t>ATHOS</t>
        </is>
      </c>
      <c r="C758" s="108" t="n">
        <v>46074</v>
      </c>
      <c r="D758" s="108" t="n">
        <v>46075</v>
      </c>
      <c r="E758" s="106" t="n">
        <v>1</v>
      </c>
      <c r="F758" s="106" t="n">
        <v>0</v>
      </c>
      <c r="G758" s="106" t="n">
        <v>5</v>
      </c>
      <c r="H758" s="107" t="inlineStr">
        <is>
          <t>SARL TOWN LIGHTS LED ELECTRICAL</t>
        </is>
      </c>
      <c r="I758" s="107" t="inlineStr">
        <is>
          <t>COLIS</t>
        </is>
      </c>
      <c r="J758" s="107" t="inlineStr">
        <is>
          <t>COLIS</t>
        </is>
      </c>
      <c r="K758" s="108">
        <f>D758+8</f>
        <v/>
      </c>
      <c r="L758" s="108">
        <f>K758+60</f>
        <v/>
      </c>
      <c r="M758" s="107" t="n"/>
      <c r="N758" s="112">
        <f>E758-1</f>
        <v/>
      </c>
      <c r="O758" s="113">
        <f>F758/E758*N758</f>
        <v/>
      </c>
      <c r="P758" s="112">
        <f>G758/E758*N758</f>
        <v/>
      </c>
      <c r="Q758" s="109" t="n"/>
      <c r="R758" s="107" t="n"/>
      <c r="S758" s="109" t="inlineStr">
        <is>
          <t>AS25353LDJD005A/008A</t>
        </is>
      </c>
      <c r="T758" s="114" t="n">
        <v>5</v>
      </c>
      <c r="U758" s="109" t="n"/>
      <c r="V758" s="106" t="n"/>
      <c r="W758" s="106" t="n"/>
      <c r="X758" s="106" t="inlineStr">
        <is>
          <t>SOLDEE</t>
        </is>
      </c>
      <c r="Y758" s="116">
        <f>F758/E758</f>
        <v/>
      </c>
    </row>
    <row r="759" ht="15.75" customHeight="1" s="202">
      <c r="A759" s="106" t="n">
        <v>20260063</v>
      </c>
      <c r="B759" s="107" t="inlineStr">
        <is>
          <t>ATHOS</t>
        </is>
      </c>
      <c r="C759" s="108" t="n">
        <v>46074</v>
      </c>
      <c r="D759" s="108" t="n">
        <v>46075</v>
      </c>
      <c r="E759" s="106" t="n">
        <v>1</v>
      </c>
      <c r="F759" s="106" t="n">
        <v>8.052</v>
      </c>
      <c r="G759" s="106" t="n">
        <v>24</v>
      </c>
      <c r="H759" s="107" t="inlineStr">
        <is>
          <t>EURL ALPHA TP</t>
        </is>
      </c>
      <c r="I759" s="107" t="inlineStr">
        <is>
          <t>CAMIONS</t>
        </is>
      </c>
      <c r="J759" s="107" t="inlineStr">
        <is>
          <t>LOURD</t>
        </is>
      </c>
      <c r="K759" s="108">
        <f>D759+8</f>
        <v/>
      </c>
      <c r="L759" s="108">
        <f>K759+60</f>
        <v/>
      </c>
      <c r="M759" s="107" t="n"/>
      <c r="N759" s="112">
        <f>E759-1</f>
        <v/>
      </c>
      <c r="O759" s="113">
        <f>F759/E759*N759</f>
        <v/>
      </c>
      <c r="P759" s="112">
        <f>G759/E759*N759</f>
        <v/>
      </c>
      <c r="Q759" s="109" t="n"/>
      <c r="R759" s="107" t="n"/>
      <c r="S759" s="109" t="inlineStr">
        <is>
          <t>AS25353LDJD005B/008B</t>
        </is>
      </c>
      <c r="T759" s="114" t="n">
        <v>6</v>
      </c>
      <c r="U759" s="109" t="inlineStr">
        <is>
          <t>01 UNIT SINOTRUK SITRAK TRACTOR 4*2 AUTOMATIC GEARBOX LHD WITH SPARE PARTS ( VOIR BL)</t>
        </is>
      </c>
      <c r="V759" s="106" t="n"/>
      <c r="W759" s="106" t="n"/>
      <c r="X759" s="106" t="inlineStr">
        <is>
          <t>SOLDEE</t>
        </is>
      </c>
      <c r="Y759" s="116">
        <f>F759/E759</f>
        <v/>
      </c>
    </row>
    <row r="760" ht="15.75" customHeight="1" s="202">
      <c r="A760" s="106" t="n">
        <v>20260063</v>
      </c>
      <c r="B760" s="107" t="inlineStr">
        <is>
          <t>ATHOS</t>
        </is>
      </c>
      <c r="C760" s="108" t="n">
        <v>46074</v>
      </c>
      <c r="D760" s="108" t="n">
        <v>46075</v>
      </c>
      <c r="E760" s="106" t="n">
        <v>2</v>
      </c>
      <c r="F760" s="106" t="n">
        <v>0</v>
      </c>
      <c r="G760" s="106" t="n">
        <v>10</v>
      </c>
      <c r="H760" s="107" t="inlineStr">
        <is>
          <t>EURL ALPHA TP</t>
        </is>
      </c>
      <c r="I760" s="107" t="inlineStr">
        <is>
          <t>COLIS</t>
        </is>
      </c>
      <c r="J760" s="107" t="inlineStr">
        <is>
          <t>COLIS</t>
        </is>
      </c>
      <c r="K760" s="108">
        <f>D760+8</f>
        <v/>
      </c>
      <c r="L760" s="108">
        <f>K760+60</f>
        <v/>
      </c>
      <c r="M760" s="107" t="n"/>
      <c r="N760" s="112">
        <f>E760-2</f>
        <v/>
      </c>
      <c r="O760" s="113">
        <f>F760/E760*N760</f>
        <v/>
      </c>
      <c r="P760" s="112">
        <f>G760/E760*N760</f>
        <v/>
      </c>
      <c r="Q760" s="109" t="n"/>
      <c r="R760" s="107" t="n"/>
      <c r="S760" s="109" t="inlineStr">
        <is>
          <t>AS25353LDJD005B/008B</t>
        </is>
      </c>
      <c r="T760" s="114" t="n">
        <v>6</v>
      </c>
      <c r="U760" s="109" t="n"/>
      <c r="V760" s="106" t="n"/>
      <c r="W760" s="106" t="n"/>
      <c r="X760" s="106" t="inlineStr">
        <is>
          <t>SOLDEE</t>
        </is>
      </c>
      <c r="Y760" s="116">
        <f>F760/E760</f>
        <v/>
      </c>
    </row>
    <row r="761" ht="15.75" customHeight="1" s="202">
      <c r="A761" s="106" t="n">
        <v>20260063</v>
      </c>
      <c r="B761" s="107" t="inlineStr">
        <is>
          <t>ATHOS</t>
        </is>
      </c>
      <c r="C761" s="108" t="n">
        <v>46074</v>
      </c>
      <c r="D761" s="108" t="n">
        <v>46075</v>
      </c>
      <c r="E761" s="106" t="n">
        <v>1</v>
      </c>
      <c r="F761" s="106" t="n">
        <v>9</v>
      </c>
      <c r="G761" s="106" t="n">
        <v>24</v>
      </c>
      <c r="H761" s="107" t="inlineStr">
        <is>
          <t>SARL GWG TRADING</t>
        </is>
      </c>
      <c r="I761" s="107" t="inlineStr">
        <is>
          <t>CAMIONS</t>
        </is>
      </c>
      <c r="J761" s="107" t="inlineStr">
        <is>
          <t>LOURD</t>
        </is>
      </c>
      <c r="K761" s="108">
        <f>D761+8</f>
        <v/>
      </c>
      <c r="L761" s="108">
        <f>K761+60</f>
        <v/>
      </c>
      <c r="M761" s="107" t="n"/>
      <c r="N761" s="112">
        <f>E761-1</f>
        <v/>
      </c>
      <c r="O761" s="113">
        <f>F761/E761*N761</f>
        <v/>
      </c>
      <c r="P761" s="112">
        <f>G761/E761*N761</f>
        <v/>
      </c>
      <c r="Q761" s="109" t="n"/>
      <c r="R761" s="107" t="n"/>
      <c r="S761" s="109" t="inlineStr">
        <is>
          <t>AS25353LDJD006</t>
        </is>
      </c>
      <c r="T761" s="114" t="n">
        <v>7</v>
      </c>
      <c r="U761" s="109" t="inlineStr">
        <is>
          <t>01 UNIT SINOTRUK SITRAK 6*4 TRACTOR ( VOIR BL)</t>
        </is>
      </c>
      <c r="V761" s="106" t="n"/>
      <c r="W761" s="106" t="n"/>
      <c r="X761" s="106" t="inlineStr">
        <is>
          <t>SOLDEE</t>
        </is>
      </c>
      <c r="Y761" s="116">
        <f>F761/E761</f>
        <v/>
      </c>
    </row>
    <row r="762" ht="15.75" customHeight="1" s="202">
      <c r="A762" s="106" t="n">
        <v>20260062</v>
      </c>
      <c r="B762" s="107" t="inlineStr">
        <is>
          <t>MANASSA M</t>
        </is>
      </c>
      <c r="C762" s="108" t="n">
        <v>46075</v>
      </c>
      <c r="D762" s="108" t="n">
        <v>46078</v>
      </c>
      <c r="E762" s="106" t="n">
        <v>3976</v>
      </c>
      <c r="F762" s="106" t="n">
        <v>4458.96</v>
      </c>
      <c r="G762" s="106" t="n">
        <v>3750</v>
      </c>
      <c r="H762" s="107" t="inlineStr">
        <is>
          <t>ALGERIAN QATARI STEEL SPA</t>
        </is>
      </c>
      <c r="I762" s="107" t="inlineStr">
        <is>
          <t>CARBON EN BIG BAG</t>
        </is>
      </c>
      <c r="J762" s="107" t="inlineStr">
        <is>
          <t>BIG BAG</t>
        </is>
      </c>
      <c r="K762" s="108">
        <f>D762+8</f>
        <v/>
      </c>
      <c r="L762" s="108">
        <f>K762+60</f>
        <v/>
      </c>
      <c r="M762" s="107" t="n"/>
      <c r="N762" s="112">
        <f>E762-3139-162-145-80-144-184-122</f>
        <v/>
      </c>
      <c r="O762" s="113">
        <f>F762/E762*N762</f>
        <v/>
      </c>
      <c r="P762" s="112">
        <f>G762/E762*N762</f>
        <v/>
      </c>
      <c r="Q762" s="109" t="n"/>
      <c r="R762" s="107" t="n"/>
      <c r="S762" s="109" t="n">
        <v>2</v>
      </c>
      <c r="T762" s="114" t="n">
        <v>1</v>
      </c>
      <c r="U762" s="109" t="n"/>
      <c r="V762" s="106" t="n"/>
      <c r="W762" s="106" t="n"/>
      <c r="X762" s="106" t="inlineStr">
        <is>
          <t>SOLDEE</t>
        </is>
      </c>
      <c r="Y762" s="116">
        <f>F762/E762</f>
        <v/>
      </c>
    </row>
    <row r="763" ht="15.75" customHeight="1" s="202">
      <c r="A763" s="106" t="n">
        <v>20260062</v>
      </c>
      <c r="B763" s="107" t="inlineStr">
        <is>
          <t>MANASSA M</t>
        </is>
      </c>
      <c r="C763" s="108" t="n">
        <v>46075</v>
      </c>
      <c r="D763" s="108" t="n">
        <v>46078</v>
      </c>
      <c r="E763" s="106" t="n">
        <v>500</v>
      </c>
      <c r="F763" s="106" t="n">
        <v>501.5</v>
      </c>
      <c r="G763" s="106" t="n">
        <v>460</v>
      </c>
      <c r="H763" s="107" t="inlineStr">
        <is>
          <t>ALGERIAN QATARI STEEL SPA</t>
        </is>
      </c>
      <c r="I763" s="107" t="inlineStr">
        <is>
          <t>CARBON EN BIG BAG</t>
        </is>
      </c>
      <c r="J763" s="107" t="inlineStr">
        <is>
          <t>BIG BAG</t>
        </is>
      </c>
      <c r="K763" s="108">
        <f>D763+8</f>
        <v/>
      </c>
      <c r="L763" s="108">
        <f>K763+60</f>
        <v/>
      </c>
      <c r="M763" s="107" t="n"/>
      <c r="N763" s="112">
        <f>E763-41-284-112-63</f>
        <v/>
      </c>
      <c r="O763" s="113">
        <f>F763/E763*N763</f>
        <v/>
      </c>
      <c r="P763" s="112">
        <f>G763/E763*N763</f>
        <v/>
      </c>
      <c r="Q763" s="109" t="n"/>
      <c r="R763" s="107" t="n"/>
      <c r="S763" s="109" t="n">
        <v>4</v>
      </c>
      <c r="T763" s="114" t="n"/>
      <c r="U763" s="109" t="n"/>
      <c r="V763" s="106" t="n"/>
      <c r="W763" s="106" t="n"/>
      <c r="X763" s="106" t="inlineStr">
        <is>
          <t>SOLDEE</t>
        </is>
      </c>
      <c r="Y763" s="116">
        <f>F763/E763</f>
        <v/>
      </c>
    </row>
    <row r="764" ht="15.75" customHeight="1" s="202">
      <c r="A764" s="87" t="n">
        <v>20260070</v>
      </c>
      <c r="B764" s="88" t="inlineStr">
        <is>
          <t>HUA LI</t>
        </is>
      </c>
      <c r="C764" s="89" t="n">
        <v>46078</v>
      </c>
      <c r="D764" s="125" t="n">
        <v>46079</v>
      </c>
      <c r="E764" s="123" t="n">
        <v>140</v>
      </c>
      <c r="F764" s="127" t="n">
        <v>1569</v>
      </c>
      <c r="G764" s="128" t="n">
        <v>5600</v>
      </c>
      <c r="H764" s="124" t="inlineStr">
        <is>
          <t>EPE VIUR SPA</t>
        </is>
      </c>
      <c r="I764" s="124" t="inlineStr">
        <is>
          <t>BUS</t>
        </is>
      </c>
      <c r="J764" s="124" t="inlineStr">
        <is>
          <t>UTILITAIRE</t>
        </is>
      </c>
      <c r="K764" s="130">
        <f>D764+8</f>
        <v/>
      </c>
      <c r="L764" s="130">
        <f>K764+60</f>
        <v/>
      </c>
      <c r="M764" s="124" t="n"/>
      <c r="N764" s="132">
        <f>E764-49-41</f>
        <v/>
      </c>
      <c r="O764" s="133">
        <f>F764/E764*N764</f>
        <v/>
      </c>
      <c r="P764" s="134">
        <f>G764/E764*N764</f>
        <v/>
      </c>
      <c r="Q764" s="272" t="n"/>
      <c r="S764" s="200" t="inlineStr">
        <is>
          <t>HLCSDJ101/102/103</t>
        </is>
      </c>
      <c r="T764" s="201" t="n">
        <v>1</v>
      </c>
      <c r="U764" s="58" t="inlineStr">
        <is>
          <t>50 UNITS HIGER AUTOBUS MODEL C-100-KLQ6106G /30 UNITS HIGER AUTOCAR MODEL V-11-KLQ6116 /60 UNITS HIGER AUTOCAR MODEL NEW V8-KLQ6886</t>
        </is>
      </c>
      <c r="V764" s="67" t="n"/>
      <c r="W764" s="67" t="n"/>
      <c r="X764" s="99" t="inlineStr">
        <is>
          <t>OPER</t>
        </is>
      </c>
      <c r="Y764" s="116">
        <f>F764/E764</f>
        <v/>
      </c>
      <c r="Z764" s="64">
        <f>E764-N764</f>
        <v/>
      </c>
    </row>
    <row r="765" ht="15.75" customHeight="1" s="202">
      <c r="A765" s="116" t="n">
        <v>20260070</v>
      </c>
      <c r="B765" s="117" t="inlineStr">
        <is>
          <t>HUA LI</t>
        </is>
      </c>
      <c r="C765" s="118" t="n">
        <v>46078</v>
      </c>
      <c r="D765" s="118" t="n">
        <v>46079</v>
      </c>
      <c r="E765" s="116" t="n">
        <v>120</v>
      </c>
      <c r="F765" s="119" t="n">
        <v>0</v>
      </c>
      <c r="G765" s="120" t="n">
        <v>0</v>
      </c>
      <c r="H765" s="117" t="inlineStr">
        <is>
          <t>EPE VIUR SPA</t>
        </is>
      </c>
      <c r="I765" s="117" t="inlineStr">
        <is>
          <t>BUS</t>
        </is>
      </c>
      <c r="J765" s="117" t="inlineStr">
        <is>
          <t>UTILITAIRE</t>
        </is>
      </c>
      <c r="K765" s="48">
        <f>D765+8</f>
        <v/>
      </c>
      <c r="L765" s="48">
        <f>K765+60</f>
        <v/>
      </c>
      <c r="N765" s="72">
        <f>E765</f>
        <v/>
      </c>
      <c r="O765" s="50">
        <f>F765/E765*N765</f>
        <v/>
      </c>
      <c r="P765" s="273">
        <f>G765/E765*N765</f>
        <v/>
      </c>
      <c r="S765" s="200" t="inlineStr">
        <is>
          <t>HLCSDJ104</t>
        </is>
      </c>
      <c r="T765" s="201" t="n">
        <v>2</v>
      </c>
      <c r="U765" s="58" t="inlineStr">
        <is>
          <t>SPARE PARTS FOR BUS</t>
        </is>
      </c>
      <c r="V765" s="67" t="n"/>
      <c r="W765" s="67" t="n"/>
      <c r="X765" s="62" t="inlineStr">
        <is>
          <t>N-OP</t>
        </is>
      </c>
      <c r="Y765" s="116">
        <f>F765/E765</f>
        <v/>
      </c>
      <c r="Z765" s="64">
        <f>E765-N765</f>
        <v/>
      </c>
    </row>
    <row r="766" ht="15.75" customHeight="1" s="202">
      <c r="A766" s="87" t="n">
        <v>20260047</v>
      </c>
      <c r="B766" s="88" t="inlineStr">
        <is>
          <t>XIN LI</t>
        </is>
      </c>
      <c r="C766" s="89" t="n">
        <v>46063</v>
      </c>
      <c r="D766" s="118" t="n">
        <v>46079</v>
      </c>
      <c r="E766" s="116" t="n">
        <v>2</v>
      </c>
      <c r="F766" s="119" t="n">
        <v>43.92</v>
      </c>
      <c r="G766" s="120" t="n">
        <v>48</v>
      </c>
      <c r="H766" s="117" t="inlineStr">
        <is>
          <t>SARL NOUVEAU POLE</t>
        </is>
      </c>
      <c r="I766" s="117" t="inlineStr">
        <is>
          <t>CHARIOT ELEVATEUR</t>
        </is>
      </c>
      <c r="J766" s="117" t="inlineStr">
        <is>
          <t>ENGINS</t>
        </is>
      </c>
      <c r="K766" s="48">
        <f>D766+8</f>
        <v/>
      </c>
      <c r="L766" s="48">
        <f>K766+60</f>
        <v/>
      </c>
      <c r="N766" s="72">
        <f>E766</f>
        <v/>
      </c>
      <c r="O766" s="50">
        <f>F766/E766*N766</f>
        <v/>
      </c>
      <c r="P766" s="273">
        <f>G766/E766*N766</f>
        <v/>
      </c>
      <c r="S766" s="200" t="inlineStr">
        <is>
          <t>XLLYGDJ002</t>
        </is>
      </c>
      <c r="T766" s="201" t="n">
        <v>2</v>
      </c>
      <c r="U766" s="58" t="inlineStr">
        <is>
          <t>02 UNITS FORKLIFT FD160T-MXWS3-2(VOIR BL)</t>
        </is>
      </c>
      <c r="V766" s="67" t="n"/>
      <c r="W766" s="67" t="n"/>
      <c r="X766" s="62" t="inlineStr">
        <is>
          <t>N-OP</t>
        </is>
      </c>
      <c r="Y766" s="116">
        <f>F766/E766</f>
        <v/>
      </c>
      <c r="Z766" s="64">
        <f>E766-N766</f>
        <v/>
      </c>
    </row>
    <row r="767" ht="15.75" customHeight="1" s="202">
      <c r="A767" s="116" t="n">
        <v>20260047</v>
      </c>
      <c r="B767" s="117" t="inlineStr">
        <is>
          <t>XIN LI</t>
        </is>
      </c>
      <c r="C767" s="118" t="n">
        <v>46063</v>
      </c>
      <c r="D767" s="118" t="n">
        <v>46079</v>
      </c>
      <c r="E767" s="116" t="n">
        <v>2</v>
      </c>
      <c r="F767" s="119" t="n">
        <v>0</v>
      </c>
      <c r="G767" s="120" t="n">
        <v>8</v>
      </c>
      <c r="H767" s="117" t="inlineStr">
        <is>
          <t>SARL NOUVEAU POLE</t>
        </is>
      </c>
      <c r="I767" s="117" t="inlineStr">
        <is>
          <t>COLIS</t>
        </is>
      </c>
      <c r="J767" s="117" t="inlineStr">
        <is>
          <t>COLIS</t>
        </is>
      </c>
      <c r="K767" s="48">
        <f>D767+8</f>
        <v/>
      </c>
      <c r="L767" s="48">
        <f>K767+60</f>
        <v/>
      </c>
      <c r="N767" s="72">
        <f>E767</f>
        <v/>
      </c>
      <c r="O767" s="50">
        <f>F767/E767*N767</f>
        <v/>
      </c>
      <c r="P767" s="273">
        <f>G767/E767*N767</f>
        <v/>
      </c>
      <c r="S767" s="200" t="inlineStr">
        <is>
          <t>XLLYGDJ002</t>
        </is>
      </c>
      <c r="T767" s="201" t="n">
        <v>2</v>
      </c>
      <c r="U767" s="58" t="n"/>
      <c r="V767" s="67" t="n"/>
      <c r="W767" s="67" t="n"/>
      <c r="X767" s="62" t="inlineStr">
        <is>
          <t>N-OP</t>
        </is>
      </c>
      <c r="Y767" s="116">
        <f>F767/E767</f>
        <v/>
      </c>
      <c r="Z767" s="64">
        <f>E767-N767</f>
        <v/>
      </c>
    </row>
    <row r="768" ht="15.75" customHeight="1" s="202">
      <c r="A768" s="116" t="n">
        <v>20260047</v>
      </c>
      <c r="B768" s="117" t="inlineStr">
        <is>
          <t>XIN LI</t>
        </is>
      </c>
      <c r="C768" s="118" t="n">
        <v>46063</v>
      </c>
      <c r="D768" s="118" t="n">
        <v>46079</v>
      </c>
      <c r="E768" s="116" t="n">
        <v>3</v>
      </c>
      <c r="F768" s="119" t="n">
        <v>49.8</v>
      </c>
      <c r="G768" s="120" t="n">
        <v>72</v>
      </c>
      <c r="H768" s="117" t="inlineStr">
        <is>
          <t>GREEN SKY SARL</t>
        </is>
      </c>
      <c r="I768" s="117" t="inlineStr">
        <is>
          <t>REMORQUES</t>
        </is>
      </c>
      <c r="J768" s="117" t="inlineStr">
        <is>
          <t>LOURD</t>
        </is>
      </c>
      <c r="K768" s="48">
        <f>D768+8</f>
        <v/>
      </c>
      <c r="L768" s="48">
        <f>K768+60</f>
        <v/>
      </c>
      <c r="N768" s="72">
        <f>E768</f>
        <v/>
      </c>
      <c r="O768" s="50">
        <f>F768/E768*N768</f>
        <v/>
      </c>
      <c r="P768" s="273">
        <f>G768/E768*N768</f>
        <v/>
      </c>
      <c r="S768" s="200" t="inlineStr">
        <is>
          <t>XLLYGDJ003</t>
        </is>
      </c>
      <c r="T768" s="201" t="n">
        <v>3</v>
      </c>
      <c r="U768" s="58" t="inlineStr">
        <is>
          <t>06 UNITS SEMI - TRAILERS THT9402XXYC ( VOIR BL)</t>
        </is>
      </c>
      <c r="V768" s="67" t="n"/>
      <c r="W768" s="67" t="n"/>
      <c r="X768" s="62" t="inlineStr">
        <is>
          <t>N-OP</t>
        </is>
      </c>
      <c r="Y768" s="116">
        <f>F768/E768</f>
        <v/>
      </c>
      <c r="Z768" s="64">
        <f>E768-N768</f>
        <v/>
      </c>
    </row>
    <row r="769" ht="15.75" customHeight="1" s="202">
      <c r="A769" s="106" t="n">
        <v>20260047</v>
      </c>
      <c r="B769" s="107" t="inlineStr">
        <is>
          <t>XIN LI</t>
        </is>
      </c>
      <c r="C769" s="108" t="n">
        <v>46063</v>
      </c>
      <c r="D769" s="108" t="n">
        <v>46079</v>
      </c>
      <c r="E769" s="106" t="n">
        <v>1</v>
      </c>
      <c r="F769" s="106" t="n">
        <v>15.72</v>
      </c>
      <c r="G769" s="106" t="n">
        <v>24</v>
      </c>
      <c r="H769" s="107" t="inlineStr">
        <is>
          <t>KISSOUM MOULOUD</t>
        </is>
      </c>
      <c r="I769" s="107" t="inlineStr">
        <is>
          <t>CAMIONS</t>
        </is>
      </c>
      <c r="J769" s="107" t="inlineStr">
        <is>
          <t>LOURD</t>
        </is>
      </c>
      <c r="K769" s="108">
        <f>D769+8</f>
        <v/>
      </c>
      <c r="L769" s="108">
        <f>K769+60</f>
        <v/>
      </c>
      <c r="M769" s="107" t="n"/>
      <c r="N769" s="112">
        <f>E769-1</f>
        <v/>
      </c>
      <c r="O769" s="113">
        <f>F769/E769*N769</f>
        <v/>
      </c>
      <c r="P769" s="112">
        <f>G769/E769*N769</f>
        <v/>
      </c>
      <c r="Q769" s="109" t="n"/>
      <c r="R769" s="107" t="n"/>
      <c r="S769" s="109" t="inlineStr">
        <is>
          <t>XLLYGDJ004</t>
        </is>
      </c>
      <c r="T769" s="114" t="n">
        <v>4</v>
      </c>
      <c r="U769" s="109" t="inlineStr">
        <is>
          <t>01 UNIT SHACMAN F2000 64 DUMP TRUCK SX3254JM384 COMPLETE TRUCK ( VOIR BL)</t>
        </is>
      </c>
      <c r="V769" s="106" t="n"/>
      <c r="W769" s="106" t="n"/>
      <c r="X769" s="106" t="inlineStr">
        <is>
          <t>SOLDEE</t>
        </is>
      </c>
      <c r="Y769" s="116">
        <f>F769/E769</f>
        <v/>
      </c>
      <c r="Z769" s="64">
        <f>E769-N769</f>
        <v/>
      </c>
    </row>
    <row r="770" ht="15.75" customHeight="1" s="202">
      <c r="A770" s="106" t="n">
        <v>20260047</v>
      </c>
      <c r="B770" s="107" t="inlineStr">
        <is>
          <t>XIN LI</t>
        </is>
      </c>
      <c r="C770" s="108" t="n">
        <v>46063</v>
      </c>
      <c r="D770" s="108" t="n">
        <v>46079</v>
      </c>
      <c r="E770" s="106" t="n">
        <v>1</v>
      </c>
      <c r="F770" s="106" t="n">
        <v>34</v>
      </c>
      <c r="G770" s="106" t="n">
        <v>24</v>
      </c>
      <c r="H770" s="107" t="inlineStr">
        <is>
          <t>LAGSIR HOUDI</t>
        </is>
      </c>
      <c r="I770" s="107" t="inlineStr">
        <is>
          <t>EXCAVATEURS</t>
        </is>
      </c>
      <c r="J770" s="107" t="inlineStr">
        <is>
          <t>ENGINS</t>
        </is>
      </c>
      <c r="K770" s="108">
        <f>D770+8</f>
        <v/>
      </c>
      <c r="L770" s="108">
        <f>K770+60</f>
        <v/>
      </c>
      <c r="M770" s="107" t="n"/>
      <c r="N770" s="112">
        <f>E770-1</f>
        <v/>
      </c>
      <c r="O770" s="113">
        <f>F770/E770*N770</f>
        <v/>
      </c>
      <c r="P770" s="112">
        <f>G770/E770*N770</f>
        <v/>
      </c>
      <c r="Q770" s="109" t="n"/>
      <c r="R770" s="107" t="n"/>
      <c r="S770" s="109" t="inlineStr">
        <is>
          <t>XLLYGDJ007</t>
        </is>
      </c>
      <c r="T770" s="114" t="n">
        <v>7</v>
      </c>
      <c r="U770" s="109" t="inlineStr">
        <is>
          <t>01 UNIT HYUNDAI EXCAVATOR HX340HD ( VOIR BL)</t>
        </is>
      </c>
      <c r="V770" s="106" t="n"/>
      <c r="W770" s="106" t="n"/>
      <c r="X770" s="106" t="inlineStr">
        <is>
          <t>SOLDEE</t>
        </is>
      </c>
      <c r="Y770" s="116">
        <f>F770/E770</f>
        <v/>
      </c>
    </row>
    <row r="771" ht="15.75" customHeight="1" s="202">
      <c r="A771" s="116" t="n">
        <v>20260047</v>
      </c>
      <c r="B771" s="117" t="inlineStr">
        <is>
          <t>XIN LI</t>
        </is>
      </c>
      <c r="C771" s="118" t="n">
        <v>46063</v>
      </c>
      <c r="D771" s="118" t="n">
        <v>46079</v>
      </c>
      <c r="E771" s="116" t="n">
        <v>1</v>
      </c>
      <c r="F771" s="119" t="n">
        <v>0</v>
      </c>
      <c r="G771" s="120" t="n">
        <v>4</v>
      </c>
      <c r="H771" s="117" t="inlineStr">
        <is>
          <t>LAGSIR HOUDI</t>
        </is>
      </c>
      <c r="I771" s="117" t="inlineStr">
        <is>
          <t>COLIS</t>
        </is>
      </c>
      <c r="J771" s="117" t="inlineStr">
        <is>
          <t>COLIS</t>
        </is>
      </c>
      <c r="K771" s="48">
        <f>D771+8</f>
        <v/>
      </c>
      <c r="L771" s="48">
        <f>K771+60</f>
        <v/>
      </c>
      <c r="N771" s="72">
        <f>E771</f>
        <v/>
      </c>
      <c r="O771" s="50">
        <f>F771/E771*N771</f>
        <v/>
      </c>
      <c r="P771" s="273">
        <f>G771/E771*N771</f>
        <v/>
      </c>
      <c r="S771" s="200" t="inlineStr">
        <is>
          <t>XLLYGDJ007</t>
        </is>
      </c>
      <c r="T771" s="201" t="n">
        <v>7</v>
      </c>
      <c r="U771" s="58" t="n"/>
      <c r="V771" s="67" t="n"/>
      <c r="W771" s="67" t="n"/>
      <c r="X771" s="62" t="inlineStr">
        <is>
          <t>N-OP</t>
        </is>
      </c>
      <c r="Y771" s="116">
        <f>F771/E771</f>
        <v/>
      </c>
      <c r="Z771" s="64">
        <f>E771-N771</f>
        <v/>
      </c>
    </row>
    <row r="772" ht="15.75" customHeight="1" s="202">
      <c r="A772" s="116" t="n">
        <v>20260047</v>
      </c>
      <c r="B772" s="117" t="inlineStr">
        <is>
          <t>XIN LI</t>
        </is>
      </c>
      <c r="C772" s="118" t="n">
        <v>46063</v>
      </c>
      <c r="D772" s="118" t="n">
        <v>46079</v>
      </c>
      <c r="E772" s="116" t="n">
        <v>1</v>
      </c>
      <c r="F772" s="119" t="n">
        <v>12</v>
      </c>
      <c r="G772" s="120" t="n">
        <v>24</v>
      </c>
      <c r="H772" s="117" t="inlineStr">
        <is>
          <t>EURL EL WATED LIL MOUKAOUALATE WAWA EL INDIAZATE</t>
        </is>
      </c>
      <c r="I772" s="117" t="inlineStr">
        <is>
          <t>CAMIONS</t>
        </is>
      </c>
      <c r="J772" s="117" t="inlineStr">
        <is>
          <t>LOURD</t>
        </is>
      </c>
      <c r="K772" s="48">
        <f>D772+8</f>
        <v/>
      </c>
      <c r="L772" s="48">
        <f>K772+60</f>
        <v/>
      </c>
      <c r="N772" s="72">
        <f>E772</f>
        <v/>
      </c>
      <c r="O772" s="50">
        <f>F772/E772*N772</f>
        <v/>
      </c>
      <c r="P772" s="273">
        <f>G772/E772*N772</f>
        <v/>
      </c>
      <c r="S772" s="200" t="inlineStr">
        <is>
          <t>XLLYGDJ009</t>
        </is>
      </c>
      <c r="T772" s="201" t="n">
        <v>9</v>
      </c>
      <c r="U772" s="58" t="inlineStr">
        <is>
          <t>01 UNIT SHACMAN 6X4 F2000 ( VOIR BL)</t>
        </is>
      </c>
      <c r="V772" s="67" t="n"/>
      <c r="W772" s="67" t="n"/>
      <c r="X772" s="62" t="inlineStr">
        <is>
          <t>N-OP</t>
        </is>
      </c>
      <c r="Y772" s="116">
        <f>F772/E772</f>
        <v/>
      </c>
      <c r="Z772" s="64">
        <f>E772-N772</f>
        <v/>
      </c>
    </row>
    <row r="773" ht="15.75" customHeight="1" s="202">
      <c r="A773" s="106" t="n">
        <v>20260047</v>
      </c>
      <c r="B773" s="107" t="inlineStr">
        <is>
          <t>XIN LI</t>
        </is>
      </c>
      <c r="C773" s="108" t="n">
        <v>46063</v>
      </c>
      <c r="D773" s="108" t="n">
        <v>46079</v>
      </c>
      <c r="E773" s="106" t="n">
        <v>1</v>
      </c>
      <c r="F773" s="106" t="n">
        <v>28.63</v>
      </c>
      <c r="G773" s="106" t="n">
        <v>24</v>
      </c>
      <c r="H773" s="107" t="inlineStr">
        <is>
          <t>LATTAR HICHEM</t>
        </is>
      </c>
      <c r="I773" s="107" t="inlineStr">
        <is>
          <t>COMPACTEURS</t>
        </is>
      </c>
      <c r="J773" s="107" t="inlineStr">
        <is>
          <t>ENGINS</t>
        </is>
      </c>
      <c r="K773" s="108">
        <f>D773+8</f>
        <v/>
      </c>
      <c r="L773" s="108">
        <f>K773+60</f>
        <v/>
      </c>
      <c r="M773" s="107" t="n"/>
      <c r="N773" s="112">
        <f>E773-1</f>
        <v/>
      </c>
      <c r="O773" s="113">
        <f>F773/E773*N773</f>
        <v/>
      </c>
      <c r="P773" s="112">
        <f>G773/E773*N773</f>
        <v/>
      </c>
      <c r="Q773" s="109" t="n"/>
      <c r="R773" s="107" t="n"/>
      <c r="S773" s="109" t="inlineStr">
        <is>
          <t>XLLYGDJ011/042</t>
        </is>
      </c>
      <c r="T773" s="114" t="n">
        <v>11</v>
      </c>
      <c r="U773" s="109" t="inlineStr">
        <is>
          <t>01 UNIT XCMG ROAD ROLLER XP263 01 UNIT SHACMAN F2000 DUMP TRUCK ( VOIR BL)</t>
        </is>
      </c>
      <c r="V773" s="106" t="n"/>
      <c r="W773" s="106" t="n"/>
      <c r="X773" s="106" t="inlineStr">
        <is>
          <t>SOLDEE</t>
        </is>
      </c>
      <c r="Y773" s="116">
        <f>F773/E773</f>
        <v/>
      </c>
    </row>
    <row r="774" ht="15.75" customHeight="1" s="202">
      <c r="A774" s="106" t="n">
        <v>20260047</v>
      </c>
      <c r="B774" s="107" t="inlineStr">
        <is>
          <t>XIN LI</t>
        </is>
      </c>
      <c r="C774" s="108" t="n">
        <v>46063</v>
      </c>
      <c r="D774" s="108" t="n">
        <v>46079</v>
      </c>
      <c r="E774" s="106" t="n">
        <v>1</v>
      </c>
      <c r="F774" s="106" t="n">
        <v>10</v>
      </c>
      <c r="G774" s="106" t="n">
        <v>24</v>
      </c>
      <c r="H774" s="107" t="inlineStr">
        <is>
          <t>LATTAR HICHEM</t>
        </is>
      </c>
      <c r="I774" s="107" t="inlineStr">
        <is>
          <t>CAMIONS</t>
        </is>
      </c>
      <c r="J774" s="107" t="inlineStr">
        <is>
          <t>LOURD</t>
        </is>
      </c>
      <c r="K774" s="108">
        <f>D774+8</f>
        <v/>
      </c>
      <c r="L774" s="108">
        <f>K774+60</f>
        <v/>
      </c>
      <c r="M774" s="107" t="n"/>
      <c r="N774" s="112">
        <f>E774-1</f>
        <v/>
      </c>
      <c r="O774" s="113">
        <f>F774/E774*N774</f>
        <v/>
      </c>
      <c r="P774" s="112">
        <f>G774/E774*N774</f>
        <v/>
      </c>
      <c r="Q774" s="109" t="n"/>
      <c r="R774" s="107" t="n"/>
      <c r="S774" s="109" t="inlineStr">
        <is>
          <t>XLLYGDJ011/042</t>
        </is>
      </c>
      <c r="T774" s="114" t="n">
        <v>11</v>
      </c>
      <c r="U774" s="109" t="n"/>
      <c r="V774" s="106" t="n"/>
      <c r="W774" s="106" t="n"/>
      <c r="X774" s="106" t="inlineStr">
        <is>
          <t>SOLDEE</t>
        </is>
      </c>
      <c r="Y774" s="116">
        <f>F774/E774</f>
        <v/>
      </c>
    </row>
    <row r="775" ht="15.75" customHeight="1" s="202">
      <c r="A775" s="106" t="n">
        <v>20260047</v>
      </c>
      <c r="B775" s="107" t="inlineStr">
        <is>
          <t>XIN LI</t>
        </is>
      </c>
      <c r="C775" s="108" t="n">
        <v>46063</v>
      </c>
      <c r="D775" s="108" t="n">
        <v>46079</v>
      </c>
      <c r="E775" s="106" t="n">
        <v>1</v>
      </c>
      <c r="F775" s="106" t="n">
        <v>4</v>
      </c>
      <c r="G775" s="106" t="n">
        <v>24</v>
      </c>
      <c r="H775" s="107" t="inlineStr">
        <is>
          <t>EURL PROM BATI LAN</t>
        </is>
      </c>
      <c r="I775" s="107" t="inlineStr">
        <is>
          <t>CAMIONS</t>
        </is>
      </c>
      <c r="J775" s="107" t="inlineStr">
        <is>
          <t>LOURD</t>
        </is>
      </c>
      <c r="K775" s="108">
        <f>D775+8</f>
        <v/>
      </c>
      <c r="L775" s="108">
        <f>K775+60</f>
        <v/>
      </c>
      <c r="M775" s="107" t="n"/>
      <c r="N775" s="112">
        <f>E775-1</f>
        <v/>
      </c>
      <c r="O775" s="113">
        <f>F775/E775*N775</f>
        <v/>
      </c>
      <c r="P775" s="112">
        <f>G775/E775*N775</f>
        <v/>
      </c>
      <c r="Q775" s="109" t="n"/>
      <c r="R775" s="107" t="n"/>
      <c r="S775" s="109" t="inlineStr">
        <is>
          <t>XLLYGDJ012A</t>
        </is>
      </c>
      <c r="T775" s="114" t="n">
        <v>12</v>
      </c>
      <c r="U775" s="109" t="inlineStr">
        <is>
          <t>01 UNIT ROULEAU COMPACTEUR XD140IV XCMG DOUBLE DRUM ROLLER ( VOIR BL)</t>
        </is>
      </c>
      <c r="V775" s="106" t="n"/>
      <c r="W775" s="106" t="n"/>
      <c r="X775" s="106" t="inlineStr">
        <is>
          <t>SOLDEE</t>
        </is>
      </c>
      <c r="Y775" s="116">
        <f>F775/E775</f>
        <v/>
      </c>
    </row>
    <row r="776" ht="15.75" customHeight="1" s="202">
      <c r="A776" s="106" t="n">
        <v>20260047</v>
      </c>
      <c r="B776" s="107" t="inlineStr">
        <is>
          <t>XIN LI</t>
        </is>
      </c>
      <c r="C776" s="108" t="n">
        <v>46063</v>
      </c>
      <c r="D776" s="108" t="n">
        <v>46079</v>
      </c>
      <c r="E776" s="106" t="n">
        <v>1</v>
      </c>
      <c r="F776" s="106" t="n">
        <v>16</v>
      </c>
      <c r="G776" s="106" t="n">
        <v>24</v>
      </c>
      <c r="H776" s="107" t="inlineStr">
        <is>
          <t>MERAZKA FARID</t>
        </is>
      </c>
      <c r="I776" s="107" t="inlineStr">
        <is>
          <t>COMPACTEURS</t>
        </is>
      </c>
      <c r="J776" s="107" t="inlineStr">
        <is>
          <t>ENGINS</t>
        </is>
      </c>
      <c r="K776" s="108">
        <f>D776+8</f>
        <v/>
      </c>
      <c r="L776" s="108">
        <f>K776+60</f>
        <v/>
      </c>
      <c r="M776" s="107" t="n"/>
      <c r="N776" s="112">
        <f>E776-1</f>
        <v/>
      </c>
      <c r="O776" s="113">
        <f>F776/E776*N776</f>
        <v/>
      </c>
      <c r="P776" s="112">
        <f>G776/E776*N776</f>
        <v/>
      </c>
      <c r="Q776" s="109" t="n"/>
      <c r="R776" s="107" t="n"/>
      <c r="S776" s="109" t="inlineStr">
        <is>
          <t>XLLYGDJ012B</t>
        </is>
      </c>
      <c r="T776" s="114" t="n">
        <v>13</v>
      </c>
      <c r="U776" s="109" t="inlineStr">
        <is>
          <t>01 UNIT COMPACTEUR PNEUMATIQUE XP163 XCMG TYRE ROLLER (VOIR BL)</t>
        </is>
      </c>
      <c r="V776" s="106" t="n"/>
      <c r="W776" s="106" t="n"/>
      <c r="X776" s="106" t="inlineStr">
        <is>
          <t>SOLDEE</t>
        </is>
      </c>
      <c r="Y776" s="116">
        <f>F776/E776</f>
        <v/>
      </c>
    </row>
    <row r="777" ht="15.75" customHeight="1" s="202">
      <c r="A777" s="106" t="n">
        <v>20260047</v>
      </c>
      <c r="B777" s="107" t="inlineStr">
        <is>
          <t>XIN LI</t>
        </is>
      </c>
      <c r="C777" s="108" t="n">
        <v>46063</v>
      </c>
      <c r="D777" s="108" t="n">
        <v>46079</v>
      </c>
      <c r="E777" s="106" t="n">
        <v>6</v>
      </c>
      <c r="F777" s="106" t="n">
        <v>166.0573125</v>
      </c>
      <c r="G777" s="106" t="n">
        <v>144</v>
      </c>
      <c r="H777" s="107" t="inlineStr">
        <is>
          <t>CSCEC ALGERIE</t>
        </is>
      </c>
      <c r="I777" s="107" t="inlineStr">
        <is>
          <t>CHARGEURS</t>
        </is>
      </c>
      <c r="J777" s="107" t="inlineStr">
        <is>
          <t>ENGINS</t>
        </is>
      </c>
      <c r="K777" s="108">
        <f>D777+8</f>
        <v/>
      </c>
      <c r="L777" s="108">
        <f>K777+60</f>
        <v/>
      </c>
      <c r="M777" s="107" t="n"/>
      <c r="N777" s="112">
        <f>E777-6</f>
        <v/>
      </c>
      <c r="O777" s="113">
        <f>F777/E777*N777</f>
        <v/>
      </c>
      <c r="P777" s="112">
        <f>G777/E777*N777</f>
        <v/>
      </c>
      <c r="Q777" s="109" t="n"/>
      <c r="R777" s="107" t="n"/>
      <c r="S777" s="109" t="inlineStr">
        <is>
          <t>XLLYGDJ013</t>
        </is>
      </c>
      <c r="T777" s="114" t="n">
        <v>14</v>
      </c>
      <c r="U777" s="109" t="inlineStr">
        <is>
          <t>06 UNITS CHARGEUSE /02 UNITS GRUE AUTOMOBILE 50T / 03 UNITS CAMION POMPE A BETON /05 UNITS ROULEAU COMPRESSEUR /02 UNITS NIVELEUSE /01 UNIT BULLDOZER /13 UNITS EXCAVATRICE A CHENILLES ( VOIR BL)</t>
        </is>
      </c>
      <c r="V777" s="106" t="n"/>
      <c r="W777" s="106" t="n"/>
      <c r="X777" s="106" t="inlineStr">
        <is>
          <t>SOLDEE</t>
        </is>
      </c>
      <c r="Y777" s="116">
        <f>F777/E777</f>
        <v/>
      </c>
      <c r="Z777" s="64">
        <f>E777-N777</f>
        <v/>
      </c>
    </row>
    <row r="778" ht="15.75" customHeight="1" s="202">
      <c r="A778" s="106" t="n">
        <v>20260047</v>
      </c>
      <c r="B778" s="107" t="inlineStr">
        <is>
          <t>XIN LI</t>
        </is>
      </c>
      <c r="C778" s="108" t="n">
        <v>46063</v>
      </c>
      <c r="D778" s="108" t="n">
        <v>46079</v>
      </c>
      <c r="E778" s="106" t="n">
        <v>2</v>
      </c>
      <c r="F778" s="106" t="n">
        <v>55.3524375</v>
      </c>
      <c r="G778" s="106" t="n">
        <v>120</v>
      </c>
      <c r="H778" s="107" t="inlineStr">
        <is>
          <t>CSCEC ALGERIE</t>
        </is>
      </c>
      <c r="I778" s="107" t="inlineStr">
        <is>
          <t>CAMION GRUE</t>
        </is>
      </c>
      <c r="J778" s="107" t="inlineStr">
        <is>
          <t>ENGINS</t>
        </is>
      </c>
      <c r="K778" s="108">
        <f>D778+8</f>
        <v/>
      </c>
      <c r="L778" s="108">
        <f>K778+60</f>
        <v/>
      </c>
      <c r="M778" s="107" t="n"/>
      <c r="N778" s="112">
        <f>E778-2</f>
        <v/>
      </c>
      <c r="O778" s="113">
        <f>F778/E778*N778</f>
        <v/>
      </c>
      <c r="P778" s="112">
        <f>G778/E778*N778</f>
        <v/>
      </c>
      <c r="Q778" s="109" t="n"/>
      <c r="R778" s="107" t="n"/>
      <c r="S778" s="109" t="inlineStr">
        <is>
          <t>XLLYGDJ013</t>
        </is>
      </c>
      <c r="T778" s="114" t="n">
        <v>14</v>
      </c>
      <c r="U778" s="109" t="n"/>
      <c r="V778" s="106" t="n"/>
      <c r="W778" s="106" t="n"/>
      <c r="X778" s="106" t="inlineStr">
        <is>
          <t>SOLDEE</t>
        </is>
      </c>
      <c r="Y778" s="116">
        <f>F778/E778</f>
        <v/>
      </c>
      <c r="Z778" s="64">
        <f>E778-N778</f>
        <v/>
      </c>
    </row>
    <row r="779" ht="15.75" customHeight="1" s="202">
      <c r="A779" s="116" t="n">
        <v>20260047</v>
      </c>
      <c r="B779" s="117" t="inlineStr">
        <is>
          <t>XIN LI</t>
        </is>
      </c>
      <c r="C779" s="118" t="n">
        <v>46063</v>
      </c>
      <c r="D779" s="118" t="n">
        <v>46079</v>
      </c>
      <c r="E779" s="116" t="n">
        <v>3</v>
      </c>
      <c r="F779" s="119" t="n">
        <v>83.02865625</v>
      </c>
      <c r="G779" s="120" t="n">
        <v>72</v>
      </c>
      <c r="H779" s="117" t="inlineStr">
        <is>
          <t>CSCEC ALGERIE</t>
        </is>
      </c>
      <c r="I779" s="117" t="inlineStr">
        <is>
          <t>CAMION POMPE A BETON</t>
        </is>
      </c>
      <c r="J779" s="117" t="inlineStr">
        <is>
          <t>LOURD</t>
        </is>
      </c>
      <c r="K779" s="48">
        <f>D779+8</f>
        <v/>
      </c>
      <c r="L779" s="48">
        <f>K779+60</f>
        <v/>
      </c>
      <c r="N779" s="72">
        <f>E779</f>
        <v/>
      </c>
      <c r="O779" s="50">
        <f>F779/E779*N779</f>
        <v/>
      </c>
      <c r="P779" s="273">
        <f>G779/E779*N779</f>
        <v/>
      </c>
      <c r="S779" s="200" t="inlineStr">
        <is>
          <t>XLLYGDJ013</t>
        </is>
      </c>
      <c r="T779" s="201" t="n">
        <v>14</v>
      </c>
      <c r="U779" s="58" t="n"/>
      <c r="V779" s="67" t="n"/>
      <c r="W779" s="67" t="n"/>
      <c r="X779" s="62" t="inlineStr">
        <is>
          <t>N-OP</t>
        </is>
      </c>
      <c r="Y779" s="116">
        <f>F779/E779</f>
        <v/>
      </c>
      <c r="Z779" s="64">
        <f>E779-N779</f>
        <v/>
      </c>
    </row>
    <row r="780" ht="15.75" customHeight="1" s="202">
      <c r="A780" s="106" t="n">
        <v>20260047</v>
      </c>
      <c r="B780" s="107" t="inlineStr">
        <is>
          <t>XIN LI</t>
        </is>
      </c>
      <c r="C780" s="108" t="n">
        <v>46063</v>
      </c>
      <c r="D780" s="108" t="n">
        <v>46079</v>
      </c>
      <c r="E780" s="106" t="n">
        <v>5</v>
      </c>
      <c r="F780" s="106" t="n">
        <v>138.38109375</v>
      </c>
      <c r="G780" s="106" t="n">
        <v>120</v>
      </c>
      <c r="H780" s="107" t="inlineStr">
        <is>
          <t>CSCEC ALGERIE</t>
        </is>
      </c>
      <c r="I780" s="107" t="inlineStr">
        <is>
          <t>COMPACTEURS</t>
        </is>
      </c>
      <c r="J780" s="107" t="inlineStr">
        <is>
          <t>ENGINS</t>
        </is>
      </c>
      <c r="K780" s="108">
        <f>D780+8</f>
        <v/>
      </c>
      <c r="L780" s="108">
        <f>K780+60</f>
        <v/>
      </c>
      <c r="M780" s="107" t="n"/>
      <c r="N780" s="112">
        <f>E780-5</f>
        <v/>
      </c>
      <c r="O780" s="113">
        <f>F780/E780*N780</f>
        <v/>
      </c>
      <c r="P780" s="112">
        <f>G780/E780*N780</f>
        <v/>
      </c>
      <c r="Q780" s="109" t="n"/>
      <c r="R780" s="107" t="n"/>
      <c r="S780" s="109" t="inlineStr">
        <is>
          <t>XLLYGDJ013</t>
        </is>
      </c>
      <c r="T780" s="114" t="n">
        <v>14</v>
      </c>
      <c r="U780" s="109" t="n"/>
      <c r="V780" s="106" t="n"/>
      <c r="W780" s="106" t="n"/>
      <c r="X780" s="106" t="inlineStr">
        <is>
          <t>SOLDEE</t>
        </is>
      </c>
      <c r="Y780" s="116">
        <f>F780/E780</f>
        <v/>
      </c>
      <c r="Z780" s="64">
        <f>E780-N780</f>
        <v/>
      </c>
    </row>
    <row r="781" ht="15.75" customHeight="1" s="202">
      <c r="A781" s="116" t="n">
        <v>20260047</v>
      </c>
      <c r="B781" s="117" t="inlineStr">
        <is>
          <t>XIN LI</t>
        </is>
      </c>
      <c r="C781" s="118" t="n">
        <v>46063</v>
      </c>
      <c r="D781" s="118" t="n">
        <v>46079</v>
      </c>
      <c r="E781" s="116" t="n">
        <v>2</v>
      </c>
      <c r="F781" s="119" t="n">
        <v>55.3524375</v>
      </c>
      <c r="G781" s="120" t="n">
        <v>80</v>
      </c>
      <c r="H781" s="117" t="inlineStr">
        <is>
          <t>CSCEC ALGERIE</t>
        </is>
      </c>
      <c r="I781" s="117" t="inlineStr">
        <is>
          <t>NIVELEUSES</t>
        </is>
      </c>
      <c r="J781" s="117" t="inlineStr">
        <is>
          <t>ENGINS</t>
        </is>
      </c>
      <c r="K781" s="48">
        <f>D781+8</f>
        <v/>
      </c>
      <c r="L781" s="48">
        <f>K781+60</f>
        <v/>
      </c>
      <c r="N781" s="72">
        <f>E781</f>
        <v/>
      </c>
      <c r="O781" s="50">
        <f>F781/E781*N781</f>
        <v/>
      </c>
      <c r="P781" s="273">
        <f>G781/E781*N781</f>
        <v/>
      </c>
      <c r="S781" s="200" t="inlineStr">
        <is>
          <t>XLLYGDJ013</t>
        </is>
      </c>
      <c r="T781" s="201" t="n">
        <v>14</v>
      </c>
      <c r="U781" s="58" t="n"/>
      <c r="V781" s="67" t="n"/>
      <c r="W781" s="67" t="n"/>
      <c r="X781" s="62" t="inlineStr">
        <is>
          <t>N-OP</t>
        </is>
      </c>
      <c r="Y781" s="116">
        <f>F781/E781</f>
        <v/>
      </c>
      <c r="Z781" s="64">
        <f>E781-N781</f>
        <v/>
      </c>
    </row>
    <row r="782" ht="15.75" customHeight="1" s="202">
      <c r="A782" s="116" t="n">
        <v>20260047</v>
      </c>
      <c r="B782" s="117" t="inlineStr">
        <is>
          <t>XIN LI</t>
        </is>
      </c>
      <c r="C782" s="118" t="n">
        <v>46063</v>
      </c>
      <c r="D782" s="118" t="n">
        <v>46079</v>
      </c>
      <c r="E782" s="116" t="n">
        <v>1</v>
      </c>
      <c r="F782" s="119" t="n">
        <v>27.67621875</v>
      </c>
      <c r="G782" s="120" t="n">
        <v>40</v>
      </c>
      <c r="H782" s="117" t="inlineStr">
        <is>
          <t>CSCEC ALGERIE</t>
        </is>
      </c>
      <c r="I782" s="117" t="inlineStr">
        <is>
          <t>BULLDOZERS</t>
        </is>
      </c>
      <c r="J782" s="117" t="inlineStr">
        <is>
          <t>ENGINS</t>
        </is>
      </c>
      <c r="K782" s="48">
        <f>D782+8</f>
        <v/>
      </c>
      <c r="L782" s="48">
        <f>K782+60</f>
        <v/>
      </c>
      <c r="N782" s="72">
        <f>E782</f>
        <v/>
      </c>
      <c r="O782" s="50">
        <f>F782/E782*N782</f>
        <v/>
      </c>
      <c r="P782" s="273">
        <f>G782/E782*N782</f>
        <v/>
      </c>
      <c r="S782" s="200" t="inlineStr">
        <is>
          <t>XLLYGDJ013</t>
        </is>
      </c>
      <c r="T782" s="201" t="n">
        <v>14</v>
      </c>
      <c r="U782" s="58" t="n"/>
      <c r="V782" s="67" t="n"/>
      <c r="W782" s="67" t="n"/>
      <c r="X782" s="62" t="inlineStr">
        <is>
          <t>N-OP</t>
        </is>
      </c>
      <c r="Y782" s="116">
        <f>F782/E782</f>
        <v/>
      </c>
      <c r="Z782" s="64">
        <f>E782-N782</f>
        <v/>
      </c>
    </row>
    <row r="783" ht="15.75" customHeight="1" s="202">
      <c r="A783" s="116" t="n">
        <v>20260047</v>
      </c>
      <c r="B783" s="117" t="inlineStr">
        <is>
          <t>XIN LI</t>
        </is>
      </c>
      <c r="C783" s="118" t="n">
        <v>46063</v>
      </c>
      <c r="D783" s="118" t="n">
        <v>46079</v>
      </c>
      <c r="E783" s="116" t="n">
        <v>13</v>
      </c>
      <c r="F783" s="119" t="n">
        <v>359.79084375</v>
      </c>
      <c r="G783" s="120" t="n">
        <v>312</v>
      </c>
      <c r="H783" s="117" t="inlineStr">
        <is>
          <t>CSCEC ALGERIE</t>
        </is>
      </c>
      <c r="I783" s="117" t="inlineStr">
        <is>
          <t>EXCAVATEURS</t>
        </is>
      </c>
      <c r="J783" s="117" t="inlineStr">
        <is>
          <t>ENGINS</t>
        </is>
      </c>
      <c r="K783" s="48">
        <f>D783+8</f>
        <v/>
      </c>
      <c r="L783" s="48">
        <f>K783+60</f>
        <v/>
      </c>
      <c r="N783" s="72">
        <f>E783</f>
        <v/>
      </c>
      <c r="O783" s="50">
        <f>F783/E783*N783</f>
        <v/>
      </c>
      <c r="P783" s="273">
        <f>G783/E783*N783</f>
        <v/>
      </c>
      <c r="S783" s="200" t="inlineStr">
        <is>
          <t>XLLYGDJ013</t>
        </is>
      </c>
      <c r="T783" s="201" t="n">
        <v>14</v>
      </c>
      <c r="U783" s="58" t="n"/>
      <c r="V783" s="67" t="n"/>
      <c r="W783" s="67" t="n"/>
      <c r="X783" s="62" t="inlineStr">
        <is>
          <t>N-OP</t>
        </is>
      </c>
      <c r="Y783" s="116">
        <f>F783/E783</f>
        <v/>
      </c>
      <c r="Z783" s="64">
        <f>E783-N783</f>
        <v/>
      </c>
    </row>
    <row r="784" ht="15.75" customHeight="1" s="202">
      <c r="A784" s="116" t="n">
        <v>20260047</v>
      </c>
      <c r="B784" s="117" t="inlineStr">
        <is>
          <t>XIN LI</t>
        </is>
      </c>
      <c r="C784" s="118" t="n">
        <v>46063</v>
      </c>
      <c r="D784" s="118" t="n">
        <v>46079</v>
      </c>
      <c r="E784" s="116" t="n">
        <v>2</v>
      </c>
      <c r="F784" s="119" t="n">
        <v>0</v>
      </c>
      <c r="G784" s="120" t="n">
        <v>8</v>
      </c>
      <c r="H784" s="117" t="inlineStr">
        <is>
          <t>CSCEC ALGERIE</t>
        </is>
      </c>
      <c r="I784" s="117" t="inlineStr">
        <is>
          <t>COLIS</t>
        </is>
      </c>
      <c r="J784" s="117" t="inlineStr">
        <is>
          <t>COLIS</t>
        </is>
      </c>
      <c r="K784" s="48">
        <f>D784+8</f>
        <v/>
      </c>
      <c r="L784" s="48">
        <f>K784+60</f>
        <v/>
      </c>
      <c r="N784" s="72">
        <f>E784</f>
        <v/>
      </c>
      <c r="O784" s="50">
        <f>F784/E784*N784</f>
        <v/>
      </c>
      <c r="P784" s="273">
        <f>G784/E784*N784</f>
        <v/>
      </c>
      <c r="S784" s="200" t="inlineStr">
        <is>
          <t>XLLYGDJ013</t>
        </is>
      </c>
      <c r="T784" s="201" t="n">
        <v>14</v>
      </c>
      <c r="U784" s="58" t="n"/>
      <c r="V784" s="67" t="n"/>
      <c r="W784" s="67" t="n"/>
      <c r="X784" s="62" t="inlineStr">
        <is>
          <t>N-OP</t>
        </is>
      </c>
      <c r="Y784" s="116">
        <f>F784/E784</f>
        <v/>
      </c>
      <c r="Z784" s="64">
        <f>E784-N784</f>
        <v/>
      </c>
    </row>
    <row r="785" ht="15.75" customHeight="1" s="202">
      <c r="A785" s="106" t="n">
        <v>20260047</v>
      </c>
      <c r="B785" s="107" t="inlineStr">
        <is>
          <t>XIN LI</t>
        </is>
      </c>
      <c r="C785" s="108" t="n">
        <v>46063</v>
      </c>
      <c r="D785" s="108" t="n">
        <v>46079</v>
      </c>
      <c r="E785" s="106" t="n">
        <v>11</v>
      </c>
      <c r="F785" s="106" t="n">
        <v>36.82</v>
      </c>
      <c r="G785" s="106" t="n">
        <v>50</v>
      </c>
      <c r="H785" s="107" t="inlineStr">
        <is>
          <t>CSCEC ALGERIE</t>
        </is>
      </c>
      <c r="I785" s="107" t="inlineStr">
        <is>
          <t>COLIS</t>
        </is>
      </c>
      <c r="J785" s="107" t="inlineStr">
        <is>
          <t>COLIS</t>
        </is>
      </c>
      <c r="K785" s="108">
        <f>D785+8</f>
        <v/>
      </c>
      <c r="L785" s="108">
        <f>K785+60</f>
        <v/>
      </c>
      <c r="M785" s="107" t="n"/>
      <c r="N785" s="112">
        <f>E785-11</f>
        <v/>
      </c>
      <c r="O785" s="113">
        <f>F785/E785*N785</f>
        <v/>
      </c>
      <c r="P785" s="112">
        <f>G785/E785*N785</f>
        <v/>
      </c>
      <c r="Q785" s="109" t="n"/>
      <c r="R785" s="107" t="n"/>
      <c r="S785" s="109" t="inlineStr">
        <is>
          <t>XLLYGDJ014</t>
        </is>
      </c>
      <c r="T785" s="114" t="n">
        <v>15</v>
      </c>
      <c r="U785" s="109" t="inlineStr">
        <is>
          <t>CONSTRUCTION MATERIALS</t>
        </is>
      </c>
      <c r="V785" s="106" t="n"/>
      <c r="W785" s="106" t="n"/>
      <c r="X785" s="106" t="inlineStr">
        <is>
          <t>SOLDEE</t>
        </is>
      </c>
      <c r="Y785" s="116">
        <f>F785/E785</f>
        <v/>
      </c>
    </row>
    <row r="786" ht="15.75" customHeight="1" s="202">
      <c r="A786" s="116" t="n">
        <v>20260047</v>
      </c>
      <c r="B786" s="117" t="inlineStr">
        <is>
          <t>XIN LI</t>
        </is>
      </c>
      <c r="C786" s="118" t="n">
        <v>46063</v>
      </c>
      <c r="D786" s="118" t="n">
        <v>46079</v>
      </c>
      <c r="E786" s="116" t="n">
        <v>1</v>
      </c>
      <c r="F786" s="119" t="n">
        <v>34</v>
      </c>
      <c r="G786" s="120" t="n">
        <v>24</v>
      </c>
      <c r="H786" s="117" t="inlineStr">
        <is>
          <t>HELLALET OUALID</t>
        </is>
      </c>
      <c r="I786" s="117" t="inlineStr">
        <is>
          <t>EXCAVATEURS</t>
        </is>
      </c>
      <c r="J786" s="117" t="inlineStr">
        <is>
          <t>ENGINS</t>
        </is>
      </c>
      <c r="K786" s="48">
        <f>D786+8</f>
        <v/>
      </c>
      <c r="L786" s="48">
        <f>K786+60</f>
        <v/>
      </c>
      <c r="N786" s="72">
        <f>E786</f>
        <v/>
      </c>
      <c r="O786" s="50">
        <f>F786/E786*N786</f>
        <v/>
      </c>
      <c r="P786" s="273">
        <f>G786/E786*N786</f>
        <v/>
      </c>
      <c r="S786" s="200" t="inlineStr">
        <is>
          <t>XLLYGDJ016</t>
        </is>
      </c>
      <c r="T786" s="201" t="n">
        <v>17</v>
      </c>
      <c r="U786" s="58" t="inlineStr">
        <is>
          <t>HYUNDAI CRAWLER EXCAVATOR HX340HD (VOIR BL)</t>
        </is>
      </c>
      <c r="V786" s="67" t="n"/>
      <c r="W786" s="67" t="n"/>
      <c r="X786" s="62" t="inlineStr">
        <is>
          <t>N-OP</t>
        </is>
      </c>
      <c r="Y786" s="116">
        <f>F786/E786</f>
        <v/>
      </c>
      <c r="Z786" s="64">
        <f>E786-N786</f>
        <v/>
      </c>
    </row>
    <row r="787" ht="15.75" customHeight="1" s="202">
      <c r="A787" s="116" t="n">
        <v>20260047</v>
      </c>
      <c r="B787" s="117" t="inlineStr">
        <is>
          <t>XIN LI</t>
        </is>
      </c>
      <c r="C787" s="118" t="n">
        <v>46063</v>
      </c>
      <c r="D787" s="118" t="n">
        <v>46079</v>
      </c>
      <c r="E787" s="116" t="n">
        <v>1</v>
      </c>
      <c r="F787" s="119" t="n">
        <v>0</v>
      </c>
      <c r="G787" s="120" t="n">
        <v>4</v>
      </c>
      <c r="H787" s="117" t="inlineStr">
        <is>
          <t>HELLALET OUALID</t>
        </is>
      </c>
      <c r="I787" s="117" t="inlineStr">
        <is>
          <t>COLIS</t>
        </is>
      </c>
      <c r="J787" s="117" t="inlineStr">
        <is>
          <t>COLIS</t>
        </is>
      </c>
      <c r="K787" s="48">
        <f>D787+8</f>
        <v/>
      </c>
      <c r="L787" s="48">
        <f>K787+60</f>
        <v/>
      </c>
      <c r="N787" s="72">
        <f>E787</f>
        <v/>
      </c>
      <c r="O787" s="50">
        <f>F787/E787*N787</f>
        <v/>
      </c>
      <c r="P787" s="273">
        <f>G787/E787*N787</f>
        <v/>
      </c>
      <c r="S787" s="200" t="inlineStr">
        <is>
          <t>XLLYGDJ016</t>
        </is>
      </c>
      <c r="T787" s="201" t="n">
        <v>17</v>
      </c>
      <c r="U787" s="58" t="n"/>
      <c r="V787" s="67" t="n"/>
      <c r="W787" s="67" t="n"/>
      <c r="X787" s="62" t="inlineStr">
        <is>
          <t>N-OP</t>
        </is>
      </c>
      <c r="Y787" s="116">
        <f>F787/E787</f>
        <v/>
      </c>
      <c r="Z787" s="64">
        <f>E787-N787</f>
        <v/>
      </c>
    </row>
    <row r="788" ht="15.75" customHeight="1" s="202">
      <c r="A788" s="106" t="n">
        <v>20260047</v>
      </c>
      <c r="B788" s="107" t="inlineStr">
        <is>
          <t>XIN LI</t>
        </is>
      </c>
      <c r="C788" s="108" t="n">
        <v>46063</v>
      </c>
      <c r="D788" s="108" t="n">
        <v>46079</v>
      </c>
      <c r="E788" s="106" t="n">
        <v>2</v>
      </c>
      <c r="F788" s="106" t="n">
        <v>16</v>
      </c>
      <c r="G788" s="106" t="n">
        <v>48</v>
      </c>
      <c r="H788" s="107" t="inlineStr">
        <is>
          <t>SARL FPKR</t>
        </is>
      </c>
      <c r="I788" s="107" t="inlineStr">
        <is>
          <t>CAMIONS</t>
        </is>
      </c>
      <c r="J788" s="107" t="inlineStr">
        <is>
          <t>LOURD</t>
        </is>
      </c>
      <c r="K788" s="108">
        <f>D788+8</f>
        <v/>
      </c>
      <c r="L788" s="108">
        <f>K788+60</f>
        <v/>
      </c>
      <c r="M788" s="107" t="n"/>
      <c r="N788" s="112">
        <f>E788-2</f>
        <v/>
      </c>
      <c r="O788" s="113">
        <f>F788/E788*N788</f>
        <v/>
      </c>
      <c r="P788" s="112">
        <f>G788/E788*N788</f>
        <v/>
      </c>
      <c r="Q788" s="109" t="n"/>
      <c r="R788" s="107" t="n"/>
      <c r="S788" s="109" t="inlineStr">
        <is>
          <t>XLLYGDJ019</t>
        </is>
      </c>
      <c r="T788" s="114" t="n">
        <v>20</v>
      </c>
      <c r="U788" s="109" t="inlineStr">
        <is>
          <t>02 UNITS SHACMAN L3000 4X2 LORRY TRUCK ( VOIR BL)</t>
        </is>
      </c>
      <c r="V788" s="106" t="n"/>
      <c r="W788" s="106" t="n"/>
      <c r="X788" s="106" t="inlineStr">
        <is>
          <t>SOLDEE</t>
        </is>
      </c>
      <c r="Y788" s="116">
        <f>F788/E788</f>
        <v/>
      </c>
    </row>
    <row r="789" ht="15.75" customHeight="1" s="202">
      <c r="A789" s="106" t="n">
        <v>20260047</v>
      </c>
      <c r="B789" s="107" t="inlineStr">
        <is>
          <t>XIN LI</t>
        </is>
      </c>
      <c r="C789" s="108" t="n">
        <v>46063</v>
      </c>
      <c r="D789" s="108" t="n">
        <v>46079</v>
      </c>
      <c r="E789" s="106" t="n">
        <v>2</v>
      </c>
      <c r="F789" s="106" t="n">
        <v>24.66</v>
      </c>
      <c r="G789" s="106" t="n">
        <v>48</v>
      </c>
      <c r="H789" s="107" t="inlineStr">
        <is>
          <t>EURL ZARMED SERVICES</t>
        </is>
      </c>
      <c r="I789" s="107" t="inlineStr">
        <is>
          <t>CAMIONS</t>
        </is>
      </c>
      <c r="J789" s="107" t="inlineStr">
        <is>
          <t>LOURD</t>
        </is>
      </c>
      <c r="K789" s="108">
        <f>D789+8</f>
        <v/>
      </c>
      <c r="L789" s="108">
        <f>K789+60</f>
        <v/>
      </c>
      <c r="M789" s="107" t="n"/>
      <c r="N789" s="112">
        <f>E789-2</f>
        <v/>
      </c>
      <c r="O789" s="113">
        <f>F789/E789*N789</f>
        <v/>
      </c>
      <c r="P789" s="112">
        <f>G789/E789*N789</f>
        <v/>
      </c>
      <c r="Q789" s="109" t="n"/>
      <c r="R789" s="107" t="n"/>
      <c r="S789" s="109" t="inlineStr">
        <is>
          <t>XLLYGDJ024</t>
        </is>
      </c>
      <c r="T789" s="114" t="n">
        <v>35</v>
      </c>
      <c r="U789" s="109" t="inlineStr">
        <is>
          <t>02 UNITS SHACMAN F2000 6X4 DUMP TRUCK</t>
        </is>
      </c>
      <c r="V789" s="106" t="n"/>
      <c r="W789" s="106" t="n"/>
      <c r="X789" s="106" t="inlineStr">
        <is>
          <t>SOLDEE</t>
        </is>
      </c>
      <c r="Y789" s="116">
        <f>F789/E789</f>
        <v/>
      </c>
    </row>
    <row r="790" ht="15.75" customHeight="1" s="202">
      <c r="A790" s="106" t="n">
        <v>20260047</v>
      </c>
      <c r="B790" s="107" t="inlineStr">
        <is>
          <t>XIN LI</t>
        </is>
      </c>
      <c r="C790" s="108" t="n">
        <v>46063</v>
      </c>
      <c r="D790" s="108" t="n">
        <v>46079</v>
      </c>
      <c r="E790" s="106" t="n">
        <v>1</v>
      </c>
      <c r="F790" s="106" t="n">
        <v>1.05</v>
      </c>
      <c r="G790" s="106" t="n">
        <v>5</v>
      </c>
      <c r="H790" s="107" t="inlineStr">
        <is>
          <t>EURL ZARMED SERVICES</t>
        </is>
      </c>
      <c r="I790" s="107" t="inlineStr">
        <is>
          <t>GENERATOR</t>
        </is>
      </c>
      <c r="J790" s="107" t="inlineStr">
        <is>
          <t>COLIS</t>
        </is>
      </c>
      <c r="K790" s="108">
        <f>D790+8</f>
        <v/>
      </c>
      <c r="L790" s="108">
        <f>K790+60</f>
        <v/>
      </c>
      <c r="M790" s="107" t="n"/>
      <c r="N790" s="112">
        <f>E790-1</f>
        <v/>
      </c>
      <c r="O790" s="113">
        <f>F790/E790*N790</f>
        <v/>
      </c>
      <c r="P790" s="112">
        <f>G790/E790*N790</f>
        <v/>
      </c>
      <c r="Q790" s="109" t="n"/>
      <c r="R790" s="107" t="n"/>
      <c r="S790" s="109" t="inlineStr">
        <is>
          <t>XLLYGDJ025</t>
        </is>
      </c>
      <c r="T790" s="114" t="n">
        <v>26</v>
      </c>
      <c r="U790" s="109" t="inlineStr">
        <is>
          <t>01 UNIT GENERATOR (VOIR BL)</t>
        </is>
      </c>
      <c r="V790" s="106" t="n"/>
      <c r="W790" s="106" t="n"/>
      <c r="X790" s="106" t="inlineStr">
        <is>
          <t>SOLDEE</t>
        </is>
      </c>
      <c r="Y790" s="116">
        <f>F790/E790</f>
        <v/>
      </c>
    </row>
    <row r="791" ht="15.75" customHeight="1" s="202">
      <c r="A791" s="106" t="n">
        <v>20260047</v>
      </c>
      <c r="B791" s="107" t="inlineStr">
        <is>
          <t>XIN LI</t>
        </is>
      </c>
      <c r="C791" s="108" t="n">
        <v>46063</v>
      </c>
      <c r="D791" s="108" t="n">
        <v>46079</v>
      </c>
      <c r="E791" s="106" t="n">
        <v>1</v>
      </c>
      <c r="F791" s="106" t="n">
        <v>9.35</v>
      </c>
      <c r="G791" s="106" t="n">
        <v>24</v>
      </c>
      <c r="H791" s="107" t="inlineStr">
        <is>
          <t>SARL OULED HADJ MAAMAR SERVICES</t>
        </is>
      </c>
      <c r="I791" s="107" t="inlineStr">
        <is>
          <t>REMORQUES</t>
        </is>
      </c>
      <c r="J791" s="107" t="inlineStr">
        <is>
          <t>LOURD</t>
        </is>
      </c>
      <c r="K791" s="108">
        <f>D791+8</f>
        <v/>
      </c>
      <c r="L791" s="108">
        <f>K791+60</f>
        <v/>
      </c>
      <c r="M791" s="107" t="n"/>
      <c r="N791" s="112">
        <f>E791-1</f>
        <v/>
      </c>
      <c r="O791" s="113">
        <f>F791/E791*N791</f>
        <v/>
      </c>
      <c r="P791" s="112">
        <f>G791/E791*N791</f>
        <v/>
      </c>
      <c r="Q791" s="109" t="n"/>
      <c r="R791" s="107" t="n"/>
      <c r="S791" s="109" t="inlineStr">
        <is>
          <t>XLLYGDJ026</t>
        </is>
      </c>
      <c r="T791" s="114" t="n">
        <v>27</v>
      </c>
      <c r="U791" s="109" t="inlineStr">
        <is>
          <t>01 UNIT CIMC CEMENT BULKER WITH BPW AXLE (VOIR BL)</t>
        </is>
      </c>
      <c r="V791" s="106" t="n"/>
      <c r="W791" s="106" t="n"/>
      <c r="X791" s="106" t="inlineStr">
        <is>
          <t>SOLDEE</t>
        </is>
      </c>
      <c r="Y791" s="116">
        <f>F791/E791</f>
        <v/>
      </c>
      <c r="Z791" s="64">
        <f>E791-N791</f>
        <v/>
      </c>
    </row>
    <row r="792" ht="15.75" customHeight="1" s="202">
      <c r="A792" s="106" t="n">
        <v>20260047</v>
      </c>
      <c r="B792" s="107" t="inlineStr">
        <is>
          <t>XIN LI</t>
        </is>
      </c>
      <c r="C792" s="108" t="n">
        <v>46063</v>
      </c>
      <c r="D792" s="108" t="n">
        <v>46079</v>
      </c>
      <c r="E792" s="106" t="n">
        <v>1</v>
      </c>
      <c r="F792" s="106" t="n">
        <v>14.13</v>
      </c>
      <c r="G792" s="106" t="n">
        <v>24</v>
      </c>
      <c r="H792" s="107" t="inlineStr">
        <is>
          <t>SARL BAGHI DE TRAVAUX</t>
        </is>
      </c>
      <c r="I792" s="107" t="inlineStr">
        <is>
          <t>CAMIONS</t>
        </is>
      </c>
      <c r="J792" s="107" t="inlineStr">
        <is>
          <t>LOURD</t>
        </is>
      </c>
      <c r="K792" s="108">
        <f>D792+8</f>
        <v/>
      </c>
      <c r="L792" s="108">
        <f>K792+60</f>
        <v/>
      </c>
      <c r="M792" s="107" t="n"/>
      <c r="N792" s="112">
        <f>E792-1</f>
        <v/>
      </c>
      <c r="O792" s="113">
        <f>F792/E792*N792</f>
        <v/>
      </c>
      <c r="P792" s="112">
        <f>G792/E792*N792</f>
        <v/>
      </c>
      <c r="Q792" s="109" t="n"/>
      <c r="R792" s="107" t="n"/>
      <c r="S792" s="109" t="inlineStr">
        <is>
          <t>XLLYGDJ031/043</t>
        </is>
      </c>
      <c r="T792" s="114" t="n">
        <v>32</v>
      </c>
      <c r="U792" s="109" t="inlineStr">
        <is>
          <t>01 UNIT SHACMAN F2000 6X4 DUMP TRUCK + HAMMER (VOIR BL)</t>
        </is>
      </c>
      <c r="V792" s="106" t="n"/>
      <c r="W792" s="106" t="n"/>
      <c r="X792" s="106" t="inlineStr">
        <is>
          <t>SOLDEE</t>
        </is>
      </c>
      <c r="Y792" s="116">
        <f>F792/E792</f>
        <v/>
      </c>
    </row>
    <row r="793" ht="15.75" customHeight="1" s="202">
      <c r="A793" s="106" t="n">
        <v>20260047</v>
      </c>
      <c r="B793" s="107" t="inlineStr">
        <is>
          <t>XIN LI</t>
        </is>
      </c>
      <c r="C793" s="108" t="n">
        <v>46063</v>
      </c>
      <c r="D793" s="108" t="n">
        <v>46079</v>
      </c>
      <c r="E793" s="106" t="n">
        <v>1</v>
      </c>
      <c r="F793" s="106" t="n">
        <v>0</v>
      </c>
      <c r="G793" s="106" t="n">
        <v>4</v>
      </c>
      <c r="H793" s="107" t="inlineStr">
        <is>
          <t>SARL BAGHI DE TRAVAUX</t>
        </is>
      </c>
      <c r="I793" s="107" t="inlineStr">
        <is>
          <t>COLIS</t>
        </is>
      </c>
      <c r="J793" s="107" t="inlineStr">
        <is>
          <t>COLIS</t>
        </is>
      </c>
      <c r="K793" s="108">
        <f>D793+8</f>
        <v/>
      </c>
      <c r="L793" s="108">
        <f>K793+60</f>
        <v/>
      </c>
      <c r="M793" s="107" t="n"/>
      <c r="N793" s="112">
        <f>E793-1</f>
        <v/>
      </c>
      <c r="O793" s="113">
        <f>F793/E793*N793</f>
        <v/>
      </c>
      <c r="P793" s="112">
        <f>G793/E793*N793</f>
        <v/>
      </c>
      <c r="Q793" s="109" t="n"/>
      <c r="R793" s="107" t="n"/>
      <c r="S793" s="109" t="inlineStr">
        <is>
          <t>XLLYGDJ031/043</t>
        </is>
      </c>
      <c r="T793" s="114" t="n">
        <v>32</v>
      </c>
      <c r="U793" s="109" t="n"/>
      <c r="V793" s="106" t="n"/>
      <c r="W793" s="106" t="n"/>
      <c r="X793" s="106" t="inlineStr">
        <is>
          <t>SOLDEE</t>
        </is>
      </c>
      <c r="Y793" s="116">
        <f>F793/E793</f>
        <v/>
      </c>
    </row>
    <row r="794" ht="15.75" customHeight="1" s="202">
      <c r="A794" s="106" t="n">
        <v>20260047</v>
      </c>
      <c r="B794" s="107" t="inlineStr">
        <is>
          <t>XIN LI</t>
        </is>
      </c>
      <c r="C794" s="108" t="n">
        <v>46063</v>
      </c>
      <c r="D794" s="108" t="n">
        <v>46079</v>
      </c>
      <c r="E794" s="106" t="n">
        <v>5</v>
      </c>
      <c r="F794" s="106" t="n">
        <v>89.3</v>
      </c>
      <c r="G794" s="106" t="n">
        <v>120</v>
      </c>
      <c r="H794" s="107" t="inlineStr">
        <is>
          <t>SARL 2MBA</t>
        </is>
      </c>
      <c r="I794" s="107" t="inlineStr">
        <is>
          <t>REMORQUES</t>
        </is>
      </c>
      <c r="J794" s="107" t="inlineStr">
        <is>
          <t>LOURD</t>
        </is>
      </c>
      <c r="K794" s="108">
        <f>D794+8</f>
        <v/>
      </c>
      <c r="L794" s="108">
        <f>K794+60</f>
        <v/>
      </c>
      <c r="M794" s="107" t="n"/>
      <c r="N794" s="112">
        <f>E794-5</f>
        <v/>
      </c>
      <c r="O794" s="113">
        <f>F794/E794*N794</f>
        <v/>
      </c>
      <c r="P794" s="112">
        <f>G794/E794*N794</f>
        <v/>
      </c>
      <c r="Q794" s="109" t="n"/>
      <c r="R794" s="107" t="n"/>
      <c r="S794" s="109" t="inlineStr">
        <is>
          <t>XLLYGDJ034</t>
        </is>
      </c>
      <c r="T794" s="114" t="n">
        <v>34</v>
      </c>
      <c r="U794" s="109" t="inlineStr">
        <is>
          <t>04 UNITS LOWBED SIMI TRAILER ( VOIR BL)</t>
        </is>
      </c>
      <c r="V794" s="106" t="n"/>
      <c r="W794" s="106" t="n"/>
      <c r="X794" s="106" t="inlineStr">
        <is>
          <t>SOLDEE</t>
        </is>
      </c>
      <c r="Y794" s="116">
        <f>F794/E794</f>
        <v/>
      </c>
    </row>
    <row r="795" ht="15.75" customHeight="1" s="202">
      <c r="A795" s="116" t="n">
        <v>20260047</v>
      </c>
      <c r="B795" s="117" t="inlineStr">
        <is>
          <t>XIN LI</t>
        </is>
      </c>
      <c r="C795" s="118" t="n">
        <v>46063</v>
      </c>
      <c r="D795" s="118" t="n">
        <v>46079</v>
      </c>
      <c r="E795" s="116" t="n">
        <v>1</v>
      </c>
      <c r="F795" s="119" t="n">
        <v>6.19</v>
      </c>
      <c r="G795" s="120" t="n">
        <v>6</v>
      </c>
      <c r="H795" s="117" t="inlineStr">
        <is>
          <t>EURL GH PHOENIX SERVICE</t>
        </is>
      </c>
      <c r="I795" s="117" t="inlineStr">
        <is>
          <t>COMPRESSEURS</t>
        </is>
      </c>
      <c r="J795" s="117" t="inlineStr">
        <is>
          <t>COLIS</t>
        </is>
      </c>
      <c r="K795" s="48">
        <f>D795+8</f>
        <v/>
      </c>
      <c r="L795" s="48">
        <f>K795+60</f>
        <v/>
      </c>
      <c r="N795" s="72">
        <f>E795</f>
        <v/>
      </c>
      <c r="O795" s="50">
        <f>F795/E795*N795</f>
        <v/>
      </c>
      <c r="P795" s="273">
        <f>G795/E795*N795</f>
        <v/>
      </c>
      <c r="S795" s="200" t="inlineStr">
        <is>
          <t>XLLYGDJ035</t>
        </is>
      </c>
      <c r="T795" s="201" t="n">
        <v>35</v>
      </c>
      <c r="U795" s="58" t="inlineStr">
        <is>
          <t>01 UNIT ATLAS COMPRESSOR Y1300 (VOIR BL)</t>
        </is>
      </c>
      <c r="V795" s="67" t="n"/>
      <c r="W795" s="67" t="n"/>
      <c r="X795" s="62" t="inlineStr">
        <is>
          <t>N-OP</t>
        </is>
      </c>
      <c r="Y795" s="116">
        <f>F795/E795</f>
        <v/>
      </c>
      <c r="Z795" s="64">
        <f>E795-N795</f>
        <v/>
      </c>
    </row>
    <row r="796" ht="15.75" customHeight="1" s="202">
      <c r="A796" s="106" t="n">
        <v>20260047</v>
      </c>
      <c r="B796" s="107" t="inlineStr">
        <is>
          <t>XIN LI</t>
        </is>
      </c>
      <c r="C796" s="108" t="n">
        <v>46063</v>
      </c>
      <c r="D796" s="108" t="n">
        <v>46079</v>
      </c>
      <c r="E796" s="106" t="n">
        <v>1</v>
      </c>
      <c r="F796" s="106" t="n">
        <v>34</v>
      </c>
      <c r="G796" s="106" t="n">
        <v>24</v>
      </c>
      <c r="H796" s="107" t="inlineStr">
        <is>
          <t>EURL BOURAS MOURAD GRANDS TRAVAUX</t>
        </is>
      </c>
      <c r="I796" s="107" t="inlineStr">
        <is>
          <t>EXCAVATEURS</t>
        </is>
      </c>
      <c r="J796" s="107" t="inlineStr">
        <is>
          <t>ENGINS</t>
        </is>
      </c>
      <c r="K796" s="108">
        <f>D796+8</f>
        <v/>
      </c>
      <c r="L796" s="108">
        <f>K796+60</f>
        <v/>
      </c>
      <c r="M796" s="107" t="n"/>
      <c r="N796" s="112">
        <f>E796-1</f>
        <v/>
      </c>
      <c r="O796" s="113">
        <f>F796/E796*N796</f>
        <v/>
      </c>
      <c r="P796" s="112">
        <f>G796/E796*N796</f>
        <v/>
      </c>
      <c r="Q796" s="109" t="n"/>
      <c r="R796" s="107" t="n"/>
      <c r="S796" s="109" t="inlineStr">
        <is>
          <t>XLLYGDJ036</t>
        </is>
      </c>
      <c r="T796" s="114" t="n">
        <v>36</v>
      </c>
      <c r="U796" s="109" t="inlineStr">
        <is>
          <t>01 UNIT HYUNDAI EXCAVATOR HX340HD (VOIR BL)</t>
        </is>
      </c>
      <c r="V796" s="106" t="n"/>
      <c r="W796" s="106" t="n"/>
      <c r="X796" s="106" t="inlineStr">
        <is>
          <t>SOLDEE</t>
        </is>
      </c>
      <c r="Y796" s="116">
        <f>F796/E796</f>
        <v/>
      </c>
    </row>
    <row r="797" ht="15.75" customHeight="1" s="202">
      <c r="A797" s="106" t="n">
        <v>20260047</v>
      </c>
      <c r="B797" s="107" t="inlineStr">
        <is>
          <t>XIN LI</t>
        </is>
      </c>
      <c r="C797" s="108" t="n">
        <v>46063</v>
      </c>
      <c r="D797" s="108" t="n">
        <v>46079</v>
      </c>
      <c r="E797" s="106" t="n">
        <v>2</v>
      </c>
      <c r="F797" s="106" t="n">
        <v>0</v>
      </c>
      <c r="G797" s="106" t="n">
        <v>8</v>
      </c>
      <c r="H797" s="107" t="inlineStr">
        <is>
          <t>EURL BOURAS MOURAD GRANDS TRAVAUX</t>
        </is>
      </c>
      <c r="I797" s="107" t="inlineStr">
        <is>
          <t>COLIS</t>
        </is>
      </c>
      <c r="J797" s="107" t="inlineStr">
        <is>
          <t>COLIS</t>
        </is>
      </c>
      <c r="K797" s="108">
        <f>D797+8</f>
        <v/>
      </c>
      <c r="L797" s="108">
        <f>K797+60</f>
        <v/>
      </c>
      <c r="M797" s="107" t="n"/>
      <c r="N797" s="112">
        <f>E797-2</f>
        <v/>
      </c>
      <c r="O797" s="113">
        <f>F797/E797*N797</f>
        <v/>
      </c>
      <c r="P797" s="112">
        <f>G797/E797*N797</f>
        <v/>
      </c>
      <c r="Q797" s="109" t="n"/>
      <c r="R797" s="107" t="n"/>
      <c r="S797" s="109" t="inlineStr">
        <is>
          <t>XLLYGDJ036</t>
        </is>
      </c>
      <c r="T797" s="114" t="n">
        <v>36</v>
      </c>
      <c r="U797" s="109" t="n"/>
      <c r="V797" s="106" t="n"/>
      <c r="W797" s="106" t="n"/>
      <c r="X797" s="106" t="inlineStr">
        <is>
          <t>SOLDEE</t>
        </is>
      </c>
      <c r="Y797" s="116">
        <f>F797/E797</f>
        <v/>
      </c>
    </row>
    <row r="798" ht="15.75" customHeight="1" s="202">
      <c r="A798" s="106" t="n">
        <v>20260047</v>
      </c>
      <c r="B798" s="107" t="inlineStr">
        <is>
          <t>XIN LI</t>
        </is>
      </c>
      <c r="C798" s="108" t="n">
        <v>46063</v>
      </c>
      <c r="D798" s="108" t="n">
        <v>46079</v>
      </c>
      <c r="E798" s="106" t="n">
        <v>1</v>
      </c>
      <c r="F798" s="106" t="n">
        <v>16</v>
      </c>
      <c r="G798" s="106" t="n">
        <v>24</v>
      </c>
      <c r="H798" s="107" t="inlineStr">
        <is>
          <t>SARL RAHAL ABDESLAM</t>
        </is>
      </c>
      <c r="I798" s="107" t="inlineStr">
        <is>
          <t>EXCAVATEURS</t>
        </is>
      </c>
      <c r="J798" s="107" t="inlineStr">
        <is>
          <t>ENGINS</t>
        </is>
      </c>
      <c r="K798" s="108">
        <f>D798+8</f>
        <v/>
      </c>
      <c r="L798" s="108">
        <f>K798+60</f>
        <v/>
      </c>
      <c r="M798" s="107" t="n"/>
      <c r="N798" s="112">
        <f>E798-1</f>
        <v/>
      </c>
      <c r="O798" s="113">
        <f>F798/E798*N798</f>
        <v/>
      </c>
      <c r="P798" s="112">
        <f>G798/E798*N798</f>
        <v/>
      </c>
      <c r="Q798" s="109" t="n"/>
      <c r="R798" s="107" t="n"/>
      <c r="S798" s="109" t="inlineStr">
        <is>
          <t>XLLYGDJ037</t>
        </is>
      </c>
      <c r="T798" s="114" t="n">
        <v>37</v>
      </c>
      <c r="U798" s="109" t="inlineStr">
        <is>
          <t>01 UNIT COMPACTEUR XP163 PNEUMATIC TIRE ROLLER (VOIR BL)</t>
        </is>
      </c>
      <c r="V798" s="106" t="n"/>
      <c r="W798" s="106" t="n"/>
      <c r="X798" s="106" t="inlineStr">
        <is>
          <t>SOLDEE</t>
        </is>
      </c>
      <c r="Y798" s="116">
        <f>F798/E798</f>
        <v/>
      </c>
    </row>
    <row r="799" ht="15.75" customHeight="1" s="202">
      <c r="A799" s="116" t="n">
        <v>20260047</v>
      </c>
      <c r="B799" s="117" t="inlineStr">
        <is>
          <t>XIN LI</t>
        </is>
      </c>
      <c r="C799" s="118" t="n">
        <v>46063</v>
      </c>
      <c r="D799" s="118" t="n">
        <v>46079</v>
      </c>
      <c r="E799" s="116" t="n">
        <v>1</v>
      </c>
      <c r="F799" s="119" t="n">
        <v>34.18</v>
      </c>
      <c r="G799" s="120" t="n">
        <v>24</v>
      </c>
      <c r="H799" s="117" t="inlineStr">
        <is>
          <t>EURL EWAN ENTERPRISE</t>
        </is>
      </c>
      <c r="I799" s="117" t="inlineStr">
        <is>
          <t>EXCAVATEURS</t>
        </is>
      </c>
      <c r="J799" s="117" t="inlineStr">
        <is>
          <t>ENGINS</t>
        </is>
      </c>
      <c r="K799" s="48">
        <f>D799+8</f>
        <v/>
      </c>
      <c r="L799" s="48">
        <f>K799+60</f>
        <v/>
      </c>
      <c r="N799" s="72">
        <f>E799</f>
        <v/>
      </c>
      <c r="O799" s="50">
        <f>F799/E799*N799</f>
        <v/>
      </c>
      <c r="P799" s="273">
        <f>G799/E799*N799</f>
        <v/>
      </c>
      <c r="S799" s="200" t="inlineStr">
        <is>
          <t>XLLYGDJ038</t>
        </is>
      </c>
      <c r="T799" s="201" t="n">
        <v>38</v>
      </c>
      <c r="U799" s="58" t="inlineStr">
        <is>
          <t>01 UNIT HYUNDAI EXCAVATOR HX340HD ( VOIR BL)</t>
        </is>
      </c>
      <c r="V799" s="67" t="n"/>
      <c r="W799" s="67" t="n"/>
      <c r="X799" s="62" t="inlineStr">
        <is>
          <t>N-OP</t>
        </is>
      </c>
      <c r="Y799" s="116">
        <f>F799/E799</f>
        <v/>
      </c>
      <c r="Z799" s="64">
        <f>E799-N799</f>
        <v/>
      </c>
    </row>
    <row r="800" ht="15.75" customHeight="1" s="202">
      <c r="A800" s="116" t="n">
        <v>20260047</v>
      </c>
      <c r="B800" s="117" t="inlineStr">
        <is>
          <t>XIN LI</t>
        </is>
      </c>
      <c r="C800" s="118" t="n">
        <v>46063</v>
      </c>
      <c r="D800" s="118" t="n">
        <v>46079</v>
      </c>
      <c r="E800" s="116" t="n">
        <v>3</v>
      </c>
      <c r="F800" s="119" t="n">
        <v>0</v>
      </c>
      <c r="G800" s="120" t="n">
        <v>12</v>
      </c>
      <c r="H800" s="117" t="inlineStr">
        <is>
          <t>EURL EWAN ENTERPRISE</t>
        </is>
      </c>
      <c r="I800" s="117" t="inlineStr">
        <is>
          <t>COLIS</t>
        </is>
      </c>
      <c r="J800" s="117" t="inlineStr">
        <is>
          <t>COLIS</t>
        </is>
      </c>
      <c r="K800" s="48">
        <f>D800+8</f>
        <v/>
      </c>
      <c r="L800" s="48">
        <f>K800+60</f>
        <v/>
      </c>
      <c r="N800" s="72">
        <f>E800</f>
        <v/>
      </c>
      <c r="O800" s="50">
        <f>F800/E800*N800</f>
        <v/>
      </c>
      <c r="P800" s="273">
        <f>G800/E800*N800</f>
        <v/>
      </c>
      <c r="S800" s="200" t="inlineStr">
        <is>
          <t>XLLYGDJ038</t>
        </is>
      </c>
      <c r="T800" s="201" t="n">
        <v>38</v>
      </c>
      <c r="U800" s="58" t="n"/>
      <c r="V800" s="67" t="n"/>
      <c r="W800" s="67" t="n"/>
      <c r="X800" s="62" t="inlineStr">
        <is>
          <t>N-OP</t>
        </is>
      </c>
      <c r="Y800" s="116">
        <f>F800/E800</f>
        <v/>
      </c>
      <c r="Z800" s="64">
        <f>E800-N800</f>
        <v/>
      </c>
    </row>
    <row r="801" ht="15.75" customHeight="1" s="202">
      <c r="A801" s="106" t="n">
        <v>20260047</v>
      </c>
      <c r="B801" s="107" t="inlineStr">
        <is>
          <t>XIN LI</t>
        </is>
      </c>
      <c r="C801" s="108" t="n">
        <v>46063</v>
      </c>
      <c r="D801" s="108" t="n">
        <v>46079</v>
      </c>
      <c r="E801" s="106" t="n">
        <v>1</v>
      </c>
      <c r="F801" s="106" t="n">
        <v>34.18</v>
      </c>
      <c r="G801" s="106" t="n">
        <v>24</v>
      </c>
      <c r="H801" s="107" t="inlineStr">
        <is>
          <t>SARL AL OTHMANI SERVICES</t>
        </is>
      </c>
      <c r="I801" s="107" t="inlineStr">
        <is>
          <t>EXCAVATEURS</t>
        </is>
      </c>
      <c r="J801" s="107" t="inlineStr">
        <is>
          <t>ENGINS</t>
        </is>
      </c>
      <c r="K801" s="108">
        <f>D801+8</f>
        <v/>
      </c>
      <c r="L801" s="108">
        <f>K801+60</f>
        <v/>
      </c>
      <c r="M801" s="107" t="n"/>
      <c r="N801" s="112">
        <f>E801-1</f>
        <v/>
      </c>
      <c r="O801" s="113">
        <f>F801/E801*N801</f>
        <v/>
      </c>
      <c r="P801" s="112">
        <f>G801/E801*N801</f>
        <v/>
      </c>
      <c r="Q801" s="109" t="n"/>
      <c r="R801" s="107" t="n"/>
      <c r="S801" s="109" t="inlineStr">
        <is>
          <t>XLLYGDJ039</t>
        </is>
      </c>
      <c r="T801" s="114" t="n">
        <v>39</v>
      </c>
      <c r="U801" s="109" t="inlineStr">
        <is>
          <t>01 UNIT HYUNDAI EXCAVATOR HX 340HD (VOIR BL)</t>
        </is>
      </c>
      <c r="V801" s="106" t="n"/>
      <c r="W801" s="106" t="n"/>
      <c r="X801" s="106" t="inlineStr">
        <is>
          <t>SOLDEE</t>
        </is>
      </c>
      <c r="Y801" s="116">
        <f>F801/E801</f>
        <v/>
      </c>
    </row>
    <row r="802" ht="15.75" customHeight="1" s="202">
      <c r="A802" s="106" t="n">
        <v>20260047</v>
      </c>
      <c r="B802" s="107" t="inlineStr">
        <is>
          <t>XIN LI</t>
        </is>
      </c>
      <c r="C802" s="108" t="n">
        <v>46063</v>
      </c>
      <c r="D802" s="108" t="n">
        <v>46079</v>
      </c>
      <c r="E802" s="106" t="n">
        <v>3</v>
      </c>
      <c r="F802" s="106" t="n">
        <v>0</v>
      </c>
      <c r="G802" s="106" t="n">
        <v>12</v>
      </c>
      <c r="H802" s="107" t="inlineStr">
        <is>
          <t>SARL AL OTHMANI SERVICES</t>
        </is>
      </c>
      <c r="I802" s="107" t="inlineStr">
        <is>
          <t>COLIS</t>
        </is>
      </c>
      <c r="J802" s="107" t="inlineStr">
        <is>
          <t>COLIS</t>
        </is>
      </c>
      <c r="K802" s="108">
        <f>D802+8</f>
        <v/>
      </c>
      <c r="L802" s="108">
        <f>K802+60</f>
        <v/>
      </c>
      <c r="M802" s="107" t="n"/>
      <c r="N802" s="112">
        <f>E802-3</f>
        <v/>
      </c>
      <c r="O802" s="113">
        <f>F802/E802*N802</f>
        <v/>
      </c>
      <c r="P802" s="112">
        <f>G802/E802*N802</f>
        <v/>
      </c>
      <c r="Q802" s="109" t="n"/>
      <c r="R802" s="107" t="n"/>
      <c r="S802" s="109" t="inlineStr">
        <is>
          <t>XLLYGDJ039</t>
        </is>
      </c>
      <c r="T802" s="114" t="n">
        <v>39</v>
      </c>
      <c r="U802" s="109" t="n"/>
      <c r="V802" s="106" t="n"/>
      <c r="W802" s="106" t="n"/>
      <c r="X802" s="106" t="inlineStr">
        <is>
          <t>SOLDEE</t>
        </is>
      </c>
      <c r="Y802" s="116">
        <f>F802/E802</f>
        <v/>
      </c>
    </row>
    <row r="803" ht="15.75" customHeight="1" s="202">
      <c r="A803" s="116" t="n">
        <v>20260047</v>
      </c>
      <c r="B803" s="117" t="inlineStr">
        <is>
          <t>XIN LI</t>
        </is>
      </c>
      <c r="C803" s="118" t="n">
        <v>46063</v>
      </c>
      <c r="D803" s="118" t="n">
        <v>46079</v>
      </c>
      <c r="E803" s="116" t="n">
        <v>1</v>
      </c>
      <c r="F803" s="119" t="n">
        <v>36.18</v>
      </c>
      <c r="G803" s="120" t="n">
        <v>24</v>
      </c>
      <c r="H803" s="117" t="inlineStr">
        <is>
          <t>EURL ENTREPRIS HACHEMI TRAVAUX</t>
        </is>
      </c>
      <c r="I803" s="117" t="inlineStr">
        <is>
          <t>EXCAVATEURS</t>
        </is>
      </c>
      <c r="J803" s="117" t="inlineStr">
        <is>
          <t>ENGINS</t>
        </is>
      </c>
      <c r="K803" s="48">
        <f>D803+8</f>
        <v/>
      </c>
      <c r="L803" s="48">
        <f>K803+60</f>
        <v/>
      </c>
      <c r="N803" s="72">
        <f>E803</f>
        <v/>
      </c>
      <c r="O803" s="50">
        <f>F803/E803*N803</f>
        <v/>
      </c>
      <c r="P803" s="273">
        <f>G803/E803*N803</f>
        <v/>
      </c>
      <c r="S803" s="200" t="inlineStr">
        <is>
          <t>XLLYGDJ041</t>
        </is>
      </c>
      <c r="T803" s="201" t="n">
        <v>41</v>
      </c>
      <c r="U803" s="58" t="inlineStr">
        <is>
          <t>01 UNIT PELLE EXCAVATOR HYUNDAI HX340HD (VOIR BL)</t>
        </is>
      </c>
      <c r="V803" s="67" t="n"/>
      <c r="W803" s="67" t="n"/>
      <c r="X803" s="62" t="inlineStr">
        <is>
          <t>N-OP</t>
        </is>
      </c>
      <c r="Y803" s="116">
        <f>F803/E803</f>
        <v/>
      </c>
      <c r="Z803" s="64">
        <f>E803-N803</f>
        <v/>
      </c>
    </row>
    <row r="804" ht="15.75" customHeight="1" s="202">
      <c r="A804" s="116" t="n">
        <v>20260047</v>
      </c>
      <c r="B804" s="117" t="inlineStr">
        <is>
          <t>XIN LI</t>
        </is>
      </c>
      <c r="C804" s="118" t="n">
        <v>46063</v>
      </c>
      <c r="D804" s="118" t="n">
        <v>46079</v>
      </c>
      <c r="E804" s="116" t="n">
        <v>4</v>
      </c>
      <c r="F804" s="119" t="n">
        <v>0</v>
      </c>
      <c r="G804" s="120" t="n">
        <v>16</v>
      </c>
      <c r="H804" s="117" t="inlineStr">
        <is>
          <t>EURL ENTREPRIS HACHEMI TRAVAUX</t>
        </is>
      </c>
      <c r="I804" s="117" t="inlineStr">
        <is>
          <t>COLIS</t>
        </is>
      </c>
      <c r="J804" s="117" t="inlineStr">
        <is>
          <t>COLIS</t>
        </is>
      </c>
      <c r="K804" s="48">
        <f>D804+8</f>
        <v/>
      </c>
      <c r="L804" s="48">
        <f>K804+60</f>
        <v/>
      </c>
      <c r="N804" s="72">
        <f>E804</f>
        <v/>
      </c>
      <c r="O804" s="50">
        <f>F804/E804*N804</f>
        <v/>
      </c>
      <c r="P804" s="273">
        <f>G804/E804*N804</f>
        <v/>
      </c>
      <c r="S804" s="200" t="inlineStr">
        <is>
          <t>XLLYGDJ041</t>
        </is>
      </c>
      <c r="T804" s="201" t="n">
        <v>41</v>
      </c>
      <c r="U804" s="58" t="n"/>
      <c r="V804" s="67" t="n"/>
      <c r="W804" s="67" t="n"/>
      <c r="X804" s="62" t="inlineStr">
        <is>
          <t>N-OP</t>
        </is>
      </c>
      <c r="Y804" s="116">
        <f>F804/E804</f>
        <v/>
      </c>
      <c r="Z804" s="64">
        <f>E804-N804</f>
        <v/>
      </c>
    </row>
    <row r="805" ht="15.75" customHeight="1" s="202">
      <c r="A805" s="116" t="n">
        <v>20260047</v>
      </c>
      <c r="B805" s="117" t="inlineStr">
        <is>
          <t>XIN LI</t>
        </is>
      </c>
      <c r="C805" s="118" t="n">
        <v>46063</v>
      </c>
      <c r="D805" s="118" t="n">
        <v>46079</v>
      </c>
      <c r="E805" s="116" t="n">
        <v>16</v>
      </c>
      <c r="F805" s="119" t="n">
        <v>180.625</v>
      </c>
      <c r="G805" s="120" t="n">
        <v>96</v>
      </c>
      <c r="H805" s="117" t="inlineStr">
        <is>
          <t>ENTREPRISE NATIONALE DE SERVICES AUX PUITS DIVISIO</t>
        </is>
      </c>
      <c r="I805" s="117" t="inlineStr">
        <is>
          <t>COLIS</t>
        </is>
      </c>
      <c r="J805" s="117" t="inlineStr">
        <is>
          <t>COLIS</t>
        </is>
      </c>
      <c r="K805" s="48">
        <f>D805+8</f>
        <v/>
      </c>
      <c r="L805" s="48">
        <f>K805+60</f>
        <v/>
      </c>
      <c r="N805" s="72">
        <f>E805</f>
        <v/>
      </c>
      <c r="O805" s="50">
        <f>F805/E805*N805</f>
        <v/>
      </c>
      <c r="P805" s="273">
        <f>G805/E805*N805</f>
        <v/>
      </c>
      <c r="S805" s="200" t="inlineStr">
        <is>
          <t>XLLYGDJ044-046</t>
        </is>
      </c>
      <c r="T805" s="201" t="n">
        <v>42</v>
      </c>
      <c r="U805" s="58" t="inlineStr">
        <is>
          <t>SKID MOUNTED HIGH PRESSURE PUMPING UNIT YLQ45-600 &amp; YLQ45-300 WITH SPARE PARTS (VOIR BL)</t>
        </is>
      </c>
      <c r="V805" s="67" t="n"/>
      <c r="W805" s="67" t="n"/>
      <c r="X805" s="62" t="inlineStr">
        <is>
          <t>N-OP</t>
        </is>
      </c>
      <c r="Y805" s="116">
        <f>F805/E805</f>
        <v/>
      </c>
      <c r="Z805" s="64">
        <f>E805-N805</f>
        <v/>
      </c>
    </row>
    <row r="806" ht="15.75" customHeight="1" s="202">
      <c r="A806" s="106" t="n">
        <v>20260047</v>
      </c>
      <c r="B806" s="107" t="inlineStr">
        <is>
          <t>XIN LI</t>
        </is>
      </c>
      <c r="C806" s="108" t="n">
        <v>46063</v>
      </c>
      <c r="D806" s="108" t="n">
        <v>46079</v>
      </c>
      <c r="E806" s="106" t="n">
        <v>2</v>
      </c>
      <c r="F806" s="106" t="n">
        <v>46.6</v>
      </c>
      <c r="G806" s="106" t="n">
        <v>48</v>
      </c>
      <c r="H806" s="107" t="inlineStr">
        <is>
          <t>SARL ANAFAA</t>
        </is>
      </c>
      <c r="I806" s="107" t="inlineStr">
        <is>
          <t>EXCAVATEURS</t>
        </is>
      </c>
      <c r="J806" s="107" t="inlineStr">
        <is>
          <t>ENGINS</t>
        </is>
      </c>
      <c r="K806" s="108">
        <f>D806+8</f>
        <v/>
      </c>
      <c r="L806" s="108">
        <f>K806+60</f>
        <v/>
      </c>
      <c r="M806" s="107" t="n"/>
      <c r="N806" s="112">
        <f>E806-2</f>
        <v/>
      </c>
      <c r="O806" s="113">
        <f>F806/E806*N806</f>
        <v/>
      </c>
      <c r="P806" s="112">
        <f>G806/E806*N806</f>
        <v/>
      </c>
      <c r="Q806" s="109" t="n"/>
      <c r="R806" s="107" t="n"/>
      <c r="S806" s="109" t="inlineStr">
        <is>
          <t>XLLYGDJ048</t>
        </is>
      </c>
      <c r="T806" s="114" t="n">
        <v>44</v>
      </c>
      <c r="U806" s="109" t="inlineStr">
        <is>
          <t>02 UNITS HYUNDAI EXCAVATOR HX220HD + 02 HYUNDAI HAMMER (VOIR BL)</t>
        </is>
      </c>
      <c r="V806" s="106" t="n"/>
      <c r="W806" s="106" t="n"/>
      <c r="X806" s="106" t="inlineStr">
        <is>
          <t>SOLDEE</t>
        </is>
      </c>
      <c r="Y806" s="116">
        <f>F806/E806</f>
        <v/>
      </c>
      <c r="Z806" s="64">
        <f>E806-N806</f>
        <v/>
      </c>
    </row>
    <row r="807" ht="15.75" customHeight="1" s="202">
      <c r="A807" s="106" t="n">
        <v>20260047</v>
      </c>
      <c r="B807" s="107" t="inlineStr">
        <is>
          <t>XIN LI</t>
        </is>
      </c>
      <c r="C807" s="108" t="n">
        <v>46063</v>
      </c>
      <c r="D807" s="108" t="n">
        <v>46079</v>
      </c>
      <c r="E807" s="106" t="n">
        <v>2</v>
      </c>
      <c r="F807" s="106" t="n">
        <v>0</v>
      </c>
      <c r="G807" s="106" t="n">
        <v>8</v>
      </c>
      <c r="H807" s="107" t="inlineStr">
        <is>
          <t>SARL ANAFAA</t>
        </is>
      </c>
      <c r="I807" s="107" t="inlineStr">
        <is>
          <t>COLIS</t>
        </is>
      </c>
      <c r="J807" s="107" t="inlineStr">
        <is>
          <t>COLIS</t>
        </is>
      </c>
      <c r="K807" s="108">
        <f>D807+8</f>
        <v/>
      </c>
      <c r="L807" s="108">
        <f>K807+60</f>
        <v/>
      </c>
      <c r="M807" s="107" t="n"/>
      <c r="N807" s="112">
        <f>E807-2</f>
        <v/>
      </c>
      <c r="O807" s="113">
        <f>F807/E807*N807</f>
        <v/>
      </c>
      <c r="P807" s="112">
        <f>G807/E807*N807</f>
        <v/>
      </c>
      <c r="Q807" s="109" t="n"/>
      <c r="R807" s="107" t="n"/>
      <c r="S807" s="109" t="inlineStr">
        <is>
          <t>XLLYGDJ048</t>
        </is>
      </c>
      <c r="T807" s="114" t="n">
        <v>44</v>
      </c>
      <c r="U807" s="109" t="n"/>
      <c r="V807" s="106" t="n"/>
      <c r="W807" s="106" t="n"/>
      <c r="X807" s="106" t="inlineStr">
        <is>
          <t>SOLDEE</t>
        </is>
      </c>
      <c r="Y807" s="116">
        <f>F807/E807</f>
        <v/>
      </c>
      <c r="Z807" s="64">
        <f>E807-N807</f>
        <v/>
      </c>
    </row>
    <row r="808" ht="15.75" customHeight="1" s="202">
      <c r="A808" s="116" t="n">
        <v>20260047</v>
      </c>
      <c r="B808" s="117" t="inlineStr">
        <is>
          <t>XIN LI</t>
        </is>
      </c>
      <c r="C808" s="118" t="n">
        <v>46063</v>
      </c>
      <c r="D808" s="118" t="n">
        <v>46079</v>
      </c>
      <c r="E808" s="116" t="n">
        <v>1</v>
      </c>
      <c r="F808" s="119" t="n">
        <v>21.56</v>
      </c>
      <c r="G808" s="120" t="n">
        <v>24</v>
      </c>
      <c r="H808" s="117" t="inlineStr">
        <is>
          <t>EURL SOCIETE GRANDS TRAVAUX PUBLIQUES SGTP</t>
        </is>
      </c>
      <c r="I808" s="117" t="inlineStr">
        <is>
          <t>CAMIONS</t>
        </is>
      </c>
      <c r="J808" s="117" t="inlineStr">
        <is>
          <t>LOURD</t>
        </is>
      </c>
      <c r="K808" s="48">
        <f>D808+8</f>
        <v/>
      </c>
      <c r="L808" s="48">
        <f>K808+60</f>
        <v/>
      </c>
      <c r="N808" s="72">
        <f>E808</f>
        <v/>
      </c>
      <c r="O808" s="50">
        <f>F808/E808*N808</f>
        <v/>
      </c>
      <c r="P808" s="273">
        <f>G808/E808*N808</f>
        <v/>
      </c>
      <c r="S808" s="200" t="inlineStr">
        <is>
          <t>XLLYGDJ049</t>
        </is>
      </c>
      <c r="T808" s="201" t="n">
        <v>45</v>
      </c>
      <c r="U808" s="58" t="inlineStr">
        <is>
          <t>01 UNIT HYUNDAI EXCAVATOR HX220HD(VOIR BL)</t>
        </is>
      </c>
      <c r="V808" s="67" t="n"/>
      <c r="W808" s="67" t="n"/>
      <c r="X808" s="62" t="inlineStr">
        <is>
          <t>N-OP</t>
        </is>
      </c>
      <c r="Y808" s="116">
        <f>F808/E808</f>
        <v/>
      </c>
      <c r="Z808" s="64">
        <f>E808-N808</f>
        <v/>
      </c>
    </row>
    <row r="809" ht="15.75" customHeight="1" s="202">
      <c r="A809" s="106" t="n">
        <v>20260047</v>
      </c>
      <c r="B809" s="107" t="inlineStr">
        <is>
          <t>XIN LI</t>
        </is>
      </c>
      <c r="C809" s="108" t="n">
        <v>46063</v>
      </c>
      <c r="D809" s="108" t="n">
        <v>46079</v>
      </c>
      <c r="E809" s="106" t="n">
        <v>1</v>
      </c>
      <c r="F809" s="106" t="n">
        <v>21.56</v>
      </c>
      <c r="G809" s="106" t="n">
        <v>24</v>
      </c>
      <c r="H809" s="107" t="inlineStr">
        <is>
          <t>EURL SOCIETE GRANDS TRAVAUX PUBLIQUES SGTP</t>
        </is>
      </c>
      <c r="I809" s="107" t="inlineStr">
        <is>
          <t>EXCAVATEURS</t>
        </is>
      </c>
      <c r="J809" s="107" t="inlineStr">
        <is>
          <t>ENGINS</t>
        </is>
      </c>
      <c r="K809" s="108">
        <f>D809+8</f>
        <v/>
      </c>
      <c r="L809" s="108">
        <f>K809+60</f>
        <v/>
      </c>
      <c r="M809" s="107" t="n"/>
      <c r="N809" s="112">
        <f>E809-1</f>
        <v/>
      </c>
      <c r="O809" s="113">
        <f>F809/E809*N809</f>
        <v/>
      </c>
      <c r="P809" s="112">
        <f>G809/E809*N809</f>
        <v/>
      </c>
      <c r="Q809" s="109" t="n"/>
      <c r="R809" s="107" t="n"/>
      <c r="S809" s="109" t="inlineStr">
        <is>
          <t>XLLYGDJ050</t>
        </is>
      </c>
      <c r="T809" s="114" t="n">
        <v>46</v>
      </c>
      <c r="U809" s="109" t="inlineStr">
        <is>
          <t>01 UNIT HYUNDAI EXCAVATOR HX220HD (VOIR BL)</t>
        </is>
      </c>
      <c r="V809" s="106" t="n"/>
      <c r="W809" s="106" t="n"/>
      <c r="X809" s="106" t="inlineStr">
        <is>
          <t>SOLDEE</t>
        </is>
      </c>
      <c r="Y809" s="116">
        <f>F809/E809</f>
        <v/>
      </c>
      <c r="Z809" s="64">
        <f>E809-N809</f>
        <v/>
      </c>
    </row>
    <row r="810" ht="15.75" customHeight="1" s="202">
      <c r="A810" s="106" t="n">
        <v>20260047</v>
      </c>
      <c r="B810" s="107" t="inlineStr">
        <is>
          <t>XIN LI</t>
        </is>
      </c>
      <c r="C810" s="108" t="n">
        <v>46063</v>
      </c>
      <c r="D810" s="108" t="n">
        <v>46079</v>
      </c>
      <c r="E810" s="106" t="n">
        <v>2</v>
      </c>
      <c r="F810" s="106" t="n">
        <v>46.6</v>
      </c>
      <c r="G810" s="106" t="n">
        <v>48</v>
      </c>
      <c r="H810" s="107" t="inlineStr">
        <is>
          <t>SARL SOTRA GHRISS</t>
        </is>
      </c>
      <c r="I810" s="107" t="inlineStr">
        <is>
          <t>EXCAVATEURS</t>
        </is>
      </c>
      <c r="J810" s="107" t="inlineStr">
        <is>
          <t>ENGINS</t>
        </is>
      </c>
      <c r="K810" s="108">
        <f>D810+8</f>
        <v/>
      </c>
      <c r="L810" s="108">
        <f>K810+60</f>
        <v/>
      </c>
      <c r="M810" s="107" t="n"/>
      <c r="N810" s="112">
        <f>E810-2</f>
        <v/>
      </c>
      <c r="O810" s="113">
        <f>F810/E810*N810</f>
        <v/>
      </c>
      <c r="P810" s="112">
        <f>G810/E810*N810</f>
        <v/>
      </c>
      <c r="Q810" s="109" t="n"/>
      <c r="R810" s="107" t="n"/>
      <c r="S810" s="109" t="inlineStr">
        <is>
          <t>XLLYGDJ051</t>
        </is>
      </c>
      <c r="T810" s="114" t="n">
        <v>47</v>
      </c>
      <c r="U810" s="109" t="inlineStr">
        <is>
          <t>02 UNITS HYUNDAI EXCAVATOR HX220HD + 02 HYUNDAI HAMMER (VOIR BL)</t>
        </is>
      </c>
      <c r="V810" s="106" t="n"/>
      <c r="W810" s="106" t="n"/>
      <c r="X810" s="106" t="inlineStr">
        <is>
          <t>SOLDEE</t>
        </is>
      </c>
      <c r="Y810" s="116">
        <f>F810/E810</f>
        <v/>
      </c>
    </row>
    <row r="811" ht="15.75" customHeight="1" s="202">
      <c r="A811" s="106" t="n">
        <v>20260047</v>
      </c>
      <c r="B811" s="107" t="inlineStr">
        <is>
          <t>XIN LI</t>
        </is>
      </c>
      <c r="C811" s="108" t="n">
        <v>46063</v>
      </c>
      <c r="D811" s="108" t="n">
        <v>46079</v>
      </c>
      <c r="E811" s="106" t="n">
        <v>2</v>
      </c>
      <c r="F811" s="106" t="n">
        <v>0</v>
      </c>
      <c r="G811" s="106" t="n">
        <v>8</v>
      </c>
      <c r="H811" s="107" t="inlineStr">
        <is>
          <t>SARL SOTRA GHRISS</t>
        </is>
      </c>
      <c r="I811" s="107" t="inlineStr">
        <is>
          <t>COLIS</t>
        </is>
      </c>
      <c r="J811" s="107" t="inlineStr">
        <is>
          <t>COLIS</t>
        </is>
      </c>
      <c r="K811" s="108">
        <f>D811+8</f>
        <v/>
      </c>
      <c r="L811" s="108">
        <f>K811+60</f>
        <v/>
      </c>
      <c r="M811" s="107" t="n"/>
      <c r="N811" s="112">
        <f>E811-2</f>
        <v/>
      </c>
      <c r="O811" s="113">
        <f>F811/E811*N811</f>
        <v/>
      </c>
      <c r="P811" s="112">
        <f>G811/E811*N811</f>
        <v/>
      </c>
      <c r="Q811" s="109" t="n"/>
      <c r="R811" s="107" t="n"/>
      <c r="S811" s="109" t="inlineStr">
        <is>
          <t>XLLYGDJ051</t>
        </is>
      </c>
      <c r="T811" s="114" t="n">
        <v>47</v>
      </c>
      <c r="U811" s="109" t="n"/>
      <c r="V811" s="106" t="n"/>
      <c r="W811" s="106" t="n"/>
      <c r="X811" s="106" t="inlineStr">
        <is>
          <t>SOLDEE</t>
        </is>
      </c>
      <c r="Y811" s="116">
        <f>F811/E811</f>
        <v/>
      </c>
    </row>
    <row r="812" ht="15.75" customHeight="1" s="202">
      <c r="A812" s="106" t="n">
        <v>20260047</v>
      </c>
      <c r="B812" s="107" t="inlineStr">
        <is>
          <t>XIN LI</t>
        </is>
      </c>
      <c r="C812" s="108" t="n">
        <v>46063</v>
      </c>
      <c r="D812" s="108" t="n">
        <v>46079</v>
      </c>
      <c r="E812" s="106" t="n">
        <v>1</v>
      </c>
      <c r="F812" s="106" t="n">
        <v>20</v>
      </c>
      <c r="G812" s="106" t="n">
        <v>24</v>
      </c>
      <c r="H812" s="107" t="inlineStr">
        <is>
          <t>MOKHTARI NOUREDDINE</t>
        </is>
      </c>
      <c r="I812" s="107" t="inlineStr">
        <is>
          <t>COMPACTEURS</t>
        </is>
      </c>
      <c r="J812" s="107" t="inlineStr">
        <is>
          <t>ENGINS</t>
        </is>
      </c>
      <c r="K812" s="108">
        <f>D812+8</f>
        <v/>
      </c>
      <c r="L812" s="108">
        <f>K812+60</f>
        <v/>
      </c>
      <c r="M812" s="107" t="n"/>
      <c r="N812" s="112">
        <f>E812-1</f>
        <v/>
      </c>
      <c r="O812" s="113">
        <f>F812/E812*N812</f>
        <v/>
      </c>
      <c r="P812" s="112">
        <f>G812/E812*N812</f>
        <v/>
      </c>
      <c r="Q812" s="109" t="n"/>
      <c r="R812" s="107" t="n"/>
      <c r="S812" s="109" t="inlineStr">
        <is>
          <t>XLTJDJ012</t>
        </is>
      </c>
      <c r="T812" s="114" t="n">
        <v>51</v>
      </c>
      <c r="U812" s="109" t="inlineStr">
        <is>
          <t>02 UNITS PNEUMATIC ROLLER XP263 +MOTOR GRADER GR215 ( VOIR BL)</t>
        </is>
      </c>
      <c r="V812" s="106" t="n"/>
      <c r="W812" s="106" t="n"/>
      <c r="X812" s="106" t="inlineStr">
        <is>
          <t>SOLDEE</t>
        </is>
      </c>
      <c r="Y812" s="116">
        <f>F812/E812</f>
        <v/>
      </c>
      <c r="Z812" s="64">
        <f>E812-N812</f>
        <v/>
      </c>
    </row>
    <row r="813" ht="15.75" customHeight="1" s="202">
      <c r="A813" s="106" t="n">
        <v>20260047</v>
      </c>
      <c r="B813" s="107" t="inlineStr">
        <is>
          <t>XIN LI</t>
        </is>
      </c>
      <c r="C813" s="108" t="n">
        <v>46063</v>
      </c>
      <c r="D813" s="108" t="n">
        <v>46079</v>
      </c>
      <c r="E813" s="106" t="n">
        <v>1</v>
      </c>
      <c r="F813" s="106" t="n">
        <v>24.5</v>
      </c>
      <c r="G813" s="106" t="n">
        <v>40</v>
      </c>
      <c r="H813" s="107" t="inlineStr">
        <is>
          <t>MOKHTARI NOUREDDINE</t>
        </is>
      </c>
      <c r="I813" s="107" t="inlineStr">
        <is>
          <t>NIVELEUSES</t>
        </is>
      </c>
      <c r="J813" s="107" t="inlineStr">
        <is>
          <t>ENGINS</t>
        </is>
      </c>
      <c r="K813" s="108">
        <f>D813+8</f>
        <v/>
      </c>
      <c r="L813" s="108">
        <f>K813+60</f>
        <v/>
      </c>
      <c r="M813" s="107" t="n"/>
      <c r="N813" s="112">
        <f>E813-1</f>
        <v/>
      </c>
      <c r="O813" s="113">
        <f>F813/E813*N813</f>
        <v/>
      </c>
      <c r="P813" s="112">
        <f>G813/E813*N813</f>
        <v/>
      </c>
      <c r="Q813" s="109" t="n"/>
      <c r="R813" s="107" t="n"/>
      <c r="S813" s="109" t="inlineStr">
        <is>
          <t>XLTJDJ012</t>
        </is>
      </c>
      <c r="T813" s="114" t="n">
        <v>51</v>
      </c>
      <c r="U813" s="109" t="n"/>
      <c r="V813" s="106" t="n"/>
      <c r="W813" s="106" t="n"/>
      <c r="X813" s="106" t="inlineStr">
        <is>
          <t>SOLDEE</t>
        </is>
      </c>
      <c r="Y813" s="116">
        <f>F813/E813</f>
        <v/>
      </c>
      <c r="Z813" s="64">
        <f>E813-N813</f>
        <v/>
      </c>
    </row>
    <row r="814" ht="15.75" customHeight="1" s="202">
      <c r="A814" s="106" t="n">
        <v>20260047</v>
      </c>
      <c r="B814" s="107" t="inlineStr">
        <is>
          <t>XIN LI</t>
        </is>
      </c>
      <c r="C814" s="108" t="n">
        <v>46063</v>
      </c>
      <c r="D814" s="108" t="n">
        <v>46079</v>
      </c>
      <c r="E814" s="106" t="n">
        <v>3</v>
      </c>
      <c r="F814" s="106" t="n">
        <v>15.63</v>
      </c>
      <c r="G814" s="106" t="n">
        <v>72</v>
      </c>
      <c r="H814" s="107" t="inlineStr">
        <is>
          <t>EURL MEGA PAPIERS</t>
        </is>
      </c>
      <c r="I814" s="107" t="inlineStr">
        <is>
          <t>CAMIONS</t>
        </is>
      </c>
      <c r="J814" s="107" t="inlineStr">
        <is>
          <t>LOURD</t>
        </is>
      </c>
      <c r="K814" s="108">
        <f>D814+8</f>
        <v/>
      </c>
      <c r="L814" s="108">
        <f>K814+60</f>
        <v/>
      </c>
      <c r="M814" s="107" t="n"/>
      <c r="N814" s="112">
        <f>E814-3</f>
        <v/>
      </c>
      <c r="O814" s="113">
        <f>F814/E814*N814</f>
        <v/>
      </c>
      <c r="P814" s="112">
        <f>G814/E814*N814</f>
        <v/>
      </c>
      <c r="Q814" s="109" t="n"/>
      <c r="R814" s="107" t="n"/>
      <c r="S814" s="109" t="inlineStr">
        <is>
          <t>XLTJDJ013</t>
        </is>
      </c>
      <c r="T814" s="114" t="n">
        <v>52</v>
      </c>
      <c r="U814" s="109" t="inlineStr">
        <is>
          <t>03 UNITS CARGO TRUCK WITH ACCESSORIES ( VOIR BL)</t>
        </is>
      </c>
      <c r="V814" s="106" t="n"/>
      <c r="W814" s="106" t="n"/>
      <c r="X814" s="106" t="inlineStr">
        <is>
          <t>SOLDEE</t>
        </is>
      </c>
      <c r="Y814" s="116">
        <f>F814/E814</f>
        <v/>
      </c>
    </row>
    <row r="815" ht="15.75" customHeight="1" s="202">
      <c r="A815" s="116" t="n">
        <v>20260047</v>
      </c>
      <c r="B815" s="117" t="inlineStr">
        <is>
          <t>XIN LI</t>
        </is>
      </c>
      <c r="C815" s="118" t="n">
        <v>46063</v>
      </c>
      <c r="D815" s="118" t="n">
        <v>46079</v>
      </c>
      <c r="E815" s="116" t="n">
        <v>1</v>
      </c>
      <c r="F815" s="119" t="n">
        <v>13.5</v>
      </c>
      <c r="G815" s="120" t="n">
        <v>24</v>
      </c>
      <c r="H815" s="117" t="inlineStr">
        <is>
          <t>EURL TRAVAUX ESSALAM</t>
        </is>
      </c>
      <c r="I815" s="117" t="inlineStr">
        <is>
          <t>CAMIONS</t>
        </is>
      </c>
      <c r="J815" s="117" t="inlineStr">
        <is>
          <t>LOURD</t>
        </is>
      </c>
      <c r="K815" s="48">
        <f>D815+8</f>
        <v/>
      </c>
      <c r="L815" s="48">
        <f>K815+60</f>
        <v/>
      </c>
      <c r="N815" s="72">
        <f>E815</f>
        <v/>
      </c>
      <c r="O815" s="50">
        <f>F815/E815*N815</f>
        <v/>
      </c>
      <c r="P815" s="273">
        <f>G815/E815*N815</f>
        <v/>
      </c>
      <c r="S815" s="200" t="inlineStr">
        <is>
          <t>XLTJDJ014</t>
        </is>
      </c>
      <c r="T815" s="201" t="n">
        <v>53</v>
      </c>
      <c r="U815" s="58" t="inlineStr">
        <is>
          <t>01 UNIT SHACMAN F2000 DUMP TRUCK SX3255JM384 (VOIR BL)</t>
        </is>
      </c>
      <c r="V815" s="67" t="n"/>
      <c r="W815" s="67" t="n"/>
      <c r="X815" s="62" t="inlineStr">
        <is>
          <t>N-OP</t>
        </is>
      </c>
      <c r="Y815" s="116">
        <f>F815/E815</f>
        <v/>
      </c>
      <c r="Z815" s="64">
        <f>E815-N815</f>
        <v/>
      </c>
    </row>
    <row r="816" ht="15.75" customHeight="1" s="202">
      <c r="A816" s="116" t="n">
        <v>20260047</v>
      </c>
      <c r="B816" s="117" t="inlineStr">
        <is>
          <t>XIN LI</t>
        </is>
      </c>
      <c r="C816" s="118" t="n">
        <v>46063</v>
      </c>
      <c r="D816" s="118" t="n">
        <v>46079</v>
      </c>
      <c r="E816" s="116" t="n">
        <v>10</v>
      </c>
      <c r="F816" s="119" t="n">
        <v>93.274</v>
      </c>
      <c r="G816" s="120" t="n">
        <v>60</v>
      </c>
      <c r="H816" s="117" t="inlineStr">
        <is>
          <t>GREAT WALL DRILLING COMPANY</t>
        </is>
      </c>
      <c r="I816" s="117" t="inlineStr">
        <is>
          <t>COLIS</t>
        </is>
      </c>
      <c r="J816" s="117" t="inlineStr">
        <is>
          <t>COLIS</t>
        </is>
      </c>
      <c r="K816" s="48">
        <f>D816+8</f>
        <v/>
      </c>
      <c r="L816" s="48">
        <f>K816+60</f>
        <v/>
      </c>
      <c r="N816" s="72">
        <f>E816</f>
        <v/>
      </c>
      <c r="O816" s="50">
        <f>F816/E816*N816</f>
        <v/>
      </c>
      <c r="P816" s="273">
        <f>G816/E816*N816</f>
        <v/>
      </c>
      <c r="S816" s="200" t="inlineStr">
        <is>
          <t>XLTJDJ016</t>
        </is>
      </c>
      <c r="T816" s="201" t="n">
        <v>55</v>
      </c>
      <c r="U816" s="58" t="inlineStr">
        <is>
          <t>CEMENTING EQUIPMENT AND ACCESSORIES</t>
        </is>
      </c>
      <c r="V816" s="67" t="n"/>
      <c r="W816" s="67" t="n"/>
      <c r="X816" s="62" t="inlineStr">
        <is>
          <t>N-OP</t>
        </is>
      </c>
      <c r="Y816" s="116">
        <f>F816/E816</f>
        <v/>
      </c>
      <c r="Z816" s="64">
        <f>E816-N816</f>
        <v/>
      </c>
    </row>
    <row r="817" ht="15.75" customHeight="1" s="202">
      <c r="A817" s="116" t="n">
        <v>20260047</v>
      </c>
      <c r="B817" s="117" t="inlineStr">
        <is>
          <t>XIN LI</t>
        </is>
      </c>
      <c r="C817" s="118" t="n">
        <v>46063</v>
      </c>
      <c r="D817" s="118" t="n">
        <v>46079</v>
      </c>
      <c r="E817" s="116" t="n">
        <v>4</v>
      </c>
      <c r="F817" s="119" t="n">
        <v>84.48</v>
      </c>
      <c r="G817" s="120" t="n">
        <v>30</v>
      </c>
      <c r="H817" s="117" t="inlineStr">
        <is>
          <t>SH DP</t>
        </is>
      </c>
      <c r="I817" s="117" t="inlineStr">
        <is>
          <t>COLIS</t>
        </is>
      </c>
      <c r="J817" s="117" t="inlineStr">
        <is>
          <t>COLIS</t>
        </is>
      </c>
      <c r="K817" s="48">
        <f>D817+8</f>
        <v/>
      </c>
      <c r="L817" s="48">
        <f>K817+60</f>
        <v/>
      </c>
      <c r="N817" s="72">
        <f>E817</f>
        <v/>
      </c>
      <c r="O817" s="50">
        <f>F817/E817*N817</f>
        <v/>
      </c>
      <c r="P817" s="273">
        <f>G817/E817*N817</f>
        <v/>
      </c>
      <c r="S817" s="200" t="inlineStr">
        <is>
          <t>XLTJDJ018</t>
        </is>
      </c>
      <c r="T817" s="201" t="n">
        <v>57</v>
      </c>
      <c r="U817" s="58" t="inlineStr">
        <is>
          <t>FOURNITURES D'ECHANGEUR DE CHALEUR REFRIGERNAT HORIZONTAL</t>
        </is>
      </c>
      <c r="V817" s="67" t="n"/>
      <c r="W817" s="67" t="n"/>
      <c r="X817" s="62" t="inlineStr">
        <is>
          <t>N-OP</t>
        </is>
      </c>
      <c r="Y817" s="116">
        <f>F817/E817</f>
        <v/>
      </c>
      <c r="Z817" s="64">
        <f>E817-N817</f>
        <v/>
      </c>
    </row>
    <row r="818" ht="15.75" customHeight="1" s="202">
      <c r="A818" s="116" t="n">
        <v>20260047</v>
      </c>
      <c r="B818" s="117" t="inlineStr">
        <is>
          <t>XIN LI</t>
        </is>
      </c>
      <c r="C818" s="118" t="n">
        <v>46063</v>
      </c>
      <c r="D818" s="118" t="n">
        <v>46079</v>
      </c>
      <c r="E818" s="116" t="n">
        <v>1</v>
      </c>
      <c r="F818" s="119" t="n">
        <v>10.55</v>
      </c>
      <c r="G818" s="120" t="n">
        <v>24</v>
      </c>
      <c r="H818" s="117" t="inlineStr">
        <is>
          <t>AL SALAM BANK ALGERIA LOCATAIRE ABED TAYYIB</t>
        </is>
      </c>
      <c r="I818" s="117" t="inlineStr">
        <is>
          <t>CAMIONS</t>
        </is>
      </c>
      <c r="J818" s="117" t="inlineStr">
        <is>
          <t>LOURD</t>
        </is>
      </c>
      <c r="K818" s="48">
        <f>D818+8</f>
        <v/>
      </c>
      <c r="L818" s="48">
        <f>K818+60</f>
        <v/>
      </c>
      <c r="N818" s="72">
        <f>E818</f>
        <v/>
      </c>
      <c r="O818" s="50">
        <f>F818/E818*N818</f>
        <v/>
      </c>
      <c r="P818" s="273">
        <f>G818/E818*N818</f>
        <v/>
      </c>
      <c r="S818" s="200" t="inlineStr">
        <is>
          <t>XLTJDJ019</t>
        </is>
      </c>
      <c r="T818" s="201" t="n">
        <v>58</v>
      </c>
      <c r="U818" s="58" t="inlineStr">
        <is>
          <t>01 UNIT SINOTRUK HOWO-TX 6X4 TRACTOR TRUCK LHD (VOIR BL)</t>
        </is>
      </c>
      <c r="V818" s="67" t="n"/>
      <c r="W818" s="67" t="n"/>
      <c r="X818" s="62" t="inlineStr">
        <is>
          <t>N-OP</t>
        </is>
      </c>
      <c r="Y818" s="116">
        <f>F818/E818</f>
        <v/>
      </c>
      <c r="Z818" s="64">
        <f>E818-N818</f>
        <v/>
      </c>
    </row>
    <row r="819" ht="15.75" customHeight="1" s="202">
      <c r="A819" s="116" t="n">
        <v>20260047</v>
      </c>
      <c r="B819" s="117" t="inlineStr">
        <is>
          <t>XIN LI</t>
        </is>
      </c>
      <c r="C819" s="118" t="n">
        <v>46063</v>
      </c>
      <c r="D819" s="118" t="n">
        <v>46079</v>
      </c>
      <c r="E819" s="116" t="n">
        <v>1</v>
      </c>
      <c r="F819" s="119" t="n">
        <v>8.111000000000001</v>
      </c>
      <c r="G819" s="120" t="n">
        <v>24</v>
      </c>
      <c r="H819" s="117" t="inlineStr">
        <is>
          <t>EURL ATH</t>
        </is>
      </c>
      <c r="I819" s="117" t="inlineStr">
        <is>
          <t>CAMIONS</t>
        </is>
      </c>
      <c r="J819" s="117" t="inlineStr">
        <is>
          <t>LOURD</t>
        </is>
      </c>
      <c r="K819" s="48">
        <f>D819+8</f>
        <v/>
      </c>
      <c r="L819" s="48">
        <f>K819+60</f>
        <v/>
      </c>
      <c r="N819" s="72">
        <f>E819</f>
        <v/>
      </c>
      <c r="O819" s="50">
        <f>F819/E819*N819</f>
        <v/>
      </c>
      <c r="P819" s="273">
        <f>G819/E819*N819</f>
        <v/>
      </c>
      <c r="S819" s="200" t="inlineStr">
        <is>
          <t>XLTJDJ020/50</t>
        </is>
      </c>
      <c r="T819" s="201" t="n">
        <v>59</v>
      </c>
      <c r="U819" s="58" t="inlineStr">
        <is>
          <t>01 UNIT SINOTRUK SITRAK 4X2 TRACTOR-AUTOMATIC GEARBOX LHD /01 BATCH OF SPARE PARTS ( VOIR BL)</t>
        </is>
      </c>
      <c r="V819" s="67" t="n"/>
      <c r="W819" s="67" t="n"/>
      <c r="X819" s="62" t="inlineStr">
        <is>
          <t>N-OP</t>
        </is>
      </c>
      <c r="Y819" s="116">
        <f>F819/E819</f>
        <v/>
      </c>
      <c r="Z819" s="64">
        <f>E819-N819</f>
        <v/>
      </c>
    </row>
    <row r="820" ht="15.75" customHeight="1" s="202">
      <c r="A820" s="116" t="n">
        <v>20260047</v>
      </c>
      <c r="B820" s="117" t="inlineStr">
        <is>
          <t>XIN LI</t>
        </is>
      </c>
      <c r="C820" s="118" t="n">
        <v>46063</v>
      </c>
      <c r="D820" s="118" t="n">
        <v>46079</v>
      </c>
      <c r="E820" s="116" t="n">
        <v>1</v>
      </c>
      <c r="F820" s="119" t="n">
        <v>0</v>
      </c>
      <c r="G820" s="120" t="n">
        <v>4</v>
      </c>
      <c r="H820" s="117" t="inlineStr">
        <is>
          <t>EURL ATH</t>
        </is>
      </c>
      <c r="I820" s="117" t="inlineStr">
        <is>
          <t>COLIS</t>
        </is>
      </c>
      <c r="J820" s="117" t="inlineStr">
        <is>
          <t>COLIS</t>
        </is>
      </c>
      <c r="K820" s="48">
        <f>D820+8</f>
        <v/>
      </c>
      <c r="L820" s="48">
        <f>K820+60</f>
        <v/>
      </c>
      <c r="N820" s="72">
        <f>E820</f>
        <v/>
      </c>
      <c r="O820" s="50">
        <f>F820/E820*N820</f>
        <v/>
      </c>
      <c r="P820" s="273">
        <f>G820/E820*N820</f>
        <v/>
      </c>
      <c r="S820" s="200" t="inlineStr">
        <is>
          <t>XLTJDJ020/50</t>
        </is>
      </c>
      <c r="T820" s="201" t="n">
        <v>59</v>
      </c>
      <c r="U820" s="58" t="n"/>
      <c r="V820" s="67" t="n"/>
      <c r="W820" s="67" t="n"/>
      <c r="X820" s="62" t="inlineStr">
        <is>
          <t>N-OP</t>
        </is>
      </c>
      <c r="Y820" s="116">
        <f>F820/E820</f>
        <v/>
      </c>
      <c r="Z820" s="64">
        <f>E820-N820</f>
        <v/>
      </c>
    </row>
    <row r="821" ht="15.75" customHeight="1" s="202">
      <c r="A821" s="106" t="n">
        <v>20260047</v>
      </c>
      <c r="B821" s="107" t="inlineStr">
        <is>
          <t>XIN LI</t>
        </is>
      </c>
      <c r="C821" s="108" t="n">
        <v>46063</v>
      </c>
      <c r="D821" s="108" t="n">
        <v>46079</v>
      </c>
      <c r="E821" s="106" t="n">
        <v>6</v>
      </c>
      <c r="F821" s="106" t="n">
        <v>60</v>
      </c>
      <c r="G821" s="106" t="n">
        <v>144</v>
      </c>
      <c r="H821" s="107" t="inlineStr">
        <is>
          <t>ABDOUKEL IBRAHIM</t>
        </is>
      </c>
      <c r="I821" s="107" t="inlineStr">
        <is>
          <t>CAMIONS</t>
        </is>
      </c>
      <c r="J821" s="107" t="inlineStr">
        <is>
          <t>LOURD</t>
        </is>
      </c>
      <c r="K821" s="108">
        <f>D821+8</f>
        <v/>
      </c>
      <c r="L821" s="108">
        <f>K821+60</f>
        <v/>
      </c>
      <c r="M821" s="107" t="n"/>
      <c r="N821" s="112">
        <f>E821-6</f>
        <v/>
      </c>
      <c r="O821" s="113">
        <f>F821/E821*N821</f>
        <v/>
      </c>
      <c r="P821" s="112">
        <f>G821/E821*N821</f>
        <v/>
      </c>
      <c r="Q821" s="109" t="n"/>
      <c r="R821" s="107" t="n"/>
      <c r="S821" s="109" t="inlineStr">
        <is>
          <t>XLTJDJ021</t>
        </is>
      </c>
      <c r="T821" s="114" t="n">
        <v>60</v>
      </c>
      <c r="U821" s="109" t="inlineStr">
        <is>
          <t>06 UNITS SINOTRUK HOWO-T7H 6X4 TRACTOR LHD (VOIR BL)</t>
        </is>
      </c>
      <c r="V821" s="106" t="n"/>
      <c r="W821" s="106" t="n"/>
      <c r="X821" s="106" t="inlineStr">
        <is>
          <t>SOLDEE</t>
        </is>
      </c>
      <c r="Y821" s="116">
        <f>F821/E821</f>
        <v/>
      </c>
    </row>
    <row r="822" ht="15.75" customHeight="1" s="202">
      <c r="A822" s="106" t="n">
        <v>20260047</v>
      </c>
      <c r="B822" s="107" t="inlineStr">
        <is>
          <t>XIN LI</t>
        </is>
      </c>
      <c r="C822" s="108" t="n">
        <v>46063</v>
      </c>
      <c r="D822" s="108" t="n">
        <v>46079</v>
      </c>
      <c r="E822" s="106" t="n">
        <v>2</v>
      </c>
      <c r="F822" s="106" t="n">
        <v>27.04</v>
      </c>
      <c r="G822" s="106" t="n">
        <v>48</v>
      </c>
      <c r="H822" s="107" t="inlineStr">
        <is>
          <t>SARL MAKIBAT</t>
        </is>
      </c>
      <c r="I822" s="107" t="inlineStr">
        <is>
          <t>CAMIONS</t>
        </is>
      </c>
      <c r="J822" s="107" t="inlineStr">
        <is>
          <t>LOURD</t>
        </is>
      </c>
      <c r="K822" s="108">
        <f>D822+8</f>
        <v/>
      </c>
      <c r="L822" s="108">
        <f>K822+60</f>
        <v/>
      </c>
      <c r="M822" s="107" t="n"/>
      <c r="N822" s="112">
        <f>E822-2</f>
        <v/>
      </c>
      <c r="O822" s="113">
        <f>F822/E822*N822</f>
        <v/>
      </c>
      <c r="P822" s="112">
        <f>G822/E822*N822</f>
        <v/>
      </c>
      <c r="Q822" s="109" t="n"/>
      <c r="R822" s="107" t="n"/>
      <c r="S822" s="109" t="inlineStr">
        <is>
          <t>XLTJDJ022</t>
        </is>
      </c>
      <c r="T822" s="114" t="n">
        <v>61</v>
      </c>
      <c r="U822" s="109" t="inlineStr">
        <is>
          <t>02 UNITS SINOTRUCK HOWO 6X4 MIXER TRUCK LHD-10 CBM (VOIR BL)</t>
        </is>
      </c>
      <c r="V822" s="106" t="n"/>
      <c r="W822" s="106" t="n"/>
      <c r="X822" s="106" t="inlineStr">
        <is>
          <t>SOLDEE</t>
        </is>
      </c>
      <c r="Y822" s="116">
        <f>F822/E822</f>
        <v/>
      </c>
    </row>
    <row r="823" ht="15.75" customHeight="1" s="202">
      <c r="A823" s="106" t="n">
        <v>20260047</v>
      </c>
      <c r="B823" s="107" t="inlineStr">
        <is>
          <t>XIN LI</t>
        </is>
      </c>
      <c r="C823" s="108" t="n">
        <v>46063</v>
      </c>
      <c r="D823" s="108" t="n">
        <v>46079</v>
      </c>
      <c r="E823" s="106" t="n">
        <v>1</v>
      </c>
      <c r="F823" s="106" t="n">
        <v>0.268</v>
      </c>
      <c r="G823" s="106" t="n">
        <v>4</v>
      </c>
      <c r="H823" s="107" t="inlineStr">
        <is>
          <t>SARL MAKIBAT</t>
        </is>
      </c>
      <c r="I823" s="107" t="inlineStr">
        <is>
          <t>COLIS</t>
        </is>
      </c>
      <c r="J823" s="107" t="inlineStr">
        <is>
          <t>COLIS</t>
        </is>
      </c>
      <c r="K823" s="108">
        <f>D823+8</f>
        <v/>
      </c>
      <c r="L823" s="108">
        <f>K823+60</f>
        <v/>
      </c>
      <c r="M823" s="107" t="n"/>
      <c r="N823" s="112">
        <f>E823-1</f>
        <v/>
      </c>
      <c r="O823" s="113">
        <f>F823/E823*N823</f>
        <v/>
      </c>
      <c r="P823" s="112">
        <f>G823/E823*N823</f>
        <v/>
      </c>
      <c r="Q823" s="109" t="n"/>
      <c r="R823" s="107" t="n"/>
      <c r="S823" s="109" t="inlineStr">
        <is>
          <t>XLTJDJ044</t>
        </is>
      </c>
      <c r="T823" s="114" t="n">
        <v>73</v>
      </c>
      <c r="U823" s="109" t="inlineStr">
        <is>
          <t>SINOTRUK SPARE PARTS</t>
        </is>
      </c>
      <c r="V823" s="106" t="n"/>
      <c r="W823" s="106" t="n"/>
      <c r="X823" s="106" t="inlineStr">
        <is>
          <t>SOLDEE</t>
        </is>
      </c>
      <c r="Y823" s="116">
        <f>F823/E823</f>
        <v/>
      </c>
    </row>
    <row r="824" ht="15.75" customHeight="1" s="202">
      <c r="A824" s="106" t="n">
        <v>20260047</v>
      </c>
      <c r="B824" s="107" t="inlineStr">
        <is>
          <t>XIN LI</t>
        </is>
      </c>
      <c r="C824" s="108" t="n">
        <v>46063</v>
      </c>
      <c r="D824" s="108" t="n">
        <v>46079</v>
      </c>
      <c r="E824" s="106" t="n">
        <v>1</v>
      </c>
      <c r="F824" s="106" t="n">
        <v>9</v>
      </c>
      <c r="G824" s="106" t="n">
        <v>24</v>
      </c>
      <c r="H824" s="107" t="inlineStr">
        <is>
          <t>SOCIETE GENERALE ALGERIE SPA LOCATAIRE SCMGC SARL</t>
        </is>
      </c>
      <c r="I824" s="107" t="inlineStr">
        <is>
          <t>CAMIONS</t>
        </is>
      </c>
      <c r="J824" s="107" t="inlineStr">
        <is>
          <t>LOURD</t>
        </is>
      </c>
      <c r="K824" s="108">
        <f>D824+8</f>
        <v/>
      </c>
      <c r="L824" s="108">
        <f>K824+60</f>
        <v/>
      </c>
      <c r="M824" s="107" t="n"/>
      <c r="N824" s="112">
        <f>E824-1</f>
        <v/>
      </c>
      <c r="O824" s="113">
        <f>F824/E824*N824</f>
        <v/>
      </c>
      <c r="P824" s="112">
        <f>G824/E824*N824</f>
        <v/>
      </c>
      <c r="Q824" s="109" t="n"/>
      <c r="R824" s="107" t="n"/>
      <c r="S824" s="109" t="inlineStr">
        <is>
          <t>XLTJDJ046</t>
        </is>
      </c>
      <c r="T824" s="114" t="n">
        <v>75</v>
      </c>
      <c r="U824" s="109" t="inlineStr">
        <is>
          <t>01 UNIT TRUCK HEAD ZZ4257V344GC1( VOIR BL)</t>
        </is>
      </c>
      <c r="V824" s="106" t="n"/>
      <c r="W824" s="106" t="n"/>
      <c r="X824" s="106" t="inlineStr">
        <is>
          <t>SOLDEE</t>
        </is>
      </c>
      <c r="Y824" s="116">
        <f>F824/E824</f>
        <v/>
      </c>
      <c r="Z824" s="64">
        <f>E824-N824</f>
        <v/>
      </c>
    </row>
    <row r="825" ht="15.75" customHeight="1" s="202">
      <c r="A825" s="116" t="n">
        <v>20260047</v>
      </c>
      <c r="B825" s="117" t="inlineStr">
        <is>
          <t>XIN LI</t>
        </is>
      </c>
      <c r="C825" s="118" t="n">
        <v>46063</v>
      </c>
      <c r="D825" s="118" t="n">
        <v>46079</v>
      </c>
      <c r="E825" s="116" t="n">
        <v>1</v>
      </c>
      <c r="F825" s="119" t="n">
        <v>14.8</v>
      </c>
      <c r="G825" s="120" t="n">
        <v>24</v>
      </c>
      <c r="H825" s="117" t="inlineStr">
        <is>
          <t>SARL EL CHAIB IMPORT EXPORT</t>
        </is>
      </c>
      <c r="I825" s="117" t="inlineStr">
        <is>
          <t>CAMIONS</t>
        </is>
      </c>
      <c r="J825" s="117" t="inlineStr">
        <is>
          <t>LOURD</t>
        </is>
      </c>
      <c r="K825" s="48">
        <f>D825+8</f>
        <v/>
      </c>
      <c r="L825" s="48">
        <f>K825+60</f>
        <v/>
      </c>
      <c r="N825" s="72">
        <f>E825</f>
        <v/>
      </c>
      <c r="O825" s="50">
        <f>F825/E825*N825</f>
        <v/>
      </c>
      <c r="P825" s="273">
        <f>G825/E825*N825</f>
        <v/>
      </c>
      <c r="S825" s="200" t="inlineStr">
        <is>
          <t>XLTJDJ049</t>
        </is>
      </c>
      <c r="T825" s="201" t="n">
        <v>78</v>
      </c>
      <c r="U825" s="58" t="inlineStr">
        <is>
          <t>01 UNIT SINOTRUK SITRAK 8X4 MIXER TRUCK LHD ( VOIR BL)</t>
        </is>
      </c>
      <c r="V825" s="67" t="n"/>
      <c r="W825" s="67" t="n"/>
      <c r="X825" s="62" t="inlineStr">
        <is>
          <t>N-OP</t>
        </is>
      </c>
      <c r="Y825" s="116">
        <f>F825/E825</f>
        <v/>
      </c>
      <c r="Z825" s="64">
        <f>E825-N825</f>
        <v/>
      </c>
    </row>
    <row r="826" ht="15.75" customHeight="1" s="202">
      <c r="A826" s="116" t="n">
        <v>20260047</v>
      </c>
      <c r="B826" s="117" t="inlineStr">
        <is>
          <t>XIN LI</t>
        </is>
      </c>
      <c r="C826" s="118" t="n">
        <v>46063</v>
      </c>
      <c r="D826" s="118" t="n">
        <v>46079</v>
      </c>
      <c r="E826" s="116" t="n">
        <v>5</v>
      </c>
      <c r="F826" s="119" t="n">
        <v>53.905</v>
      </c>
      <c r="G826" s="120" t="n">
        <v>120</v>
      </c>
      <c r="H826" s="117" t="inlineStr">
        <is>
          <t>EURL TMSO REALISATION</t>
        </is>
      </c>
      <c r="I826" s="117" t="inlineStr">
        <is>
          <t>CAMIONS</t>
        </is>
      </c>
      <c r="J826" s="117" t="inlineStr">
        <is>
          <t>LOURD</t>
        </is>
      </c>
      <c r="K826" s="48">
        <f>D826+8</f>
        <v/>
      </c>
      <c r="L826" s="48">
        <f>K826+60</f>
        <v/>
      </c>
      <c r="N826" s="72">
        <f>E826</f>
        <v/>
      </c>
      <c r="O826" s="50">
        <f>F826/E826*N826</f>
        <v/>
      </c>
      <c r="P826" s="273">
        <f>G826/E826*N826</f>
        <v/>
      </c>
      <c r="S826" s="200" t="inlineStr">
        <is>
          <t>XLTJDJ060-64</t>
        </is>
      </c>
      <c r="T826" s="201" t="n">
        <v>80</v>
      </c>
      <c r="U826" s="58" t="inlineStr">
        <is>
          <t>01 UNITS HOWO FLATBED TRUCK/02 UNITS HOWO DUMP TRUCK/01 UNITS HOWO WATER TANK TRUCK/01 UNITS HOWO TRACTOR TRUCK</t>
        </is>
      </c>
      <c r="V826" s="67" t="n"/>
      <c r="W826" s="67" t="n"/>
      <c r="X826" s="62" t="inlineStr">
        <is>
          <t>N-OP</t>
        </is>
      </c>
      <c r="Y826" s="116">
        <f>F826/E826</f>
        <v/>
      </c>
      <c r="Z826" s="64">
        <f>E826-N826</f>
        <v/>
      </c>
    </row>
    <row r="827" ht="15.75" customHeight="1" s="202">
      <c r="A827" s="106" t="n">
        <v>20260047</v>
      </c>
      <c r="B827" s="107" t="inlineStr">
        <is>
          <t>XIN LI</t>
        </is>
      </c>
      <c r="C827" s="108" t="n">
        <v>46063</v>
      </c>
      <c r="D827" s="108" t="n">
        <v>46079</v>
      </c>
      <c r="E827" s="106" t="n">
        <v>48</v>
      </c>
      <c r="F827" s="106" t="n">
        <v>200.484</v>
      </c>
      <c r="G827" s="106" t="n">
        <v>42</v>
      </c>
      <c r="H827" s="107" t="inlineStr">
        <is>
          <t>FAR LAZHAR</t>
        </is>
      </c>
      <c r="I827" s="107" t="inlineStr">
        <is>
          <t>BOBINES</t>
        </is>
      </c>
      <c r="J827" s="107" t="inlineStr">
        <is>
          <t>BOBINES</t>
        </is>
      </c>
      <c r="K827" s="108">
        <f>D827+8</f>
        <v/>
      </c>
      <c r="L827" s="108">
        <f>K827+60</f>
        <v/>
      </c>
      <c r="M827" s="107" t="n"/>
      <c r="N827" s="112">
        <f>E827-24-24</f>
        <v/>
      </c>
      <c r="O827" s="113">
        <f>F827/E827*N827</f>
        <v/>
      </c>
      <c r="P827" s="112">
        <f>G827/E827*N827</f>
        <v/>
      </c>
      <c r="Q827" s="109" t="n"/>
      <c r="R827" s="107" t="n"/>
      <c r="S827" s="109" t="inlineStr">
        <is>
          <t>XLTJDJ001</t>
        </is>
      </c>
      <c r="T827" s="114" t="n">
        <v>48</v>
      </c>
      <c r="U827" s="109" t="inlineStr">
        <is>
          <t>GALVANIZED STEEL STRIP COILS</t>
        </is>
      </c>
      <c r="V827" s="106" t="n"/>
      <c r="W827" s="106" t="n"/>
      <c r="X827" s="106" t="inlineStr">
        <is>
          <t>SOLDEE</t>
        </is>
      </c>
      <c r="Y827" s="116">
        <f>F827/E827</f>
        <v/>
      </c>
    </row>
    <row r="828" ht="15.75" customHeight="1" s="202">
      <c r="A828" s="106" t="n">
        <v>20260047</v>
      </c>
      <c r="B828" s="107" t="inlineStr">
        <is>
          <t>XIN LI</t>
        </is>
      </c>
      <c r="C828" s="108" t="n">
        <v>46063</v>
      </c>
      <c r="D828" s="108" t="n">
        <v>46079</v>
      </c>
      <c r="E828" s="106" t="n">
        <v>313</v>
      </c>
      <c r="F828" s="106" t="n">
        <v>2501.498</v>
      </c>
      <c r="G828" s="106" t="n">
        <v>272</v>
      </c>
      <c r="H828" s="107" t="inlineStr">
        <is>
          <t>SARL EL HADJ TAHAR STEEL</t>
        </is>
      </c>
      <c r="I828" s="107" t="inlineStr">
        <is>
          <t>BOBINES</t>
        </is>
      </c>
      <c r="J828" s="107" t="inlineStr">
        <is>
          <t>BOBINES</t>
        </is>
      </c>
      <c r="K828" s="108">
        <f>D828+8</f>
        <v/>
      </c>
      <c r="L828" s="108">
        <f>K828+60</f>
        <v/>
      </c>
      <c r="M828" s="107" t="n"/>
      <c r="N828" s="112">
        <f>E828-142-24-18-76-46-7</f>
        <v/>
      </c>
      <c r="O828" s="113">
        <f>F828/E828*N828</f>
        <v/>
      </c>
      <c r="P828" s="112">
        <f>G828/E828*N828</f>
        <v/>
      </c>
      <c r="Q828" s="109" t="n"/>
      <c r="R828" s="107" t="n"/>
      <c r="S828" s="109" t="inlineStr">
        <is>
          <t>XLTJDJ003-009</t>
        </is>
      </c>
      <c r="T828" s="114" t="n">
        <v>49</v>
      </c>
      <c r="U828" s="109" t="inlineStr">
        <is>
          <t>PRIME PREPAINTED GALVANIZED STEEL SHEET IN COILS</t>
        </is>
      </c>
      <c r="V828" s="106" t="n"/>
      <c r="W828" s="106" t="n"/>
      <c r="X828" s="106" t="inlineStr">
        <is>
          <t>SOLDEE</t>
        </is>
      </c>
      <c r="Y828" s="116">
        <f>F828/E828</f>
        <v/>
      </c>
    </row>
    <row r="829" ht="15.75" customHeight="1" s="202">
      <c r="A829" s="106" t="n">
        <v>20260047</v>
      </c>
      <c r="B829" s="107" t="inlineStr">
        <is>
          <t>XIN LI</t>
        </is>
      </c>
      <c r="C829" s="108" t="n">
        <v>46063</v>
      </c>
      <c r="D829" s="108" t="n">
        <v>46079</v>
      </c>
      <c r="E829" s="106" t="n">
        <v>79</v>
      </c>
      <c r="F829" s="106" t="n">
        <v>525.9299999999999</v>
      </c>
      <c r="G829" s="106" t="n">
        <v>69</v>
      </c>
      <c r="H829" s="107" t="inlineStr">
        <is>
          <t>SARL EMMET</t>
        </is>
      </c>
      <c r="I829" s="107" t="inlineStr">
        <is>
          <t>BOBINES</t>
        </is>
      </c>
      <c r="J829" s="107" t="inlineStr">
        <is>
          <t>BOBINES</t>
        </is>
      </c>
      <c r="K829" s="108">
        <f>D829+8</f>
        <v/>
      </c>
      <c r="L829" s="108">
        <f>K829+60</f>
        <v/>
      </c>
      <c r="M829" s="107" t="n"/>
      <c r="N829" s="112">
        <f>E829-12-6-42-11-6-2</f>
        <v/>
      </c>
      <c r="O829" s="113">
        <f>F829/E829*N829</f>
        <v/>
      </c>
      <c r="P829" s="112">
        <f>G829/E829*N829</f>
        <v/>
      </c>
      <c r="Q829" s="109" t="n"/>
      <c r="R829" s="107" t="n"/>
      <c r="S829" s="109" t="inlineStr">
        <is>
          <t>XLTJDJ010</t>
        </is>
      </c>
      <c r="T829" s="114" t="n">
        <v>50</v>
      </c>
      <c r="U829" s="109" t="inlineStr">
        <is>
          <t>TINPLATE IN COILS (VOIR BL)</t>
        </is>
      </c>
      <c r="V829" s="106" t="n"/>
      <c r="W829" s="106" t="n"/>
      <c r="X829" s="106" t="inlineStr">
        <is>
          <t>SOLDEE</t>
        </is>
      </c>
      <c r="Y829" s="116">
        <f>F829/E829</f>
        <v/>
      </c>
    </row>
    <row r="830" ht="15.75" customHeight="1" s="202">
      <c r="A830" s="116" t="n">
        <v>20260047</v>
      </c>
      <c r="B830" s="117" t="inlineStr">
        <is>
          <t>XIN LI</t>
        </is>
      </c>
      <c r="C830" s="118" t="n">
        <v>46063</v>
      </c>
      <c r="D830" s="118" t="n">
        <v>46079</v>
      </c>
      <c r="E830" s="116" t="n">
        <v>119</v>
      </c>
      <c r="F830" s="119" t="n">
        <v>946.1849999999999</v>
      </c>
      <c r="G830" s="120" t="n">
        <v>104</v>
      </c>
      <c r="H830" s="117" t="inlineStr">
        <is>
          <t>SARL KAHIA METAL</t>
        </is>
      </c>
      <c r="I830" s="117" t="inlineStr">
        <is>
          <t>BOBINES</t>
        </is>
      </c>
      <c r="J830" s="117" t="inlineStr">
        <is>
          <t>BOBINES</t>
        </is>
      </c>
      <c r="K830" s="48">
        <f>D830+8</f>
        <v/>
      </c>
      <c r="L830" s="48">
        <f>K830+60</f>
        <v/>
      </c>
      <c r="N830" s="72">
        <f>E830</f>
        <v/>
      </c>
      <c r="O830" s="50">
        <f>F830/E830*N830</f>
        <v/>
      </c>
      <c r="P830" s="273">
        <f>G830/E830*N830</f>
        <v/>
      </c>
      <c r="S830" s="200" t="inlineStr">
        <is>
          <t>XLTJDJ015</t>
        </is>
      </c>
      <c r="T830" s="201" t="n">
        <v>54</v>
      </c>
      <c r="U830" s="58" t="inlineStr">
        <is>
          <t>GALVANIZED STEEL COILS</t>
        </is>
      </c>
      <c r="V830" s="67" t="n"/>
      <c r="W830" s="67" t="n"/>
      <c r="X830" s="62" t="inlineStr">
        <is>
          <t>N-OP</t>
        </is>
      </c>
      <c r="Y830" s="116">
        <f>F830/E830</f>
        <v/>
      </c>
      <c r="Z830" s="64">
        <f>E830-N830</f>
        <v/>
      </c>
    </row>
    <row r="831" ht="15.75" customHeight="1" s="202">
      <c r="A831" s="106" t="n">
        <v>20260047</v>
      </c>
      <c r="B831" s="107" t="inlineStr">
        <is>
          <t>XIN LI</t>
        </is>
      </c>
      <c r="C831" s="108" t="n">
        <v>46063</v>
      </c>
      <c r="D831" s="108" t="n">
        <v>46079</v>
      </c>
      <c r="E831" s="106" t="n">
        <v>96</v>
      </c>
      <c r="F831" s="106" t="n">
        <v>414.522</v>
      </c>
      <c r="G831" s="106" t="n">
        <v>84</v>
      </c>
      <c r="H831" s="107" t="inlineStr">
        <is>
          <t>SARL ALPHA NEW PLAS</t>
        </is>
      </c>
      <c r="I831" s="107" t="inlineStr">
        <is>
          <t>BOBINES</t>
        </is>
      </c>
      <c r="J831" s="107" t="inlineStr">
        <is>
          <t>BOBINES</t>
        </is>
      </c>
      <c r="K831" s="108">
        <f>D831+8</f>
        <v/>
      </c>
      <c r="L831" s="108">
        <f>K831+60</f>
        <v/>
      </c>
      <c r="M831" s="107" t="n"/>
      <c r="N831" s="112">
        <f>E831-60-12-24</f>
        <v/>
      </c>
      <c r="O831" s="113">
        <f>F831/E831*N831</f>
        <v/>
      </c>
      <c r="P831" s="112">
        <f>G831/E831*N831</f>
        <v/>
      </c>
      <c r="Q831" s="109" t="n"/>
      <c r="R831" s="107" t="n"/>
      <c r="S831" s="109" t="inlineStr">
        <is>
          <t>XLTJDJ025/026</t>
        </is>
      </c>
      <c r="T831" s="114" t="n">
        <v>64</v>
      </c>
      <c r="U831" s="109" t="inlineStr">
        <is>
          <t>PRE-PAINTED STEEL IN COILS</t>
        </is>
      </c>
      <c r="V831" s="106" t="n"/>
      <c r="W831" s="106" t="n"/>
      <c r="X831" s="106" t="inlineStr">
        <is>
          <t>SOLDEE</t>
        </is>
      </c>
      <c r="Y831" s="116">
        <f>F831/E831</f>
        <v/>
      </c>
    </row>
    <row r="832" ht="15.75" customHeight="1" s="202">
      <c r="A832" s="106" t="n">
        <v>20260047</v>
      </c>
      <c r="B832" s="107" t="inlineStr">
        <is>
          <t>XIN LI</t>
        </is>
      </c>
      <c r="C832" s="108" t="n">
        <v>46063</v>
      </c>
      <c r="D832" s="108" t="n">
        <v>46079</v>
      </c>
      <c r="E832" s="106" t="n">
        <v>113</v>
      </c>
      <c r="F832" s="106" t="n">
        <v>625.3200000000001</v>
      </c>
      <c r="G832" s="106" t="n">
        <v>98</v>
      </c>
      <c r="H832" s="107" t="inlineStr">
        <is>
          <t>SARL ALPHA NEW PLAS</t>
        </is>
      </c>
      <c r="I832" s="107" t="inlineStr">
        <is>
          <t>BOBINES</t>
        </is>
      </c>
      <c r="J832" s="107" t="inlineStr">
        <is>
          <t>BOBINES</t>
        </is>
      </c>
      <c r="K832" s="108">
        <f>D832+8</f>
        <v/>
      </c>
      <c r="L832" s="108">
        <f>K832+60</f>
        <v/>
      </c>
      <c r="M832" s="107" t="n"/>
      <c r="N832" s="112">
        <f>E832-9-45-22-37</f>
        <v/>
      </c>
      <c r="O832" s="113">
        <f>F832/E832*N832</f>
        <v/>
      </c>
      <c r="P832" s="112">
        <f>G832/E832*N832</f>
        <v/>
      </c>
      <c r="Q832" s="109" t="n"/>
      <c r="R832" s="107" t="n"/>
      <c r="S832" s="109" t="inlineStr">
        <is>
          <t>XLTJDJ027- 029</t>
        </is>
      </c>
      <c r="T832" s="114" t="n">
        <v>65</v>
      </c>
      <c r="U832" s="109" t="inlineStr">
        <is>
          <t>PLATED TINNED FOR COILS STEEL</t>
        </is>
      </c>
      <c r="V832" s="106" t="n"/>
      <c r="W832" s="106" t="n"/>
      <c r="X832" s="106" t="inlineStr">
        <is>
          <t>SOLDEE</t>
        </is>
      </c>
      <c r="Y832" s="116">
        <f>F832/E832</f>
        <v/>
      </c>
    </row>
    <row r="833" ht="15.75" customHeight="1" s="202">
      <c r="A833" s="106" t="n">
        <v>20260047</v>
      </c>
      <c r="B833" s="107" t="inlineStr">
        <is>
          <t>XIN LI</t>
        </is>
      </c>
      <c r="C833" s="108" t="n">
        <v>46063</v>
      </c>
      <c r="D833" s="108" t="n">
        <v>46079</v>
      </c>
      <c r="E833" s="106" t="n">
        <v>99</v>
      </c>
      <c r="F833" s="106" t="n">
        <v>450.81</v>
      </c>
      <c r="G833" s="106" t="n">
        <v>86</v>
      </c>
      <c r="H833" s="107" t="inlineStr">
        <is>
          <t>SARL ALPHA NEW PLAS</t>
        </is>
      </c>
      <c r="I833" s="107" t="inlineStr">
        <is>
          <t>BOBINES</t>
        </is>
      </c>
      <c r="J833" s="107" t="inlineStr">
        <is>
          <t>BOBINES</t>
        </is>
      </c>
      <c r="K833" s="108">
        <f>D833+8</f>
        <v/>
      </c>
      <c r="L833" s="108">
        <f>K833+60</f>
        <v/>
      </c>
      <c r="M833" s="107" t="n"/>
      <c r="N833" s="112">
        <f>E833-24-31-36-8</f>
        <v/>
      </c>
      <c r="O833" s="113">
        <f>F833/E833*N833</f>
        <v/>
      </c>
      <c r="P833" s="112">
        <f>G833/E833*N833</f>
        <v/>
      </c>
      <c r="Q833" s="109" t="n"/>
      <c r="R833" s="107" t="n"/>
      <c r="S833" s="109" t="inlineStr">
        <is>
          <t>XLTJDJ030/031</t>
        </is>
      </c>
      <c r="T833" s="114" t="n">
        <v>66</v>
      </c>
      <c r="U833" s="109" t="inlineStr">
        <is>
          <t>PLATED TINNED FOR COILS STEEL</t>
        </is>
      </c>
      <c r="V833" s="106" t="n"/>
      <c r="W833" s="106" t="n"/>
      <c r="X833" s="106" t="inlineStr">
        <is>
          <t>SOLDEE</t>
        </is>
      </c>
      <c r="Y833" s="116">
        <f>F833/E833</f>
        <v/>
      </c>
    </row>
    <row r="834" ht="15.75" customHeight="1" s="202">
      <c r="A834" s="116" t="n">
        <v>20260047</v>
      </c>
      <c r="B834" s="117" t="inlineStr">
        <is>
          <t>XIN LI</t>
        </is>
      </c>
      <c r="C834" s="118" t="n">
        <v>46063</v>
      </c>
      <c r="D834" s="118" t="n">
        <v>46079</v>
      </c>
      <c r="E834" s="116" t="n">
        <v>79</v>
      </c>
      <c r="F834" s="119" t="n">
        <v>350.247</v>
      </c>
      <c r="G834" s="120" t="n">
        <v>69</v>
      </c>
      <c r="H834" s="117" t="inlineStr">
        <is>
          <t>SARL COMAVER</t>
        </is>
      </c>
      <c r="I834" s="117" t="inlineStr">
        <is>
          <t>BOBINES</t>
        </is>
      </c>
      <c r="J834" s="117" t="inlineStr">
        <is>
          <t>BOBINES</t>
        </is>
      </c>
      <c r="K834" s="48">
        <f>D834+8</f>
        <v/>
      </c>
      <c r="L834" s="48">
        <f>K834+60</f>
        <v/>
      </c>
      <c r="N834" s="72">
        <f>E834</f>
        <v/>
      </c>
      <c r="O834" s="50">
        <f>F834/E834*N834</f>
        <v/>
      </c>
      <c r="P834" s="273">
        <f>G834/E834*N834</f>
        <v/>
      </c>
      <c r="S834" s="200" t="inlineStr">
        <is>
          <t>XLTJDJ032</t>
        </is>
      </c>
      <c r="T834" s="201" t="n">
        <v>67</v>
      </c>
      <c r="U834" s="58" t="inlineStr">
        <is>
          <t>COLD ROLLED CARBON STEEL STRIP /GALVANIZED STRIPS WITH A BRIGHT SURFACE</t>
        </is>
      </c>
      <c r="V834" s="67" t="n"/>
      <c r="W834" s="67" t="n"/>
      <c r="X834" s="62" t="inlineStr">
        <is>
          <t>N-OP</t>
        </is>
      </c>
      <c r="Y834" s="116">
        <f>F834/E834</f>
        <v/>
      </c>
      <c r="Z834" s="64">
        <f>E834-N834</f>
        <v/>
      </c>
    </row>
    <row r="835" ht="15.75" customHeight="1" s="202">
      <c r="A835" s="106" t="n">
        <v>20260047</v>
      </c>
      <c r="B835" s="107" t="inlineStr">
        <is>
          <t>XIN LI</t>
        </is>
      </c>
      <c r="C835" s="108" t="n">
        <v>46063</v>
      </c>
      <c r="D835" s="108" t="n">
        <v>46079</v>
      </c>
      <c r="E835" s="106" t="n">
        <v>29</v>
      </c>
      <c r="F835" s="106" t="n">
        <v>160.15</v>
      </c>
      <c r="G835" s="106" t="n">
        <v>25</v>
      </c>
      <c r="H835" s="107" t="inlineStr">
        <is>
          <t>SARL LAGUA</t>
        </is>
      </c>
      <c r="I835" s="107" t="inlineStr">
        <is>
          <t>BOBINES</t>
        </is>
      </c>
      <c r="J835" s="107" t="inlineStr">
        <is>
          <t>BOBINES</t>
        </is>
      </c>
      <c r="K835" s="108">
        <f>D835+8</f>
        <v/>
      </c>
      <c r="L835" s="108">
        <f>K835+60</f>
        <v/>
      </c>
      <c r="M835" s="107" t="n"/>
      <c r="N835" s="112">
        <f>E835-29</f>
        <v/>
      </c>
      <c r="O835" s="113">
        <f>F835/E835*N835</f>
        <v/>
      </c>
      <c r="P835" s="112">
        <f>G835/E835*N835</f>
        <v/>
      </c>
      <c r="Q835" s="109" t="n"/>
      <c r="R835" s="107" t="n"/>
      <c r="S835" s="109" t="inlineStr">
        <is>
          <t>XLTJDJ034</t>
        </is>
      </c>
      <c r="T835" s="114" t="n">
        <v>69</v>
      </c>
      <c r="U835" s="109" t="inlineStr">
        <is>
          <t>Z80 GI COIL 2.8*1500 / CARBON STEEL SHEET</t>
        </is>
      </c>
      <c r="V835" s="106" t="n"/>
      <c r="W835" s="106" t="n"/>
      <c r="X835" s="106" t="inlineStr">
        <is>
          <t>SOLDEE</t>
        </is>
      </c>
      <c r="Y835" s="116">
        <f>F835/E835</f>
        <v/>
      </c>
    </row>
    <row r="836" ht="15.75" customHeight="1" s="202">
      <c r="A836" s="106" t="n">
        <v>20260047</v>
      </c>
      <c r="B836" s="107" t="inlineStr">
        <is>
          <t>XIN LI</t>
        </is>
      </c>
      <c r="C836" s="108" t="n">
        <v>46063</v>
      </c>
      <c r="D836" s="108" t="n">
        <v>46079</v>
      </c>
      <c r="E836" s="106" t="n">
        <v>301</v>
      </c>
      <c r="F836" s="106" t="n">
        <v>1697.165</v>
      </c>
      <c r="G836" s="106" t="n">
        <v>262</v>
      </c>
      <c r="H836" s="107" t="inlineStr">
        <is>
          <t>EURL MAGHREB PANNEAUX SANDWICH</t>
        </is>
      </c>
      <c r="I836" s="107" t="inlineStr">
        <is>
          <t>BOBINES</t>
        </is>
      </c>
      <c r="J836" s="107" t="inlineStr">
        <is>
          <t>BOBINES</t>
        </is>
      </c>
      <c r="K836" s="108">
        <f>D836+8</f>
        <v/>
      </c>
      <c r="L836" s="108">
        <f>K836+60</f>
        <v/>
      </c>
      <c r="M836" s="107" t="n"/>
      <c r="N836" s="112">
        <f>E836-15-20-50-110-45-61</f>
        <v/>
      </c>
      <c r="O836" s="113">
        <f>F836/E836*N836</f>
        <v/>
      </c>
      <c r="P836" s="112">
        <f>G836/E836*N836</f>
        <v/>
      </c>
      <c r="Q836" s="109" t="n"/>
      <c r="R836" s="107" t="n"/>
      <c r="S836" s="109" t="inlineStr">
        <is>
          <t>XLTJDJ053-058</t>
        </is>
      </c>
      <c r="T836" s="114" t="n">
        <v>79</v>
      </c>
      <c r="U836" s="109" t="inlineStr">
        <is>
          <t>PRIME PPGI STEEL COILS/PRIME HOT DIPPED GALVANIZED STEEL STRIPS</t>
        </is>
      </c>
      <c r="V836" s="106" t="n"/>
      <c r="W836" s="106" t="n"/>
      <c r="X836" s="106" t="inlineStr">
        <is>
          <t>SOLDEE</t>
        </is>
      </c>
      <c r="Y836" s="116">
        <f>F836/E836</f>
        <v/>
      </c>
    </row>
    <row r="837" ht="15.75" customHeight="1" s="202">
      <c r="A837" s="106" t="n">
        <v>20260047</v>
      </c>
      <c r="B837" s="107" t="inlineStr">
        <is>
          <t>XIN LI</t>
        </is>
      </c>
      <c r="C837" s="108" t="n">
        <v>46063</v>
      </c>
      <c r="D837" s="108" t="n">
        <v>46079</v>
      </c>
      <c r="E837" s="106" t="n">
        <v>714</v>
      </c>
      <c r="F837" s="106" t="n">
        <v>1000</v>
      </c>
      <c r="G837" s="106" t="n">
        <v>622</v>
      </c>
      <c r="H837" s="107" t="inlineStr">
        <is>
          <t>SARL METAL STEEL COMPANY .LTD SETIF</t>
        </is>
      </c>
      <c r="I837" s="107" t="inlineStr">
        <is>
          <t>SABLE DE QUARTZ EN BIG BAG</t>
        </is>
      </c>
      <c r="J837" s="107" t="inlineStr">
        <is>
          <t>BIG BAG</t>
        </is>
      </c>
      <c r="K837" s="108">
        <f>D837+8</f>
        <v/>
      </c>
      <c r="L837" s="108">
        <f>K837+60</f>
        <v/>
      </c>
      <c r="M837" s="107" t="n"/>
      <c r="N837" s="112">
        <f>E837-175-291-188-43-17</f>
        <v/>
      </c>
      <c r="O837" s="113">
        <f>F837/E837*N837</f>
        <v/>
      </c>
      <c r="P837" s="112">
        <f>G837/E837*N837</f>
        <v/>
      </c>
      <c r="Q837" s="109" t="n"/>
      <c r="R837" s="107" t="n"/>
      <c r="S837" s="109" t="inlineStr">
        <is>
          <t>XLTJDJ017</t>
        </is>
      </c>
      <c r="T837" s="114" t="n">
        <v>56</v>
      </c>
      <c r="U837" s="109" t="inlineStr">
        <is>
          <t>MIXED QUARTZ</t>
        </is>
      </c>
      <c r="V837" s="106" t="n"/>
      <c r="W837" s="106" t="n"/>
      <c r="X837" s="106" t="inlineStr">
        <is>
          <t>SOLDEE</t>
        </is>
      </c>
      <c r="Y837" s="116">
        <f>F837/E837</f>
        <v/>
      </c>
    </row>
    <row r="838" ht="15.75" customHeight="1" s="202">
      <c r="A838" s="106" t="n">
        <v>20260047</v>
      </c>
      <c r="B838" s="107" t="inlineStr">
        <is>
          <t>XIN LI</t>
        </is>
      </c>
      <c r="C838" s="108" t="n">
        <v>46063</v>
      </c>
      <c r="D838" s="108" t="n">
        <v>46079</v>
      </c>
      <c r="E838" s="106" t="n">
        <v>94</v>
      </c>
      <c r="F838" s="106" t="n">
        <v>423.551</v>
      </c>
      <c r="G838" s="106" t="n">
        <v>650</v>
      </c>
      <c r="H838" s="107" t="inlineStr">
        <is>
          <t>SPA EL-FATH</t>
        </is>
      </c>
      <c r="I838" s="107" t="inlineStr">
        <is>
          <t>CHARPENTE METALIQUE</t>
        </is>
      </c>
      <c r="J838" s="107" t="inlineStr">
        <is>
          <t>CHARPENTE METALIQUE</t>
        </is>
      </c>
      <c r="K838" s="108">
        <f>D838+8</f>
        <v/>
      </c>
      <c r="L838" s="108">
        <f>K838+60</f>
        <v/>
      </c>
      <c r="M838" s="107" t="n"/>
      <c r="N838" s="112">
        <f>E838-20-51-16-7</f>
        <v/>
      </c>
      <c r="O838" s="113">
        <f>F838/E838*N838</f>
        <v/>
      </c>
      <c r="P838" s="112">
        <f>G838/E838*N838</f>
        <v/>
      </c>
      <c r="Q838" s="109" t="n"/>
      <c r="R838" s="107" t="n"/>
      <c r="S838" s="109" t="inlineStr">
        <is>
          <t>XLTJDJ037/038</t>
        </is>
      </c>
      <c r="T838" s="114" t="n">
        <v>71</v>
      </c>
      <c r="U838" s="109" t="inlineStr">
        <is>
          <t>CHARPENTE METALLIQUE</t>
        </is>
      </c>
      <c r="V838" s="106" t="n"/>
      <c r="W838" s="106" t="n"/>
      <c r="X838" s="106" t="inlineStr">
        <is>
          <t>SOLDEE</t>
        </is>
      </c>
      <c r="Y838" s="116">
        <f>F838/E838</f>
        <v/>
      </c>
    </row>
    <row r="839" ht="15.75" customHeight="1" s="202">
      <c r="A839" s="116" t="n">
        <v>20260047</v>
      </c>
      <c r="B839" s="117" t="inlineStr">
        <is>
          <t>XIN LI</t>
        </is>
      </c>
      <c r="C839" s="118" t="n">
        <v>46063</v>
      </c>
      <c r="D839" s="118" t="n">
        <v>46079</v>
      </c>
      <c r="E839" s="116" t="n">
        <v>499</v>
      </c>
      <c r="F839" s="119" t="n">
        <v>1970.3</v>
      </c>
      <c r="G839" s="120" t="n">
        <v>190</v>
      </c>
      <c r="H839" s="117" t="inlineStr">
        <is>
          <t>EURL METGAV ROUTE NATIONALE</t>
        </is>
      </c>
      <c r="I839" s="117" t="inlineStr">
        <is>
          <t>BARRES PLATES</t>
        </is>
      </c>
      <c r="J839" s="117" t="inlineStr">
        <is>
          <t>BARRES PLATES</t>
        </is>
      </c>
      <c r="K839" s="48">
        <f>D839+8</f>
        <v/>
      </c>
      <c r="L839" s="48">
        <f>K839+60</f>
        <v/>
      </c>
      <c r="N839" s="72">
        <f>E839</f>
        <v/>
      </c>
      <c r="O839" s="50">
        <f>F839/E839*N839</f>
        <v/>
      </c>
      <c r="P839" s="273">
        <f>G839/E839*N839</f>
        <v/>
      </c>
      <c r="S839" s="200" t="inlineStr">
        <is>
          <t>XLTJDJ039-043</t>
        </is>
      </c>
      <c r="T839" s="201" t="n">
        <v>72</v>
      </c>
      <c r="U839" s="58" t="inlineStr">
        <is>
          <t>HOT ROLLED FLAT BARS</t>
        </is>
      </c>
      <c r="V839" s="67" t="n"/>
      <c r="W839" s="67" t="n"/>
      <c r="X839" s="62" t="inlineStr">
        <is>
          <t>N-OP</t>
        </is>
      </c>
      <c r="Y839" s="116">
        <f>F839/E839</f>
        <v/>
      </c>
      <c r="Z839" s="64">
        <f>E839-N839</f>
        <v/>
      </c>
    </row>
    <row r="840" ht="15.75" customHeight="1" s="202">
      <c r="A840" s="106" t="n">
        <v>20260047</v>
      </c>
      <c r="B840" s="107" t="inlineStr">
        <is>
          <t>XIN LI</t>
        </is>
      </c>
      <c r="C840" s="108" t="n">
        <v>46063</v>
      </c>
      <c r="D840" s="108" t="n">
        <v>46079</v>
      </c>
      <c r="E840" s="106" t="n">
        <v>524</v>
      </c>
      <c r="F840" s="106" t="n">
        <v>424.272</v>
      </c>
      <c r="G840" s="106" t="n">
        <v>430</v>
      </c>
      <c r="H840" s="107" t="inlineStr">
        <is>
          <t>SARL GENIE HYDRAULIQUE ET HYDROCARBURE</t>
        </is>
      </c>
      <c r="I840" s="107" t="inlineStr">
        <is>
          <t>TUBES</t>
        </is>
      </c>
      <c r="J840" s="107" t="inlineStr">
        <is>
          <t>TUBES</t>
        </is>
      </c>
      <c r="K840" s="108">
        <f>D840+8</f>
        <v/>
      </c>
      <c r="L840" s="108">
        <f>K840+60</f>
        <v/>
      </c>
      <c r="M840" s="107" t="n"/>
      <c r="N840" s="112">
        <f>E840-216-72-90-128-18</f>
        <v/>
      </c>
      <c r="O840" s="113">
        <f>F840/E840*N840</f>
        <v/>
      </c>
      <c r="P840" s="112">
        <f>G840/E840*N840</f>
        <v/>
      </c>
      <c r="Q840" s="109" t="n"/>
      <c r="R840" s="107" t="n"/>
      <c r="S840" s="109" t="inlineStr">
        <is>
          <t>XLTJDJ023</t>
        </is>
      </c>
      <c r="T840" s="114" t="n">
        <v>62</v>
      </c>
      <c r="U840" s="109" t="inlineStr">
        <is>
          <t>CASING TUBE</t>
        </is>
      </c>
      <c r="V840" s="106" t="n"/>
      <c r="W840" s="106" t="n"/>
      <c r="X840" s="106" t="inlineStr">
        <is>
          <t>SOLDEE</t>
        </is>
      </c>
      <c r="Y840" s="116">
        <f>F840/E840</f>
        <v/>
      </c>
    </row>
    <row r="841" ht="15.75" customHeight="1" s="202">
      <c r="A841" s="116" t="n">
        <v>20260047</v>
      </c>
      <c r="B841" s="117" t="inlineStr">
        <is>
          <t>XIN LI</t>
        </is>
      </c>
      <c r="C841" s="118" t="n">
        <v>46063</v>
      </c>
      <c r="D841" s="118" t="n">
        <v>46079</v>
      </c>
      <c r="E841" s="116" t="n">
        <v>42</v>
      </c>
      <c r="F841" s="119" t="n">
        <v>118</v>
      </c>
      <c r="G841" s="120" t="n">
        <v>34</v>
      </c>
      <c r="H841" s="117" t="inlineStr">
        <is>
          <t>FODIL KHALID</t>
        </is>
      </c>
      <c r="I841" s="117" t="inlineStr">
        <is>
          <t>TUBES</t>
        </is>
      </c>
      <c r="J841" s="117" t="inlineStr">
        <is>
          <t>TUBES</t>
        </is>
      </c>
      <c r="K841" s="48">
        <f>D841+8</f>
        <v/>
      </c>
      <c r="L841" s="48">
        <f>K841+60</f>
        <v/>
      </c>
      <c r="N841" s="72">
        <f>E841</f>
        <v/>
      </c>
      <c r="O841" s="50">
        <f>F841/E841*N841</f>
        <v/>
      </c>
      <c r="P841" s="273">
        <f>G841/E841*N841</f>
        <v/>
      </c>
      <c r="S841" s="200" t="inlineStr">
        <is>
          <t>XLTJDJ024</t>
        </is>
      </c>
      <c r="T841" s="201" t="n">
        <v>63</v>
      </c>
      <c r="U841" s="58" t="inlineStr">
        <is>
          <t>ERW STEEL PIPE</t>
        </is>
      </c>
      <c r="V841" s="67" t="n"/>
      <c r="W841" s="67" t="n"/>
      <c r="X841" s="62" t="inlineStr">
        <is>
          <t>N-OP</t>
        </is>
      </c>
      <c r="Y841" s="116">
        <f>F841/E841</f>
        <v/>
      </c>
      <c r="Z841" s="64">
        <f>E841-N841</f>
        <v/>
      </c>
    </row>
    <row r="842" ht="15.75" customHeight="1" s="202">
      <c r="A842" s="116" t="n">
        <v>20260047</v>
      </c>
      <c r="B842" s="117" t="inlineStr">
        <is>
          <t>XIN LI</t>
        </is>
      </c>
      <c r="C842" s="118" t="n">
        <v>46063</v>
      </c>
      <c r="D842" s="118" t="n">
        <v>46079</v>
      </c>
      <c r="E842" s="116" t="n">
        <v>2892</v>
      </c>
      <c r="F842" s="119" t="n">
        <v>3019.368</v>
      </c>
      <c r="G842" s="120" t="n">
        <v>2374</v>
      </c>
      <c r="H842" s="117" t="inlineStr">
        <is>
          <t>SH ENI GROUPEMENT</t>
        </is>
      </c>
      <c r="I842" s="117" t="inlineStr">
        <is>
          <t>TUBES</t>
        </is>
      </c>
      <c r="J842" s="117" t="inlineStr">
        <is>
          <t>TUBES</t>
        </is>
      </c>
      <c r="K842" s="48">
        <f>D842+8</f>
        <v/>
      </c>
      <c r="L842" s="48">
        <f>K842+60</f>
        <v/>
      </c>
      <c r="N842" s="72">
        <f>E842</f>
        <v/>
      </c>
      <c r="O842" s="50">
        <f>F842/E842*N842</f>
        <v/>
      </c>
      <c r="P842" s="273">
        <f>G842/E842*N842</f>
        <v/>
      </c>
      <c r="S842" s="200" t="inlineStr">
        <is>
          <t>XLTJDJ035/036</t>
        </is>
      </c>
      <c r="T842" s="201" t="n">
        <v>70</v>
      </c>
      <c r="U842" s="58" t="inlineStr">
        <is>
          <t>FOURNITURE DE TUBES DE CANALISATION</t>
        </is>
      </c>
      <c r="V842" s="67" t="n"/>
      <c r="W842" s="67" t="n"/>
      <c r="X842" s="62" t="inlineStr">
        <is>
          <t>N-OP</t>
        </is>
      </c>
      <c r="Y842" s="116">
        <f>F842/E842</f>
        <v/>
      </c>
      <c r="Z842" s="64">
        <f>E842-N842</f>
        <v/>
      </c>
    </row>
    <row r="843" ht="15.75" customHeight="1" s="202">
      <c r="A843" s="116" t="n">
        <v>20260047</v>
      </c>
      <c r="B843" s="117" t="inlineStr">
        <is>
          <t>XIN LI</t>
        </is>
      </c>
      <c r="C843" s="118" t="n">
        <v>46063</v>
      </c>
      <c r="D843" s="118" t="n">
        <v>46079</v>
      </c>
      <c r="E843" s="116" t="n">
        <v>246</v>
      </c>
      <c r="F843" s="119" t="n">
        <v>213.085</v>
      </c>
      <c r="G843" s="120" t="n">
        <v>202</v>
      </c>
      <c r="H843" s="117" t="inlineStr">
        <is>
          <t>SH OURHOUD ORGANISATION</t>
        </is>
      </c>
      <c r="I843" s="117" t="inlineStr">
        <is>
          <t>TUBES</t>
        </is>
      </c>
      <c r="J843" s="117" t="inlineStr">
        <is>
          <t>TUBES</t>
        </is>
      </c>
      <c r="K843" s="48">
        <f>D843+8</f>
        <v/>
      </c>
      <c r="L843" s="48">
        <f>K843+60</f>
        <v/>
      </c>
      <c r="N843" s="72">
        <f>E843</f>
        <v/>
      </c>
      <c r="O843" s="50">
        <f>F843/E843*N843</f>
        <v/>
      </c>
      <c r="P843" s="273">
        <f>G843/E843*N843</f>
        <v/>
      </c>
      <c r="S843" s="200" t="inlineStr">
        <is>
          <t>XLTJDJ045</t>
        </is>
      </c>
      <c r="T843" s="201" t="n">
        <v>74</v>
      </c>
      <c r="U843" s="58" t="inlineStr">
        <is>
          <t>CARBON STEEL PIPES</t>
        </is>
      </c>
      <c r="V843" s="67" t="n"/>
      <c r="W843" s="67" t="n"/>
      <c r="X843" s="62" t="inlineStr">
        <is>
          <t>N-OP</t>
        </is>
      </c>
      <c r="Y843" s="116">
        <f>F843/E843</f>
        <v/>
      </c>
      <c r="Z843" s="64">
        <f>E843-N843</f>
        <v/>
      </c>
    </row>
    <row r="844" ht="15.75" customHeight="1" s="202">
      <c r="A844" s="116" t="n">
        <v>20260047</v>
      </c>
      <c r="B844" s="117" t="inlineStr">
        <is>
          <t>XIN LI</t>
        </is>
      </c>
      <c r="C844" s="118" t="n">
        <v>46063</v>
      </c>
      <c r="D844" s="118" t="n">
        <v>46079</v>
      </c>
      <c r="E844" s="116" t="n">
        <v>39</v>
      </c>
      <c r="F844" s="119" t="n">
        <v>171.524</v>
      </c>
      <c r="G844" s="120" t="n">
        <v>32</v>
      </c>
      <c r="H844" s="117" t="inlineStr">
        <is>
          <t>SARL ORAN POLYESTER</t>
        </is>
      </c>
      <c r="I844" s="117" t="inlineStr">
        <is>
          <t>TUBES</t>
        </is>
      </c>
      <c r="J844" s="117" t="inlineStr">
        <is>
          <t>TUBES</t>
        </is>
      </c>
      <c r="K844" s="48">
        <f>D844+8</f>
        <v/>
      </c>
      <c r="L844" s="48">
        <f>K844+60</f>
        <v/>
      </c>
      <c r="N844" s="72">
        <f>E844</f>
        <v/>
      </c>
      <c r="O844" s="50">
        <f>F844/E844*N844</f>
        <v/>
      </c>
      <c r="P844" s="273">
        <f>G844/E844*N844</f>
        <v/>
      </c>
      <c r="S844" s="200" t="inlineStr">
        <is>
          <t>XLTJDJ047</t>
        </is>
      </c>
      <c r="T844" s="201" t="n">
        <v>76</v>
      </c>
      <c r="U844" s="58" t="inlineStr">
        <is>
          <t>RACORDERTE(pipe)</t>
        </is>
      </c>
      <c r="V844" s="67" t="n"/>
      <c r="W844" s="67" t="n"/>
      <c r="X844" s="62" t="inlineStr">
        <is>
          <t>N-OP</t>
        </is>
      </c>
      <c r="Y844" s="116">
        <f>F844/E844</f>
        <v/>
      </c>
      <c r="Z844" s="64">
        <f>E844-N844</f>
        <v/>
      </c>
    </row>
    <row r="845" ht="15.75" customHeight="1" s="202">
      <c r="A845" s="116" t="n">
        <v>20260047</v>
      </c>
      <c r="B845" s="117" t="inlineStr">
        <is>
          <t>XIN LI</t>
        </is>
      </c>
      <c r="C845" s="118" t="n">
        <v>46063</v>
      </c>
      <c r="D845" s="118" t="n">
        <v>46079</v>
      </c>
      <c r="E845" s="116" t="n">
        <v>127</v>
      </c>
      <c r="F845" s="119" t="n">
        <v>370.535</v>
      </c>
      <c r="G845" s="120" t="n">
        <v>104</v>
      </c>
      <c r="H845" s="117" t="inlineStr">
        <is>
          <t>EXPRO GULF LIMITED - ALGERIA BRANCH</t>
        </is>
      </c>
      <c r="I845" s="117" t="inlineStr">
        <is>
          <t>TUBES</t>
        </is>
      </c>
      <c r="J845" s="117" t="inlineStr">
        <is>
          <t>TUBES</t>
        </is>
      </c>
      <c r="K845" s="48">
        <f>D845+8</f>
        <v/>
      </c>
      <c r="L845" s="48">
        <f>K845+60</f>
        <v/>
      </c>
      <c r="N845" s="72">
        <f>E845</f>
        <v/>
      </c>
      <c r="O845" s="50">
        <f>F845/E845*N845</f>
        <v/>
      </c>
      <c r="P845" s="273">
        <f>G845/E845*N845</f>
        <v/>
      </c>
      <c r="S845" s="200" t="inlineStr">
        <is>
          <t>XLTJDJ048</t>
        </is>
      </c>
      <c r="T845" s="201" t="n">
        <v>77</v>
      </c>
      <c r="U845" s="58" t="inlineStr">
        <is>
          <t>SMLS PIPE</t>
        </is>
      </c>
      <c r="V845" s="67" t="n"/>
      <c r="W845" s="67" t="n"/>
      <c r="X845" s="62" t="inlineStr">
        <is>
          <t>N-OP</t>
        </is>
      </c>
      <c r="Y845" s="116">
        <f>F845/E845</f>
        <v/>
      </c>
      <c r="Z845" s="64">
        <f>E845-N845</f>
        <v/>
      </c>
    </row>
    <row r="846" ht="15.75" customHeight="1" s="202">
      <c r="A846" s="106" t="n">
        <v>20260067</v>
      </c>
      <c r="B846" s="107" t="inlineStr">
        <is>
          <t>EAGLE</t>
        </is>
      </c>
      <c r="C846" s="108" t="n">
        <v>46077</v>
      </c>
      <c r="D846" s="108" t="n">
        <v>46081</v>
      </c>
      <c r="E846" s="106" t="n">
        <v>10</v>
      </c>
      <c r="F846" s="106" t="n">
        <v>106.7</v>
      </c>
      <c r="G846" s="106" t="n">
        <v>400</v>
      </c>
      <c r="H846" s="107" t="inlineStr">
        <is>
          <t>SARL PENG-PU ALGERIE</t>
        </is>
      </c>
      <c r="I846" s="107" t="inlineStr">
        <is>
          <t>BUS</t>
        </is>
      </c>
      <c r="J846" s="107" t="inlineStr">
        <is>
          <t>COLIS</t>
        </is>
      </c>
      <c r="K846" s="108">
        <f>D846+8</f>
        <v/>
      </c>
      <c r="L846" s="108">
        <f>K846+60</f>
        <v/>
      </c>
      <c r="M846" s="107" t="n"/>
      <c r="N846" s="112">
        <f>E846-6-4</f>
        <v/>
      </c>
      <c r="O846" s="113">
        <f>F846/E846*N846</f>
        <v/>
      </c>
      <c r="P846" s="112">
        <f>G846/E846*N846</f>
        <v/>
      </c>
      <c r="Q846" s="109" t="n"/>
      <c r="R846" s="107" t="n"/>
      <c r="S846" s="109" t="inlineStr">
        <is>
          <t>DZ2509005V04</t>
        </is>
      </c>
      <c r="T846" s="114" t="n">
        <v>1</v>
      </c>
      <c r="U846" s="109" t="inlineStr">
        <is>
          <t>10 BUS BS106 (EURO2) DKD 2025 MY EN KIT</t>
        </is>
      </c>
      <c r="V846" s="106" t="n"/>
      <c r="W846" s="106" t="n"/>
      <c r="X846" s="106" t="inlineStr">
        <is>
          <t>SOLDEE</t>
        </is>
      </c>
      <c r="Y846" s="116">
        <f>F846/E846</f>
        <v/>
      </c>
    </row>
    <row r="847" ht="15.75" customHeight="1" s="202">
      <c r="A847" s="106" t="n">
        <v>20260067</v>
      </c>
      <c r="B847" s="107" t="inlineStr">
        <is>
          <t>EAGLE</t>
        </is>
      </c>
      <c r="C847" s="108" t="n">
        <v>46077</v>
      </c>
      <c r="D847" s="108" t="n">
        <v>46081</v>
      </c>
      <c r="E847" s="106" t="n">
        <v>12</v>
      </c>
      <c r="F847" s="106" t="n">
        <v>161.28</v>
      </c>
      <c r="G847" s="106" t="n">
        <v>480</v>
      </c>
      <c r="H847" s="107" t="inlineStr">
        <is>
          <t>SARL PENG-PU ALGERIE</t>
        </is>
      </c>
      <c r="I847" s="107" t="inlineStr">
        <is>
          <t>BUS</t>
        </is>
      </c>
      <c r="J847" s="107" t="inlineStr">
        <is>
          <t>COLIS</t>
        </is>
      </c>
      <c r="K847" s="108">
        <f>D847+8</f>
        <v/>
      </c>
      <c r="L847" s="108">
        <f>K847+60</f>
        <v/>
      </c>
      <c r="M847" s="107" t="n"/>
      <c r="N847" s="112">
        <f>E847-6-5-1</f>
        <v/>
      </c>
      <c r="O847" s="113">
        <f>F847/E847*N847</f>
        <v/>
      </c>
      <c r="P847" s="112">
        <f>G847/E847*N847</f>
        <v/>
      </c>
      <c r="Q847" s="109" t="n"/>
      <c r="R847" s="107" t="n"/>
      <c r="S847" s="109" t="inlineStr">
        <is>
          <t>DZ2509006V05</t>
        </is>
      </c>
      <c r="T847" s="114" t="n">
        <v>2</v>
      </c>
      <c r="U847" s="109" t="inlineStr">
        <is>
          <t>12 AUTOBUS GDW6121HK (EURO3) DKD 2025 MY EN KIT</t>
        </is>
      </c>
      <c r="V847" s="106" t="n"/>
      <c r="W847" s="106" t="n"/>
      <c r="X847" s="106" t="inlineStr">
        <is>
          <t>SOLDEE</t>
        </is>
      </c>
      <c r="Y847" s="116">
        <f>F847/E847</f>
        <v/>
      </c>
      <c r="Z847" s="64">
        <f>E847-N847</f>
        <v/>
      </c>
    </row>
    <row r="848" ht="15.75" customHeight="1" s="202">
      <c r="A848" s="106" t="n">
        <v>20260067</v>
      </c>
      <c r="B848" s="107" t="inlineStr">
        <is>
          <t>EAGLE</t>
        </is>
      </c>
      <c r="C848" s="108" t="n">
        <v>46077</v>
      </c>
      <c r="D848" s="108" t="n">
        <v>46081</v>
      </c>
      <c r="E848" s="106" t="n">
        <v>10</v>
      </c>
      <c r="F848" s="106" t="n">
        <v>92.5</v>
      </c>
      <c r="G848" s="106" t="n">
        <v>400</v>
      </c>
      <c r="H848" s="107" t="inlineStr">
        <is>
          <t>SARL PENG-PU ALGERIE</t>
        </is>
      </c>
      <c r="I848" s="107" t="inlineStr">
        <is>
          <t>BUS</t>
        </is>
      </c>
      <c r="J848" s="107" t="inlineStr">
        <is>
          <t>COLIS</t>
        </is>
      </c>
      <c r="K848" s="108">
        <f>D848+8</f>
        <v/>
      </c>
      <c r="L848" s="108">
        <f>K848+60</f>
        <v/>
      </c>
      <c r="M848" s="107" t="n"/>
      <c r="N848" s="112">
        <f>E848-8-2</f>
        <v/>
      </c>
      <c r="O848" s="113">
        <f>F848/E848*N848</f>
        <v/>
      </c>
      <c r="P848" s="112">
        <f>G848/E848*N848</f>
        <v/>
      </c>
      <c r="Q848" s="109" t="n"/>
      <c r="R848" s="107" t="n"/>
      <c r="S848" s="109" t="inlineStr">
        <is>
          <t>DZ2509007V06</t>
        </is>
      </c>
      <c r="T848" s="114" t="n">
        <v>3</v>
      </c>
      <c r="U848" s="109" t="inlineStr">
        <is>
          <t>10 AUTOBUS GDW6900HK (EURO3) DKD 2025 MY EN KIT</t>
        </is>
      </c>
      <c r="V848" s="106" t="n"/>
      <c r="W848" s="106" t="n"/>
      <c r="X848" s="106" t="inlineStr">
        <is>
          <t>SOLDEE</t>
        </is>
      </c>
      <c r="Y848" s="116">
        <f>F848/E848</f>
        <v/>
      </c>
    </row>
    <row r="849" ht="15.75" customHeight="1" s="202">
      <c r="A849" s="106" t="n">
        <v>20260056</v>
      </c>
      <c r="B849" s="109" t="inlineStr">
        <is>
          <t>AKSON ADAM</t>
        </is>
      </c>
      <c r="C849" s="106" t="n">
        <v>46075</v>
      </c>
      <c r="D849" s="108" t="n">
        <v>46081</v>
      </c>
      <c r="E849" s="106" t="n">
        <v>715</v>
      </c>
      <c r="F849" s="106" t="n">
        <v>1583.64303</v>
      </c>
      <c r="G849" s="106" t="n">
        <v>340</v>
      </c>
      <c r="H849" s="107" t="inlineStr">
        <is>
          <t>SARL GABD (GROUPE AGGOUN BOIS ET DERIVES)</t>
        </is>
      </c>
      <c r="I849" s="107" t="inlineStr">
        <is>
          <t>MDF</t>
        </is>
      </c>
      <c r="J849" s="107" t="inlineStr">
        <is>
          <t>CTP</t>
        </is>
      </c>
      <c r="K849" s="108">
        <f>D849+8</f>
        <v/>
      </c>
      <c r="L849" s="108">
        <f>K849+60</f>
        <v/>
      </c>
      <c r="M849" s="107" t="n"/>
      <c r="N849" s="112">
        <f>E849-100-100-240-40-180-55</f>
        <v/>
      </c>
      <c r="O849" s="113">
        <f>F849/E849*N849</f>
        <v/>
      </c>
      <c r="P849" s="112">
        <f>G849/E849*N849</f>
        <v/>
      </c>
      <c r="Q849" s="109" t="n"/>
      <c r="R849" s="107" t="n"/>
      <c r="S849" s="109" t="inlineStr">
        <is>
          <t>AKAM2551SCSDJE01</t>
        </is>
      </c>
      <c r="T849" s="114" t="n">
        <v>1</v>
      </c>
      <c r="U849" s="109" t="n"/>
      <c r="V849" s="106" t="n"/>
      <c r="W849" s="106" t="n"/>
      <c r="X849" s="106" t="inlineStr">
        <is>
          <t>SOLDEE</t>
        </is>
      </c>
      <c r="Y849" s="116">
        <f>F849/E849</f>
        <v/>
      </c>
    </row>
    <row r="850" ht="15.75" customHeight="1" s="202">
      <c r="A850" s="206" t="n">
        <v>20260056</v>
      </c>
      <c r="B850" s="207" t="inlineStr">
        <is>
          <t>AKSON ADAM</t>
        </is>
      </c>
      <c r="C850" s="208" t="n">
        <v>46075</v>
      </c>
      <c r="D850" s="208" t="n">
        <v>46081</v>
      </c>
      <c r="E850" s="206" t="n">
        <v>804</v>
      </c>
      <c r="F850" s="210" t="n">
        <v>1810.15202</v>
      </c>
      <c r="G850" s="211" t="n">
        <v>399</v>
      </c>
      <c r="H850" s="207" t="inlineStr">
        <is>
          <t>SARL COMABTI</t>
        </is>
      </c>
      <c r="I850" s="207" t="inlineStr">
        <is>
          <t>MDF</t>
        </is>
      </c>
      <c r="J850" s="207" t="inlineStr">
        <is>
          <t>CTP</t>
        </is>
      </c>
      <c r="K850" s="213">
        <f>D850+8</f>
        <v/>
      </c>
      <c r="L850" s="213">
        <f>K850+60</f>
        <v/>
      </c>
      <c r="M850" s="207" t="n"/>
      <c r="N850" s="215">
        <f>E850-120-75-80</f>
        <v/>
      </c>
      <c r="O850" s="216">
        <f>F850/E850*N850</f>
        <v/>
      </c>
      <c r="P850" s="218">
        <f>G850/E850*N850</f>
        <v/>
      </c>
      <c r="S850" s="200" t="inlineStr">
        <is>
          <t>AKAM2551SCSDJE02</t>
        </is>
      </c>
      <c r="T850" s="201" t="n">
        <v>2</v>
      </c>
      <c r="U850" s="58" t="n"/>
      <c r="V850" s="67" t="n"/>
      <c r="W850" s="67" t="n"/>
      <c r="X850" s="182" t="inlineStr">
        <is>
          <t>OPER</t>
        </is>
      </c>
      <c r="Y850" s="116">
        <f>F850/E850</f>
        <v/>
      </c>
      <c r="Z850" s="64">
        <f>E850-N850</f>
        <v/>
      </c>
    </row>
    <row r="851" ht="15.75" customHeight="1" s="202">
      <c r="A851" s="206" t="n">
        <v>20260056</v>
      </c>
      <c r="B851" s="207" t="inlineStr">
        <is>
          <t>AKSON ADAM</t>
        </is>
      </c>
      <c r="C851" s="208" t="n">
        <v>46075</v>
      </c>
      <c r="D851" s="208" t="n">
        <v>46081</v>
      </c>
      <c r="E851" s="206" t="n">
        <v>804</v>
      </c>
      <c r="F851" s="210" t="n">
        <v>1810.15202</v>
      </c>
      <c r="G851" s="211" t="n">
        <v>395</v>
      </c>
      <c r="H851" s="207" t="inlineStr">
        <is>
          <t>SARL COMABTI</t>
        </is>
      </c>
      <c r="I851" s="207" t="inlineStr">
        <is>
          <t>MDF</t>
        </is>
      </c>
      <c r="J851" s="207" t="inlineStr">
        <is>
          <t>CTP</t>
        </is>
      </c>
      <c r="K851" s="213">
        <f>D851+8</f>
        <v/>
      </c>
      <c r="L851" s="213">
        <f>K851+60</f>
        <v/>
      </c>
      <c r="M851" s="207" t="n"/>
      <c r="N851" s="215">
        <f>E851-73</f>
        <v/>
      </c>
      <c r="O851" s="216">
        <f>F851/E851*N851</f>
        <v/>
      </c>
      <c r="P851" s="218">
        <f>G851/E851*N851</f>
        <v/>
      </c>
      <c r="S851" s="200" t="inlineStr">
        <is>
          <t>AKAM2551SCSDJE03</t>
        </is>
      </c>
      <c r="T851" s="201" t="n">
        <v>3</v>
      </c>
      <c r="U851" s="58" t="n"/>
      <c r="V851" s="67" t="n"/>
      <c r="W851" s="67" t="n"/>
      <c r="X851" s="99" t="inlineStr">
        <is>
          <t>OPER</t>
        </is>
      </c>
      <c r="Y851" s="116">
        <f>F851/E851</f>
        <v/>
      </c>
      <c r="Z851" s="64">
        <f>E851-N851</f>
        <v/>
      </c>
    </row>
    <row r="852" ht="15.75" customHeight="1" s="202">
      <c r="A852" s="206" t="n">
        <v>20260056</v>
      </c>
      <c r="B852" s="207" t="inlineStr">
        <is>
          <t>AKSON ADAM</t>
        </is>
      </c>
      <c r="C852" s="208" t="n">
        <v>46075</v>
      </c>
      <c r="D852" s="208" t="n">
        <v>46081</v>
      </c>
      <c r="E852" s="206" t="n">
        <v>492</v>
      </c>
      <c r="F852" s="210" t="n">
        <v>1131.77117</v>
      </c>
      <c r="G852" s="211" t="n">
        <v>240</v>
      </c>
      <c r="H852" s="207" t="inlineStr">
        <is>
          <t>SARL COGEPAN</t>
        </is>
      </c>
      <c r="I852" s="207" t="inlineStr">
        <is>
          <t>MDF</t>
        </is>
      </c>
      <c r="J852" s="207" t="inlineStr">
        <is>
          <t>CTP</t>
        </is>
      </c>
      <c r="K852" s="213">
        <f>D852+8</f>
        <v/>
      </c>
      <c r="L852" s="213">
        <f>K852+60</f>
        <v/>
      </c>
      <c r="M852" s="207" t="n"/>
      <c r="N852" s="215">
        <f>E852-98-98-94-65-88</f>
        <v/>
      </c>
      <c r="O852" s="216">
        <f>F852/E852*N852</f>
        <v/>
      </c>
      <c r="P852" s="218">
        <f>G852/E852*N852</f>
        <v/>
      </c>
      <c r="S852" s="200" t="inlineStr">
        <is>
          <t>AKAM2551SCSDJE04</t>
        </is>
      </c>
      <c r="T852" s="201" t="n">
        <v>4</v>
      </c>
      <c r="U852" s="58" t="n"/>
      <c r="V852" s="67" t="n"/>
      <c r="W852" s="67" t="n"/>
      <c r="X852" s="99" t="inlineStr">
        <is>
          <t>OPER</t>
        </is>
      </c>
      <c r="Y852" s="116">
        <f>F852/E852</f>
        <v/>
      </c>
      <c r="Z852" s="64">
        <f>E852-N852</f>
        <v/>
      </c>
    </row>
    <row r="853" ht="15.75" customHeight="1" s="202">
      <c r="A853" s="106" t="n">
        <v>20260056</v>
      </c>
      <c r="B853" s="107" t="inlineStr">
        <is>
          <t>AKSON ADAM</t>
        </is>
      </c>
      <c r="C853" s="108" t="n">
        <v>46075</v>
      </c>
      <c r="D853" s="108" t="n">
        <v>46081</v>
      </c>
      <c r="E853" s="106" t="n">
        <v>258</v>
      </c>
      <c r="F853" s="106" t="n">
        <v>589.3037</v>
      </c>
      <c r="G853" s="106" t="n">
        <v>110</v>
      </c>
      <c r="H853" s="107" t="inlineStr">
        <is>
          <t>SARL TAIBA - BOIS</t>
        </is>
      </c>
      <c r="I853" s="107" t="inlineStr">
        <is>
          <t>MDF</t>
        </is>
      </c>
      <c r="J853" s="107" t="inlineStr">
        <is>
          <t>CTP</t>
        </is>
      </c>
      <c r="K853" s="108">
        <f>D853+8</f>
        <v/>
      </c>
      <c r="L853" s="108">
        <f>K853+60</f>
        <v/>
      </c>
      <c r="M853" s="107" t="n"/>
      <c r="N853" s="112">
        <f>E853-80-60-20-98</f>
        <v/>
      </c>
      <c r="O853" s="113">
        <f>F853/E853*N853</f>
        <v/>
      </c>
      <c r="P853" s="112">
        <f>G853/E853*N853</f>
        <v/>
      </c>
      <c r="Q853" s="109" t="n"/>
      <c r="R853" s="107" t="n"/>
      <c r="S853" s="109" t="inlineStr">
        <is>
          <t>AKAM2551SCSDJE05</t>
        </is>
      </c>
      <c r="T853" s="114" t="n">
        <v>5</v>
      </c>
      <c r="U853" s="109" t="n"/>
      <c r="V853" s="106" t="n"/>
      <c r="W853" s="106" t="n"/>
      <c r="X853" s="106" t="inlineStr">
        <is>
          <t>SOLDEE</t>
        </is>
      </c>
      <c r="Y853" s="116">
        <f>F853/E853</f>
        <v/>
      </c>
    </row>
    <row r="854" ht="15.75" customHeight="1" s="202">
      <c r="A854" s="116" t="n">
        <v>20260056</v>
      </c>
      <c r="B854" s="117" t="inlineStr">
        <is>
          <t>AKSON ADAM</t>
        </is>
      </c>
      <c r="C854" s="118" t="n">
        <v>46075</v>
      </c>
      <c r="D854" s="118" t="n">
        <v>46081</v>
      </c>
      <c r="E854" s="116" t="n">
        <v>278</v>
      </c>
      <c r="F854" s="119" t="n">
        <v>634.967</v>
      </c>
      <c r="G854" s="120" t="n">
        <v>130</v>
      </c>
      <c r="H854" s="117" t="inlineStr">
        <is>
          <t>SARL TAIBA - BOIS</t>
        </is>
      </c>
      <c r="I854" s="117" t="inlineStr">
        <is>
          <t>MDF</t>
        </is>
      </c>
      <c r="J854" s="117" t="inlineStr">
        <is>
          <t>CTP</t>
        </is>
      </c>
      <c r="K854" s="48">
        <f>D854+8</f>
        <v/>
      </c>
      <c r="L854" s="48">
        <f>K854+60</f>
        <v/>
      </c>
      <c r="N854" s="72">
        <f>E854</f>
        <v/>
      </c>
      <c r="O854" s="50">
        <f>F854/E854*N854</f>
        <v/>
      </c>
      <c r="P854" s="273">
        <f>G854/E854*N854</f>
        <v/>
      </c>
      <c r="S854" s="200" t="inlineStr">
        <is>
          <t>AKAM2551SCSDJE06</t>
        </is>
      </c>
      <c r="T854" s="201" t="n">
        <v>6</v>
      </c>
      <c r="U854" s="58" t="n"/>
      <c r="V854" s="67" t="n"/>
      <c r="W854" s="67" t="n"/>
      <c r="X854" s="62" t="inlineStr">
        <is>
          <t>N-OP</t>
        </is>
      </c>
      <c r="Y854" s="116">
        <f>F854/E854</f>
        <v/>
      </c>
      <c r="Z854" s="64">
        <f>E854-N854</f>
        <v/>
      </c>
    </row>
    <row r="855" ht="15.75" customHeight="1" s="202">
      <c r="A855" s="206" t="n">
        <v>20260056</v>
      </c>
      <c r="B855" s="207" t="inlineStr">
        <is>
          <t>AKSON ADAM</t>
        </is>
      </c>
      <c r="C855" s="208" t="n">
        <v>46075</v>
      </c>
      <c r="D855" s="208" t="n">
        <v>46081</v>
      </c>
      <c r="E855" s="206" t="n">
        <v>1034</v>
      </c>
      <c r="F855" s="210" t="n">
        <v>2316.97939</v>
      </c>
      <c r="G855" s="211" t="n">
        <v>560</v>
      </c>
      <c r="H855" s="207" t="inlineStr">
        <is>
          <t>SARL FRERES BOUKREDRA MATERIAUX DE CONTRUCTION</t>
        </is>
      </c>
      <c r="I855" s="207" t="inlineStr">
        <is>
          <t>MDF</t>
        </is>
      </c>
      <c r="J855" s="207" t="inlineStr">
        <is>
          <t>CTP</t>
        </is>
      </c>
      <c r="K855" s="213">
        <f>D855+8</f>
        <v/>
      </c>
      <c r="L855" s="213">
        <f>K855+60</f>
        <v/>
      </c>
      <c r="M855" s="207" t="n"/>
      <c r="N855" s="215">
        <f>E855-180-60-100-100</f>
        <v/>
      </c>
      <c r="O855" s="216">
        <f>F855/E855*N855</f>
        <v/>
      </c>
      <c r="P855" s="218">
        <f>G855/E855*N855</f>
        <v/>
      </c>
      <c r="S855" s="200" t="inlineStr">
        <is>
          <t>AKAM2551SCSDJE07</t>
        </is>
      </c>
      <c r="T855" s="201" t="n">
        <v>7</v>
      </c>
      <c r="U855" s="58" t="n"/>
      <c r="V855" s="67" t="n"/>
      <c r="W855" s="67" t="n"/>
      <c r="X855" s="99" t="inlineStr">
        <is>
          <t>OPER</t>
        </is>
      </c>
      <c r="Y855" s="116">
        <f>F855/E855</f>
        <v/>
      </c>
      <c r="Z855" s="64">
        <f>E855-N855</f>
        <v/>
      </c>
    </row>
    <row r="856" ht="15.75" customHeight="1" s="202">
      <c r="A856" s="116" t="n">
        <v>20260056</v>
      </c>
      <c r="B856" s="117" t="inlineStr">
        <is>
          <t>AKSON ADAM</t>
        </is>
      </c>
      <c r="C856" s="118" t="n">
        <v>46075</v>
      </c>
      <c r="D856" s="118" t="n">
        <v>46081</v>
      </c>
      <c r="E856" s="116" t="n">
        <v>570</v>
      </c>
      <c r="F856" s="119" t="n">
        <v>1286.38141</v>
      </c>
      <c r="G856" s="120" t="n">
        <v>280</v>
      </c>
      <c r="H856" s="117" t="inlineStr">
        <is>
          <t>SARL SOGIDIS</t>
        </is>
      </c>
      <c r="I856" s="117" t="inlineStr">
        <is>
          <t>MDF</t>
        </is>
      </c>
      <c r="J856" s="117" t="inlineStr">
        <is>
          <t>CTP</t>
        </is>
      </c>
      <c r="K856" s="48">
        <f>D856+8</f>
        <v/>
      </c>
      <c r="L856" s="48">
        <f>K856+60</f>
        <v/>
      </c>
      <c r="N856" s="72">
        <f>E856</f>
        <v/>
      </c>
      <c r="O856" s="50">
        <f>F856/E856*N856</f>
        <v/>
      </c>
      <c r="P856" s="273">
        <f>G856/E856*N856</f>
        <v/>
      </c>
      <c r="S856" s="200" t="inlineStr">
        <is>
          <t>AKAM2551SCSDJE08</t>
        </is>
      </c>
      <c r="T856" s="201" t="n">
        <v>8</v>
      </c>
      <c r="U856" s="58" t="n"/>
      <c r="V856" s="67" t="n"/>
      <c r="W856" s="67" t="n"/>
      <c r="X856" s="62" t="inlineStr">
        <is>
          <t>N-OP</t>
        </is>
      </c>
      <c r="Y856" s="116">
        <f>F856/E856</f>
        <v/>
      </c>
      <c r="Z856" s="64">
        <f>E856-N856</f>
        <v/>
      </c>
    </row>
    <row r="857" ht="15.75" customHeight="1" s="202">
      <c r="A857" s="87" t="n">
        <v>20260073</v>
      </c>
      <c r="B857" s="88" t="inlineStr">
        <is>
          <t>TOP GENIUS</t>
        </is>
      </c>
      <c r="C857" s="89" t="n">
        <v>46081</v>
      </c>
      <c r="D857" s="118" t="n">
        <v>46082</v>
      </c>
      <c r="E857" s="116" t="n">
        <v>1</v>
      </c>
      <c r="F857" s="119" t="n">
        <v>18</v>
      </c>
      <c r="G857" s="120" t="n">
        <v>24</v>
      </c>
      <c r="H857" s="117" t="inlineStr">
        <is>
          <t>SNC HYDRO ACTIF BACHAR ET ASSOCIES</t>
        </is>
      </c>
      <c r="I857" s="117" t="inlineStr">
        <is>
          <t>REMORQUES</t>
        </is>
      </c>
      <c r="J857" s="117" t="inlineStr">
        <is>
          <t>LOURD</t>
        </is>
      </c>
      <c r="K857" s="48">
        <f>D857+8</f>
        <v/>
      </c>
      <c r="L857" s="48">
        <f>K857+60</f>
        <v/>
      </c>
      <c r="N857" s="72">
        <f>E857</f>
        <v/>
      </c>
      <c r="O857" s="50">
        <f>F857/E857*N857</f>
        <v/>
      </c>
      <c r="P857" s="273">
        <f>G857/E857*N857</f>
        <v/>
      </c>
      <c r="S857" s="200" t="inlineStr">
        <is>
          <t>TG26032LDJD001</t>
        </is>
      </c>
      <c r="T857" s="201" t="n">
        <v>1</v>
      </c>
      <c r="U857" s="58" t="inlineStr">
        <is>
          <t>01 UNIT SEMI-TRAILER ( VOIR BL)</t>
        </is>
      </c>
      <c r="V857" s="67" t="n"/>
      <c r="W857" s="67" t="n"/>
      <c r="X857" s="62" t="inlineStr">
        <is>
          <t>N-OP</t>
        </is>
      </c>
      <c r="Y857" s="116">
        <f>F857/E857</f>
        <v/>
      </c>
      <c r="Z857" s="64">
        <f>E857-N857</f>
        <v/>
      </c>
    </row>
    <row r="858" ht="15.75" customHeight="1" s="202">
      <c r="A858" s="116" t="n">
        <v>20260073</v>
      </c>
      <c r="B858" s="117" t="inlineStr">
        <is>
          <t>TOP GENIUS</t>
        </is>
      </c>
      <c r="C858" s="118" t="n">
        <v>46081</v>
      </c>
      <c r="D858" s="118" t="n">
        <v>46082</v>
      </c>
      <c r="E858" s="116" t="n">
        <v>1</v>
      </c>
      <c r="F858" s="119" t="n">
        <v>6</v>
      </c>
      <c r="G858" s="120" t="n">
        <v>24</v>
      </c>
      <c r="H858" s="117" t="inlineStr">
        <is>
          <t>MERZELKAD ISSAM</t>
        </is>
      </c>
      <c r="I858" s="117" t="inlineStr">
        <is>
          <t>COMPACTEURS</t>
        </is>
      </c>
      <c r="J858" s="117" t="inlineStr">
        <is>
          <t>ENGINS</t>
        </is>
      </c>
      <c r="K858" s="48">
        <f>D858+8</f>
        <v/>
      </c>
      <c r="L858" s="48">
        <f>K858+60</f>
        <v/>
      </c>
      <c r="N858" s="72">
        <f>E858</f>
        <v/>
      </c>
      <c r="O858" s="50">
        <f>F858/E858*N858</f>
        <v/>
      </c>
      <c r="P858" s="273">
        <f>G858/E858*N858</f>
        <v/>
      </c>
      <c r="S858" s="200" t="inlineStr">
        <is>
          <t>TG26032LDJD002</t>
        </is>
      </c>
      <c r="T858" s="201" t="n">
        <v>2</v>
      </c>
      <c r="U858" s="58" t="inlineStr">
        <is>
          <t>01 UNIT XCMG VIBRATING ROAD ROLLER XD65T ( VOIR BL)</t>
        </is>
      </c>
      <c r="V858" s="67" t="n"/>
      <c r="W858" s="67" t="n"/>
      <c r="X858" s="62" t="inlineStr">
        <is>
          <t>N-OP</t>
        </is>
      </c>
      <c r="Y858" s="116">
        <f>F858/E858</f>
        <v/>
      </c>
      <c r="Z858" s="64">
        <f>E858-N858</f>
        <v/>
      </c>
    </row>
    <row r="859" ht="15.75" customHeight="1" s="202">
      <c r="A859" s="116" t="n">
        <v>20260073</v>
      </c>
      <c r="B859" s="117" t="inlineStr">
        <is>
          <t>TOP GENIUS</t>
        </is>
      </c>
      <c r="C859" s="118" t="n">
        <v>46081</v>
      </c>
      <c r="D859" s="118" t="n">
        <v>46082</v>
      </c>
      <c r="E859" s="116" t="n">
        <v>1</v>
      </c>
      <c r="F859" s="119" t="n">
        <v>13</v>
      </c>
      <c r="G859" s="120" t="n">
        <v>24</v>
      </c>
      <c r="H859" s="117" t="inlineStr">
        <is>
          <t>EL KHADIR MESSAOUDA</t>
        </is>
      </c>
      <c r="I859" s="117" t="inlineStr">
        <is>
          <t>CAMIONS</t>
        </is>
      </c>
      <c r="J859" s="117" t="inlineStr">
        <is>
          <t>LOURD</t>
        </is>
      </c>
      <c r="K859" s="48">
        <f>D859+8</f>
        <v/>
      </c>
      <c r="L859" s="48">
        <f>K859+60</f>
        <v/>
      </c>
      <c r="N859" s="72">
        <f>E859</f>
        <v/>
      </c>
      <c r="O859" s="50">
        <f>F859/E859*N859</f>
        <v/>
      </c>
      <c r="P859" s="273">
        <f>G859/E859*N859</f>
        <v/>
      </c>
      <c r="S859" s="200" t="inlineStr">
        <is>
          <t>TG26032LDJD003</t>
        </is>
      </c>
      <c r="T859" s="201" t="n">
        <v>3</v>
      </c>
      <c r="U859" s="58" t="inlineStr">
        <is>
          <t>01 UNIT DUMP TRUCK ( VOIR BL )</t>
        </is>
      </c>
      <c r="V859" s="67" t="n"/>
      <c r="W859" s="67" t="n"/>
      <c r="X859" s="62" t="inlineStr">
        <is>
          <t>N-OP</t>
        </is>
      </c>
      <c r="Y859" s="116">
        <f>F859/E859</f>
        <v/>
      </c>
      <c r="Z859" s="64">
        <f>E859-N859</f>
        <v/>
      </c>
    </row>
    <row r="860" ht="15.75" customHeight="1" s="202">
      <c r="A860" s="116" t="n">
        <v>20260073</v>
      </c>
      <c r="B860" s="117" t="inlineStr">
        <is>
          <t>TOP GENIUS</t>
        </is>
      </c>
      <c r="C860" s="118" t="n">
        <v>46081</v>
      </c>
      <c r="D860" s="118" t="n">
        <v>46082</v>
      </c>
      <c r="E860" s="116" t="n">
        <v>1</v>
      </c>
      <c r="F860" s="119" t="n">
        <v>9</v>
      </c>
      <c r="G860" s="120" t="n">
        <v>24</v>
      </c>
      <c r="H860" s="117" t="inlineStr">
        <is>
          <t>EL KHADIR MESSAOUDA</t>
        </is>
      </c>
      <c r="I860" s="117" t="inlineStr">
        <is>
          <t>CAMIONS</t>
        </is>
      </c>
      <c r="J860" s="117" t="inlineStr">
        <is>
          <t>LOURD</t>
        </is>
      </c>
      <c r="K860" s="48">
        <f>D860+8</f>
        <v/>
      </c>
      <c r="L860" s="48">
        <f>K860+60</f>
        <v/>
      </c>
      <c r="N860" s="72">
        <f>E860</f>
        <v/>
      </c>
      <c r="O860" s="50">
        <f>F860/E860*N860</f>
        <v/>
      </c>
      <c r="P860" s="273">
        <f>G860/E860*N860</f>
        <v/>
      </c>
      <c r="S860" s="200" t="inlineStr">
        <is>
          <t>TG26032LDJD004</t>
        </is>
      </c>
      <c r="T860" s="201" t="n">
        <v>4</v>
      </c>
      <c r="U860" s="58" t="inlineStr">
        <is>
          <t>01 UNIT TRACTOR ( VOIR BL)</t>
        </is>
      </c>
      <c r="V860" s="67" t="n"/>
      <c r="W860" s="67" t="n"/>
      <c r="X860" s="62" t="inlineStr">
        <is>
          <t>N-OP</t>
        </is>
      </c>
      <c r="Y860" s="116">
        <f>F860/E860</f>
        <v/>
      </c>
      <c r="Z860" s="64">
        <f>E860-N860</f>
        <v/>
      </c>
    </row>
    <row r="861" ht="15.75" customHeight="1" s="202">
      <c r="A861" s="116" t="n">
        <v>20260073</v>
      </c>
      <c r="B861" s="117" t="inlineStr">
        <is>
          <t>TOP GENIUS</t>
        </is>
      </c>
      <c r="C861" s="118" t="n">
        <v>46081</v>
      </c>
      <c r="D861" s="118" t="n">
        <v>46082</v>
      </c>
      <c r="E861" s="116" t="n">
        <v>1</v>
      </c>
      <c r="F861" s="119" t="n">
        <v>20</v>
      </c>
      <c r="G861" s="120" t="n">
        <v>24</v>
      </c>
      <c r="H861" s="117" t="inlineStr">
        <is>
          <t>EURL AFIF SERVICES</t>
        </is>
      </c>
      <c r="I861" s="117" t="inlineStr">
        <is>
          <t>COMPACTEURS</t>
        </is>
      </c>
      <c r="J861" s="117" t="inlineStr">
        <is>
          <t>ENGINS</t>
        </is>
      </c>
      <c r="K861" s="48">
        <f>D861+8</f>
        <v/>
      </c>
      <c r="L861" s="48">
        <f>K861+60</f>
        <v/>
      </c>
      <c r="N861" s="72">
        <f>E861</f>
        <v/>
      </c>
      <c r="O861" s="50">
        <f>F861/E861*N861</f>
        <v/>
      </c>
      <c r="P861" s="273">
        <f>G861/E861*N861</f>
        <v/>
      </c>
      <c r="S861" s="200" t="inlineStr">
        <is>
          <t>TG26032LDJD006</t>
        </is>
      </c>
      <c r="T861" s="201" t="n">
        <v>5</v>
      </c>
      <c r="U861" s="58" t="inlineStr">
        <is>
          <t>01 UNIT ROLLER XCMG XS203J ( VOIR BL)</t>
        </is>
      </c>
      <c r="V861" s="67" t="n"/>
      <c r="W861" s="67" t="n"/>
      <c r="X861" s="62" t="inlineStr">
        <is>
          <t>N-OP</t>
        </is>
      </c>
      <c r="Y861" s="116">
        <f>F861/E861</f>
        <v/>
      </c>
      <c r="Z861" s="64">
        <f>E861-N861</f>
        <v/>
      </c>
    </row>
    <row r="862" ht="15.75" customHeight="1" s="202">
      <c r="A862" s="116" t="n">
        <v>20260073</v>
      </c>
      <c r="B862" s="117" t="inlineStr">
        <is>
          <t>TOP GENIUS</t>
        </is>
      </c>
      <c r="C862" s="118" t="n">
        <v>46081</v>
      </c>
      <c r="D862" s="118" t="n">
        <v>46082</v>
      </c>
      <c r="E862" s="116" t="n">
        <v>1</v>
      </c>
      <c r="F862" s="119" t="n">
        <v>33.8</v>
      </c>
      <c r="G862" s="120" t="n">
        <v>24</v>
      </c>
      <c r="H862" s="117" t="inlineStr">
        <is>
          <t>EURL AFIF SERVICES</t>
        </is>
      </c>
      <c r="I862" s="117" t="inlineStr">
        <is>
          <t>EXCAVATEURS</t>
        </is>
      </c>
      <c r="J862" s="117" t="inlineStr">
        <is>
          <t>ENGINS</t>
        </is>
      </c>
      <c r="K862" s="48">
        <f>D862+8</f>
        <v/>
      </c>
      <c r="L862" s="48">
        <f>K862+60</f>
        <v/>
      </c>
      <c r="N862" s="72">
        <f>E862</f>
        <v/>
      </c>
      <c r="O862" s="50">
        <f>F862/E862*N862</f>
        <v/>
      </c>
      <c r="P862" s="273">
        <f>G862/E862*N862</f>
        <v/>
      </c>
      <c r="S862" s="200" t="inlineStr">
        <is>
          <t>TG26032LDJD007</t>
        </is>
      </c>
      <c r="T862" s="201" t="n">
        <v>6</v>
      </c>
      <c r="U862" s="58" t="inlineStr">
        <is>
          <t>01 UNIT HYUNDAI HX340HD 33 TON NEW HEAVY DUTY EXCAVATOR TIER 2 ( VOIR BL)</t>
        </is>
      </c>
      <c r="V862" s="67" t="n"/>
      <c r="W862" s="67" t="n"/>
      <c r="X862" s="62" t="inlineStr">
        <is>
          <t>N-OP</t>
        </is>
      </c>
      <c r="Y862" s="116">
        <f>F862/E862</f>
        <v/>
      </c>
      <c r="Z862" s="64">
        <f>E862-N862</f>
        <v/>
      </c>
    </row>
    <row r="863" ht="15.75" customHeight="1" s="202">
      <c r="A863" s="116" t="n">
        <v>20260073</v>
      </c>
      <c r="B863" s="117" t="inlineStr">
        <is>
          <t>TOP GENIUS</t>
        </is>
      </c>
      <c r="C863" s="118" t="n">
        <v>46081</v>
      </c>
      <c r="D863" s="118" t="n">
        <v>46082</v>
      </c>
      <c r="E863" s="116" t="n">
        <v>1</v>
      </c>
      <c r="F863" s="119" t="n">
        <v>0</v>
      </c>
      <c r="G863" s="120" t="n">
        <v>5</v>
      </c>
      <c r="H863" s="117" t="inlineStr">
        <is>
          <t>EURL AFIF SERVICES</t>
        </is>
      </c>
      <c r="I863" s="117" t="inlineStr">
        <is>
          <t>COLIS</t>
        </is>
      </c>
      <c r="J863" s="117" t="inlineStr">
        <is>
          <t>COLIS</t>
        </is>
      </c>
      <c r="K863" s="48">
        <f>D863+8</f>
        <v/>
      </c>
      <c r="L863" s="48">
        <f>K863+60</f>
        <v/>
      </c>
      <c r="N863" s="72">
        <f>E863</f>
        <v/>
      </c>
      <c r="O863" s="50">
        <f>F863/E863*N863</f>
        <v/>
      </c>
      <c r="P863" s="273">
        <f>G863/E863*N863</f>
        <v/>
      </c>
      <c r="S863" s="200" t="inlineStr">
        <is>
          <t>TG26032LDJD007</t>
        </is>
      </c>
      <c r="T863" s="201" t="n">
        <v>6</v>
      </c>
      <c r="U863" s="58" t="n"/>
      <c r="V863" s="67" t="n"/>
      <c r="W863" s="67" t="n"/>
      <c r="X863" s="62" t="inlineStr">
        <is>
          <t>N-OP</t>
        </is>
      </c>
      <c r="Y863" s="116">
        <f>F863/E863</f>
        <v/>
      </c>
      <c r="Z863" s="64">
        <f>E863-N863</f>
        <v/>
      </c>
    </row>
    <row r="864" ht="15.75" customHeight="1" s="202">
      <c r="A864" s="116" t="n">
        <v>20260073</v>
      </c>
      <c r="B864" s="117" t="inlineStr">
        <is>
          <t>TOP GENIUS</t>
        </is>
      </c>
      <c r="C864" s="118" t="n">
        <v>46081</v>
      </c>
      <c r="D864" s="118" t="n">
        <v>46082</v>
      </c>
      <c r="E864" s="116" t="n">
        <v>1</v>
      </c>
      <c r="F864" s="119" t="n">
        <v>15.4</v>
      </c>
      <c r="G864" s="120" t="n">
        <v>40</v>
      </c>
      <c r="H864" s="117" t="inlineStr">
        <is>
          <t>SARL HUSSAIN SONS COMPANY</t>
        </is>
      </c>
      <c r="I864" s="117" t="inlineStr">
        <is>
          <t>NIVELEUSES</t>
        </is>
      </c>
      <c r="J864" s="117" t="inlineStr">
        <is>
          <t>ENGINS</t>
        </is>
      </c>
      <c r="K864" s="48">
        <f>D864+8</f>
        <v/>
      </c>
      <c r="L864" s="48">
        <f>K864+60</f>
        <v/>
      </c>
      <c r="N864" s="72">
        <f>E864</f>
        <v/>
      </c>
      <c r="O864" s="50">
        <f>F864/E864*N864</f>
        <v/>
      </c>
      <c r="P864" s="273">
        <f>G864/E864*N864</f>
        <v/>
      </c>
      <c r="S864" s="200" t="inlineStr">
        <is>
          <t>TG26032LDJD010</t>
        </is>
      </c>
      <c r="T864" s="201" t="n">
        <v>7</v>
      </c>
      <c r="U864" s="58" t="inlineStr">
        <is>
          <t>01 UNIT XCMG MOTOR GRADER GR180 ( VOIR BL)</t>
        </is>
      </c>
      <c r="V864" s="67" t="n"/>
      <c r="W864" s="67" t="n"/>
      <c r="X864" s="62" t="inlineStr">
        <is>
          <t>N-OP</t>
        </is>
      </c>
      <c r="Y864" s="116">
        <f>F864/E864</f>
        <v/>
      </c>
      <c r="Z864" s="64">
        <f>E864-N864</f>
        <v/>
      </c>
    </row>
    <row r="865" ht="15.75" customHeight="1" s="202">
      <c r="A865" s="116" t="n">
        <v>20260073</v>
      </c>
      <c r="B865" s="117" t="inlineStr">
        <is>
          <t>TOP GENIUS</t>
        </is>
      </c>
      <c r="C865" s="118" t="n">
        <v>46081</v>
      </c>
      <c r="D865" s="118" t="n">
        <v>46082</v>
      </c>
      <c r="E865" s="116" t="n">
        <v>1</v>
      </c>
      <c r="F865" s="119" t="n">
        <v>17.5</v>
      </c>
      <c r="G865" s="120" t="n">
        <v>24</v>
      </c>
      <c r="H865" s="117" t="inlineStr">
        <is>
          <t>NEHAL YACINE</t>
        </is>
      </c>
      <c r="I865" s="117" t="inlineStr">
        <is>
          <t>CHARGEURS</t>
        </is>
      </c>
      <c r="J865" s="117" t="inlineStr">
        <is>
          <t>ENGINS</t>
        </is>
      </c>
      <c r="K865" s="48">
        <f>D865+8</f>
        <v/>
      </c>
      <c r="L865" s="48">
        <f>K865+60</f>
        <v/>
      </c>
      <c r="N865" s="72">
        <f>E865</f>
        <v/>
      </c>
      <c r="O865" s="50">
        <f>F865/E865*N865</f>
        <v/>
      </c>
      <c r="P865" s="273">
        <f>G865/E865*N865</f>
        <v/>
      </c>
      <c r="S865" s="200" t="inlineStr">
        <is>
          <t>TG26032LDJD011</t>
        </is>
      </c>
      <c r="T865" s="201" t="n">
        <v>8</v>
      </c>
      <c r="U865" s="58" t="inlineStr">
        <is>
          <t>01 UNIT XCMG WHEEL LOADER ZL50GN ( VOIR BL)</t>
        </is>
      </c>
      <c r="V865" s="67" t="n"/>
      <c r="W865" s="67" t="n"/>
      <c r="X865" s="62" t="inlineStr">
        <is>
          <t>N-OP</t>
        </is>
      </c>
      <c r="Y865" s="116">
        <f>F865/E865</f>
        <v/>
      </c>
      <c r="Z865" s="64">
        <f>E865-N865</f>
        <v/>
      </c>
    </row>
    <row r="866" ht="15.75" customHeight="1" s="202">
      <c r="A866" s="116" t="n">
        <v>20260073</v>
      </c>
      <c r="B866" s="117" t="inlineStr">
        <is>
          <t>TOP GENIUS</t>
        </is>
      </c>
      <c r="C866" s="118" t="n">
        <v>46081</v>
      </c>
      <c r="D866" s="118" t="n">
        <v>46082</v>
      </c>
      <c r="E866" s="116" t="n">
        <v>1</v>
      </c>
      <c r="F866" s="119" t="n">
        <v>2.7</v>
      </c>
      <c r="G866" s="120" t="n">
        <v>24</v>
      </c>
      <c r="H866" s="117" t="inlineStr">
        <is>
          <t>BOUMAZA SID AHMED</t>
        </is>
      </c>
      <c r="I866" s="117" t="inlineStr">
        <is>
          <t>CAMIONS</t>
        </is>
      </c>
      <c r="J866" s="117" t="inlineStr">
        <is>
          <t>LOURD</t>
        </is>
      </c>
      <c r="K866" s="48">
        <f>D866+8</f>
        <v/>
      </c>
      <c r="L866" s="48">
        <f>K866+60</f>
        <v/>
      </c>
      <c r="N866" s="72">
        <f>E866</f>
        <v/>
      </c>
      <c r="O866" s="50">
        <f>F866/E866*N866</f>
        <v/>
      </c>
      <c r="P866" s="273">
        <f>G866/E866*N866</f>
        <v/>
      </c>
      <c r="S866" s="200" t="inlineStr">
        <is>
          <t>TG26032LDJD012</t>
        </is>
      </c>
      <c r="T866" s="201" t="n">
        <v>9</v>
      </c>
      <c r="U866" s="58" t="inlineStr">
        <is>
          <t>01 UNIT JMC CARRYING TRUCK DOUBLE CABIN 4X2 ( VOIR BL)</t>
        </is>
      </c>
      <c r="V866" s="67" t="n"/>
      <c r="W866" s="67" t="n"/>
      <c r="X866" s="62" t="inlineStr">
        <is>
          <t>N-OP</t>
        </is>
      </c>
      <c r="Y866" s="116">
        <f>F866/E866</f>
        <v/>
      </c>
      <c r="Z866" s="64">
        <f>E866-N866</f>
        <v/>
      </c>
    </row>
    <row r="867" ht="15.75" customHeight="1" s="202">
      <c r="A867" s="116" t="n">
        <v>20260073</v>
      </c>
      <c r="B867" s="117" t="inlineStr">
        <is>
          <t>TOP GENIUS</t>
        </is>
      </c>
      <c r="C867" s="118" t="n">
        <v>46081</v>
      </c>
      <c r="D867" s="118" t="n">
        <v>46082</v>
      </c>
      <c r="E867" s="116" t="n">
        <v>1</v>
      </c>
      <c r="F867" s="119" t="n">
        <v>14.2</v>
      </c>
      <c r="G867" s="120" t="n">
        <v>24</v>
      </c>
      <c r="H867" s="117" t="inlineStr">
        <is>
          <t>SARL A L D T S</t>
        </is>
      </c>
      <c r="I867" s="117" t="inlineStr">
        <is>
          <t>CAMIONS</t>
        </is>
      </c>
      <c r="J867" s="117" t="inlineStr">
        <is>
          <t>LOURD</t>
        </is>
      </c>
      <c r="K867" s="48">
        <f>D867+8</f>
        <v/>
      </c>
      <c r="L867" s="48">
        <f>K867+60</f>
        <v/>
      </c>
      <c r="N867" s="72">
        <f>E867</f>
        <v/>
      </c>
      <c r="O867" s="50">
        <f>F867/E867*N867</f>
        <v/>
      </c>
      <c r="P867" s="273">
        <f>G867/E867*N867</f>
        <v/>
      </c>
      <c r="S867" s="200" t="inlineStr">
        <is>
          <t>TG26032LDJD013</t>
        </is>
      </c>
      <c r="T867" s="201" t="n">
        <v>10</v>
      </c>
      <c r="U867" s="58" t="inlineStr">
        <is>
          <t>01 UNIT CAMION SHACMAN F2000 6X4 290HP DUMP TRUCK</t>
        </is>
      </c>
      <c r="V867" s="67" t="n"/>
      <c r="W867" s="67" t="n"/>
      <c r="X867" s="62" t="inlineStr">
        <is>
          <t>N-OP</t>
        </is>
      </c>
      <c r="Y867" s="116">
        <f>F867/E867</f>
        <v/>
      </c>
      <c r="Z867" s="64">
        <f>E867-N867</f>
        <v/>
      </c>
    </row>
    <row r="868" ht="15.75" customHeight="1" s="202">
      <c r="A868" s="106" t="n">
        <v>20260073</v>
      </c>
      <c r="B868" s="107" t="inlineStr">
        <is>
          <t>TOP GENIUS</t>
        </is>
      </c>
      <c r="C868" s="108" t="n">
        <v>46081</v>
      </c>
      <c r="D868" s="108" t="n">
        <v>46082</v>
      </c>
      <c r="E868" s="106" t="n">
        <v>176</v>
      </c>
      <c r="F868" s="106" t="n">
        <v>2076.8</v>
      </c>
      <c r="G868" s="106" t="n">
        <v>7040</v>
      </c>
      <c r="H868" s="107" t="inlineStr">
        <is>
          <t>SARL TIRSAM</t>
        </is>
      </c>
      <c r="I868" s="107" t="inlineStr">
        <is>
          <t>BUS</t>
        </is>
      </c>
      <c r="J868" s="107" t="inlineStr">
        <is>
          <t>UTILITAIRE</t>
        </is>
      </c>
      <c r="K868" s="108">
        <f>D868+8</f>
        <v/>
      </c>
      <c r="L868" s="108">
        <f>K868+60</f>
        <v/>
      </c>
      <c r="M868" s="107" t="n"/>
      <c r="N868" s="112">
        <f>E868-50-63-24-39</f>
        <v/>
      </c>
      <c r="O868" s="113">
        <f>F868/E868*N868</f>
        <v/>
      </c>
      <c r="P868" s="112">
        <f>G868/E868*N868</f>
        <v/>
      </c>
      <c r="Q868" s="109" t="n"/>
      <c r="R868" s="107" t="n"/>
      <c r="S868" s="109" t="inlineStr">
        <is>
          <t>TG26032LDJD014</t>
        </is>
      </c>
      <c r="T868" s="114" t="n">
        <v>11</v>
      </c>
      <c r="U868" s="109" t="inlineStr">
        <is>
          <t>176 UNITS BUS TS12 (VOIR BL)</t>
        </is>
      </c>
      <c r="V868" s="106" t="n"/>
      <c r="W868" s="106" t="n"/>
      <c r="X868" s="106" t="inlineStr">
        <is>
          <t>SOLDEE</t>
        </is>
      </c>
      <c r="Y868" s="116">
        <f>F868/E868</f>
        <v/>
      </c>
    </row>
    <row r="869" ht="15.75" customHeight="1" s="202">
      <c r="A869" s="106" t="n">
        <v>20260073</v>
      </c>
      <c r="B869" s="107" t="inlineStr">
        <is>
          <t>TOP GENIUS</t>
        </is>
      </c>
      <c r="C869" s="108" t="n">
        <v>46081</v>
      </c>
      <c r="D869" s="108" t="n">
        <v>46082</v>
      </c>
      <c r="E869" s="106" t="n">
        <v>1828</v>
      </c>
      <c r="F869" s="106" t="n">
        <v>34.762</v>
      </c>
      <c r="G869" s="106" t="n">
        <v>0</v>
      </c>
      <c r="H869" s="107" t="inlineStr">
        <is>
          <t>SARL TIRSAM</t>
        </is>
      </c>
      <c r="I869" s="107" t="inlineStr">
        <is>
          <t>COLIS</t>
        </is>
      </c>
      <c r="J869" s="107" t="inlineStr">
        <is>
          <t>COLIS</t>
        </is>
      </c>
      <c r="K869" s="108">
        <f>D869+8</f>
        <v/>
      </c>
      <c r="L869" s="108">
        <f>K869+60</f>
        <v/>
      </c>
      <c r="M869" s="107" t="n"/>
      <c r="N869" s="112">
        <f>E869-1828</f>
        <v/>
      </c>
      <c r="O869" s="113">
        <f>F869/E869*N869</f>
        <v/>
      </c>
      <c r="P869" s="112">
        <f>G869/E869*N869</f>
        <v/>
      </c>
      <c r="Q869" s="109" t="n"/>
      <c r="R869" s="107" t="n"/>
      <c r="S869" s="109" t="inlineStr">
        <is>
          <t>TG26032LDJD016-18</t>
        </is>
      </c>
      <c r="T869" s="114" t="n">
        <v>13</v>
      </c>
      <c r="U869" s="109" t="inlineStr">
        <is>
          <t>BUS SPARE PARTS</t>
        </is>
      </c>
      <c r="V869" s="106" t="n"/>
      <c r="W869" s="106" t="n"/>
      <c r="X869" s="106" t="inlineStr">
        <is>
          <t>SOLDEE</t>
        </is>
      </c>
      <c r="Y869" s="116">
        <f>F869/E869</f>
        <v/>
      </c>
    </row>
    <row r="870" ht="15.75" customHeight="1" s="202">
      <c r="A870" s="116" t="n">
        <v>20260073</v>
      </c>
      <c r="B870" s="117" t="inlineStr">
        <is>
          <t>TOP GENIUS</t>
        </is>
      </c>
      <c r="C870" s="118" t="n">
        <v>46081</v>
      </c>
      <c r="D870" s="118" t="n">
        <v>46082</v>
      </c>
      <c r="E870" s="116" t="n">
        <v>2</v>
      </c>
      <c r="F870" s="119" t="n">
        <v>34</v>
      </c>
      <c r="G870" s="120" t="n">
        <v>24</v>
      </c>
      <c r="H870" s="117" t="inlineStr">
        <is>
          <t>EURL ELDMATRA</t>
        </is>
      </c>
      <c r="I870" s="117" t="inlineStr">
        <is>
          <t>EXCAVATEURS</t>
        </is>
      </c>
      <c r="J870" s="117" t="inlineStr">
        <is>
          <t>ENGINS</t>
        </is>
      </c>
      <c r="K870" s="48">
        <f>D870+8</f>
        <v/>
      </c>
      <c r="L870" s="48">
        <f>K870+60</f>
        <v/>
      </c>
      <c r="N870" s="72">
        <f>E870</f>
        <v/>
      </c>
      <c r="O870" s="50">
        <f>F870/E870*N870</f>
        <v/>
      </c>
      <c r="P870" s="273">
        <f>G870/E870*N870</f>
        <v/>
      </c>
      <c r="S870" s="200" t="inlineStr">
        <is>
          <t>TG26032LDJD015</t>
        </is>
      </c>
      <c r="T870" s="201" t="n">
        <v>12</v>
      </c>
      <c r="U870" s="58" t="inlineStr">
        <is>
          <t>01 UNIT HYUNDAI CRAWLER EXCAVATOR HX340HD ( VOIR BL)</t>
        </is>
      </c>
      <c r="V870" s="67" t="n"/>
      <c r="W870" s="67" t="n"/>
      <c r="X870" s="62" t="inlineStr">
        <is>
          <t>N-OP</t>
        </is>
      </c>
      <c r="Y870" s="116">
        <f>F870/E870</f>
        <v/>
      </c>
      <c r="Z870" s="64">
        <f>E870-N870</f>
        <v/>
      </c>
    </row>
    <row r="871" ht="15.75" customHeight="1" s="202">
      <c r="A871" s="300" t="n">
        <v>20260069</v>
      </c>
      <c r="B871" s="301" t="inlineStr">
        <is>
          <t>MUNTGRACHT</t>
        </is>
      </c>
      <c r="C871" s="302" t="n">
        <v>46079</v>
      </c>
      <c r="D871" s="302" t="n">
        <v>46085</v>
      </c>
      <c r="E871" s="300" t="n">
        <v>9873</v>
      </c>
      <c r="F871" s="304" t="n">
        <v>8203.097</v>
      </c>
      <c r="G871" s="305" t="n">
        <v>8500</v>
      </c>
      <c r="H871" s="301" t="inlineStr">
        <is>
          <t>SH DP</t>
        </is>
      </c>
      <c r="I871" s="301" t="inlineStr">
        <is>
          <t>TUBES</t>
        </is>
      </c>
      <c r="J871" s="301" t="inlineStr">
        <is>
          <t>TUBES</t>
        </is>
      </c>
      <c r="K871" s="307">
        <f>D871+8</f>
        <v/>
      </c>
      <c r="L871" s="307">
        <f>K871+60</f>
        <v/>
      </c>
      <c r="M871" s="301" t="n"/>
      <c r="N871" s="309">
        <f>E871-448-512-947</f>
        <v/>
      </c>
      <c r="O871" s="310">
        <f>F871/E871*N871</f>
        <v/>
      </c>
      <c r="P871" s="311">
        <f>G871/E871*N871</f>
        <v/>
      </c>
      <c r="S871" s="200" t="inlineStr">
        <is>
          <t>CAMDJE001</t>
        </is>
      </c>
      <c r="T871" s="201" t="n">
        <v>1</v>
      </c>
      <c r="U871" s="58" t="n"/>
      <c r="V871" s="67" t="n"/>
      <c r="W871" s="67" t="n"/>
      <c r="X871" s="312" t="inlineStr">
        <is>
          <t>OPER</t>
        </is>
      </c>
      <c r="Y871" s="116">
        <f>F871/E871</f>
        <v/>
      </c>
      <c r="Z871" s="64">
        <f>E871-N871</f>
        <v/>
      </c>
    </row>
    <row r="872" ht="15.75" customHeight="1" s="202">
      <c r="A872" s="87" t="n">
        <v>20260082</v>
      </c>
      <c r="B872" s="88" t="inlineStr">
        <is>
          <t>SEDRATA</t>
        </is>
      </c>
      <c r="C872" s="89" t="n">
        <v>46061</v>
      </c>
      <c r="D872" s="118" t="n">
        <v>46090</v>
      </c>
      <c r="E872" s="116" t="n">
        <v>459</v>
      </c>
      <c r="F872" s="119" t="n">
        <v>1019.485</v>
      </c>
      <c r="G872" s="120" t="n">
        <v>550</v>
      </c>
      <c r="H872" s="117" t="inlineStr">
        <is>
          <t>SH DP</t>
        </is>
      </c>
      <c r="I872" s="117" t="inlineStr">
        <is>
          <t>TUBES</t>
        </is>
      </c>
      <c r="J872" s="117" t="inlineStr">
        <is>
          <t>TUBES</t>
        </is>
      </c>
      <c r="K872" s="48">
        <f>D872+8</f>
        <v/>
      </c>
      <c r="L872" s="48">
        <f>K872+60</f>
        <v/>
      </c>
      <c r="N872" s="72">
        <f>E872</f>
        <v/>
      </c>
      <c r="O872" s="50">
        <f>F872/E872*N872</f>
        <v/>
      </c>
      <c r="P872" s="273">
        <f>G872/E872*N872</f>
        <v/>
      </c>
      <c r="S872" s="200" t="n">
        <v>1</v>
      </c>
      <c r="T872" s="201" t="n">
        <v>1</v>
      </c>
      <c r="U872" s="58" t="inlineStr">
        <is>
          <t>446 BUNDLES + 13 FRAMES SYSTEMES RAP</t>
        </is>
      </c>
      <c r="V872" s="67" t="n"/>
      <c r="W872" s="67" t="n"/>
      <c r="X872" s="62" t="inlineStr">
        <is>
          <t>N-OP</t>
        </is>
      </c>
      <c r="Y872" s="116">
        <f>F872/E872</f>
        <v/>
      </c>
      <c r="Z872" s="64">
        <f>E872-N872</f>
        <v/>
      </c>
    </row>
    <row r="873" ht="15.75" customHeight="1" s="202">
      <c r="A873" s="116" t="n">
        <v>20260082</v>
      </c>
      <c r="B873" s="117" t="inlineStr">
        <is>
          <t>SEDRATA</t>
        </is>
      </c>
      <c r="C873" s="118" t="n">
        <v>46061</v>
      </c>
      <c r="D873" s="118" t="n">
        <v>46090</v>
      </c>
      <c r="E873" s="116" t="n">
        <v>5</v>
      </c>
      <c r="F873" s="119" t="n">
        <v>11.582</v>
      </c>
      <c r="G873" s="120" t="n">
        <v>30</v>
      </c>
      <c r="H873" s="117" t="inlineStr">
        <is>
          <t>ENTREPRISE PORTUAIRE DE DJEN DJEN SPA</t>
        </is>
      </c>
      <c r="J873" s="117" t="inlineStr">
        <is>
          <t>CONTENEURS</t>
        </is>
      </c>
      <c r="K873" s="48">
        <f>D873+8</f>
        <v/>
      </c>
      <c r="L873" s="48">
        <f>K873+60</f>
        <v/>
      </c>
      <c r="N873" s="72">
        <f>E873</f>
        <v/>
      </c>
      <c r="O873" s="50">
        <f>F873/E873*N873</f>
        <v/>
      </c>
      <c r="P873" s="273">
        <f>G873/E873*N873</f>
        <v/>
      </c>
      <c r="S873" s="200" t="n">
        <v>2</v>
      </c>
      <c r="T873" s="201" t="n">
        <v>2</v>
      </c>
      <c r="U873" s="58" t="inlineStr">
        <is>
          <t>1 TC STC 1 TRACTOR + 4 PLTS PIECES DE RECHANGE</t>
        </is>
      </c>
      <c r="V873" s="67" t="n"/>
      <c r="W873" s="67" t="n"/>
      <c r="X873" s="62" t="inlineStr">
        <is>
          <t>N-OP</t>
        </is>
      </c>
      <c r="Y873" s="116">
        <f>F873/E873</f>
        <v/>
      </c>
      <c r="Z873" s="64">
        <f>E873-N873</f>
        <v/>
      </c>
    </row>
    <row r="874" ht="15.75" customHeight="1" s="202">
      <c r="A874" s="106" t="n">
        <v>20260079</v>
      </c>
      <c r="B874" s="107" t="inlineStr">
        <is>
          <t>BAO FLOURISH</t>
        </is>
      </c>
      <c r="C874" s="108" t="n">
        <v>46085</v>
      </c>
      <c r="D874" s="108" t="n">
        <v>46091</v>
      </c>
      <c r="E874" s="106" t="n">
        <v>173</v>
      </c>
      <c r="F874" s="106" t="n">
        <v>2041.4</v>
      </c>
      <c r="G874" s="106" t="n">
        <v>6920</v>
      </c>
      <c r="H874" s="107" t="inlineStr">
        <is>
          <t>SARL TIRSAM</t>
        </is>
      </c>
      <c r="I874" s="107" t="inlineStr">
        <is>
          <t>BUS</t>
        </is>
      </c>
      <c r="J874" s="107" t="inlineStr">
        <is>
          <t>UTILITAIRE</t>
        </is>
      </c>
      <c r="K874" s="108">
        <f>D874+8</f>
        <v/>
      </c>
      <c r="L874" s="108">
        <f>K874+60</f>
        <v/>
      </c>
      <c r="M874" s="107" t="n"/>
      <c r="N874" s="112">
        <f>E874-60-27-58-28</f>
        <v/>
      </c>
      <c r="O874" s="113">
        <f>F874/E874*N874</f>
        <v/>
      </c>
      <c r="P874" s="112">
        <f>G874/E874*N874</f>
        <v/>
      </c>
      <c r="Q874" s="109" t="inlineStr">
        <is>
          <t>enasel</t>
        </is>
      </c>
      <c r="R874" s="107" t="n"/>
      <c r="S874" s="109" t="inlineStr">
        <is>
          <t>BF25361LDJD001</t>
        </is>
      </c>
      <c r="T874" s="114" t="n">
        <v>1</v>
      </c>
      <c r="U874" s="109" t="inlineStr">
        <is>
          <t>173 BUS TS12 (VOIR BL)</t>
        </is>
      </c>
      <c r="V874" s="106" t="n"/>
      <c r="W874" s="106" t="n"/>
      <c r="X874" s="106" t="inlineStr">
        <is>
          <t>SOLDEE</t>
        </is>
      </c>
      <c r="Y874" s="116">
        <f>F874/E874</f>
        <v/>
      </c>
    </row>
    <row r="875" ht="15.75" customHeight="1" s="202">
      <c r="A875" s="116" t="n">
        <v>20260079</v>
      </c>
      <c r="B875" s="117" t="inlineStr">
        <is>
          <t>BAO FLOURISH</t>
        </is>
      </c>
      <c r="C875" s="118" t="n">
        <v>46085</v>
      </c>
      <c r="D875" s="118" t="n">
        <v>46091</v>
      </c>
      <c r="E875" s="116" t="n">
        <v>2</v>
      </c>
      <c r="F875" s="119" t="n">
        <v>41.07</v>
      </c>
      <c r="G875" s="120" t="n">
        <v>30</v>
      </c>
      <c r="H875" s="117" t="inlineStr">
        <is>
          <t>SARL SITIFIS OASIS IND</t>
        </is>
      </c>
      <c r="I875" s="117" t="inlineStr">
        <is>
          <t>COLIS</t>
        </is>
      </c>
      <c r="J875" s="117" t="inlineStr">
        <is>
          <t>COLIS</t>
        </is>
      </c>
      <c r="K875" s="48">
        <f>D875+8</f>
        <v/>
      </c>
      <c r="L875" s="48">
        <f>K875+60</f>
        <v/>
      </c>
      <c r="N875" s="72">
        <f>E875</f>
        <v/>
      </c>
      <c r="O875" s="50">
        <f>F875/E875*N875</f>
        <v/>
      </c>
      <c r="P875" s="273">
        <f>G875/E875*N875</f>
        <v/>
      </c>
      <c r="S875" s="200" t="inlineStr">
        <is>
          <t>BF25361XDJD028</t>
        </is>
      </c>
      <c r="T875" s="201" t="n">
        <v>6</v>
      </c>
      <c r="U875" s="58" t="inlineStr">
        <is>
          <t>HEAVY DUTY INDUSTRIAL FRICTION WELDING MACHINE AND ACCESSORIES</t>
        </is>
      </c>
      <c r="V875" s="67" t="n"/>
      <c r="W875" s="67" t="n"/>
      <c r="X875" s="62" t="inlineStr">
        <is>
          <t>N-OP</t>
        </is>
      </c>
      <c r="Y875" s="116">
        <f>F875/E875</f>
        <v/>
      </c>
      <c r="Z875" s="64">
        <f>E875-N875</f>
        <v/>
      </c>
    </row>
    <row r="876" ht="15.75" customHeight="1" s="202">
      <c r="A876" s="116" t="n">
        <v>20260079</v>
      </c>
      <c r="B876" s="117" t="inlineStr">
        <is>
          <t>BAO FLOURISH</t>
        </is>
      </c>
      <c r="C876" s="118" t="n">
        <v>46085</v>
      </c>
      <c r="D876" s="118" t="n">
        <v>46091</v>
      </c>
      <c r="E876" s="116" t="n">
        <v>79</v>
      </c>
      <c r="F876" s="119" t="n">
        <v>136.035</v>
      </c>
      <c r="G876" s="120" t="n">
        <v>61</v>
      </c>
      <c r="H876" s="117" t="inlineStr">
        <is>
          <t>ENGTP SPA / ENTREPRISE NATIONALE DE GRANDS TRAVAUX PETROLIERS</t>
        </is>
      </c>
      <c r="I876" s="117" t="inlineStr">
        <is>
          <t>TUBES</t>
        </is>
      </c>
      <c r="J876" s="117" t="inlineStr">
        <is>
          <t>TUBES</t>
        </is>
      </c>
      <c r="K876" s="48">
        <f>D876+8</f>
        <v/>
      </c>
      <c r="L876" s="48">
        <f>K876+60</f>
        <v/>
      </c>
      <c r="N876" s="72">
        <f>E876</f>
        <v/>
      </c>
      <c r="O876" s="50">
        <f>F876/E876*N876</f>
        <v/>
      </c>
      <c r="P876" s="273">
        <f>G876/E876*N876</f>
        <v/>
      </c>
      <c r="Q876" s="224" t="inlineStr">
        <is>
          <t>gc5</t>
        </is>
      </c>
      <c r="S876" s="200" t="inlineStr">
        <is>
          <t>BF25361LDJD002/003</t>
        </is>
      </c>
      <c r="T876" s="201" t="n">
        <v>2</v>
      </c>
      <c r="U876" s="58" t="inlineStr">
        <is>
          <t>SEAMLESS CARBON PIPE</t>
        </is>
      </c>
      <c r="V876" s="67" t="n"/>
      <c r="W876" s="67" t="n"/>
      <c r="X876" s="62" t="inlineStr">
        <is>
          <t>N-OP</t>
        </is>
      </c>
      <c r="Y876" s="116">
        <f>F876/E876</f>
        <v/>
      </c>
      <c r="Z876" s="64">
        <f>E876-N876</f>
        <v/>
      </c>
    </row>
    <row r="877" ht="15.75" customHeight="1" s="202">
      <c r="A877" s="300" t="n">
        <v>20260079</v>
      </c>
      <c r="B877" s="301" t="inlineStr">
        <is>
          <t>BAO FLOURISH</t>
        </is>
      </c>
      <c r="C877" s="302" t="n">
        <v>46085</v>
      </c>
      <c r="D877" s="302" t="n">
        <v>46091</v>
      </c>
      <c r="E877" s="300" t="n">
        <v>614</v>
      </c>
      <c r="F877" s="304" t="n">
        <v>761.373</v>
      </c>
      <c r="G877" s="305" t="n">
        <v>470</v>
      </c>
      <c r="H877" s="301" t="inlineStr">
        <is>
          <t>ENGTP SPA / ENTREPRISE NATIONALE DE GRANDS TRAVAUX PETROLIERS</t>
        </is>
      </c>
      <c r="I877" s="301" t="inlineStr">
        <is>
          <t>TUBES</t>
        </is>
      </c>
      <c r="J877" s="301" t="inlineStr">
        <is>
          <t>TUBES</t>
        </is>
      </c>
      <c r="K877" s="307">
        <f>D877+8</f>
        <v/>
      </c>
      <c r="L877" s="307">
        <f>K877+60</f>
        <v/>
      </c>
      <c r="M877" s="322" t="n"/>
      <c r="N877" s="309">
        <f>E877-36</f>
        <v/>
      </c>
      <c r="O877" s="310">
        <f>F877/E877*N877</f>
        <v/>
      </c>
      <c r="P877" s="311">
        <f>G877/E877*N877</f>
        <v/>
      </c>
      <c r="Q877" s="224" t="inlineStr">
        <is>
          <t>gc5</t>
        </is>
      </c>
      <c r="S877" s="200" t="inlineStr">
        <is>
          <t>BF25361XDJD077</t>
        </is>
      </c>
      <c r="T877" s="201" t="n">
        <v>15</v>
      </c>
      <c r="U877" s="58" t="inlineStr">
        <is>
          <t>SEAMLESS CARBON PIPE</t>
        </is>
      </c>
      <c r="V877" s="67" t="n"/>
      <c r="W877" s="67" t="n"/>
      <c r="X877" s="312" t="inlineStr">
        <is>
          <t>OPER</t>
        </is>
      </c>
      <c r="Y877" s="116">
        <f>F877/E877</f>
        <v/>
      </c>
      <c r="Z877" s="64">
        <f>E877-N877</f>
        <v/>
      </c>
    </row>
    <row r="878" ht="15.75" customHeight="1" s="202">
      <c r="A878" s="116" t="n">
        <v>20260079</v>
      </c>
      <c r="B878" s="117" t="inlineStr">
        <is>
          <t>BAO FLOURISH</t>
        </is>
      </c>
      <c r="C878" s="118" t="n">
        <v>46085</v>
      </c>
      <c r="D878" s="118" t="n">
        <v>46091</v>
      </c>
      <c r="E878" s="116" t="n">
        <v>303</v>
      </c>
      <c r="F878" s="119" t="n">
        <v>605.271</v>
      </c>
      <c r="G878" s="120" t="n">
        <v>230</v>
      </c>
      <c r="H878" s="117" t="inlineStr">
        <is>
          <t>CHINA ROAD AND BRIDGE CORPORATION</t>
        </is>
      </c>
      <c r="I878" s="117" t="inlineStr">
        <is>
          <t>TUBES</t>
        </is>
      </c>
      <c r="J878" s="117" t="inlineStr">
        <is>
          <t>TUBES</t>
        </is>
      </c>
      <c r="K878" s="48">
        <f>D878+8</f>
        <v/>
      </c>
      <c r="L878" s="48">
        <f>K878+60</f>
        <v/>
      </c>
      <c r="N878" s="72">
        <f>E878-58</f>
        <v/>
      </c>
      <c r="O878" s="50">
        <f>F878/E878*N878</f>
        <v/>
      </c>
      <c r="P878" s="273">
        <f>G878/E878*N878</f>
        <v/>
      </c>
      <c r="Q878" s="224" t="inlineStr">
        <is>
          <t>zone tube</t>
        </is>
      </c>
      <c r="S878" s="200" t="inlineStr">
        <is>
          <t>BF25361XDJD057-060</t>
        </is>
      </c>
      <c r="T878" s="201" t="n">
        <v>11</v>
      </c>
      <c r="U878" s="58" t="inlineStr">
        <is>
          <t>SEAMMLESS STEEL PIPE</t>
        </is>
      </c>
      <c r="V878" s="67" t="n"/>
      <c r="W878" s="67" t="n"/>
      <c r="X878" s="99" t="inlineStr">
        <is>
          <t>OPER</t>
        </is>
      </c>
      <c r="Y878" s="116">
        <f>F878/E878</f>
        <v/>
      </c>
      <c r="Z878" s="64">
        <f>E878-N878</f>
        <v/>
      </c>
    </row>
    <row r="879" ht="15.75" customHeight="1" s="202">
      <c r="A879" s="116" t="n">
        <v>20260079</v>
      </c>
      <c r="B879" s="117" t="inlineStr">
        <is>
          <t>BAO FLOURISH</t>
        </is>
      </c>
      <c r="C879" s="118" t="n">
        <v>46085</v>
      </c>
      <c r="D879" s="118" t="n">
        <v>46091</v>
      </c>
      <c r="E879" s="116" t="n">
        <v>175</v>
      </c>
      <c r="F879" s="119" t="n">
        <v>928.84</v>
      </c>
      <c r="G879" s="120" t="n">
        <v>210</v>
      </c>
      <c r="H879" s="117" t="inlineStr">
        <is>
          <t>SARL GIPAR</t>
        </is>
      </c>
      <c r="I879" s="117" t="inlineStr">
        <is>
          <t>POUTRELLES</t>
        </is>
      </c>
      <c r="J879" s="117" t="inlineStr">
        <is>
          <t>POUTRELLES</t>
        </is>
      </c>
      <c r="K879" s="48">
        <f>D879+8</f>
        <v/>
      </c>
      <c r="L879" s="48">
        <f>K879+60</f>
        <v/>
      </c>
      <c r="N879" s="72">
        <f>E879</f>
        <v/>
      </c>
      <c r="O879" s="50">
        <f>F879/E879*N879</f>
        <v/>
      </c>
      <c r="P879" s="273">
        <f>G879/E879*N879</f>
        <v/>
      </c>
      <c r="Q879" s="224" t="inlineStr">
        <is>
          <t>daewoo</t>
        </is>
      </c>
      <c r="S879" s="200" t="inlineStr">
        <is>
          <t>BF25361XDJD008</t>
        </is>
      </c>
      <c r="T879" s="201" t="n">
        <v>4</v>
      </c>
      <c r="U879" s="58" t="inlineStr">
        <is>
          <t>ANGLE STEEL/HOT ROLLED BEAMS/HOT ROLLED STEEL SHEETS</t>
        </is>
      </c>
      <c r="V879" s="67" t="n"/>
      <c r="W879" s="67" t="n"/>
      <c r="X879" s="62" t="inlineStr">
        <is>
          <t>N-OP</t>
        </is>
      </c>
      <c r="Y879" s="116">
        <f>F879/E879</f>
        <v/>
      </c>
      <c r="Z879" s="64">
        <f>E879-N879</f>
        <v/>
      </c>
    </row>
    <row r="880" ht="15.75" customHeight="1" s="202">
      <c r="A880" s="300" t="n">
        <v>20260079</v>
      </c>
      <c r="B880" s="301" t="inlineStr">
        <is>
          <t>BAO FLOURISH</t>
        </is>
      </c>
      <c r="C880" s="302" t="n">
        <v>46085</v>
      </c>
      <c r="D880" s="302" t="n">
        <v>46091</v>
      </c>
      <c r="E880" s="300" t="n">
        <v>525</v>
      </c>
      <c r="F880" s="304" t="n">
        <v>1382.62</v>
      </c>
      <c r="G880" s="311" t="n">
        <v>310</v>
      </c>
      <c r="H880" s="301" t="inlineStr">
        <is>
          <t>SARL STEEL METAL</t>
        </is>
      </c>
      <c r="I880" s="301" t="inlineStr">
        <is>
          <t>TOLES EN PLAQUES</t>
        </is>
      </c>
      <c r="J880" s="301" t="inlineStr">
        <is>
          <t>TOLES EN PLAQUES</t>
        </is>
      </c>
      <c r="K880" s="307">
        <f>D880+8</f>
        <v/>
      </c>
      <c r="L880" s="307">
        <f>K880+60</f>
        <v/>
      </c>
      <c r="M880" s="322" t="n"/>
      <c r="N880" s="309">
        <f>E880-84</f>
        <v/>
      </c>
      <c r="O880" s="310">
        <f>F880/E880*N880</f>
        <v/>
      </c>
      <c r="P880" s="311">
        <f>G880/E880*N880</f>
        <v/>
      </c>
      <c r="Q880" s="224" t="inlineStr">
        <is>
          <t>statio gasoil</t>
        </is>
      </c>
      <c r="S880" s="200" t="inlineStr">
        <is>
          <t>BF25361XDJD051</t>
        </is>
      </c>
      <c r="T880" s="201" t="n">
        <v>10</v>
      </c>
      <c r="U880" s="58" t="inlineStr">
        <is>
          <t>HOT ROLLED STEEL PLATES</t>
        </is>
      </c>
      <c r="V880" s="67" t="n"/>
      <c r="W880" s="67" t="n"/>
      <c r="X880" s="312" t="inlineStr">
        <is>
          <t>OPER</t>
        </is>
      </c>
      <c r="Y880" s="116">
        <f>F880/E880</f>
        <v/>
      </c>
      <c r="Z880" s="64">
        <f>E880-N880</f>
        <v/>
      </c>
    </row>
    <row r="881" ht="15.75" customHeight="1" s="202">
      <c r="A881" s="116" t="n">
        <v>20260079</v>
      </c>
      <c r="B881" s="117" t="inlineStr">
        <is>
          <t>BAO FLOURISH</t>
        </is>
      </c>
      <c r="C881" s="118" t="n">
        <v>46085</v>
      </c>
      <c r="D881" s="118" t="n">
        <v>46091</v>
      </c>
      <c r="E881" s="116" t="n">
        <v>173</v>
      </c>
      <c r="F881" s="119" t="n">
        <v>959.51</v>
      </c>
      <c r="G881" s="273">
        <f>M881*E881</f>
        <v/>
      </c>
      <c r="H881" s="117" t="inlineStr">
        <is>
          <t>STEEL SOLIDE EURL</t>
        </is>
      </c>
      <c r="I881" s="117" t="inlineStr">
        <is>
          <t>BOBINES</t>
        </is>
      </c>
      <c r="J881" s="117" t="inlineStr">
        <is>
          <t>BOBINES</t>
        </is>
      </c>
      <c r="K881" s="48">
        <f>D881+8</f>
        <v/>
      </c>
      <c r="L881" s="48">
        <f>K881+60</f>
        <v/>
      </c>
      <c r="N881" s="72">
        <f>E881</f>
        <v/>
      </c>
      <c r="O881" s="50">
        <f>F881/E881*N881</f>
        <v/>
      </c>
      <c r="P881" s="273">
        <f>G881/E881*N881</f>
        <v/>
      </c>
      <c r="Q881" s="224" t="inlineStr">
        <is>
          <t>gc + t bois</t>
        </is>
      </c>
      <c r="S881" s="200" t="inlineStr">
        <is>
          <t>BF25361XDJD00400662</t>
        </is>
      </c>
      <c r="T881" s="201" t="n">
        <v>3</v>
      </c>
      <c r="U881" s="58" t="inlineStr">
        <is>
          <t>GALVANIZED STRIP COILS</t>
        </is>
      </c>
      <c r="V881" s="67" t="n"/>
      <c r="W881" s="67" t="n"/>
      <c r="X881" s="62" t="inlineStr">
        <is>
          <t>N-OP</t>
        </is>
      </c>
      <c r="Y881" s="116">
        <f>F881/E881</f>
        <v/>
      </c>
      <c r="Z881" s="64">
        <f>E881-N881</f>
        <v/>
      </c>
    </row>
    <row r="882" ht="15.75" customHeight="1" s="202">
      <c r="A882" s="116" t="n">
        <v>20260079</v>
      </c>
      <c r="B882" s="117" t="inlineStr">
        <is>
          <t>BAO FLOURISH</t>
        </is>
      </c>
      <c r="C882" s="118" t="n">
        <v>46085</v>
      </c>
      <c r="D882" s="118" t="n">
        <v>46091</v>
      </c>
      <c r="E882" s="116" t="n">
        <v>474</v>
      </c>
      <c r="F882" s="119" t="n">
        <v>3052.726</v>
      </c>
      <c r="G882" s="273">
        <f>M882*E882</f>
        <v/>
      </c>
      <c r="H882" s="117" t="inlineStr">
        <is>
          <t>SARL LOTUS SAT</t>
        </is>
      </c>
      <c r="I882" s="117" t="inlineStr">
        <is>
          <t>BOBINES</t>
        </is>
      </c>
      <c r="J882" s="117" t="inlineStr">
        <is>
          <t>BOBINES</t>
        </is>
      </c>
      <c r="K882" s="48">
        <f>D882+8</f>
        <v/>
      </c>
      <c r="L882" s="48">
        <f>K882+60</f>
        <v/>
      </c>
      <c r="N882" s="72">
        <f>E882</f>
        <v/>
      </c>
      <c r="O882" s="50">
        <f>F882/E882*N882</f>
        <v/>
      </c>
      <c r="P882" s="273">
        <f>G882/E882*N882</f>
        <v/>
      </c>
      <c r="Q882" s="224" t="inlineStr">
        <is>
          <t>t bois</t>
        </is>
      </c>
      <c r="S882" s="200" t="inlineStr">
        <is>
          <t>BF25361XDJD015</t>
        </is>
      </c>
      <c r="T882" s="201" t="n">
        <v>5</v>
      </c>
      <c r="U882" s="58" t="inlineStr">
        <is>
          <t>PRE-PAINTED STEEL COILS</t>
        </is>
      </c>
      <c r="V882" s="67" t="n"/>
      <c r="W882" s="67" t="n"/>
      <c r="X882" s="62" t="inlineStr">
        <is>
          <t>N-OP</t>
        </is>
      </c>
      <c r="Y882" s="116">
        <f>F882/E882</f>
        <v/>
      </c>
      <c r="Z882" s="64">
        <f>E882-N882</f>
        <v/>
      </c>
    </row>
    <row r="883" ht="15.75" customHeight="1" s="202">
      <c r="A883" s="116" t="n">
        <v>20260079</v>
      </c>
      <c r="B883" s="117" t="inlineStr">
        <is>
          <t>BAO FLOURISH</t>
        </is>
      </c>
      <c r="C883" s="118" t="n">
        <v>46085</v>
      </c>
      <c r="D883" s="118" t="n">
        <v>46091</v>
      </c>
      <c r="E883" s="116" t="n">
        <v>51</v>
      </c>
      <c r="F883" s="119" t="n">
        <v>350.31</v>
      </c>
      <c r="G883" s="273">
        <f>M883*E883</f>
        <v/>
      </c>
      <c r="H883" s="117" t="inlineStr">
        <is>
          <t>SARL SYSTEMES PANNEAUX SANDWICHS</t>
        </is>
      </c>
      <c r="I883" s="117" t="inlineStr">
        <is>
          <t>BOBINES</t>
        </is>
      </c>
      <c r="J883" s="117" t="inlineStr">
        <is>
          <t>BOBINES</t>
        </is>
      </c>
      <c r="K883" s="48">
        <f>D883+8</f>
        <v/>
      </c>
      <c r="L883" s="48">
        <f>K883+60</f>
        <v/>
      </c>
      <c r="N883" s="72">
        <f>E883</f>
        <v/>
      </c>
      <c r="O883" s="50">
        <f>F883/E883*N883</f>
        <v/>
      </c>
      <c r="P883" s="273">
        <f>G883/E883*N883</f>
        <v/>
      </c>
      <c r="Q883" s="224" t="inlineStr">
        <is>
          <t>t bois</t>
        </is>
      </c>
      <c r="S883" s="200" t="inlineStr">
        <is>
          <t>BF25361XDJD029</t>
        </is>
      </c>
      <c r="T883" s="201" t="n">
        <v>7</v>
      </c>
      <c r="U883" s="58" t="inlineStr">
        <is>
          <t>PREPAINTED GALVANIZED STEEL COILS</t>
        </is>
      </c>
      <c r="V883" s="67" t="n"/>
      <c r="W883" s="67" t="n"/>
      <c r="X883" s="62" t="inlineStr">
        <is>
          <t>N-OP</t>
        </is>
      </c>
      <c r="Y883" s="116">
        <f>F883/E883</f>
        <v/>
      </c>
      <c r="Z883" s="64">
        <f>E883-N883</f>
        <v/>
      </c>
    </row>
    <row r="884" ht="15.75" customHeight="1" s="202">
      <c r="A884" s="116" t="n">
        <v>20260079</v>
      </c>
      <c r="B884" s="117" t="inlineStr">
        <is>
          <t>BAO FLOURISH</t>
        </is>
      </c>
      <c r="C884" s="118" t="n">
        <v>46085</v>
      </c>
      <c r="D884" s="118" t="n">
        <v>46091</v>
      </c>
      <c r="E884" s="116" t="n">
        <v>330</v>
      </c>
      <c r="F884" s="119" t="n">
        <v>1307.577</v>
      </c>
      <c r="G884" s="273">
        <f>M884*E884</f>
        <v/>
      </c>
      <c r="H884" s="117" t="inlineStr">
        <is>
          <t>SARL SOUIPANEL</t>
        </is>
      </c>
      <c r="I884" s="117" t="inlineStr">
        <is>
          <t>BOBINES</t>
        </is>
      </c>
      <c r="J884" s="117" t="inlineStr">
        <is>
          <t>BOBINES</t>
        </is>
      </c>
      <c r="K884" s="48">
        <f>D884+8</f>
        <v/>
      </c>
      <c r="L884" s="48">
        <f>K884+60</f>
        <v/>
      </c>
      <c r="N884" s="72">
        <f>E884</f>
        <v/>
      </c>
      <c r="O884" s="50">
        <f>F884/E884*N884</f>
        <v/>
      </c>
      <c r="P884" s="273">
        <f>G884/E884*N884</f>
        <v/>
      </c>
      <c r="Q884" s="224" t="inlineStr">
        <is>
          <t>t bois</t>
        </is>
      </c>
      <c r="S884" s="200" t="inlineStr">
        <is>
          <t>BF25361XDJD030</t>
        </is>
      </c>
      <c r="T884" s="201" t="n">
        <v>8</v>
      </c>
      <c r="U884" s="58" t="inlineStr">
        <is>
          <t>PRIME ZINC ALUMINIUM STEEL COILS</t>
        </is>
      </c>
      <c r="V884" s="67" t="n"/>
      <c r="W884" s="67" t="n"/>
      <c r="X884" s="62" t="inlineStr">
        <is>
          <t>N-OP</t>
        </is>
      </c>
      <c r="Y884" s="116">
        <f>F884/E884</f>
        <v/>
      </c>
      <c r="Z884" s="64">
        <f>E884-N884</f>
        <v/>
      </c>
    </row>
    <row r="885" ht="15.75" customHeight="1" s="202">
      <c r="A885" s="300" t="n">
        <v>20260079</v>
      </c>
      <c r="B885" s="301" t="inlineStr">
        <is>
          <t>BAO FLOURISH</t>
        </is>
      </c>
      <c r="C885" s="302" t="n">
        <v>46085</v>
      </c>
      <c r="D885" s="302" t="n">
        <v>46091</v>
      </c>
      <c r="E885" s="300" t="n">
        <v>201</v>
      </c>
      <c r="F885" s="304" t="n">
        <v>1316.355</v>
      </c>
      <c r="G885" s="311">
        <f>M885*E885</f>
        <v/>
      </c>
      <c r="H885" s="301" t="inlineStr">
        <is>
          <t>EURL SOCIETE ZOUAOUI TRAVAUX DE CONSTRUCTION</t>
        </is>
      </c>
      <c r="I885" s="301" t="inlineStr">
        <is>
          <t>BOBINES</t>
        </is>
      </c>
      <c r="J885" s="301" t="inlineStr">
        <is>
          <t>BOBINES</t>
        </is>
      </c>
      <c r="K885" s="307">
        <f>D885+8</f>
        <v/>
      </c>
      <c r="L885" s="307">
        <f>K885+60</f>
        <v/>
      </c>
      <c r="M885" s="322" t="n"/>
      <c r="N885" s="309">
        <f>E885-73-57</f>
        <v/>
      </c>
      <c r="O885" s="310">
        <f>F885/E885*N885</f>
        <v/>
      </c>
      <c r="P885" s="311">
        <f>G885/E885*N885</f>
        <v/>
      </c>
      <c r="Q885" s="224" t="inlineStr">
        <is>
          <t>t bois</t>
        </is>
      </c>
      <c r="S885" s="200" t="inlineStr">
        <is>
          <t>BF25361XDJD031-032</t>
        </is>
      </c>
      <c r="T885" s="201" t="n">
        <v>9</v>
      </c>
      <c r="U885" s="58" t="inlineStr">
        <is>
          <t>PRIME PREPAINTED STEEL COILS</t>
        </is>
      </c>
      <c r="V885" s="67" t="n"/>
      <c r="W885" s="67" t="n"/>
      <c r="X885" s="312" t="inlineStr">
        <is>
          <t>OPER</t>
        </is>
      </c>
      <c r="Y885" s="116">
        <f>F885/E885</f>
        <v/>
      </c>
      <c r="Z885" s="64">
        <f>E885-N885</f>
        <v/>
      </c>
    </row>
    <row r="886" ht="15.75" customHeight="1" s="202">
      <c r="A886" s="116" t="n">
        <v>20260079</v>
      </c>
      <c r="B886" s="117" t="inlineStr">
        <is>
          <t>BAO FLOURISH</t>
        </is>
      </c>
      <c r="C886" s="118" t="n">
        <v>46085</v>
      </c>
      <c r="D886" s="118" t="n">
        <v>46091</v>
      </c>
      <c r="E886" s="116" t="n">
        <v>40</v>
      </c>
      <c r="F886" s="119" t="n">
        <v>1114.679</v>
      </c>
      <c r="G886" s="273">
        <f>M886*E886</f>
        <v/>
      </c>
      <c r="H886" s="117" t="inlineStr">
        <is>
          <t>SARL FRERES KHERABCHA IMPORT/EXPORT</t>
        </is>
      </c>
      <c r="I886" s="117" t="inlineStr">
        <is>
          <t>BOBINES</t>
        </is>
      </c>
      <c r="J886" s="117" t="inlineStr">
        <is>
          <t>BOBINES</t>
        </is>
      </c>
      <c r="K886" s="48">
        <f>D886+8</f>
        <v/>
      </c>
      <c r="L886" s="48">
        <f>K886+60</f>
        <v/>
      </c>
      <c r="N886" s="72">
        <f>E886</f>
        <v/>
      </c>
      <c r="O886" s="50">
        <f>F886/E886*N886</f>
        <v/>
      </c>
      <c r="P886" s="273">
        <f>G886/E886*N886</f>
        <v/>
      </c>
      <c r="Q886" s="224" t="inlineStr">
        <is>
          <t>t bois</t>
        </is>
      </c>
      <c r="S886" s="200" t="inlineStr">
        <is>
          <t>BF25361XDJD070/071</t>
        </is>
      </c>
      <c r="T886" s="201" t="n">
        <v>12</v>
      </c>
      <c r="U886" s="58" t="inlineStr">
        <is>
          <t>HOT ROLLED STEEL COILS</t>
        </is>
      </c>
      <c r="V886" s="67" t="n"/>
      <c r="W886" s="67" t="n"/>
      <c r="X886" s="62" t="inlineStr">
        <is>
          <t>N-OP</t>
        </is>
      </c>
      <c r="Y886" s="116">
        <f>F886/E886</f>
        <v/>
      </c>
      <c r="Z886" s="64">
        <f>E886-N886</f>
        <v/>
      </c>
    </row>
    <row r="887" ht="15.75" customHeight="1" s="202">
      <c r="A887" s="116" t="n">
        <v>20260079</v>
      </c>
      <c r="B887" s="117" t="inlineStr">
        <is>
          <t>BAO FLOURISH</t>
        </is>
      </c>
      <c r="C887" s="118" t="n">
        <v>46085</v>
      </c>
      <c r="D887" s="118" t="n">
        <v>46091</v>
      </c>
      <c r="E887" s="116" t="n">
        <v>63</v>
      </c>
      <c r="F887" s="119" t="n">
        <v>272.44</v>
      </c>
      <c r="G887" s="273">
        <f>M887*E887</f>
        <v/>
      </c>
      <c r="H887" s="117" t="inlineStr">
        <is>
          <t>FRERES ZIDANI STEEL IMP/ EXP SARL</t>
        </is>
      </c>
      <c r="I887" s="117" t="inlineStr">
        <is>
          <t>BOBINES</t>
        </is>
      </c>
      <c r="J887" s="117" t="inlineStr">
        <is>
          <t>BOBINES</t>
        </is>
      </c>
      <c r="K887" s="48">
        <f>D887+8</f>
        <v/>
      </c>
      <c r="L887" s="48">
        <f>K887+60</f>
        <v/>
      </c>
      <c r="N887" s="72">
        <f>E887</f>
        <v/>
      </c>
      <c r="O887" s="50">
        <f>F887/E887*N887</f>
        <v/>
      </c>
      <c r="P887" s="273">
        <f>G887/E887*N887</f>
        <v/>
      </c>
      <c r="Q887" s="224" t="inlineStr">
        <is>
          <t>t bois</t>
        </is>
      </c>
      <c r="S887" s="200" t="inlineStr">
        <is>
          <t>BF25361XDJD072</t>
        </is>
      </c>
      <c r="T887" s="201" t="n">
        <v>13</v>
      </c>
      <c r="U887" s="58" t="inlineStr">
        <is>
          <t>BOBINES PPJI</t>
        </is>
      </c>
      <c r="V887" s="67" t="n"/>
      <c r="W887" s="67" t="n"/>
      <c r="X887" s="62" t="inlineStr">
        <is>
          <t>N-OP</t>
        </is>
      </c>
      <c r="Y887" s="116">
        <f>F887/E887</f>
        <v/>
      </c>
      <c r="Z887" s="64">
        <f>E887-N887</f>
        <v/>
      </c>
    </row>
    <row r="888" ht="15.75" customHeight="1" s="202">
      <c r="A888" s="116" t="n">
        <v>20260079</v>
      </c>
      <c r="B888" s="117" t="inlineStr">
        <is>
          <t>BAO FLOURISH</t>
        </is>
      </c>
      <c r="C888" s="118" t="n">
        <v>46085</v>
      </c>
      <c r="D888" s="118" t="n">
        <v>46091</v>
      </c>
      <c r="E888" s="116" t="n">
        <v>47</v>
      </c>
      <c r="F888" s="119" t="n">
        <v>200.235</v>
      </c>
      <c r="G888" s="273">
        <f>M888*E888</f>
        <v/>
      </c>
      <c r="H888" s="117" t="inlineStr">
        <is>
          <t>FRERES ZIDANI STEEL IMP/ EXP SARL</t>
        </is>
      </c>
      <c r="I888" s="117" t="inlineStr">
        <is>
          <t>BOBINES</t>
        </is>
      </c>
      <c r="J888" s="117" t="inlineStr">
        <is>
          <t>BOBINES</t>
        </is>
      </c>
      <c r="K888" s="48">
        <f>D888+8</f>
        <v/>
      </c>
      <c r="L888" s="48">
        <f>K888+60</f>
        <v/>
      </c>
      <c r="N888" s="72">
        <f>E888</f>
        <v/>
      </c>
      <c r="O888" s="50">
        <f>F888/E888*N888</f>
        <v/>
      </c>
      <c r="P888" s="273">
        <f>G888/E888*N888</f>
        <v/>
      </c>
      <c r="Q888" s="224" t="inlineStr">
        <is>
          <t>t bois</t>
        </is>
      </c>
      <c r="S888" s="200" t="inlineStr">
        <is>
          <t>BF25361XDJD073/074</t>
        </is>
      </c>
      <c r="T888" s="201" t="n">
        <v>14</v>
      </c>
      <c r="U888" s="58" t="inlineStr">
        <is>
          <t>BOBINES PPJI</t>
        </is>
      </c>
      <c r="V888" s="67" t="n"/>
      <c r="W888" s="67" t="n"/>
      <c r="X888" s="62" t="inlineStr">
        <is>
          <t>N-OP</t>
        </is>
      </c>
      <c r="Y888" s="116">
        <f>F888/E888</f>
        <v/>
      </c>
      <c r="Z888" s="64">
        <f>E888-N888</f>
        <v/>
      </c>
    </row>
    <row r="889" ht="15.75" customHeight="1" s="202">
      <c r="A889" s="87" t="n">
        <v>20260094</v>
      </c>
      <c r="B889" s="88" t="inlineStr">
        <is>
          <t>SHENG CHENG HAI</t>
        </is>
      </c>
      <c r="C889" s="89" t="n">
        <v>46098</v>
      </c>
      <c r="D889" s="118" t="n">
        <v>46100</v>
      </c>
      <c r="E889" s="116" t="n">
        <v>220</v>
      </c>
      <c r="F889" s="119" t="n">
        <v>2329</v>
      </c>
      <c r="G889" s="120" t="n">
        <v>8800</v>
      </c>
      <c r="H889" s="117" t="inlineStr">
        <is>
          <t>EPE VIUR SPA</t>
        </is>
      </c>
      <c r="I889" s="117" t="inlineStr">
        <is>
          <t>BUS</t>
        </is>
      </c>
      <c r="J889" s="117" t="inlineStr">
        <is>
          <t>UTILITAIRE</t>
        </is>
      </c>
      <c r="K889" s="48">
        <f>D889+8</f>
        <v/>
      </c>
      <c r="L889" s="48">
        <f>K889+60</f>
        <v/>
      </c>
      <c r="N889" s="72">
        <f>E889</f>
        <v/>
      </c>
      <c r="O889" s="50">
        <f>F889/E889*N889</f>
        <v/>
      </c>
      <c r="P889" s="273">
        <f>G889/E889*N889</f>
        <v/>
      </c>
      <c r="S889" s="200" t="inlineStr">
        <is>
          <t>CH26037YDJD001</t>
        </is>
      </c>
      <c r="T889" s="201" t="n">
        <v>1</v>
      </c>
      <c r="U889" s="58" t="inlineStr">
        <is>
          <t>50 UNITS HIGER AUTOBUS MODEL C-100-KLQ6106G /30 UNITS HIGER AUTOCAR MODEL V-11-KLQ6116 /140 UNITS HIGER AUTOCAR MODEL NEW V8-KLQ6886 ( VOIR BL )</t>
        </is>
      </c>
      <c r="V889" s="67" t="n"/>
      <c r="W889" s="67" t="n"/>
      <c r="X889" s="62" t="inlineStr">
        <is>
          <t>N-OP</t>
        </is>
      </c>
      <c r="Y889" s="116">
        <f>F889/E889</f>
        <v/>
      </c>
      <c r="Z889" s="64">
        <f>E889-N889</f>
        <v/>
      </c>
    </row>
    <row r="890" ht="15.75" customHeight="1" s="202">
      <c r="A890" s="116" t="n">
        <v>20260094</v>
      </c>
      <c r="B890" s="117" t="inlineStr">
        <is>
          <t>SHENG CHENG HAI</t>
        </is>
      </c>
      <c r="C890" s="118" t="n">
        <v>46098</v>
      </c>
      <c r="D890" s="118" t="n">
        <v>46100</v>
      </c>
      <c r="E890" s="116" t="n">
        <v>266</v>
      </c>
      <c r="F890" s="119" t="n">
        <v>3.4665</v>
      </c>
      <c r="G890" s="120" t="n">
        <v>0</v>
      </c>
      <c r="H890" s="117" t="inlineStr">
        <is>
          <t>EPE VIUR SPA</t>
        </is>
      </c>
      <c r="I890" s="117" t="inlineStr">
        <is>
          <t>COLIS</t>
        </is>
      </c>
      <c r="J890" s="117" t="inlineStr">
        <is>
          <t>COLIS</t>
        </is>
      </c>
      <c r="K890" s="48">
        <f>D890+8</f>
        <v/>
      </c>
      <c r="L890" s="48">
        <f>K890+60</f>
        <v/>
      </c>
      <c r="N890" s="72">
        <f>E890</f>
        <v/>
      </c>
      <c r="O890" s="50">
        <f>F890/E890*N890</f>
        <v/>
      </c>
      <c r="P890" s="273">
        <f>G890/E890*N890</f>
        <v/>
      </c>
      <c r="S890" s="200" t="inlineStr">
        <is>
          <t>CH26037YDJD004</t>
        </is>
      </c>
      <c r="T890" s="201" t="n"/>
      <c r="U890" s="58" t="inlineStr">
        <is>
          <t>SPARE PARTS FOR BUS</t>
        </is>
      </c>
      <c r="V890" s="67" t="n"/>
      <c r="W890" s="67" t="n"/>
      <c r="X890" s="62" t="inlineStr">
        <is>
          <t>N-OP</t>
        </is>
      </c>
      <c r="Y890" s="116">
        <f>F890/E890</f>
        <v/>
      </c>
      <c r="Z890" s="64">
        <f>E890-N890</f>
        <v/>
      </c>
    </row>
    <row r="891" ht="15.75" customHeight="1" s="202">
      <c r="A891" s="116" t="n">
        <v>20260094</v>
      </c>
      <c r="B891" s="117" t="inlineStr">
        <is>
          <t>SHENG CHENG HAI</t>
        </is>
      </c>
      <c r="C891" s="118" t="n">
        <v>46098</v>
      </c>
      <c r="D891" s="118" t="n">
        <v>46100</v>
      </c>
      <c r="E891" s="116" t="n">
        <v>10</v>
      </c>
      <c r="F891" s="119" t="n">
        <v>207.5</v>
      </c>
      <c r="G891" s="120" t="n">
        <v>240</v>
      </c>
      <c r="H891" s="117" t="inlineStr">
        <is>
          <t>EURL GRAND GROUPE INDUST</t>
        </is>
      </c>
      <c r="I891" s="117" t="inlineStr">
        <is>
          <t>REMORQUES</t>
        </is>
      </c>
      <c r="J891" s="117" t="inlineStr">
        <is>
          <t>LOURD</t>
        </is>
      </c>
      <c r="K891" s="48">
        <f>D891+8</f>
        <v/>
      </c>
      <c r="L891" s="48">
        <f>K891+60</f>
        <v/>
      </c>
      <c r="N891" s="72">
        <f>E891</f>
        <v/>
      </c>
      <c r="O891" s="50">
        <f>F891/E891*N891</f>
        <v/>
      </c>
      <c r="P891" s="273">
        <f>G891/E891*N891</f>
        <v/>
      </c>
      <c r="S891" s="200" t="inlineStr">
        <is>
          <t>CH26037YDJD005</t>
        </is>
      </c>
      <c r="T891" s="201" t="n"/>
      <c r="U891" s="58" t="inlineStr">
        <is>
          <t>10 UNITS SEMI REMORQUE 4AXLES 100TONS SIDE DUMPING SIDEWALL SEMI TRAILERS JSXT04120SDT ( VOIR BL )</t>
        </is>
      </c>
      <c r="V891" s="67" t="n"/>
      <c r="W891" s="67" t="n"/>
      <c r="X891" s="62" t="inlineStr">
        <is>
          <t>N-OP</t>
        </is>
      </c>
      <c r="Y891" s="116">
        <f>F891/E891</f>
        <v/>
      </c>
      <c r="Z891" s="64">
        <f>E891-N891</f>
        <v/>
      </c>
    </row>
    <row r="892" ht="15.75" customHeight="1" s="202">
      <c r="A892" s="116" t="n">
        <v>20260094</v>
      </c>
      <c r="B892" s="117" t="inlineStr">
        <is>
          <t>SHENG CHENG HAI</t>
        </is>
      </c>
      <c r="C892" s="118" t="n">
        <v>46098</v>
      </c>
      <c r="D892" s="118" t="n">
        <v>46100</v>
      </c>
      <c r="E892" s="116" t="n">
        <v>1</v>
      </c>
      <c r="F892" s="119" t="n">
        <v>15.62</v>
      </c>
      <c r="G892" s="120" t="n">
        <v>24</v>
      </c>
      <c r="H892" s="117" t="inlineStr">
        <is>
          <t>MELAB SALAH</t>
        </is>
      </c>
      <c r="I892" s="117" t="inlineStr">
        <is>
          <t>CAMIONS</t>
        </is>
      </c>
      <c r="J892" s="117" t="inlineStr">
        <is>
          <t>LOURD</t>
        </is>
      </c>
      <c r="K892" s="48">
        <f>D892+8</f>
        <v/>
      </c>
      <c r="L892" s="48">
        <f>K892+60</f>
        <v/>
      </c>
      <c r="N892" s="72">
        <f>E892</f>
        <v/>
      </c>
      <c r="O892" s="50">
        <f>F892/E892*N892</f>
        <v/>
      </c>
      <c r="P892" s="273">
        <f>G892/E892*N892</f>
        <v/>
      </c>
      <c r="S892" s="200" t="inlineStr">
        <is>
          <t>CH26037YDJD006</t>
        </is>
      </c>
      <c r="T892" s="201" t="n">
        <v>4</v>
      </c>
      <c r="U892" s="58" t="inlineStr">
        <is>
          <t>01 UNIT DUMP LOWBED TRAILER 80T CIMC CSQ9400TDP ( VOIR BL )</t>
        </is>
      </c>
      <c r="V892" s="67" t="n"/>
      <c r="W892" s="67" t="n"/>
      <c r="X892" s="62" t="inlineStr">
        <is>
          <t>N-OP</t>
        </is>
      </c>
      <c r="Y892" s="116">
        <f>F892/E892</f>
        <v/>
      </c>
      <c r="Z892" s="64">
        <f>E892-N892</f>
        <v/>
      </c>
    </row>
    <row r="893" ht="15.75" customHeight="1" s="202">
      <c r="A893" s="116" t="n">
        <v>20260094</v>
      </c>
      <c r="B893" s="117" t="inlineStr">
        <is>
          <t>SHENG CHENG HAI</t>
        </is>
      </c>
      <c r="C893" s="118" t="n">
        <v>46098</v>
      </c>
      <c r="D893" s="118" t="n">
        <v>46100</v>
      </c>
      <c r="E893" s="116" t="n">
        <v>2</v>
      </c>
      <c r="F893" s="119" t="n">
        <v>25</v>
      </c>
      <c r="G893" s="120" t="n">
        <v>48</v>
      </c>
      <c r="H893" s="117" t="inlineStr">
        <is>
          <t>SARL GTR EL DJAZIRA E</t>
        </is>
      </c>
      <c r="I893" s="117" t="inlineStr">
        <is>
          <t>CAMIONS</t>
        </is>
      </c>
      <c r="J893" s="117" t="inlineStr">
        <is>
          <t>LOURD</t>
        </is>
      </c>
      <c r="K893" s="48">
        <f>D893+8</f>
        <v/>
      </c>
      <c r="L893" s="48">
        <f>K893+60</f>
        <v/>
      </c>
      <c r="N893" s="72">
        <f>E893</f>
        <v/>
      </c>
      <c r="O893" s="50">
        <f>F893/E893*N893</f>
        <v/>
      </c>
      <c r="P893" s="273">
        <f>G893/E893*N893</f>
        <v/>
      </c>
      <c r="S893" s="200" t="inlineStr">
        <is>
          <t>CH26037YDJD007</t>
        </is>
      </c>
      <c r="T893" s="201" t="n">
        <v>5</v>
      </c>
      <c r="U893" s="58" t="inlineStr">
        <is>
          <t>02 UNITS SINOTRUK HOWO WATER TANK TRUCK 6X4 ZZ1257N464GB1 ( VOIR BL )</t>
        </is>
      </c>
      <c r="V893" s="67" t="n"/>
      <c r="W893" s="67" t="n"/>
      <c r="X893" s="62" t="inlineStr">
        <is>
          <t>N-OP</t>
        </is>
      </c>
      <c r="Y893" s="116">
        <f>F893/E893</f>
        <v/>
      </c>
      <c r="Z893" s="64">
        <f>E893-N893</f>
        <v/>
      </c>
    </row>
    <row r="894" ht="15.75" customHeight="1" s="202">
      <c r="A894" s="116" t="n">
        <v>20260094</v>
      </c>
      <c r="B894" s="117" t="inlineStr">
        <is>
          <t>SHENG CHENG HAI</t>
        </is>
      </c>
      <c r="C894" s="118" t="n">
        <v>46098</v>
      </c>
      <c r="D894" s="118" t="n">
        <v>46100</v>
      </c>
      <c r="E894" s="116" t="n">
        <v>2</v>
      </c>
      <c r="F894" s="119" t="n">
        <v>38.2</v>
      </c>
      <c r="G894" s="120" t="n">
        <v>48</v>
      </c>
      <c r="H894" s="117" t="inlineStr">
        <is>
          <t>SARL FA SERVICE</t>
        </is>
      </c>
      <c r="I894" s="117" t="inlineStr">
        <is>
          <t>REMORQUES</t>
        </is>
      </c>
      <c r="J894" s="117" t="inlineStr">
        <is>
          <t>LOURD</t>
        </is>
      </c>
      <c r="K894" s="48">
        <f>D894+8</f>
        <v/>
      </c>
      <c r="L894" s="48">
        <f>K894+60</f>
        <v/>
      </c>
      <c r="N894" s="72">
        <f>E894</f>
        <v/>
      </c>
      <c r="O894" s="50">
        <f>F894/E894*N894</f>
        <v/>
      </c>
      <c r="P894" s="273">
        <f>G894/E894*N894</f>
        <v/>
      </c>
      <c r="S894" s="200" t="inlineStr">
        <is>
          <t>CH26037YDJD008</t>
        </is>
      </c>
      <c r="T894" s="201" t="n">
        <v>6</v>
      </c>
      <c r="U894" s="58" t="inlineStr">
        <is>
          <t>02 UNITS CIMC 3 AXLE LOW BED TRAILER ( VOIR BL )</t>
        </is>
      </c>
      <c r="V894" s="67" t="n"/>
      <c r="W894" s="67" t="n"/>
      <c r="X894" s="62" t="inlineStr">
        <is>
          <t>N-OP</t>
        </is>
      </c>
      <c r="Y894" s="116">
        <f>F894/E894</f>
        <v/>
      </c>
      <c r="Z894" s="64">
        <f>E894-N894</f>
        <v/>
      </c>
    </row>
    <row r="895" ht="15.75" customHeight="1" s="202">
      <c r="A895" s="116" t="n">
        <v>20260094</v>
      </c>
      <c r="B895" s="117" t="inlineStr">
        <is>
          <t>SHENG CHENG HAI</t>
        </is>
      </c>
      <c r="C895" s="118" t="n">
        <v>46098</v>
      </c>
      <c r="D895" s="118" t="n">
        <v>46100</v>
      </c>
      <c r="E895" s="116" t="n">
        <v>2</v>
      </c>
      <c r="F895" s="119" t="n">
        <v>28.34</v>
      </c>
      <c r="G895" s="120" t="n">
        <v>48</v>
      </c>
      <c r="H895" s="117" t="inlineStr">
        <is>
          <t>SARL LOUIFI PROJECTS</t>
        </is>
      </c>
      <c r="I895" s="117" t="inlineStr">
        <is>
          <t>REMORQUES</t>
        </is>
      </c>
      <c r="J895" s="117" t="inlineStr">
        <is>
          <t>LOURD</t>
        </is>
      </c>
      <c r="K895" s="48">
        <f>D895+8</f>
        <v/>
      </c>
      <c r="L895" s="48">
        <f>K895+60</f>
        <v/>
      </c>
      <c r="N895" s="72">
        <f>E895</f>
        <v/>
      </c>
      <c r="O895" s="50">
        <f>F895/E895*N895</f>
        <v/>
      </c>
      <c r="P895" s="273">
        <f>G895/E895*N895</f>
        <v/>
      </c>
      <c r="S895" s="200" t="inlineStr">
        <is>
          <t>CH26037YDJD009</t>
        </is>
      </c>
      <c r="T895" s="201" t="n">
        <v>7</v>
      </c>
      <c r="U895" s="58" t="inlineStr">
        <is>
          <t>01 UNIT CIMC 3 AXLE SIDEWALL TRAILER / 01 UNIT LOW BED TRAILER ( VOIR BL )</t>
        </is>
      </c>
      <c r="V895" s="67" t="n"/>
      <c r="W895" s="67" t="n"/>
      <c r="X895" s="62" t="inlineStr">
        <is>
          <t>N-OP</t>
        </is>
      </c>
      <c r="Y895" s="116">
        <f>F895/E895</f>
        <v/>
      </c>
      <c r="Z895" s="64">
        <f>E895-N895</f>
        <v/>
      </c>
    </row>
    <row r="896" ht="15.75" customHeight="1" s="202">
      <c r="A896" s="116" t="n">
        <v>20260094</v>
      </c>
      <c r="B896" s="117" t="inlineStr">
        <is>
          <t>SHENG CHENG HAI</t>
        </is>
      </c>
      <c r="C896" s="118" t="n">
        <v>46098</v>
      </c>
      <c r="D896" s="118" t="n">
        <v>46100</v>
      </c>
      <c r="E896" s="116" t="n">
        <v>1</v>
      </c>
      <c r="F896" s="119" t="n">
        <v>13.57</v>
      </c>
      <c r="G896" s="120" t="n">
        <v>24</v>
      </c>
      <c r="H896" s="117" t="inlineStr">
        <is>
          <t>SARL CHINA HARBOUR ALGERIE</t>
        </is>
      </c>
      <c r="I896" s="117" t="inlineStr">
        <is>
          <t>CAMIONS</t>
        </is>
      </c>
      <c r="J896" s="117" t="inlineStr">
        <is>
          <t>LOURD</t>
        </is>
      </c>
      <c r="K896" s="48">
        <f>D896+8</f>
        <v/>
      </c>
      <c r="L896" s="48">
        <f>K896+60</f>
        <v/>
      </c>
      <c r="N896" s="72">
        <f>E896</f>
        <v/>
      </c>
      <c r="O896" s="50">
        <f>F896/E896*N896</f>
        <v/>
      </c>
      <c r="P896" s="273">
        <f>G896/E896*N896</f>
        <v/>
      </c>
      <c r="S896" s="200" t="inlineStr">
        <is>
          <t>CH26037YDJD010</t>
        </is>
      </c>
      <c r="T896" s="201" t="n">
        <v>8</v>
      </c>
      <c r="U896" s="58" t="inlineStr">
        <is>
          <t>1 UNIT SHACMAN F3000 MIXER TRUCK SX5255GJBDR384 ( VOIR BL )</t>
        </is>
      </c>
      <c r="V896" s="67" t="n"/>
      <c r="W896" s="67" t="n"/>
      <c r="X896" s="62" t="inlineStr">
        <is>
          <t>N-OP</t>
        </is>
      </c>
      <c r="Y896" s="116">
        <f>F896/E896</f>
        <v/>
      </c>
      <c r="Z896" s="64">
        <f>E896-N896</f>
        <v/>
      </c>
    </row>
    <row r="897" ht="15.75" customHeight="1" s="202">
      <c r="A897" s="87" t="inlineStr">
        <is>
          <t>ROSA DEI VENTI</t>
        </is>
      </c>
      <c r="B897" s="274" t="inlineStr">
        <is>
          <t>ROSA DEI VENTI</t>
        </is>
      </c>
      <c r="C897" s="89" t="n">
        <v>46099</v>
      </c>
      <c r="D897" s="89" t="n">
        <v>46100</v>
      </c>
      <c r="E897" s="116" t="n">
        <v>30</v>
      </c>
      <c r="F897" s="119" t="n">
        <v>407.1</v>
      </c>
      <c r="G897" s="120" t="n">
        <v>720</v>
      </c>
      <c r="H897" s="117" t="inlineStr">
        <is>
          <t>ENAGEO / ENTREPRISE NATIONALE DE GEOPHYSIQUE</t>
        </is>
      </c>
      <c r="I897" s="117" t="inlineStr">
        <is>
          <t>CAMIONS</t>
        </is>
      </c>
      <c r="J897" s="117" t="inlineStr">
        <is>
          <t>LOURD</t>
        </is>
      </c>
      <c r="K897" s="48">
        <f>D897+8</f>
        <v/>
      </c>
      <c r="L897" s="48">
        <f>K897+60</f>
        <v/>
      </c>
      <c r="N897" s="72">
        <f>E897</f>
        <v/>
      </c>
      <c r="O897" s="50">
        <f>F897/E897*N897</f>
        <v/>
      </c>
      <c r="P897" s="273">
        <f>G897/E897*N897</f>
        <v/>
      </c>
      <c r="S897" s="200" t="inlineStr">
        <is>
          <t>RD001DJ00126</t>
        </is>
      </c>
      <c r="T897" s="201" t="n">
        <v>1</v>
      </c>
      <c r="U897" s="58" t="inlineStr">
        <is>
          <t>30 IVECO TRAKKER T-WAY</t>
        </is>
      </c>
      <c r="V897" s="67" t="n"/>
      <c r="W897" s="67" t="n"/>
      <c r="X897" s="62" t="inlineStr">
        <is>
          <t>N-OP</t>
        </is>
      </c>
      <c r="Y897" s="116">
        <f>F897/E897</f>
        <v/>
      </c>
      <c r="Z897" s="64">
        <f>E897-N897</f>
        <v/>
      </c>
    </row>
    <row r="898" ht="15.75" customHeight="1" s="202">
      <c r="A898" s="116" t="inlineStr">
        <is>
          <t>ROSA DEI VENTI</t>
        </is>
      </c>
      <c r="B898" s="275" t="inlineStr">
        <is>
          <t>ROSA DEI VENTI</t>
        </is>
      </c>
      <c r="C898" s="118" t="n">
        <v>46099</v>
      </c>
      <c r="D898" s="118" t="n">
        <v>46100</v>
      </c>
      <c r="E898" s="116" t="n">
        <v>2</v>
      </c>
      <c r="F898" s="119" t="n">
        <v>31.4</v>
      </c>
      <c r="G898" s="120" t="n">
        <v>48</v>
      </c>
      <c r="H898" s="117" t="inlineStr">
        <is>
          <t>SARPI SPA</t>
        </is>
      </c>
      <c r="I898" s="117" t="inlineStr">
        <is>
          <t>CAMIONS</t>
        </is>
      </c>
      <c r="J898" s="117" t="inlineStr">
        <is>
          <t>LOURD</t>
        </is>
      </c>
      <c r="K898" s="48">
        <f>D898+8</f>
        <v/>
      </c>
      <c r="L898" s="48">
        <f>K898+60</f>
        <v/>
      </c>
      <c r="N898" s="72">
        <f>E898</f>
        <v/>
      </c>
      <c r="O898" s="50">
        <f>F898/E898*N898</f>
        <v/>
      </c>
      <c r="P898" s="273">
        <f>G898/E898*N898</f>
        <v/>
      </c>
      <c r="S898" s="200" t="inlineStr">
        <is>
          <t>RD002DJ00126</t>
        </is>
      </c>
      <c r="T898" s="201" t="n">
        <v>2</v>
      </c>
      <c r="U898" s="58" t="inlineStr">
        <is>
          <t>02 CAMIONS ASTRA</t>
        </is>
      </c>
      <c r="V898" s="67" t="n"/>
      <c r="W898" s="67" t="n"/>
      <c r="X898" s="62" t="inlineStr">
        <is>
          <t>N-OP</t>
        </is>
      </c>
      <c r="Y898" s="116">
        <f>F898/E898</f>
        <v/>
      </c>
      <c r="Z898" s="64">
        <f>E898-N898</f>
        <v/>
      </c>
    </row>
    <row r="899" ht="15.75" customHeight="1" s="202">
      <c r="A899" s="116" t="inlineStr">
        <is>
          <t>ROSA DEI VENTI</t>
        </is>
      </c>
      <c r="B899" s="275" t="inlineStr">
        <is>
          <t>ROSA DEI VENTI</t>
        </is>
      </c>
      <c r="C899" s="118" t="n">
        <v>46099</v>
      </c>
      <c r="D899" s="118" t="n">
        <v>46100</v>
      </c>
      <c r="E899" s="116" t="n">
        <v>5</v>
      </c>
      <c r="F899" s="119" t="n">
        <v>15.874</v>
      </c>
      <c r="G899" s="120" t="n">
        <v>96</v>
      </c>
      <c r="H899" s="117" t="inlineStr">
        <is>
          <t>SARPI SPA</t>
        </is>
      </c>
      <c r="I899" s="117" t="inlineStr">
        <is>
          <t>FOURGON</t>
        </is>
      </c>
      <c r="J899" s="117" t="inlineStr">
        <is>
          <t>UTILITAIRE</t>
        </is>
      </c>
      <c r="K899" s="48">
        <f>D899+8</f>
        <v/>
      </c>
      <c r="L899" s="48">
        <f>K899+60</f>
        <v/>
      </c>
      <c r="N899" s="72">
        <f>E899</f>
        <v/>
      </c>
      <c r="O899" s="50">
        <f>F899/E899*N899</f>
        <v/>
      </c>
      <c r="P899" s="273">
        <f>G899/E899*N899</f>
        <v/>
      </c>
      <c r="S899" s="200" t="inlineStr">
        <is>
          <t>RD003DJ00126</t>
        </is>
      </c>
      <c r="T899" s="201" t="n">
        <v>3</v>
      </c>
      <c r="U899" s="58" t="inlineStr">
        <is>
          <t>04 IVECO DAILY (EQUIPE AVEC COMPARTEMENT CELLULE AMBULANCE) + 01 CAISSE</t>
        </is>
      </c>
      <c r="V899" s="67" t="n"/>
      <c r="W899" s="67" t="n"/>
      <c r="X899" s="62" t="inlineStr">
        <is>
          <t>N-OP</t>
        </is>
      </c>
      <c r="Y899" s="116">
        <f>F899/E899</f>
        <v/>
      </c>
      <c r="Z899" s="64">
        <f>E899-N899</f>
        <v/>
      </c>
    </row>
    <row r="900" ht="15.75" customHeight="1" s="202">
      <c r="A900" s="116" t="inlineStr">
        <is>
          <t>ROSA DEI VENTI</t>
        </is>
      </c>
      <c r="B900" s="275" t="inlineStr">
        <is>
          <t>ROSA DEI VENTI</t>
        </is>
      </c>
      <c r="C900" s="118" t="n">
        <v>46099</v>
      </c>
      <c r="D900" s="118" t="n">
        <v>46100</v>
      </c>
      <c r="E900" s="116" t="n">
        <v>1325</v>
      </c>
      <c r="F900" s="119" t="n">
        <v>409.86</v>
      </c>
      <c r="G900" s="120" t="n">
        <v>1104</v>
      </c>
      <c r="H900" s="117" t="inlineStr">
        <is>
          <t>EURL BRIMATEC</t>
        </is>
      </c>
      <c r="I900" s="117" t="inlineStr">
        <is>
          <t>CONTENEURS</t>
        </is>
      </c>
      <c r="J900" s="117" t="inlineStr">
        <is>
          <t>CONTENEURS</t>
        </is>
      </c>
      <c r="K900" s="48">
        <f>D900+8</f>
        <v/>
      </c>
      <c r="L900" s="48">
        <f>K900+60</f>
        <v/>
      </c>
      <c r="N900" s="72">
        <f>E900</f>
        <v/>
      </c>
      <c r="O900" s="50">
        <f>F900/E900*N900</f>
        <v/>
      </c>
      <c r="P900" s="273">
        <f>G900/E900*N900</f>
        <v/>
      </c>
      <c r="S900" s="200" t="inlineStr">
        <is>
          <t>J1000DJ00126</t>
        </is>
      </c>
      <c r="T900" s="201" t="n">
        <v>4</v>
      </c>
      <c r="U900" s="58" t="inlineStr">
        <is>
          <t>46 TCS (03x20' OT + 43x40' OT): LIGNE D’EXTRUSION ALUMINIUM COMPLETE, AVEC PRESSE 2000MT ET LIGNE DE TRAITMENT DE REVENU AUTOMATIQUE</t>
        </is>
      </c>
      <c r="V900" s="67" t="n"/>
      <c r="W900" s="67" t="n"/>
      <c r="X900" s="62" t="inlineStr">
        <is>
          <t>N-OP</t>
        </is>
      </c>
      <c r="Y900" s="116">
        <f>F900/E900</f>
        <v/>
      </c>
      <c r="Z900" s="64">
        <f>E900-N900</f>
        <v/>
      </c>
    </row>
    <row r="901" ht="15.75" customHeight="1" s="202">
      <c r="A901" s="87" t="n">
        <v>20260092</v>
      </c>
      <c r="B901" s="274" t="inlineStr">
        <is>
          <t>TRUFFALDINO</t>
        </is>
      </c>
      <c r="C901" s="89" t="n">
        <v>46100</v>
      </c>
      <c r="D901" s="276" t="n">
        <v>46103</v>
      </c>
      <c r="E901" s="277" t="n">
        <v>1840</v>
      </c>
      <c r="F901" s="278" t="n">
        <v>2303680</v>
      </c>
      <c r="G901" s="279" t="n">
        <v>1100</v>
      </c>
      <c r="H901" s="280" t="inlineStr">
        <is>
          <t>ALGERIAN QATARI STEEL SPA</t>
        </is>
      </c>
      <c r="I901" s="280" t="inlineStr">
        <is>
          <t>SILICO MANGANESE EN BIG BAG</t>
        </is>
      </c>
      <c r="J901" s="280" t="inlineStr">
        <is>
          <t>BIG BAG</t>
        </is>
      </c>
      <c r="K901" s="281">
        <f>D901+8</f>
        <v/>
      </c>
      <c r="L901" s="281">
        <f>K901+60</f>
        <v/>
      </c>
      <c r="M901" s="282" t="n"/>
      <c r="N901" s="277">
        <f>E901-1799</f>
        <v/>
      </c>
      <c r="O901" s="282">
        <f>F901/E901*N901</f>
        <v/>
      </c>
      <c r="P901" s="283">
        <f>G901/E901*N901</f>
        <v/>
      </c>
      <c r="Q901" s="284" t="n"/>
      <c r="R901" s="282" t="n"/>
      <c r="S901" s="285" t="inlineStr">
        <is>
          <t>238/2025A</t>
        </is>
      </c>
      <c r="T901" s="286" t="n">
        <v>1</v>
      </c>
      <c r="U901" s="287" t="inlineStr">
        <is>
          <t>SILICO MANGANESE</t>
        </is>
      </c>
      <c r="V901" s="67" t="n"/>
      <c r="W901" s="67" t="n"/>
      <c r="X901" s="182" t="inlineStr">
        <is>
          <t>OPER</t>
        </is>
      </c>
      <c r="Y901" s="116">
        <f>F901/E901</f>
        <v/>
      </c>
      <c r="Z901" s="64">
        <f>E901-N901</f>
        <v/>
      </c>
    </row>
    <row r="902" ht="15.75" customHeight="1" s="202">
      <c r="A902" s="87" t="n">
        <v>20260055</v>
      </c>
      <c r="B902" s="88" t="inlineStr">
        <is>
          <t>BAO RUN</t>
        </is>
      </c>
      <c r="C902" s="89" t="n">
        <v>46079</v>
      </c>
      <c r="E902" s="116" t="n">
        <v>77</v>
      </c>
      <c r="F902" s="119" t="n">
        <v>185.467</v>
      </c>
      <c r="G902" s="120" t="n">
        <v>1848</v>
      </c>
      <c r="H902" s="117" t="inlineStr">
        <is>
          <t>SPA TCHIN LAIT</t>
        </is>
      </c>
      <c r="I902" s="117" t="inlineStr">
        <is>
          <t>CAMION FRIGORIFIQUE</t>
        </is>
      </c>
      <c r="J902" s="117" t="inlineStr">
        <is>
          <t>COLIS</t>
        </is>
      </c>
      <c r="K902" s="48">
        <f>D902+8</f>
        <v/>
      </c>
      <c r="L902" s="48">
        <f>K902+60</f>
        <v/>
      </c>
      <c r="N902" s="72">
        <f>E902-9-10</f>
        <v/>
      </c>
      <c r="O902" s="50">
        <f>F902/E902*N902</f>
        <v/>
      </c>
      <c r="P902" s="273">
        <f>G902/E902*N902</f>
        <v/>
      </c>
      <c r="S902" s="200" t="inlineStr">
        <is>
          <t>BR25339LDJD001155</t>
        </is>
      </c>
      <c r="T902" s="201" t="n">
        <v>1</v>
      </c>
      <c r="U902" s="58" t="inlineStr">
        <is>
          <t>CAMION JMC FRIGORIFIQUE</t>
        </is>
      </c>
      <c r="V902" s="67" t="n"/>
      <c r="W902" s="67" t="n"/>
      <c r="X902" s="99" t="inlineStr">
        <is>
          <t>OPER</t>
        </is>
      </c>
      <c r="Y902" s="116">
        <f>F902/E902</f>
        <v/>
      </c>
      <c r="Z902" s="64">
        <f>E902-N902</f>
        <v/>
      </c>
    </row>
    <row r="903" ht="15.75" customHeight="1" s="202">
      <c r="A903" s="116" t="n">
        <v>20260055</v>
      </c>
      <c r="B903" s="117" t="inlineStr">
        <is>
          <t>BAO RUN</t>
        </is>
      </c>
      <c r="C903" s="118" t="n">
        <v>46079</v>
      </c>
      <c r="E903" s="116" t="n">
        <v>1</v>
      </c>
      <c r="F903" s="119" t="n">
        <v>11.1</v>
      </c>
      <c r="G903" s="120" t="n">
        <v>24</v>
      </c>
      <c r="H903" s="117" t="inlineStr">
        <is>
          <t>SARL GLOBAL SALMI</t>
        </is>
      </c>
      <c r="I903" s="117" t="inlineStr">
        <is>
          <t>CAMIONS</t>
        </is>
      </c>
      <c r="J903" s="117" t="inlineStr">
        <is>
          <t>LOURD</t>
        </is>
      </c>
      <c r="K903" s="48">
        <f>D903+8</f>
        <v/>
      </c>
      <c r="L903" s="48">
        <f>K903+60</f>
        <v/>
      </c>
      <c r="N903" s="72">
        <f>E903</f>
        <v/>
      </c>
      <c r="O903" s="50">
        <f>F903/E903*N903</f>
        <v/>
      </c>
      <c r="P903" s="273">
        <f>G903/E903*N903</f>
        <v/>
      </c>
      <c r="S903" s="200" t="inlineStr">
        <is>
          <t>BR25339LDJD002</t>
        </is>
      </c>
      <c r="T903" s="201" t="n">
        <v>2</v>
      </c>
      <c r="U903" s="58" t="inlineStr">
        <is>
          <t>SHACMAN 20000 L WATER TANK TRUK MODEL:F 3000</t>
        </is>
      </c>
      <c r="V903" s="67" t="n"/>
      <c r="W903" s="67" t="n"/>
      <c r="X903" s="62" t="inlineStr">
        <is>
          <t>N-OP</t>
        </is>
      </c>
      <c r="Y903" s="116">
        <f>F903/E903</f>
        <v/>
      </c>
      <c r="Z903" s="64">
        <f>E903-N903</f>
        <v/>
      </c>
    </row>
    <row r="904" ht="15.75" customHeight="1" s="202">
      <c r="A904" s="116" t="n">
        <v>20260055</v>
      </c>
      <c r="B904" s="117" t="inlineStr">
        <is>
          <t>BAO RUN</t>
        </is>
      </c>
      <c r="C904" s="118" t="n">
        <v>46079</v>
      </c>
      <c r="E904" s="116" t="n">
        <v>1</v>
      </c>
      <c r="F904" s="119" t="n">
        <v>11.1</v>
      </c>
      <c r="G904" s="120" t="n">
        <v>24</v>
      </c>
      <c r="H904" s="117" t="inlineStr">
        <is>
          <t>SARL GLOBAL SALMI</t>
        </is>
      </c>
      <c r="I904" s="117" t="inlineStr">
        <is>
          <t>CAMIONS</t>
        </is>
      </c>
      <c r="J904" s="117" t="inlineStr">
        <is>
          <t>LOURD</t>
        </is>
      </c>
      <c r="K904" s="48">
        <f>D904+8</f>
        <v/>
      </c>
      <c r="L904" s="48">
        <f>K904+60</f>
        <v/>
      </c>
      <c r="N904" s="72">
        <f>E904</f>
        <v/>
      </c>
      <c r="O904" s="50">
        <f>F904/E904*N904</f>
        <v/>
      </c>
      <c r="P904" s="273">
        <f>G904/E904*N904</f>
        <v/>
      </c>
      <c r="S904" s="200" t="inlineStr">
        <is>
          <t>BR25339LDJD003</t>
        </is>
      </c>
      <c r="T904" s="201" t="n">
        <v>3</v>
      </c>
      <c r="U904" s="58" t="inlineStr">
        <is>
          <t>SHACMAN 20000L WATER TANK TRUCK MODEL:F3000,EURO 3</t>
        </is>
      </c>
      <c r="V904" s="67" t="n"/>
      <c r="W904" s="67" t="n"/>
      <c r="X904" s="62" t="inlineStr">
        <is>
          <t>N-OP</t>
        </is>
      </c>
      <c r="Y904" s="116">
        <f>F904/E904</f>
        <v/>
      </c>
      <c r="Z904" s="64">
        <f>E904-N904</f>
        <v/>
      </c>
    </row>
    <row r="905" ht="15.75" customHeight="1" s="202">
      <c r="A905" s="116" t="n">
        <v>20260055</v>
      </c>
      <c r="B905" s="117" t="inlineStr">
        <is>
          <t>BAO RUN</t>
        </is>
      </c>
      <c r="C905" s="118" t="n">
        <v>46079</v>
      </c>
      <c r="E905" s="116" t="n">
        <v>1</v>
      </c>
      <c r="F905" s="119" t="n">
        <v>8.300000000000001</v>
      </c>
      <c r="G905" s="120" t="n">
        <v>24</v>
      </c>
      <c r="H905" s="117" t="inlineStr">
        <is>
          <t>SARL NORTH MAT CONST</t>
        </is>
      </c>
      <c r="I905" s="117" t="inlineStr">
        <is>
          <t>CAMIONS</t>
        </is>
      </c>
      <c r="J905" s="117" t="inlineStr">
        <is>
          <t>LOURD</t>
        </is>
      </c>
      <c r="K905" s="48">
        <f>D905+8</f>
        <v/>
      </c>
      <c r="L905" s="48">
        <f>K905+60</f>
        <v/>
      </c>
      <c r="N905" s="72">
        <f>E905</f>
        <v/>
      </c>
      <c r="O905" s="50">
        <f>F905/E905*N905</f>
        <v/>
      </c>
      <c r="P905" s="273">
        <f>G905/E905*N905</f>
        <v/>
      </c>
      <c r="S905" s="200" t="inlineStr">
        <is>
          <t>BR25339LDJD004</t>
        </is>
      </c>
      <c r="T905" s="201" t="n">
        <v>4</v>
      </c>
      <c r="U905" s="58" t="inlineStr">
        <is>
          <t>CIMC 3-AXLE CEMENT TRAILER OVERSIZE (BRAND NEW)</t>
        </is>
      </c>
      <c r="V905" s="67" t="n"/>
      <c r="W905" s="67" t="n"/>
      <c r="X905" s="62" t="inlineStr">
        <is>
          <t>N-OP</t>
        </is>
      </c>
      <c r="Y905" s="116">
        <f>F905/E905</f>
        <v/>
      </c>
      <c r="Z905" s="64">
        <f>E905-N905</f>
        <v/>
      </c>
    </row>
    <row r="906" ht="15.75" customHeight="1" s="202">
      <c r="A906" s="116" t="n">
        <v>20260055</v>
      </c>
      <c r="B906" s="117" t="inlineStr">
        <is>
          <t>BAO RUN</t>
        </is>
      </c>
      <c r="C906" s="118" t="n">
        <v>46079</v>
      </c>
      <c r="E906" s="116" t="n">
        <v>1</v>
      </c>
      <c r="F906" s="119" t="n">
        <v>8.699999999999999</v>
      </c>
      <c r="G906" s="120" t="n">
        <v>24</v>
      </c>
      <c r="H906" s="117" t="inlineStr">
        <is>
          <t>EURL CHERAZ CTE</t>
        </is>
      </c>
      <c r="I906" s="117" t="inlineStr">
        <is>
          <t>CAMIONS</t>
        </is>
      </c>
      <c r="J906" s="117" t="inlineStr">
        <is>
          <t>LOURD</t>
        </is>
      </c>
      <c r="K906" s="48">
        <f>D906+8</f>
        <v/>
      </c>
      <c r="L906" s="48">
        <f>K906+60</f>
        <v/>
      </c>
      <c r="N906" s="72">
        <f>E906</f>
        <v/>
      </c>
      <c r="O906" s="50">
        <f>F906/E906*N906</f>
        <v/>
      </c>
      <c r="P906" s="273">
        <f>G906/E906*N906</f>
        <v/>
      </c>
      <c r="S906" s="200" t="inlineStr">
        <is>
          <t>BR25339LDJD005</t>
        </is>
      </c>
      <c r="T906" s="201" t="n">
        <v>5</v>
      </c>
      <c r="U906" s="58" t="inlineStr">
        <is>
          <t>+CIMC 3 AXLE CEMENT TRAILER (BRAND NEW).</t>
        </is>
      </c>
      <c r="V906" s="67" t="n"/>
      <c r="W906" s="67" t="n"/>
      <c r="X906" s="62" t="inlineStr">
        <is>
          <t>N-OP</t>
        </is>
      </c>
      <c r="Y906" s="116">
        <f>F906/E906</f>
        <v/>
      </c>
      <c r="Z906" s="64">
        <f>E906-N906</f>
        <v/>
      </c>
    </row>
    <row r="907" ht="15.75" customHeight="1" s="202">
      <c r="A907" s="106" t="n">
        <v>20260055</v>
      </c>
      <c r="B907" s="107" t="inlineStr">
        <is>
          <t>BAO RUN</t>
        </is>
      </c>
      <c r="C907" s="108" t="n">
        <v>46079</v>
      </c>
      <c r="D907" s="108" t="n"/>
      <c r="E907" s="106" t="n">
        <v>2</v>
      </c>
      <c r="F907" s="106" t="n">
        <v>5.2</v>
      </c>
      <c r="G907" s="106" t="n">
        <v>48</v>
      </c>
      <c r="H907" s="107" t="inlineStr">
        <is>
          <t>SOCIETE GENERALE ALGERIE SPA LOCATAIRE EURL ECOLOG</t>
        </is>
      </c>
      <c r="I907" s="107" t="inlineStr">
        <is>
          <t>CAMIONS</t>
        </is>
      </c>
      <c r="J907" s="107" t="inlineStr">
        <is>
          <t>LOURD</t>
        </is>
      </c>
      <c r="K907" s="108">
        <f>D907+8</f>
        <v/>
      </c>
      <c r="L907" s="108">
        <f>K907+60</f>
        <v/>
      </c>
      <c r="M907" s="107" t="n"/>
      <c r="N907" s="112">
        <f>E907-2</f>
        <v/>
      </c>
      <c r="O907" s="113">
        <f>F907/E907*N907</f>
        <v/>
      </c>
      <c r="P907" s="112">
        <f>G907/E907*N907</f>
        <v/>
      </c>
      <c r="Q907" s="109" t="n"/>
      <c r="R907" s="107" t="n"/>
      <c r="S907" s="109" t="inlineStr">
        <is>
          <t>BR25339LDJD006</t>
        </is>
      </c>
      <c r="T907" s="114" t="n">
        <v>6</v>
      </c>
      <c r="U907" s="109" t="inlineStr">
        <is>
          <t>02 NEW JMC 822 4X2 SINGLE CAB CARGO TRUCK</t>
        </is>
      </c>
      <c r="V907" s="106" t="n"/>
      <c r="W907" s="106" t="n"/>
      <c r="X907" s="106" t="inlineStr">
        <is>
          <t>SOLDEE</t>
        </is>
      </c>
      <c r="Y907" s="116">
        <f>F907/E907</f>
        <v/>
      </c>
      <c r="Z907" s="64">
        <f>E907-N907</f>
        <v/>
      </c>
    </row>
    <row r="908" ht="15.75" customHeight="1" s="202">
      <c r="A908" s="116" t="n">
        <v>20260055</v>
      </c>
      <c r="B908" s="117" t="inlineStr">
        <is>
          <t>BAO RUN</t>
        </is>
      </c>
      <c r="C908" s="118" t="n">
        <v>46079</v>
      </c>
      <c r="E908" s="116" t="n">
        <v>1</v>
      </c>
      <c r="F908" s="119" t="n">
        <v>15.4</v>
      </c>
      <c r="G908" s="120" t="n">
        <v>24</v>
      </c>
      <c r="H908" s="117" t="inlineStr">
        <is>
          <t>SARL HADJ DOUBAI LILACHEGHAL</t>
        </is>
      </c>
      <c r="I908" s="117" t="inlineStr">
        <is>
          <t>CAMIONS</t>
        </is>
      </c>
      <c r="J908" s="117" t="inlineStr">
        <is>
          <t>LOURD</t>
        </is>
      </c>
      <c r="K908" s="48">
        <f>D908+8</f>
        <v/>
      </c>
      <c r="L908" s="48">
        <f>K908+60</f>
        <v/>
      </c>
      <c r="N908" s="72">
        <f>E908</f>
        <v/>
      </c>
      <c r="O908" s="50">
        <f>F908/E908*N908</f>
        <v/>
      </c>
      <c r="P908" s="273">
        <f>G908/E908*N908</f>
        <v/>
      </c>
      <c r="S908" s="200" t="inlineStr">
        <is>
          <t>BR25339LDJD007</t>
        </is>
      </c>
      <c r="T908" s="201" t="n">
        <v>7</v>
      </c>
      <c r="U908" s="58" t="inlineStr">
        <is>
          <t>MOTOR GRADER</t>
        </is>
      </c>
      <c r="V908" s="67" t="n"/>
      <c r="W908" s="67" t="n"/>
      <c r="X908" s="62" t="inlineStr">
        <is>
          <t>N-OP</t>
        </is>
      </c>
      <c r="Y908" s="116">
        <f>F908/E908</f>
        <v/>
      </c>
      <c r="Z908" s="64">
        <f>E908-N908</f>
        <v/>
      </c>
    </row>
    <row r="909" ht="15.75" customHeight="1" s="202">
      <c r="A909" s="116" t="n">
        <v>20260055</v>
      </c>
      <c r="B909" s="117" t="inlineStr">
        <is>
          <t>BAO RUN</t>
        </is>
      </c>
      <c r="C909" s="118" t="n">
        <v>46079</v>
      </c>
      <c r="E909" s="116" t="n">
        <v>1</v>
      </c>
      <c r="F909" s="119" t="n">
        <v>19</v>
      </c>
      <c r="G909" s="120" t="n">
        <v>24</v>
      </c>
      <c r="H909" s="117" t="inlineStr">
        <is>
          <t>SARL ATIA MEHDI ET FRERES</t>
        </is>
      </c>
      <c r="I909" s="117" t="inlineStr">
        <is>
          <t>REMORQUES</t>
        </is>
      </c>
      <c r="J909" s="117" t="inlineStr">
        <is>
          <t>LOURD</t>
        </is>
      </c>
      <c r="K909" s="48">
        <f>D909+8</f>
        <v/>
      </c>
      <c r="L909" s="48">
        <f>K909+60</f>
        <v/>
      </c>
      <c r="N909" s="72">
        <f>E909</f>
        <v/>
      </c>
      <c r="O909" s="50">
        <f>F909/E909*N909</f>
        <v/>
      </c>
      <c r="P909" s="273">
        <f>G909/E909*N909</f>
        <v/>
      </c>
      <c r="S909" s="200" t="inlineStr">
        <is>
          <t>BR25339LDJD008A</t>
        </is>
      </c>
      <c r="T909" s="201" t="n">
        <v>8</v>
      </c>
      <c r="U909" s="58" t="inlineStr">
        <is>
          <t>CIMC 80TON TRI-AXLE LOW BED SEMI-TRAILER</t>
        </is>
      </c>
      <c r="V909" s="67" t="n"/>
      <c r="W909" s="67" t="n"/>
      <c r="X909" s="62" t="inlineStr">
        <is>
          <t>N-OP</t>
        </is>
      </c>
      <c r="Y909" s="116">
        <f>F909/E909</f>
        <v/>
      </c>
      <c r="Z909" s="64">
        <f>E909-N909</f>
        <v/>
      </c>
    </row>
    <row r="910" ht="15.75" customHeight="1" s="202">
      <c r="A910" s="116" t="n">
        <v>20260055</v>
      </c>
      <c r="B910" s="117" t="inlineStr">
        <is>
          <t>BAO RUN</t>
        </is>
      </c>
      <c r="C910" s="118" t="n">
        <v>46079</v>
      </c>
      <c r="E910" s="116" t="n">
        <v>1</v>
      </c>
      <c r="F910" s="119" t="n">
        <v>18.03</v>
      </c>
      <c r="G910" s="120" t="n">
        <v>24</v>
      </c>
      <c r="H910" s="117" t="inlineStr">
        <is>
          <t>SARL GRANDS TRAVAUX DU SUD</t>
        </is>
      </c>
      <c r="I910" s="117" t="inlineStr">
        <is>
          <t>CAMIONS</t>
        </is>
      </c>
      <c r="J910" s="117" t="inlineStr">
        <is>
          <t>LOURD</t>
        </is>
      </c>
      <c r="K910" s="48">
        <f>D910+8</f>
        <v/>
      </c>
      <c r="L910" s="48">
        <f>K910+60</f>
        <v/>
      </c>
      <c r="N910" s="72">
        <f>E910</f>
        <v/>
      </c>
      <c r="O910" s="50">
        <f>F910/E910*N910</f>
        <v/>
      </c>
      <c r="P910" s="273">
        <f>G910/E910*N910</f>
        <v/>
      </c>
      <c r="S910" s="200" t="inlineStr">
        <is>
          <t>BR25339LDJD008B130159</t>
        </is>
      </c>
      <c r="T910" s="201" t="n">
        <v>9</v>
      </c>
      <c r="U910" s="58" t="inlineStr">
        <is>
          <t>SINOTRUK SITRAK 6X4 TRACTOR TRUCK + CIMC 80TON TRI-AXLE LOW BED SEMI-TRAILER + 01 PKG</t>
        </is>
      </c>
      <c r="V910" s="67" t="n"/>
      <c r="W910" s="67" t="n"/>
      <c r="X910" s="62" t="inlineStr">
        <is>
          <t>N-OP</t>
        </is>
      </c>
      <c r="Y910" s="116">
        <f>F910/E910</f>
        <v/>
      </c>
      <c r="Z910" s="64">
        <f>E910-N910</f>
        <v/>
      </c>
    </row>
    <row r="911" ht="15.75" customHeight="1" s="202">
      <c r="A911" s="116" t="n">
        <v>20260055</v>
      </c>
      <c r="B911" s="117" t="inlineStr">
        <is>
          <t>BAO RUN</t>
        </is>
      </c>
      <c r="C911" s="118" t="n">
        <v>46079</v>
      </c>
      <c r="E911" s="116" t="n">
        <v>1</v>
      </c>
      <c r="F911" s="119" t="n">
        <v>10</v>
      </c>
      <c r="G911" s="120" t="n">
        <v>24</v>
      </c>
      <c r="H911" s="117" t="inlineStr">
        <is>
          <t>SARL GRANDS TRAVAUX DU SUD</t>
        </is>
      </c>
      <c r="I911" s="117" t="inlineStr">
        <is>
          <t>REMORQUES</t>
        </is>
      </c>
      <c r="J911" s="117" t="inlineStr">
        <is>
          <t>LOURD</t>
        </is>
      </c>
      <c r="K911" s="48">
        <f>D911+8</f>
        <v/>
      </c>
      <c r="L911" s="48">
        <f>K911+60</f>
        <v/>
      </c>
      <c r="N911" s="72">
        <f>E911</f>
        <v/>
      </c>
      <c r="O911" s="50">
        <f>F911/E911*N911</f>
        <v/>
      </c>
      <c r="P911" s="273">
        <f>G911/E911*N911</f>
        <v/>
      </c>
      <c r="S911" s="200" t="inlineStr">
        <is>
          <t>BR25339LDJD008B130159</t>
        </is>
      </c>
      <c r="T911" s="201" t="n">
        <v>9</v>
      </c>
      <c r="U911" s="58" t="n"/>
      <c r="V911" s="67" t="n"/>
      <c r="W911" s="67" t="n"/>
      <c r="X911" s="62" t="inlineStr">
        <is>
          <t>N-OP</t>
        </is>
      </c>
      <c r="Y911" s="116">
        <f>F911/E911</f>
        <v/>
      </c>
      <c r="Z911" s="64">
        <f>E911-N911</f>
        <v/>
      </c>
    </row>
    <row r="912" ht="15.75" customHeight="1" s="202">
      <c r="A912" s="116" t="n">
        <v>20260055</v>
      </c>
      <c r="B912" s="117" t="inlineStr">
        <is>
          <t>BAO RUN</t>
        </is>
      </c>
      <c r="C912" s="118" t="n">
        <v>46079</v>
      </c>
      <c r="E912" s="116" t="n">
        <v>1</v>
      </c>
      <c r="F912" s="119" t="n">
        <v>0</v>
      </c>
      <c r="G912" s="120" t="n">
        <v>5</v>
      </c>
      <c r="H912" s="117" t="inlineStr">
        <is>
          <t>SARL GRANDS TRAVAUX DU SUD</t>
        </is>
      </c>
      <c r="I912" s="117" t="inlineStr">
        <is>
          <t>COLIS</t>
        </is>
      </c>
      <c r="J912" s="117" t="inlineStr">
        <is>
          <t>COLIS</t>
        </is>
      </c>
      <c r="K912" s="48">
        <f>D912+8</f>
        <v/>
      </c>
      <c r="L912" s="48">
        <f>K912+60</f>
        <v/>
      </c>
      <c r="N912" s="72">
        <f>E912</f>
        <v/>
      </c>
      <c r="O912" s="50">
        <f>F912/E912*N912</f>
        <v/>
      </c>
      <c r="P912" s="273">
        <f>G912/E912*N912</f>
        <v/>
      </c>
      <c r="S912" s="200" t="inlineStr">
        <is>
          <t>BR25339LDJD008B130159</t>
        </is>
      </c>
      <c r="T912" s="201" t="n">
        <v>9</v>
      </c>
      <c r="U912" s="58" t="n"/>
      <c r="V912" s="67" t="n"/>
      <c r="W912" s="67" t="n"/>
      <c r="X912" s="62" t="inlineStr">
        <is>
          <t>N-OP</t>
        </is>
      </c>
      <c r="Y912" s="116">
        <f>F912/E912</f>
        <v/>
      </c>
      <c r="Z912" s="64">
        <f>E912-N912</f>
        <v/>
      </c>
    </row>
    <row r="913" ht="15.75" customHeight="1" s="202">
      <c r="A913" s="116" t="n">
        <v>20260055</v>
      </c>
      <c r="B913" s="117" t="inlineStr">
        <is>
          <t>BAO RUN</t>
        </is>
      </c>
      <c r="C913" s="118" t="n">
        <v>46079</v>
      </c>
      <c r="E913" s="116" t="n">
        <v>1</v>
      </c>
      <c r="F913" s="119" t="n">
        <v>19</v>
      </c>
      <c r="G913" s="120" t="n">
        <v>24</v>
      </c>
      <c r="H913" s="117" t="inlineStr">
        <is>
          <t>SARL AMIRAL TRAVAUX</t>
        </is>
      </c>
      <c r="I913" s="117" t="inlineStr">
        <is>
          <t>REMORQUES</t>
        </is>
      </c>
      <c r="J913" s="117" t="inlineStr">
        <is>
          <t>LOURD</t>
        </is>
      </c>
      <c r="K913" s="48">
        <f>D913+8</f>
        <v/>
      </c>
      <c r="L913" s="48">
        <f>K913+60</f>
        <v/>
      </c>
      <c r="N913" s="72">
        <f>E913</f>
        <v/>
      </c>
      <c r="O913" s="50">
        <f>F913/E913*N913</f>
        <v/>
      </c>
      <c r="P913" s="273">
        <f>G913/E913*N913</f>
        <v/>
      </c>
      <c r="S913" s="200" t="inlineStr">
        <is>
          <t>BR25339LDJD009</t>
        </is>
      </c>
      <c r="T913" s="201" t="n">
        <v>10</v>
      </c>
      <c r="U913" s="58" t="inlineStr">
        <is>
          <t>CIMC 80TON TRI-AXLE LOW BED SEMI-TRAILER</t>
        </is>
      </c>
      <c r="V913" s="67" t="n"/>
      <c r="W913" s="67" t="n"/>
      <c r="X913" s="62" t="inlineStr">
        <is>
          <t>N-OP</t>
        </is>
      </c>
      <c r="Y913" s="116">
        <f>F913/E913</f>
        <v/>
      </c>
      <c r="Z913" s="64">
        <f>E913-N913</f>
        <v/>
      </c>
    </row>
    <row r="914" ht="15.75" customHeight="1" s="202">
      <c r="A914" s="106" t="n">
        <v>20260055</v>
      </c>
      <c r="B914" s="107" t="inlineStr">
        <is>
          <t>BAO RUN</t>
        </is>
      </c>
      <c r="C914" s="108" t="n">
        <v>46079</v>
      </c>
      <c r="D914" s="108" t="n"/>
      <c r="E914" s="106" t="n">
        <v>1</v>
      </c>
      <c r="F914" s="106" t="n">
        <v>13.3</v>
      </c>
      <c r="G914" s="106" t="n">
        <v>24</v>
      </c>
      <c r="H914" s="107" t="inlineStr">
        <is>
          <t>SARL FB PROMO</t>
        </is>
      </c>
      <c r="I914" s="107" t="inlineStr">
        <is>
          <t>CAMIONS</t>
        </is>
      </c>
      <c r="J914" s="107" t="inlineStr">
        <is>
          <t>LOURD</t>
        </is>
      </c>
      <c r="K914" s="108">
        <f>D914+8</f>
        <v/>
      </c>
      <c r="L914" s="108">
        <f>K914+60</f>
        <v/>
      </c>
      <c r="M914" s="107" t="n"/>
      <c r="N914" s="112">
        <f>E914-1</f>
        <v/>
      </c>
      <c r="O914" s="113">
        <f>F914/E914*N914</f>
        <v/>
      </c>
      <c r="P914" s="112">
        <f>G914/E914*N914</f>
        <v/>
      </c>
      <c r="Q914" s="109" t="n"/>
      <c r="R914" s="107" t="n"/>
      <c r="S914" s="109" t="inlineStr">
        <is>
          <t>BR25339LDJD010</t>
        </is>
      </c>
      <c r="T914" s="114" t="n">
        <v>11</v>
      </c>
      <c r="U914" s="109" t="inlineStr">
        <is>
          <t>SINOTRUK HOWO 6X4 MIXER TRUCK</t>
        </is>
      </c>
      <c r="V914" s="106" t="n"/>
      <c r="W914" s="106" t="n"/>
      <c r="X914" s="106" t="inlineStr">
        <is>
          <t>SOLDEE</t>
        </is>
      </c>
      <c r="Y914" s="116">
        <f>F914/E914</f>
        <v/>
      </c>
      <c r="Z914" s="64">
        <f>E914-N914</f>
        <v/>
      </c>
    </row>
    <row r="915" ht="15.75" customHeight="1" s="202">
      <c r="A915" s="116" t="n">
        <v>20260055</v>
      </c>
      <c r="B915" s="117" t="inlineStr">
        <is>
          <t>BAO RUN</t>
        </is>
      </c>
      <c r="C915" s="118" t="n">
        <v>46079</v>
      </c>
      <c r="E915" s="116" t="n">
        <v>1</v>
      </c>
      <c r="F915" s="119" t="n">
        <v>10</v>
      </c>
      <c r="G915" s="120" t="n">
        <v>24</v>
      </c>
      <c r="H915" s="117" t="inlineStr">
        <is>
          <t>SARL MOULAY AZIZ</t>
        </is>
      </c>
      <c r="I915" s="117" t="inlineStr">
        <is>
          <t>CAMIONS</t>
        </is>
      </c>
      <c r="J915" s="117" t="inlineStr">
        <is>
          <t>LOURD</t>
        </is>
      </c>
      <c r="K915" s="48">
        <f>D915+8</f>
        <v/>
      </c>
      <c r="L915" s="48">
        <f>K915+60</f>
        <v/>
      </c>
      <c r="N915" s="72">
        <f>E915</f>
        <v/>
      </c>
      <c r="O915" s="50">
        <f>F915/E915*N915</f>
        <v/>
      </c>
      <c r="P915" s="273">
        <f>G915/E915*N915</f>
        <v/>
      </c>
      <c r="S915" s="200" t="inlineStr">
        <is>
          <t>BR25339LDJD011012</t>
        </is>
      </c>
      <c r="T915" s="201" t="n">
        <v>12</v>
      </c>
      <c r="U915" s="58" t="inlineStr">
        <is>
          <t>SHACMAN F3000 6X4 DUMP TRUCK BRAND NEW / LOVOL FL936H LOADER + 01 PKG</t>
        </is>
      </c>
      <c r="V915" s="67" t="n"/>
      <c r="W915" s="67" t="n"/>
      <c r="X915" s="62" t="inlineStr">
        <is>
          <t>N-OP</t>
        </is>
      </c>
      <c r="Y915" s="116">
        <f>F915/E915</f>
        <v/>
      </c>
      <c r="Z915" s="64">
        <f>E915-N915</f>
        <v/>
      </c>
    </row>
    <row r="916" ht="15.75" customHeight="1" s="202">
      <c r="A916" s="116" t="n">
        <v>20260055</v>
      </c>
      <c r="B916" s="117" t="inlineStr">
        <is>
          <t>BAO RUN</t>
        </is>
      </c>
      <c r="C916" s="118" t="n">
        <v>46079</v>
      </c>
      <c r="E916" s="116" t="n">
        <v>1</v>
      </c>
      <c r="F916" s="119" t="n">
        <v>27.59</v>
      </c>
      <c r="G916" s="120" t="n">
        <v>24</v>
      </c>
      <c r="H916" s="117" t="inlineStr">
        <is>
          <t>SARL MOULAY AZIZ</t>
        </is>
      </c>
      <c r="I916" s="117" t="inlineStr">
        <is>
          <t>CHARGEURS</t>
        </is>
      </c>
      <c r="J916" s="117" t="inlineStr">
        <is>
          <t>ENGINS</t>
        </is>
      </c>
      <c r="K916" s="48">
        <f>D916+8</f>
        <v/>
      </c>
      <c r="L916" s="48">
        <f>K916+60</f>
        <v/>
      </c>
      <c r="N916" s="72">
        <f>E916</f>
        <v/>
      </c>
      <c r="O916" s="50">
        <f>F916/E916*N916</f>
        <v/>
      </c>
      <c r="P916" s="273">
        <f>G916/E916*N916</f>
        <v/>
      </c>
      <c r="S916" s="200" t="inlineStr">
        <is>
          <t>BR25339LDJD011012</t>
        </is>
      </c>
      <c r="T916" s="201" t="n">
        <v>12</v>
      </c>
      <c r="U916" s="58" t="n"/>
      <c r="V916" s="67" t="n"/>
      <c r="W916" s="67" t="n"/>
      <c r="X916" s="62" t="inlineStr">
        <is>
          <t>N-OP</t>
        </is>
      </c>
      <c r="Y916" s="116">
        <f>F916/E916</f>
        <v/>
      </c>
      <c r="Z916" s="64">
        <f>E916-N916</f>
        <v/>
      </c>
    </row>
    <row r="917" ht="15.75" customHeight="1" s="202">
      <c r="A917" s="116" t="n">
        <v>20260055</v>
      </c>
      <c r="B917" s="117" t="inlineStr">
        <is>
          <t>BAO RUN</t>
        </is>
      </c>
      <c r="C917" s="118" t="n">
        <v>46079</v>
      </c>
      <c r="E917" s="116" t="n">
        <v>1</v>
      </c>
      <c r="F917" s="119" t="n">
        <v>0</v>
      </c>
      <c r="G917" s="120" t="n">
        <v>5</v>
      </c>
      <c r="H917" s="117" t="inlineStr">
        <is>
          <t>SARL MOULAY AZIZ</t>
        </is>
      </c>
      <c r="I917" s="117" t="inlineStr">
        <is>
          <t>COLIS</t>
        </is>
      </c>
      <c r="J917" s="117" t="inlineStr">
        <is>
          <t>COLIS</t>
        </is>
      </c>
      <c r="K917" s="48">
        <f>D917+8</f>
        <v/>
      </c>
      <c r="L917" s="48">
        <f>K917+60</f>
        <v/>
      </c>
      <c r="N917" s="72">
        <f>E917</f>
        <v/>
      </c>
      <c r="O917" s="50">
        <f>F917/E917*N917</f>
        <v/>
      </c>
      <c r="P917" s="273">
        <f>G917/E917*N917</f>
        <v/>
      </c>
      <c r="S917" s="200" t="inlineStr">
        <is>
          <t>BR25339LDJD011012</t>
        </is>
      </c>
      <c r="T917" s="201" t="n">
        <v>12</v>
      </c>
      <c r="U917" s="58" t="n"/>
      <c r="V917" s="67" t="n"/>
      <c r="W917" s="67" t="n"/>
      <c r="X917" s="62" t="inlineStr">
        <is>
          <t>N-OP</t>
        </is>
      </c>
      <c r="Y917" s="116">
        <f>F917/E917</f>
        <v/>
      </c>
      <c r="Z917" s="64">
        <f>E917-N917</f>
        <v/>
      </c>
    </row>
    <row r="918" ht="15.75" customHeight="1" s="202">
      <c r="A918" s="116" t="n">
        <v>20260055</v>
      </c>
      <c r="B918" s="117" t="inlineStr">
        <is>
          <t>BAO RUN</t>
        </is>
      </c>
      <c r="C918" s="118" t="n">
        <v>46079</v>
      </c>
      <c r="E918" s="116" t="n">
        <v>2</v>
      </c>
      <c r="F918" s="119" t="n">
        <v>26.66</v>
      </c>
      <c r="G918" s="120" t="n">
        <v>48</v>
      </c>
      <c r="H918" s="117" t="inlineStr">
        <is>
          <t>DIAB SAAD</t>
        </is>
      </c>
      <c r="I918" s="117" t="inlineStr">
        <is>
          <t>CAMIONS</t>
        </is>
      </c>
      <c r="J918" s="117" t="inlineStr">
        <is>
          <t>LOURD</t>
        </is>
      </c>
      <c r="K918" s="48">
        <f>D918+8</f>
        <v/>
      </c>
      <c r="L918" s="48">
        <f>K918+60</f>
        <v/>
      </c>
      <c r="N918" s="72">
        <f>E918</f>
        <v/>
      </c>
      <c r="O918" s="50">
        <f>F918/E918*N918</f>
        <v/>
      </c>
      <c r="P918" s="273">
        <f>G918/E918*N918</f>
        <v/>
      </c>
      <c r="S918" s="200" t="inlineStr">
        <is>
          <t>BR25339LDJD013</t>
        </is>
      </c>
      <c r="T918" s="201" t="n">
        <v>13</v>
      </c>
      <c r="U918" s="58" t="inlineStr">
        <is>
          <t>MIXER TRUCK</t>
        </is>
      </c>
      <c r="V918" s="67" t="n"/>
      <c r="W918" s="67" t="n"/>
      <c r="X918" s="62" t="inlineStr">
        <is>
          <t>N-OP</t>
        </is>
      </c>
      <c r="Y918" s="116">
        <f>F918/E918</f>
        <v/>
      </c>
      <c r="Z918" s="64">
        <f>E918-N918</f>
        <v/>
      </c>
    </row>
    <row r="919" ht="15.75" customHeight="1" s="202">
      <c r="A919" s="106" t="n">
        <v>20260055</v>
      </c>
      <c r="B919" s="107" t="inlineStr">
        <is>
          <t>BAO RUN</t>
        </is>
      </c>
      <c r="C919" s="108" t="n">
        <v>46079</v>
      </c>
      <c r="D919" s="108" t="n"/>
      <c r="E919" s="106" t="n">
        <v>2</v>
      </c>
      <c r="F919" s="106" t="n">
        <v>27.37</v>
      </c>
      <c r="G919" s="106" t="n">
        <v>48</v>
      </c>
      <c r="H919" s="107" t="inlineStr">
        <is>
          <t>EURL ELAMEL CONSTRUCTION ET COMMERCE</t>
        </is>
      </c>
      <c r="I919" s="107" t="inlineStr">
        <is>
          <t>CAMIONS</t>
        </is>
      </c>
      <c r="J919" s="107" t="inlineStr">
        <is>
          <t>LOURD</t>
        </is>
      </c>
      <c r="K919" s="108">
        <f>D919+8</f>
        <v/>
      </c>
      <c r="L919" s="108">
        <f>K919+60</f>
        <v/>
      </c>
      <c r="M919" s="107" t="n"/>
      <c r="N919" s="112">
        <f>E919-2</f>
        <v/>
      </c>
      <c r="O919" s="113">
        <f>F919/E919*N919</f>
        <v/>
      </c>
      <c r="P919" s="112">
        <f>G919/E919*N919</f>
        <v/>
      </c>
      <c r="Q919" s="109" t="n"/>
      <c r="R919" s="107" t="n"/>
      <c r="S919" s="109" t="inlineStr">
        <is>
          <t>BR25339LDJD014</t>
        </is>
      </c>
      <c r="T919" s="114" t="n">
        <v>14</v>
      </c>
      <c r="U919" s="109" t="inlineStr">
        <is>
          <t>DUMP TRUCK + SEMI-TRAILER</t>
        </is>
      </c>
      <c r="V919" s="106" t="n"/>
      <c r="W919" s="106" t="n"/>
      <c r="X919" s="106" t="inlineStr">
        <is>
          <t>SOLDEE</t>
        </is>
      </c>
      <c r="Y919" s="116">
        <f>F919/E919</f>
        <v/>
      </c>
    </row>
    <row r="920" ht="15.75" customHeight="1" s="202">
      <c r="A920" s="106" t="n">
        <v>20260055</v>
      </c>
      <c r="B920" s="107" t="inlineStr">
        <is>
          <t>BAO RUN</t>
        </is>
      </c>
      <c r="C920" s="108" t="n">
        <v>46079</v>
      </c>
      <c r="D920" s="108" t="n"/>
      <c r="E920" s="106" t="n">
        <v>1</v>
      </c>
      <c r="F920" s="106" t="n">
        <v>20</v>
      </c>
      <c r="G920" s="106" t="n">
        <v>24</v>
      </c>
      <c r="H920" s="107" t="inlineStr">
        <is>
          <t>SARL SOCIETE MODERNE SERVICES</t>
        </is>
      </c>
      <c r="I920" s="107" t="inlineStr">
        <is>
          <t>COMPACTEURS</t>
        </is>
      </c>
      <c r="J920" s="107" t="inlineStr">
        <is>
          <t>ENGINS</t>
        </is>
      </c>
      <c r="K920" s="108">
        <f>D920+8</f>
        <v/>
      </c>
      <c r="L920" s="108">
        <f>K920+60</f>
        <v/>
      </c>
      <c r="M920" s="107" t="n"/>
      <c r="N920" s="112">
        <f>E920-1</f>
        <v/>
      </c>
      <c r="O920" s="113">
        <f>F920/E920*N920</f>
        <v/>
      </c>
      <c r="P920" s="112">
        <f>G920/E920*N920</f>
        <v/>
      </c>
      <c r="Q920" s="109" t="n"/>
      <c r="R920" s="107" t="n"/>
      <c r="S920" s="109" t="inlineStr">
        <is>
          <t>BR25339LDJD015</t>
        </is>
      </c>
      <c r="T920" s="114" t="n">
        <v>15</v>
      </c>
      <c r="U920" s="109" t="inlineStr">
        <is>
          <t>XCMG TYRE ROLLER XP203S</t>
        </is>
      </c>
      <c r="V920" s="106" t="n"/>
      <c r="W920" s="106" t="n"/>
      <c r="X920" s="106" t="inlineStr">
        <is>
          <t>SOLDEE</t>
        </is>
      </c>
      <c r="Y920" s="116">
        <f>F920/E920</f>
        <v/>
      </c>
      <c r="Z920" s="64">
        <f>E920-N920</f>
        <v/>
      </c>
    </row>
    <row r="921" ht="15.75" customHeight="1" s="202">
      <c r="A921" s="106" t="n">
        <v>20260055</v>
      </c>
      <c r="B921" s="107" t="inlineStr">
        <is>
          <t>BAO RUN</t>
        </is>
      </c>
      <c r="C921" s="108" t="n">
        <v>46079</v>
      </c>
      <c r="D921" s="108" t="n"/>
      <c r="E921" s="106" t="n">
        <v>2</v>
      </c>
      <c r="F921" s="106" t="n">
        <v>40</v>
      </c>
      <c r="G921" s="106" t="n">
        <v>48</v>
      </c>
      <c r="H921" s="107" t="inlineStr">
        <is>
          <t>EURL AKRAM G T P S</t>
        </is>
      </c>
      <c r="I921" s="107" t="inlineStr">
        <is>
          <t>COMPACTEURS</t>
        </is>
      </c>
      <c r="J921" s="107" t="inlineStr">
        <is>
          <t>ENGINS</t>
        </is>
      </c>
      <c r="K921" s="108">
        <f>D921+8</f>
        <v/>
      </c>
      <c r="L921" s="108">
        <f>K921+60</f>
        <v/>
      </c>
      <c r="M921" s="107" t="n"/>
      <c r="N921" s="112">
        <f>E921-2</f>
        <v/>
      </c>
      <c r="O921" s="113">
        <f>F921/E921*N921</f>
        <v/>
      </c>
      <c r="P921" s="112">
        <f>G921/E921*N921</f>
        <v/>
      </c>
      <c r="Q921" s="109" t="n"/>
      <c r="R921" s="107" t="n"/>
      <c r="S921" s="109" t="inlineStr">
        <is>
          <t>BR25339LDJD016</t>
        </is>
      </c>
      <c r="T921" s="114" t="n">
        <v>16</v>
      </c>
      <c r="U921" s="109" t="inlineStr">
        <is>
          <t>XCMG TYRE ROLLER XP203S + XCMG ROAD ROLLER XS203J</t>
        </is>
      </c>
      <c r="V921" s="106" t="n"/>
      <c r="W921" s="106" t="n"/>
      <c r="X921" s="106" t="inlineStr">
        <is>
          <t>SOLDEE</t>
        </is>
      </c>
      <c r="Y921" s="116">
        <f>F921/E921</f>
        <v/>
      </c>
      <c r="Z921" s="64">
        <f>E921-N921</f>
        <v/>
      </c>
    </row>
    <row r="922" ht="15.75" customHeight="1" s="202">
      <c r="A922" s="116" t="n">
        <v>20260055</v>
      </c>
      <c r="B922" s="117" t="inlineStr">
        <is>
          <t>BAO RUN</t>
        </is>
      </c>
      <c r="C922" s="118" t="n">
        <v>46079</v>
      </c>
      <c r="E922" s="116" t="n">
        <v>1</v>
      </c>
      <c r="F922" s="119" t="n">
        <v>17.25</v>
      </c>
      <c r="G922" s="120" t="n">
        <v>24</v>
      </c>
      <c r="H922" s="117" t="inlineStr">
        <is>
          <t>BENDRISSE HASSAN</t>
        </is>
      </c>
      <c r="I922" s="117" t="inlineStr">
        <is>
          <t>CHARGEURS</t>
        </is>
      </c>
      <c r="J922" s="117" t="inlineStr">
        <is>
          <t>ENGINS</t>
        </is>
      </c>
      <c r="K922" s="48">
        <f>D922+8</f>
        <v/>
      </c>
      <c r="L922" s="48">
        <f>K922+60</f>
        <v/>
      </c>
      <c r="N922" s="72">
        <f>E922</f>
        <v/>
      </c>
      <c r="O922" s="50">
        <f>F922/E922*N922</f>
        <v/>
      </c>
      <c r="P922" s="273">
        <f>G922/E922*N922</f>
        <v/>
      </c>
      <c r="S922" s="200" t="inlineStr">
        <is>
          <t>BR25339LDJD017</t>
        </is>
      </c>
      <c r="T922" s="201" t="n">
        <v>17</v>
      </c>
      <c r="U922" s="58" t="inlineStr">
        <is>
          <t>XCMG XC958 WHEEL LOADER</t>
        </is>
      </c>
      <c r="V922" s="67" t="n"/>
      <c r="W922" s="67" t="n"/>
      <c r="X922" s="62" t="inlineStr">
        <is>
          <t>N-OP</t>
        </is>
      </c>
      <c r="Y922" s="116">
        <f>F922/E922</f>
        <v/>
      </c>
      <c r="Z922" s="64">
        <f>E922-N922</f>
        <v/>
      </c>
    </row>
    <row r="923" ht="15.75" customHeight="1" s="202">
      <c r="A923" s="116" t="n">
        <v>20260055</v>
      </c>
      <c r="B923" s="117" t="inlineStr">
        <is>
          <t>BAO RUN</t>
        </is>
      </c>
      <c r="C923" s="118" t="n">
        <v>46079</v>
      </c>
      <c r="E923" s="116" t="n">
        <v>1</v>
      </c>
      <c r="F923" s="119" t="n">
        <v>25.6</v>
      </c>
      <c r="G923" s="120" t="n">
        <v>24</v>
      </c>
      <c r="H923" s="117" t="inlineStr">
        <is>
          <t>EURL EL NAKAA TRAVAUX DE BATIMENT</t>
        </is>
      </c>
      <c r="I923" s="117" t="inlineStr">
        <is>
          <t>CAMION POMPE A BETON</t>
        </is>
      </c>
      <c r="J923" s="117" t="inlineStr">
        <is>
          <t>LOURD</t>
        </is>
      </c>
      <c r="K923" s="48">
        <f>D923+8</f>
        <v/>
      </c>
      <c r="L923" s="48">
        <f>K923+60</f>
        <v/>
      </c>
      <c r="N923" s="72">
        <f>E923</f>
        <v/>
      </c>
      <c r="O923" s="50">
        <f>F923/E923*N923</f>
        <v/>
      </c>
      <c r="P923" s="273">
        <f>G923/E923*N923</f>
        <v/>
      </c>
      <c r="S923" s="200" t="inlineStr">
        <is>
          <t>BR25339LDJD018</t>
        </is>
      </c>
      <c r="T923" s="201" t="n">
        <v>18</v>
      </c>
      <c r="U923" s="58" t="inlineStr">
        <is>
          <t>XCMG 37M PUMP TRUCK XS37</t>
        </is>
      </c>
      <c r="V923" s="67" t="n"/>
      <c r="W923" s="67" t="n"/>
      <c r="X923" s="62" t="inlineStr">
        <is>
          <t>N-OP</t>
        </is>
      </c>
      <c r="Y923" s="116">
        <f>F923/E923</f>
        <v/>
      </c>
      <c r="Z923" s="64">
        <f>E923-N923</f>
        <v/>
      </c>
    </row>
    <row r="924" ht="15.75" customHeight="1" s="202">
      <c r="A924" s="116" t="n">
        <v>20260055</v>
      </c>
      <c r="B924" s="117" t="inlineStr">
        <is>
          <t>BAO RUN</t>
        </is>
      </c>
      <c r="C924" s="118" t="n">
        <v>46079</v>
      </c>
      <c r="E924" s="116" t="n">
        <v>1</v>
      </c>
      <c r="F924" s="119" t="n">
        <v>14.5</v>
      </c>
      <c r="G924" s="120" t="n">
        <v>24</v>
      </c>
      <c r="H924" s="117" t="inlineStr">
        <is>
          <t>GUETTAR TAIEB</t>
        </is>
      </c>
      <c r="I924" s="117" t="inlineStr">
        <is>
          <t>CAMIONS</t>
        </is>
      </c>
      <c r="J924" s="117" t="inlineStr">
        <is>
          <t>LOURD</t>
        </is>
      </c>
      <c r="K924" s="48">
        <f>D924+8</f>
        <v/>
      </c>
      <c r="L924" s="48">
        <f>K924+60</f>
        <v/>
      </c>
      <c r="N924" s="72">
        <f>E924</f>
        <v/>
      </c>
      <c r="O924" s="50">
        <f>F924/E924*N924</f>
        <v/>
      </c>
      <c r="P924" s="273">
        <f>G924/E924*N924</f>
        <v/>
      </c>
      <c r="S924" s="200" t="inlineStr">
        <is>
          <t>BR25339LDJD019</t>
        </is>
      </c>
      <c r="T924" s="201" t="n">
        <v>19</v>
      </c>
      <c r="U924" s="58" t="inlineStr">
        <is>
          <t>SHACMAN F2000 DUMP TRUCK</t>
        </is>
      </c>
      <c r="V924" s="67" t="n"/>
      <c r="W924" s="67" t="n"/>
      <c r="X924" s="62" t="inlineStr">
        <is>
          <t>N-OP</t>
        </is>
      </c>
      <c r="Y924" s="116">
        <f>F924/E924</f>
        <v/>
      </c>
      <c r="Z924" s="64">
        <f>E924-N924</f>
        <v/>
      </c>
    </row>
    <row r="925" ht="15.75" customHeight="1" s="202">
      <c r="A925" s="116" t="n">
        <v>20260055</v>
      </c>
      <c r="B925" s="117" t="inlineStr">
        <is>
          <t>BAO RUN</t>
        </is>
      </c>
      <c r="C925" s="118" t="n">
        <v>46079</v>
      </c>
      <c r="E925" s="116" t="n">
        <v>3</v>
      </c>
      <c r="F925" s="119" t="n">
        <v>7.695</v>
      </c>
      <c r="G925" s="120" t="n">
        <v>72</v>
      </c>
      <c r="H925" s="117" t="inlineStr">
        <is>
          <t>EURL PROTIMGAD</t>
        </is>
      </c>
      <c r="I925" s="117" t="inlineStr">
        <is>
          <t>CAMIONS</t>
        </is>
      </c>
      <c r="J925" s="117" t="inlineStr">
        <is>
          <t>LOURD</t>
        </is>
      </c>
      <c r="K925" s="48">
        <f>D925+8</f>
        <v/>
      </c>
      <c r="L925" s="48">
        <f>K925+60</f>
        <v/>
      </c>
      <c r="N925" s="72">
        <f>E925</f>
        <v/>
      </c>
      <c r="O925" s="50">
        <f>F925/E925*N925</f>
        <v/>
      </c>
      <c r="P925" s="273">
        <f>G925/E925*N925</f>
        <v/>
      </c>
      <c r="S925" s="200" t="inlineStr">
        <is>
          <t>BR25339LDJD020</t>
        </is>
      </c>
      <c r="T925" s="201" t="n">
        <v>20</v>
      </c>
      <c r="U925" s="58" t="inlineStr">
        <is>
          <t>02 UNITS JAC CARGO TRUCK SINGLE CABIN + 01 UNIT JAC DUMP TRUCK DOUBLE CABIN</t>
        </is>
      </c>
      <c r="V925" s="67" t="n"/>
      <c r="W925" s="67" t="n"/>
      <c r="X925" s="62" t="inlineStr">
        <is>
          <t>N-OP</t>
        </is>
      </c>
      <c r="Y925" s="116">
        <f>F925/E925</f>
        <v/>
      </c>
      <c r="Z925" s="64">
        <f>E925-N925</f>
        <v/>
      </c>
    </row>
    <row r="926" ht="15.75" customHeight="1" s="202">
      <c r="A926" s="116" t="n">
        <v>20260055</v>
      </c>
      <c r="B926" s="117" t="inlineStr">
        <is>
          <t>BAO RUN</t>
        </is>
      </c>
      <c r="C926" s="118" t="n">
        <v>46079</v>
      </c>
      <c r="E926" s="116" t="n">
        <v>1</v>
      </c>
      <c r="F926" s="119" t="n">
        <v>13.8</v>
      </c>
      <c r="G926" s="120" t="n">
        <v>24</v>
      </c>
      <c r="H926" s="117" t="inlineStr">
        <is>
          <t>EURL HYDRAU LAKHDARI</t>
        </is>
      </c>
      <c r="I926" s="117" t="inlineStr">
        <is>
          <t>CAMIONS</t>
        </is>
      </c>
      <c r="J926" s="117" t="inlineStr">
        <is>
          <t>LOURD</t>
        </is>
      </c>
      <c r="K926" s="48">
        <f>D926+8</f>
        <v/>
      </c>
      <c r="L926" s="48">
        <f>K926+60</f>
        <v/>
      </c>
      <c r="N926" s="72">
        <f>E926</f>
        <v/>
      </c>
      <c r="O926" s="50">
        <f>F926/E926*N926</f>
        <v/>
      </c>
      <c r="P926" s="273">
        <f>G926/E926*N926</f>
        <v/>
      </c>
      <c r="S926" s="200" t="inlineStr">
        <is>
          <t>BR25339LDJD021</t>
        </is>
      </c>
      <c r="T926" s="201" t="n">
        <v>21</v>
      </c>
      <c r="U926" s="58" t="inlineStr">
        <is>
          <t>SHACMAN F2000 DUMP TRUCK</t>
        </is>
      </c>
      <c r="V926" s="67" t="n"/>
      <c r="W926" s="67" t="n"/>
      <c r="X926" s="62" t="inlineStr">
        <is>
          <t>N-OP</t>
        </is>
      </c>
      <c r="Y926" s="116">
        <f>F926/E926</f>
        <v/>
      </c>
      <c r="Z926" s="64">
        <f>E926-N926</f>
        <v/>
      </c>
    </row>
    <row r="927" ht="15.75" customHeight="1" s="202">
      <c r="A927" s="106" t="n">
        <v>20260055</v>
      </c>
      <c r="B927" s="107" t="inlineStr">
        <is>
          <t>BAO RUN</t>
        </is>
      </c>
      <c r="C927" s="108" t="n">
        <v>46079</v>
      </c>
      <c r="D927" s="108" t="n"/>
      <c r="E927" s="106" t="n">
        <v>1</v>
      </c>
      <c r="F927" s="106" t="n">
        <v>16</v>
      </c>
      <c r="G927" s="106" t="n">
        <v>24</v>
      </c>
      <c r="H927" s="107" t="inlineStr">
        <is>
          <t>NAME : KHALFAOUI KHELIFA</t>
        </is>
      </c>
      <c r="I927" s="107" t="inlineStr">
        <is>
          <t>CAMIONS</t>
        </is>
      </c>
      <c r="J927" s="107" t="inlineStr">
        <is>
          <t>LOURD</t>
        </is>
      </c>
      <c r="K927" s="108">
        <f>D927+8</f>
        <v/>
      </c>
      <c r="L927" s="108">
        <f>K927+60</f>
        <v/>
      </c>
      <c r="M927" s="107" t="n"/>
      <c r="N927" s="112">
        <f>E927-1</f>
        <v/>
      </c>
      <c r="O927" s="113">
        <f>F927/E927*N927</f>
        <v/>
      </c>
      <c r="P927" s="112">
        <f>G927/E927*N927</f>
        <v/>
      </c>
      <c r="Q927" s="109" t="n"/>
      <c r="R927" s="107" t="n"/>
      <c r="S927" s="109" t="inlineStr">
        <is>
          <t>BR25339LDJD022</t>
        </is>
      </c>
      <c r="T927" s="114" t="n">
        <v>22</v>
      </c>
      <c r="U927" s="109" t="inlineStr">
        <is>
          <t>SHACMAN F2000 DUMP TRUCK</t>
        </is>
      </c>
      <c r="V927" s="106" t="n"/>
      <c r="W927" s="106" t="n"/>
      <c r="X927" s="106" t="inlineStr">
        <is>
          <t>SOLDEE</t>
        </is>
      </c>
      <c r="Y927" s="116">
        <f>F927/E927</f>
        <v/>
      </c>
      <c r="Z927" s="64">
        <f>E927-N927</f>
        <v/>
      </c>
    </row>
    <row r="928" ht="15.75" customHeight="1" s="202">
      <c r="A928" s="116" t="n">
        <v>20260055</v>
      </c>
      <c r="B928" s="117" t="inlineStr">
        <is>
          <t>BAO RUN</t>
        </is>
      </c>
      <c r="C928" s="118" t="n">
        <v>46079</v>
      </c>
      <c r="E928" s="116" t="n">
        <v>1</v>
      </c>
      <c r="F928" s="119" t="n">
        <v>36.697</v>
      </c>
      <c r="G928" s="120" t="n">
        <v>24</v>
      </c>
      <c r="H928" s="117" t="inlineStr">
        <is>
          <t>EURL ECHANOUIA</t>
        </is>
      </c>
      <c r="I928" s="117" t="inlineStr">
        <is>
          <t>EXCAVATEURS</t>
        </is>
      </c>
      <c r="J928" s="117" t="inlineStr">
        <is>
          <t>ENGINS</t>
        </is>
      </c>
      <c r="K928" s="48">
        <f>D928+8</f>
        <v/>
      </c>
      <c r="L928" s="48">
        <f>K928+60</f>
        <v/>
      </c>
      <c r="N928" s="72">
        <f>E928</f>
        <v/>
      </c>
      <c r="O928" s="50">
        <f>F928/E928*N928</f>
        <v/>
      </c>
      <c r="P928" s="273">
        <f>G928/E928*N928</f>
        <v/>
      </c>
      <c r="S928" s="200" t="inlineStr">
        <is>
          <t>BR25339LDJD023A</t>
        </is>
      </c>
      <c r="T928" s="201" t="n">
        <v>23</v>
      </c>
      <c r="U928" s="58" t="inlineStr">
        <is>
          <t>HYUNDAI EXCAVATOR WITH BREAKER LINE + 03 PKGS</t>
        </is>
      </c>
      <c r="V928" s="67" t="n"/>
      <c r="W928" s="67" t="n"/>
      <c r="X928" s="62" t="inlineStr">
        <is>
          <t>N-OP</t>
        </is>
      </c>
      <c r="Y928" s="116">
        <f>F928/E928</f>
        <v/>
      </c>
      <c r="Z928" s="64">
        <f>E928-N928</f>
        <v/>
      </c>
    </row>
    <row r="929" ht="15.75" customHeight="1" s="202">
      <c r="A929" s="116" t="n">
        <v>20260055</v>
      </c>
      <c r="B929" s="117" t="inlineStr">
        <is>
          <t>BAO RUN</t>
        </is>
      </c>
      <c r="C929" s="118" t="n">
        <v>46079</v>
      </c>
      <c r="E929" s="116" t="n">
        <v>3</v>
      </c>
      <c r="F929" s="119" t="n">
        <v>0</v>
      </c>
      <c r="G929" s="120" t="n">
        <v>15</v>
      </c>
      <c r="H929" s="117" t="inlineStr">
        <is>
          <t>EURL ECHANOUIA</t>
        </is>
      </c>
      <c r="I929" s="117" t="inlineStr">
        <is>
          <t>COLIS</t>
        </is>
      </c>
      <c r="J929" s="117" t="inlineStr">
        <is>
          <t>COLIS</t>
        </is>
      </c>
      <c r="K929" s="48">
        <f>D929+8</f>
        <v/>
      </c>
      <c r="L929" s="48">
        <f>K929+60</f>
        <v/>
      </c>
      <c r="N929" s="72">
        <f>E929</f>
        <v/>
      </c>
      <c r="O929" s="50">
        <f>F929/E929*N929</f>
        <v/>
      </c>
      <c r="P929" s="273">
        <f>G929/E929*N929</f>
        <v/>
      </c>
      <c r="S929" s="200" t="inlineStr">
        <is>
          <t>BR25339LDJD023A</t>
        </is>
      </c>
      <c r="T929" s="201" t="n">
        <v>23</v>
      </c>
      <c r="U929" s="58" t="n"/>
      <c r="V929" s="67" t="n"/>
      <c r="W929" s="67" t="n"/>
      <c r="X929" s="62" t="inlineStr">
        <is>
          <t>N-OP</t>
        </is>
      </c>
      <c r="Y929" s="116">
        <f>F929/E929</f>
        <v/>
      </c>
      <c r="Z929" s="64">
        <f>E929-N929</f>
        <v/>
      </c>
    </row>
    <row r="930" ht="15.75" customHeight="1" s="202">
      <c r="A930" s="116" t="n">
        <v>20260055</v>
      </c>
      <c r="B930" s="117" t="inlineStr">
        <is>
          <t>BAO RUN</t>
        </is>
      </c>
      <c r="C930" s="118" t="n">
        <v>46079</v>
      </c>
      <c r="E930" s="116" t="n">
        <v>1</v>
      </c>
      <c r="F930" s="119" t="n">
        <v>36.697</v>
      </c>
      <c r="G930" s="120" t="n">
        <v>24</v>
      </c>
      <c r="H930" s="117" t="inlineStr">
        <is>
          <t>EURL ECHANOUIA</t>
        </is>
      </c>
      <c r="I930" s="117" t="inlineStr">
        <is>
          <t>EXCAVATEURS</t>
        </is>
      </c>
      <c r="J930" s="117" t="inlineStr">
        <is>
          <t>ENGINS</t>
        </is>
      </c>
      <c r="K930" s="48">
        <f>D930+8</f>
        <v/>
      </c>
      <c r="L930" s="48">
        <f>K930+60</f>
        <v/>
      </c>
      <c r="N930" s="72">
        <f>E930</f>
        <v/>
      </c>
      <c r="O930" s="50">
        <f>F930/E930*N930</f>
        <v/>
      </c>
      <c r="P930" s="273">
        <f>G930/E930*N930</f>
        <v/>
      </c>
      <c r="S930" s="200" t="inlineStr">
        <is>
          <t>BR25339LDJD023B</t>
        </is>
      </c>
      <c r="T930" s="201" t="n">
        <v>24</v>
      </c>
      <c r="U930" s="58" t="inlineStr">
        <is>
          <t>HYUNDAI EXCAVATOR WITH BREAKER LINE + 03 PKGS</t>
        </is>
      </c>
      <c r="V930" s="67" t="n"/>
      <c r="W930" s="67" t="n"/>
      <c r="X930" s="62" t="inlineStr">
        <is>
          <t>N-OP</t>
        </is>
      </c>
      <c r="Y930" s="116">
        <f>F930/E930</f>
        <v/>
      </c>
      <c r="Z930" s="64">
        <f>E930-N930</f>
        <v/>
      </c>
    </row>
    <row r="931" ht="15.75" customHeight="1" s="202">
      <c r="A931" s="116" t="n">
        <v>20260055</v>
      </c>
      <c r="B931" s="117" t="inlineStr">
        <is>
          <t>BAO RUN</t>
        </is>
      </c>
      <c r="C931" s="118" t="n">
        <v>46079</v>
      </c>
      <c r="E931" s="116" t="n">
        <v>3</v>
      </c>
      <c r="F931" s="119" t="n">
        <v>0</v>
      </c>
      <c r="G931" s="120" t="n">
        <v>15</v>
      </c>
      <c r="H931" s="117" t="inlineStr">
        <is>
          <t>EURL ECHANOUIA</t>
        </is>
      </c>
      <c r="I931" s="117" t="inlineStr">
        <is>
          <t>COLIS</t>
        </is>
      </c>
      <c r="J931" s="117" t="inlineStr">
        <is>
          <t>COLIS</t>
        </is>
      </c>
      <c r="K931" s="48">
        <f>D931+8</f>
        <v/>
      </c>
      <c r="L931" s="48">
        <f>K931+60</f>
        <v/>
      </c>
      <c r="N931" s="72">
        <f>E931</f>
        <v/>
      </c>
      <c r="O931" s="50">
        <f>F931/E931*N931</f>
        <v/>
      </c>
      <c r="P931" s="273">
        <f>G931/E931*N931</f>
        <v/>
      </c>
      <c r="S931" s="200" t="inlineStr">
        <is>
          <t>BR25339LDJD023B</t>
        </is>
      </c>
      <c r="T931" s="201" t="n">
        <v>24</v>
      </c>
      <c r="U931" s="58" t="n"/>
      <c r="V931" s="67" t="n"/>
      <c r="W931" s="67" t="n"/>
      <c r="X931" s="62" t="inlineStr">
        <is>
          <t>N-OP</t>
        </is>
      </c>
      <c r="Y931" s="116">
        <f>F931/E931</f>
        <v/>
      </c>
      <c r="Z931" s="64">
        <f>E931-N931</f>
        <v/>
      </c>
    </row>
    <row r="932" ht="15.75" customHeight="1" s="202">
      <c r="A932" s="116" t="n">
        <v>20260055</v>
      </c>
      <c r="B932" s="117" t="inlineStr">
        <is>
          <t>BAO RUN</t>
        </is>
      </c>
      <c r="C932" s="118" t="n">
        <v>46079</v>
      </c>
      <c r="E932" s="116" t="n">
        <v>1</v>
      </c>
      <c r="F932" s="119" t="n">
        <v>39.944</v>
      </c>
      <c r="G932" s="120" t="n">
        <v>24</v>
      </c>
      <c r="H932" s="117" t="inlineStr">
        <is>
          <t>EURL HIGH STAR</t>
        </is>
      </c>
      <c r="I932" s="117" t="inlineStr">
        <is>
          <t>EXCAVATEURS</t>
        </is>
      </c>
      <c r="J932" s="117" t="inlineStr">
        <is>
          <t>ENGINS</t>
        </is>
      </c>
      <c r="K932" s="48">
        <f>D932+8</f>
        <v/>
      </c>
      <c r="L932" s="48">
        <f>K932+60</f>
        <v/>
      </c>
      <c r="N932" s="72">
        <f>E932</f>
        <v/>
      </c>
      <c r="O932" s="50">
        <f>F932/E932*N932</f>
        <v/>
      </c>
      <c r="P932" s="273">
        <f>G932/E932*N932</f>
        <v/>
      </c>
      <c r="S932" s="200" t="inlineStr">
        <is>
          <t>BR25339LDJD024</t>
        </is>
      </c>
      <c r="T932" s="201" t="n">
        <v>25</v>
      </c>
      <c r="U932" s="58" t="inlineStr">
        <is>
          <t>1 UNIT CRAWLER EXCAVATOR + 05 PKGS</t>
        </is>
      </c>
      <c r="V932" s="67" t="n"/>
      <c r="W932" s="67" t="n"/>
      <c r="X932" s="62" t="inlineStr">
        <is>
          <t>N-OP</t>
        </is>
      </c>
      <c r="Y932" s="116">
        <f>F932/E932</f>
        <v/>
      </c>
      <c r="Z932" s="64">
        <f>E932-N932</f>
        <v/>
      </c>
    </row>
    <row r="933" ht="15.75" customHeight="1" s="202">
      <c r="A933" s="116" t="n">
        <v>20260055</v>
      </c>
      <c r="B933" s="117" t="inlineStr">
        <is>
          <t>BAO RUN</t>
        </is>
      </c>
      <c r="C933" s="118" t="n">
        <v>46079</v>
      </c>
      <c r="E933" s="116" t="n">
        <v>5</v>
      </c>
      <c r="F933" s="119" t="n">
        <v>0</v>
      </c>
      <c r="G933" s="120" t="n">
        <v>25</v>
      </c>
      <c r="H933" s="117" t="inlineStr">
        <is>
          <t>EURL HIGH STAR</t>
        </is>
      </c>
      <c r="I933" s="117" t="inlineStr">
        <is>
          <t>COLIS</t>
        </is>
      </c>
      <c r="J933" s="117" t="inlineStr">
        <is>
          <t>COLIS</t>
        </is>
      </c>
      <c r="K933" s="48">
        <f>D933+8</f>
        <v/>
      </c>
      <c r="L933" s="48">
        <f>K933+60</f>
        <v/>
      </c>
      <c r="N933" s="72">
        <f>E933</f>
        <v/>
      </c>
      <c r="O933" s="50">
        <f>F933/E933*N933</f>
        <v/>
      </c>
      <c r="P933" s="273">
        <f>G933/E933*N933</f>
        <v/>
      </c>
      <c r="S933" s="200" t="inlineStr">
        <is>
          <t>BR25339LDJD024</t>
        </is>
      </c>
      <c r="T933" s="201" t="n">
        <v>25</v>
      </c>
      <c r="U933" s="58" t="n"/>
      <c r="V933" s="67" t="n"/>
      <c r="W933" s="67" t="n"/>
      <c r="X933" s="62" t="inlineStr">
        <is>
          <t>N-OP</t>
        </is>
      </c>
      <c r="Y933" s="116">
        <f>F933/E933</f>
        <v/>
      </c>
      <c r="Z933" s="64">
        <f>E933-N933</f>
        <v/>
      </c>
    </row>
    <row r="934" ht="15.75" customHeight="1" s="202">
      <c r="A934" s="116" t="n">
        <v>20260055</v>
      </c>
      <c r="B934" s="117" t="inlineStr">
        <is>
          <t>BAO RUN</t>
        </is>
      </c>
      <c r="C934" s="118" t="n">
        <v>46079</v>
      </c>
      <c r="E934" s="116" t="n">
        <v>2</v>
      </c>
      <c r="F934" s="119" t="n">
        <v>24</v>
      </c>
      <c r="G934" s="120" t="n">
        <v>48</v>
      </c>
      <c r="H934" s="117" t="inlineStr">
        <is>
          <t>SPA SOCIETE NATIONALE DE LEASING SNL</t>
        </is>
      </c>
      <c r="I934" s="117" t="inlineStr">
        <is>
          <t>CAMIONS</t>
        </is>
      </c>
      <c r="J934" s="117" t="inlineStr">
        <is>
          <t>LOURD</t>
        </is>
      </c>
      <c r="K934" s="48">
        <f>D934+8</f>
        <v/>
      </c>
      <c r="L934" s="48">
        <f>K934+60</f>
        <v/>
      </c>
      <c r="N934" s="72">
        <f>E934</f>
        <v/>
      </c>
      <c r="O934" s="50">
        <f>F934/E934*N934</f>
        <v/>
      </c>
      <c r="P934" s="273">
        <f>G934/E934*N934</f>
        <v/>
      </c>
      <c r="S934" s="200" t="inlineStr">
        <is>
          <t>BR25339LDJD025</t>
        </is>
      </c>
      <c r="T934" s="201" t="n">
        <v>26</v>
      </c>
      <c r="U934" s="58" t="inlineStr">
        <is>
          <t>02 (DEUX) BEIBEN 6X4 DUMP TRUCK</t>
        </is>
      </c>
      <c r="V934" s="67" t="n"/>
      <c r="W934" s="67" t="n"/>
      <c r="X934" s="62" t="inlineStr">
        <is>
          <t>N-OP</t>
        </is>
      </c>
      <c r="Y934" s="116">
        <f>F934/E934</f>
        <v/>
      </c>
      <c r="Z934" s="64">
        <f>E934-N934</f>
        <v/>
      </c>
    </row>
    <row r="935" ht="15.75" customHeight="1" s="202">
      <c r="A935" s="116" t="n">
        <v>20260055</v>
      </c>
      <c r="B935" s="117" t="inlineStr">
        <is>
          <t>BAO RUN</t>
        </is>
      </c>
      <c r="C935" s="118" t="n">
        <v>46079</v>
      </c>
      <c r="E935" s="116" t="n">
        <v>3</v>
      </c>
      <c r="F935" s="119" t="n">
        <v>36.99</v>
      </c>
      <c r="G935" s="120" t="n">
        <v>72</v>
      </c>
      <c r="H935" s="117" t="inlineStr">
        <is>
          <t>KORICHI ROCHDI</t>
        </is>
      </c>
      <c r="I935" s="117" t="inlineStr">
        <is>
          <t>CAMIONS</t>
        </is>
      </c>
      <c r="J935" s="117" t="inlineStr">
        <is>
          <t>LOURD</t>
        </is>
      </c>
      <c r="K935" s="48">
        <f>D935+8</f>
        <v/>
      </c>
      <c r="L935" s="48">
        <f>K935+60</f>
        <v/>
      </c>
      <c r="N935" s="72">
        <f>E935</f>
        <v/>
      </c>
      <c r="O935" s="50">
        <f>F935/E935*N935</f>
        <v/>
      </c>
      <c r="P935" s="273">
        <f>G935/E935*N935</f>
        <v/>
      </c>
      <c r="S935" s="200" t="inlineStr">
        <is>
          <t>BR25339LDJD026</t>
        </is>
      </c>
      <c r="T935" s="201" t="n">
        <v>27</v>
      </c>
      <c r="U935" s="58" t="inlineStr">
        <is>
          <t>03 UNITS SHACMAN F2000 6X4 DUMP TRUCK</t>
        </is>
      </c>
      <c r="V935" s="67" t="n"/>
      <c r="W935" s="67" t="n"/>
      <c r="X935" s="62" t="inlineStr">
        <is>
          <t>N-OP</t>
        </is>
      </c>
      <c r="Y935" s="116">
        <f>F935/E935</f>
        <v/>
      </c>
      <c r="Z935" s="64">
        <f>E935-N935</f>
        <v/>
      </c>
    </row>
    <row r="936" ht="15.75" customHeight="1" s="202">
      <c r="A936" s="116" t="n">
        <v>20260055</v>
      </c>
      <c r="B936" s="117" t="inlineStr">
        <is>
          <t>BAO RUN</t>
        </is>
      </c>
      <c r="C936" s="118" t="n">
        <v>46079</v>
      </c>
      <c r="E936" s="116" t="n">
        <v>1</v>
      </c>
      <c r="F936" s="119" t="n">
        <v>13.8</v>
      </c>
      <c r="G936" s="120" t="n">
        <v>24</v>
      </c>
      <c r="H936" s="117" t="inlineStr">
        <is>
          <t>BEN ALI LAKEHAL</t>
        </is>
      </c>
      <c r="I936" s="117" t="inlineStr">
        <is>
          <t>CAMIONS</t>
        </is>
      </c>
      <c r="J936" s="117" t="inlineStr">
        <is>
          <t>LOURD</t>
        </is>
      </c>
      <c r="K936" s="48">
        <f>D936+8</f>
        <v/>
      </c>
      <c r="L936" s="48">
        <f>K936+60</f>
        <v/>
      </c>
      <c r="N936" s="72">
        <f>E936</f>
        <v/>
      </c>
      <c r="O936" s="50">
        <f>F936/E936*N936</f>
        <v/>
      </c>
      <c r="P936" s="273">
        <f>G936/E936*N936</f>
        <v/>
      </c>
      <c r="S936" s="200" t="inlineStr">
        <is>
          <t>BR25339LDJD027</t>
        </is>
      </c>
      <c r="T936" s="201" t="n">
        <v>28</v>
      </c>
      <c r="U936" s="58" t="inlineStr">
        <is>
          <t>SHACMAN F2000 DUMP TRUCK</t>
        </is>
      </c>
      <c r="V936" s="67" t="n"/>
      <c r="W936" s="67" t="n"/>
      <c r="X936" s="62" t="inlineStr">
        <is>
          <t>N-OP</t>
        </is>
      </c>
      <c r="Y936" s="116">
        <f>F936/E936</f>
        <v/>
      </c>
      <c r="Z936" s="64">
        <f>E936-N936</f>
        <v/>
      </c>
    </row>
    <row r="937" ht="15.75" customHeight="1" s="202">
      <c r="A937" s="116" t="n">
        <v>20260055</v>
      </c>
      <c r="B937" s="117" t="inlineStr">
        <is>
          <t>BAO RUN</t>
        </is>
      </c>
      <c r="C937" s="118" t="n">
        <v>46079</v>
      </c>
      <c r="E937" s="116" t="n">
        <v>1</v>
      </c>
      <c r="F937" s="119" t="n">
        <v>8.029999999999999</v>
      </c>
      <c r="G937" s="120" t="n">
        <v>24</v>
      </c>
      <c r="H937" s="117" t="inlineStr">
        <is>
          <t>SARL ATIA MEHDI ET FRERES</t>
        </is>
      </c>
      <c r="I937" s="117" t="inlineStr">
        <is>
          <t>CAMIONS</t>
        </is>
      </c>
      <c r="J937" s="117" t="inlineStr">
        <is>
          <t>LOURD</t>
        </is>
      </c>
      <c r="K937" s="48">
        <f>D937+8</f>
        <v/>
      </c>
      <c r="L937" s="48">
        <f>K937+60</f>
        <v/>
      </c>
      <c r="N937" s="72">
        <f>E937</f>
        <v/>
      </c>
      <c r="O937" s="50">
        <f>F937/E937*N937</f>
        <v/>
      </c>
      <c r="P937" s="273">
        <f>G937/E937*N937</f>
        <v/>
      </c>
      <c r="S937" s="200" t="inlineStr">
        <is>
          <t>BR25339LDJD029A30A</t>
        </is>
      </c>
      <c r="T937" s="201" t="n">
        <v>29</v>
      </c>
      <c r="U937" s="58" t="inlineStr">
        <is>
          <t>SINOTRUK SITRAK 6X4 TRACTOR TRUCK+01 PKG</t>
        </is>
      </c>
      <c r="V937" s="67" t="n"/>
      <c r="W937" s="67" t="n"/>
      <c r="X937" s="62" t="inlineStr">
        <is>
          <t>N-OP</t>
        </is>
      </c>
      <c r="Y937" s="116">
        <f>F937/E937</f>
        <v/>
      </c>
      <c r="Z937" s="64">
        <f>E937-N937</f>
        <v/>
      </c>
    </row>
    <row r="938" ht="15.75" customHeight="1" s="202">
      <c r="A938" s="116" t="n">
        <v>20260055</v>
      </c>
      <c r="B938" s="117" t="inlineStr">
        <is>
          <t>BAO RUN</t>
        </is>
      </c>
      <c r="C938" s="118" t="n">
        <v>46079</v>
      </c>
      <c r="E938" s="116" t="n">
        <v>1</v>
      </c>
      <c r="F938" s="119" t="n">
        <v>0</v>
      </c>
      <c r="G938" s="120" t="n">
        <v>5</v>
      </c>
      <c r="H938" s="117" t="inlineStr">
        <is>
          <t>SARL ATIA MEHDI ET FRERES</t>
        </is>
      </c>
      <c r="I938" s="117" t="inlineStr">
        <is>
          <t>COLIS</t>
        </is>
      </c>
      <c r="J938" s="117" t="inlineStr">
        <is>
          <t>COLIS</t>
        </is>
      </c>
      <c r="K938" s="48">
        <f>D938+8</f>
        <v/>
      </c>
      <c r="L938" s="48">
        <f>K938+60</f>
        <v/>
      </c>
      <c r="N938" s="72">
        <f>E938</f>
        <v/>
      </c>
      <c r="O938" s="50">
        <f>F938/E938*N938</f>
        <v/>
      </c>
      <c r="P938" s="273">
        <f>G938/E938*N938</f>
        <v/>
      </c>
      <c r="S938" s="200" t="inlineStr">
        <is>
          <t>BR25339LDJD029A30A</t>
        </is>
      </c>
      <c r="T938" s="201" t="n">
        <v>29</v>
      </c>
      <c r="U938" s="58" t="n"/>
      <c r="V938" s="67" t="n"/>
      <c r="W938" s="67" t="n"/>
      <c r="X938" s="62" t="inlineStr">
        <is>
          <t>N-OP</t>
        </is>
      </c>
      <c r="Y938" s="116">
        <f>F938/E938</f>
        <v/>
      </c>
      <c r="Z938" s="64">
        <f>E938-N938</f>
        <v/>
      </c>
    </row>
    <row r="939" ht="15.75" customHeight="1" s="202">
      <c r="A939" s="116" t="n">
        <v>20260055</v>
      </c>
      <c r="B939" s="117" t="inlineStr">
        <is>
          <t>BAO RUN</t>
        </is>
      </c>
      <c r="C939" s="118" t="n">
        <v>46079</v>
      </c>
      <c r="E939" s="116" t="n">
        <v>1</v>
      </c>
      <c r="F939" s="119" t="n">
        <v>8.029999999999999</v>
      </c>
      <c r="G939" s="120" t="n">
        <v>24</v>
      </c>
      <c r="H939" s="117" t="inlineStr">
        <is>
          <t>SARL AMIRAL TRAVAUX</t>
        </is>
      </c>
      <c r="I939" s="117" t="inlineStr">
        <is>
          <t>CAMIONS</t>
        </is>
      </c>
      <c r="J939" s="117" t="inlineStr">
        <is>
          <t>LOURD</t>
        </is>
      </c>
      <c r="K939" s="48">
        <f>D939+8</f>
        <v/>
      </c>
      <c r="L939" s="48">
        <f>K939+60</f>
        <v/>
      </c>
      <c r="N939" s="72">
        <f>E939</f>
        <v/>
      </c>
      <c r="O939" s="50">
        <f>F939/E939*N939</f>
        <v/>
      </c>
      <c r="P939" s="273">
        <f>G939/E939*N939</f>
        <v/>
      </c>
      <c r="S939" s="200" t="inlineStr">
        <is>
          <t>BR25339LDJD029B30B</t>
        </is>
      </c>
      <c r="T939" s="201" t="n">
        <v>30</v>
      </c>
      <c r="U939" s="58" t="inlineStr">
        <is>
          <t>SINOTRUK SITRAK 6X4 TRACTOR TRUCK + 01 PKG</t>
        </is>
      </c>
      <c r="V939" s="67" t="n"/>
      <c r="W939" s="67" t="n"/>
      <c r="X939" s="62" t="inlineStr">
        <is>
          <t>N-OP</t>
        </is>
      </c>
      <c r="Y939" s="116">
        <f>F939/E939</f>
        <v/>
      </c>
      <c r="Z939" s="64">
        <f>E939-N939</f>
        <v/>
      </c>
    </row>
    <row r="940" ht="15.75" customHeight="1" s="202">
      <c r="A940" s="116" t="n">
        <v>20260055</v>
      </c>
      <c r="B940" s="117" t="inlineStr">
        <is>
          <t>BAO RUN</t>
        </is>
      </c>
      <c r="C940" s="118" t="n">
        <v>46079</v>
      </c>
      <c r="E940" s="116" t="n">
        <v>1</v>
      </c>
      <c r="F940" s="119" t="n">
        <v>0</v>
      </c>
      <c r="G940" s="120" t="n">
        <v>5</v>
      </c>
      <c r="H940" s="117" t="inlineStr">
        <is>
          <t>SARL AMIRAL TRAVAUX</t>
        </is>
      </c>
      <c r="I940" s="117" t="inlineStr">
        <is>
          <t>COLIS</t>
        </is>
      </c>
      <c r="J940" s="117" t="inlineStr">
        <is>
          <t>COLIS</t>
        </is>
      </c>
      <c r="K940" s="48">
        <f>D940+8</f>
        <v/>
      </c>
      <c r="L940" s="48">
        <f>K940+60</f>
        <v/>
      </c>
      <c r="N940" s="72">
        <f>E940</f>
        <v/>
      </c>
      <c r="O940" s="50">
        <f>F940/E940*N940</f>
        <v/>
      </c>
      <c r="P940" s="273">
        <f>G940/E940*N940</f>
        <v/>
      </c>
      <c r="S940" s="200" t="inlineStr">
        <is>
          <t>BR25339LDJD029B30B</t>
        </is>
      </c>
      <c r="T940" s="201" t="n">
        <v>30</v>
      </c>
      <c r="U940" s="58" t="n"/>
      <c r="V940" s="67" t="n"/>
      <c r="W940" s="67" t="n"/>
      <c r="X940" s="62" t="inlineStr">
        <is>
          <t>N-OP</t>
        </is>
      </c>
      <c r="Y940" s="116">
        <f>F940/E940</f>
        <v/>
      </c>
      <c r="Z940" s="64">
        <f>E940-N940</f>
        <v/>
      </c>
    </row>
    <row r="941" ht="15.75" customHeight="1" s="202">
      <c r="A941" s="116" t="n">
        <v>20260055</v>
      </c>
      <c r="B941" s="117" t="inlineStr">
        <is>
          <t>BAO RUN</t>
        </is>
      </c>
      <c r="C941" s="118" t="n">
        <v>46079</v>
      </c>
      <c r="E941" s="116" t="n">
        <v>1</v>
      </c>
      <c r="F941" s="119" t="n">
        <v>8.029999999999999</v>
      </c>
      <c r="G941" s="120" t="n">
        <v>24</v>
      </c>
      <c r="H941" s="117" t="inlineStr">
        <is>
          <t>MEHDA ADEL</t>
        </is>
      </c>
      <c r="I941" s="117" t="inlineStr">
        <is>
          <t>CAMIONS</t>
        </is>
      </c>
      <c r="J941" s="117" t="inlineStr">
        <is>
          <t>LOURD</t>
        </is>
      </c>
      <c r="K941" s="48">
        <f>D941+8</f>
        <v/>
      </c>
      <c r="L941" s="48">
        <f>K941+60</f>
        <v/>
      </c>
      <c r="N941" s="72">
        <f>E941</f>
        <v/>
      </c>
      <c r="O941" s="50">
        <f>F941/E941*N941</f>
        <v/>
      </c>
      <c r="P941" s="273">
        <f>G941/E941*N941</f>
        <v/>
      </c>
      <c r="S941" s="200" t="inlineStr">
        <is>
          <t>BR25339LDJD029C30C</t>
        </is>
      </c>
      <c r="T941" s="201" t="n">
        <v>31</v>
      </c>
      <c r="U941" s="58" t="inlineStr">
        <is>
          <t>SINOTRUK SITRAK 6X4 TRACTOR TRUCK + 01 PKG</t>
        </is>
      </c>
      <c r="V941" s="67" t="n"/>
      <c r="W941" s="67" t="n"/>
      <c r="X941" s="62" t="inlineStr">
        <is>
          <t>N-OP</t>
        </is>
      </c>
      <c r="Y941" s="116">
        <f>F941/E941</f>
        <v/>
      </c>
      <c r="Z941" s="64">
        <f>E941-N941</f>
        <v/>
      </c>
    </row>
    <row r="942" ht="15.75" customHeight="1" s="202">
      <c r="A942" s="116" t="n">
        <v>20260055</v>
      </c>
      <c r="B942" s="117" t="inlineStr">
        <is>
          <t>BAO RUN</t>
        </is>
      </c>
      <c r="C942" s="118" t="n">
        <v>46079</v>
      </c>
      <c r="E942" s="116" t="n">
        <v>1</v>
      </c>
      <c r="F942" s="119" t="n">
        <v>0</v>
      </c>
      <c r="G942" s="120" t="n">
        <v>5</v>
      </c>
      <c r="H942" s="117" t="inlineStr">
        <is>
          <t>MEHDA ADEL</t>
        </is>
      </c>
      <c r="I942" s="117" t="inlineStr">
        <is>
          <t>COLIS</t>
        </is>
      </c>
      <c r="J942" s="117" t="inlineStr">
        <is>
          <t>COLIS</t>
        </is>
      </c>
      <c r="K942" s="48">
        <f>D942+8</f>
        <v/>
      </c>
      <c r="L942" s="48">
        <f>K942+60</f>
        <v/>
      </c>
      <c r="N942" s="72">
        <f>E942</f>
        <v/>
      </c>
      <c r="O942" s="50">
        <f>F942/E942*N942</f>
        <v/>
      </c>
      <c r="P942" s="273">
        <f>G942/E942*N942</f>
        <v/>
      </c>
      <c r="S942" s="200" t="inlineStr">
        <is>
          <t>BR25339LDJD029C30C</t>
        </is>
      </c>
      <c r="T942" s="201" t="n">
        <v>31</v>
      </c>
      <c r="U942" s="58" t="n"/>
      <c r="V942" s="67" t="n"/>
      <c r="W942" s="67" t="n"/>
      <c r="X942" s="62" t="inlineStr">
        <is>
          <t>N-OP</t>
        </is>
      </c>
      <c r="Y942" s="116">
        <f>F942/E942</f>
        <v/>
      </c>
      <c r="Z942" s="64">
        <f>E942-N942</f>
        <v/>
      </c>
    </row>
    <row r="943" ht="15.75" customHeight="1" s="202">
      <c r="A943" s="106" t="n">
        <v>20260055</v>
      </c>
      <c r="B943" s="107" t="inlineStr">
        <is>
          <t>BAO RUN</t>
        </is>
      </c>
      <c r="C943" s="108" t="n">
        <v>46079</v>
      </c>
      <c r="D943" s="108" t="n"/>
      <c r="E943" s="106" t="n">
        <v>1</v>
      </c>
      <c r="F943" s="106" t="n">
        <v>12.53</v>
      </c>
      <c r="G943" s="106" t="n">
        <v>24</v>
      </c>
      <c r="H943" s="107" t="inlineStr">
        <is>
          <t>LAGRA ISMAIL BEN ABDELMADJID</t>
        </is>
      </c>
      <c r="I943" s="107" t="inlineStr">
        <is>
          <t>CAMIONS</t>
        </is>
      </c>
      <c r="J943" s="107" t="inlineStr">
        <is>
          <t>LOURD</t>
        </is>
      </c>
      <c r="K943" s="108">
        <f>D943+8</f>
        <v/>
      </c>
      <c r="L943" s="108">
        <f>K943+60</f>
        <v/>
      </c>
      <c r="M943" s="107" t="n"/>
      <c r="N943" s="112">
        <f>E943-1</f>
        <v/>
      </c>
      <c r="O943" s="113">
        <f>F943/E943*N943</f>
        <v/>
      </c>
      <c r="P943" s="112">
        <f>G943/E943*N943</f>
        <v/>
      </c>
      <c r="Q943" s="109" t="n"/>
      <c r="R943" s="107" t="n"/>
      <c r="S943" s="109" t="inlineStr">
        <is>
          <t>BR25339LDJD035</t>
        </is>
      </c>
      <c r="T943" s="114" t="n">
        <v>32</v>
      </c>
      <c r="U943" s="109" t="inlineStr">
        <is>
          <t>SHACMAN F2000 6×4 SPRINKLER TRUCK</t>
        </is>
      </c>
      <c r="V943" s="106" t="n"/>
      <c r="W943" s="106" t="n"/>
      <c r="X943" s="106" t="inlineStr">
        <is>
          <t>SOLDEE</t>
        </is>
      </c>
      <c r="Y943" s="116">
        <f>F943/E943</f>
        <v/>
      </c>
      <c r="Z943" s="64">
        <f>E943-N943</f>
        <v/>
      </c>
    </row>
    <row r="944" ht="15.75" customHeight="1" s="202">
      <c r="A944" s="116" t="n">
        <v>20260055</v>
      </c>
      <c r="B944" s="117" t="inlineStr">
        <is>
          <t>BAO RUN</t>
        </is>
      </c>
      <c r="C944" s="118" t="n">
        <v>46079</v>
      </c>
      <c r="E944" s="116" t="n">
        <v>2</v>
      </c>
      <c r="F944" s="119" t="n">
        <v>34</v>
      </c>
      <c r="G944" s="120" t="n">
        <v>48</v>
      </c>
      <c r="H944" s="117" t="inlineStr">
        <is>
          <t>SARL AL BEN ALI TRAVAUX PUBLICS ET ROUTES</t>
        </is>
      </c>
      <c r="I944" s="117" t="inlineStr">
        <is>
          <t>COMPACTEURS</t>
        </is>
      </c>
      <c r="J944" s="117" t="inlineStr">
        <is>
          <t>ENGINS</t>
        </is>
      </c>
      <c r="K944" s="48">
        <f>D944+8</f>
        <v/>
      </c>
      <c r="L944" s="48">
        <f>K944+60</f>
        <v/>
      </c>
      <c r="N944" s="72">
        <f>E944</f>
        <v/>
      </c>
      <c r="O944" s="50">
        <f>F944/E944*N944</f>
        <v/>
      </c>
      <c r="P944" s="273">
        <f>G944/E944*N944</f>
        <v/>
      </c>
      <c r="S944" s="200" t="inlineStr">
        <is>
          <t>BR25339LDJD036</t>
        </is>
      </c>
      <c r="T944" s="201" t="n">
        <v>33</v>
      </c>
      <c r="U944" s="58" t="inlineStr">
        <is>
          <t>XP203S ROAD ROLLER / XS143J ROAD ROLLER</t>
        </is>
      </c>
      <c r="V944" s="67" t="n"/>
      <c r="W944" s="67" t="n"/>
      <c r="X944" s="62" t="inlineStr">
        <is>
          <t>N-OP</t>
        </is>
      </c>
      <c r="Y944" s="116">
        <f>F944/E944</f>
        <v/>
      </c>
      <c r="Z944" s="64">
        <f>E944-N944</f>
        <v/>
      </c>
    </row>
    <row r="945" ht="15.75" customHeight="1" s="202">
      <c r="A945" s="116" t="n">
        <v>20260055</v>
      </c>
      <c r="B945" s="117" t="inlineStr">
        <is>
          <t>BAO RUN</t>
        </is>
      </c>
      <c r="C945" s="118" t="n">
        <v>46079</v>
      </c>
      <c r="E945" s="116" t="n">
        <v>1</v>
      </c>
      <c r="F945" s="119" t="n">
        <v>21.7</v>
      </c>
      <c r="G945" s="120" t="n">
        <v>24</v>
      </c>
      <c r="H945" s="117" t="inlineStr">
        <is>
          <t>EURL GENERALE BENBILA SERVICES</t>
        </is>
      </c>
      <c r="I945" s="117" t="inlineStr">
        <is>
          <t>EXCAVATEURS</t>
        </is>
      </c>
      <c r="J945" s="117" t="inlineStr">
        <is>
          <t>ENGINS</t>
        </is>
      </c>
      <c r="K945" s="48">
        <f>D945+8</f>
        <v/>
      </c>
      <c r="L945" s="48">
        <f>K945+60</f>
        <v/>
      </c>
      <c r="N945" s="72">
        <f>E945</f>
        <v/>
      </c>
      <c r="O945" s="50">
        <f>F945/E945*N945</f>
        <v/>
      </c>
      <c r="P945" s="273">
        <f>G945/E945*N945</f>
        <v/>
      </c>
      <c r="S945" s="200" t="inlineStr">
        <is>
          <t>BR25339LDJD037</t>
        </is>
      </c>
      <c r="T945" s="201" t="n">
        <v>34</v>
      </c>
      <c r="U945" s="58" t="inlineStr">
        <is>
          <t>BRAND NEW HYUNDAI HX220HD CRAWLER EXCAVATOR</t>
        </is>
      </c>
      <c r="V945" s="67" t="n"/>
      <c r="W945" s="67" t="n"/>
      <c r="X945" s="62" t="inlineStr">
        <is>
          <t>N-OP</t>
        </is>
      </c>
      <c r="Y945" s="116">
        <f>F945/E945</f>
        <v/>
      </c>
      <c r="Z945" s="64">
        <f>E945-N945</f>
        <v/>
      </c>
    </row>
    <row r="946" ht="15.75" customHeight="1" s="202">
      <c r="A946" s="106" t="n">
        <v>20260055</v>
      </c>
      <c r="B946" s="107" t="inlineStr">
        <is>
          <t>BAO RUN</t>
        </is>
      </c>
      <c r="C946" s="108" t="n">
        <v>46079</v>
      </c>
      <c r="D946" s="108" t="n"/>
      <c r="E946" s="106" t="n">
        <v>1</v>
      </c>
      <c r="F946" s="106" t="n">
        <v>33.8</v>
      </c>
      <c r="G946" s="106" t="n">
        <v>24</v>
      </c>
      <c r="H946" s="107" t="inlineStr">
        <is>
          <t>SARL EL KANAS REALISATIONS GENERALES</t>
        </is>
      </c>
      <c r="I946" s="107" t="inlineStr">
        <is>
          <t>EXCAVATEURS</t>
        </is>
      </c>
      <c r="J946" s="107" t="inlineStr">
        <is>
          <t>ENGINS</t>
        </is>
      </c>
      <c r="K946" s="108">
        <f>D946+8</f>
        <v/>
      </c>
      <c r="L946" s="108">
        <f>K946+60</f>
        <v/>
      </c>
      <c r="M946" s="107" t="n"/>
      <c r="N946" s="112">
        <f>E946-1</f>
        <v/>
      </c>
      <c r="O946" s="113">
        <f>F946/E946*N946</f>
        <v/>
      </c>
      <c r="P946" s="112">
        <f>G946/E946*N946</f>
        <v/>
      </c>
      <c r="Q946" s="109" t="n"/>
      <c r="R946" s="107" t="n"/>
      <c r="S946" s="109" t="inlineStr">
        <is>
          <t>BR25339LDJD038</t>
        </is>
      </c>
      <c r="T946" s="114" t="n">
        <v>35</v>
      </c>
      <c r="U946" s="109" t="inlineStr">
        <is>
          <t>HYUNDAI CRAWLER EXCAVATOR HX340HD + 01 PKG</t>
        </is>
      </c>
      <c r="V946" s="106" t="n"/>
      <c r="W946" s="106" t="n"/>
      <c r="X946" s="106" t="inlineStr">
        <is>
          <t>SOLDEE</t>
        </is>
      </c>
      <c r="Y946" s="116">
        <f>F946/E946</f>
        <v/>
      </c>
      <c r="Z946" s="64">
        <f>E946-N946</f>
        <v/>
      </c>
    </row>
    <row r="947" ht="15.75" customHeight="1" s="202">
      <c r="A947" s="106" t="n">
        <v>20260055</v>
      </c>
      <c r="B947" s="107" t="inlineStr">
        <is>
          <t>BAO RUN</t>
        </is>
      </c>
      <c r="C947" s="108" t="n">
        <v>46079</v>
      </c>
      <c r="D947" s="108" t="n"/>
      <c r="E947" s="106" t="n">
        <v>1</v>
      </c>
      <c r="F947" s="106" t="n">
        <v>0</v>
      </c>
      <c r="G947" s="106" t="n">
        <v>5</v>
      </c>
      <c r="H947" s="107" t="inlineStr">
        <is>
          <t>SARL EL KANAS REALISATIONS GENERALES</t>
        </is>
      </c>
      <c r="I947" s="107" t="inlineStr">
        <is>
          <t>COLIS</t>
        </is>
      </c>
      <c r="J947" s="107" t="inlineStr">
        <is>
          <t>COLIS</t>
        </is>
      </c>
      <c r="K947" s="108">
        <f>D947+8</f>
        <v/>
      </c>
      <c r="L947" s="108">
        <f>K947+60</f>
        <v/>
      </c>
      <c r="M947" s="107" t="n"/>
      <c r="N947" s="112">
        <f>E947-1</f>
        <v/>
      </c>
      <c r="O947" s="113">
        <f>F947/E947*N947</f>
        <v/>
      </c>
      <c r="P947" s="112">
        <f>G947/E947*N947</f>
        <v/>
      </c>
      <c r="Q947" s="109" t="n"/>
      <c r="R947" s="107" t="n"/>
      <c r="S947" s="109" t="inlineStr">
        <is>
          <t>BR25339LDJD038</t>
        </is>
      </c>
      <c r="T947" s="114" t="n">
        <v>35</v>
      </c>
      <c r="U947" s="109" t="n"/>
      <c r="V947" s="106" t="n"/>
      <c r="W947" s="106" t="n"/>
      <c r="X947" s="106" t="inlineStr">
        <is>
          <t>SOLDEE</t>
        </is>
      </c>
      <c r="Y947" s="116">
        <f>F947/E947</f>
        <v/>
      </c>
      <c r="Z947" s="64">
        <f>E947-N947</f>
        <v/>
      </c>
    </row>
    <row r="948" ht="15.75" customHeight="1" s="202">
      <c r="A948" s="106" t="n">
        <v>20260055</v>
      </c>
      <c r="B948" s="107" t="inlineStr">
        <is>
          <t>BAO RUN</t>
        </is>
      </c>
      <c r="C948" s="108" t="n">
        <v>46079</v>
      </c>
      <c r="D948" s="108" t="n"/>
      <c r="E948" s="106" t="n">
        <v>1</v>
      </c>
      <c r="F948" s="106" t="n">
        <v>34</v>
      </c>
      <c r="G948" s="106" t="n">
        <v>24</v>
      </c>
      <c r="H948" s="107" t="inlineStr">
        <is>
          <t>SARL MAZINE SERVICES</t>
        </is>
      </c>
      <c r="I948" s="107" t="inlineStr">
        <is>
          <t>EXCAVATEURS</t>
        </is>
      </c>
      <c r="J948" s="107" t="inlineStr">
        <is>
          <t>ENGINS</t>
        </is>
      </c>
      <c r="K948" s="108">
        <f>D948+8</f>
        <v/>
      </c>
      <c r="L948" s="108">
        <f>K948+60</f>
        <v/>
      </c>
      <c r="M948" s="107" t="n"/>
      <c r="N948" s="112">
        <f>E948-1</f>
        <v/>
      </c>
      <c r="O948" s="113">
        <f>F948/E948*N948</f>
        <v/>
      </c>
      <c r="P948" s="112">
        <f>G948/E948*N948</f>
        <v/>
      </c>
      <c r="Q948" s="109" t="n"/>
      <c r="R948" s="107" t="n"/>
      <c r="S948" s="109" t="inlineStr">
        <is>
          <t>BR25339LDJD039</t>
        </is>
      </c>
      <c r="T948" s="114" t="n">
        <v>36</v>
      </c>
      <c r="U948" s="109" t="inlineStr">
        <is>
          <t>01 UNIT HX340HD EXCAVATOR + 01 PKG</t>
        </is>
      </c>
      <c r="V948" s="106" t="n"/>
      <c r="W948" s="106" t="n"/>
      <c r="X948" s="106" t="inlineStr">
        <is>
          <t>SOLDEE</t>
        </is>
      </c>
      <c r="Y948" s="116">
        <f>F948/E948</f>
        <v/>
      </c>
      <c r="Z948" s="64">
        <f>E948-N948</f>
        <v/>
      </c>
    </row>
    <row r="949" ht="15.75" customHeight="1" s="202">
      <c r="A949" s="106" t="n">
        <v>20260055</v>
      </c>
      <c r="B949" s="107" t="inlineStr">
        <is>
          <t>BAO RUN</t>
        </is>
      </c>
      <c r="C949" s="108" t="n">
        <v>46079</v>
      </c>
      <c r="D949" s="108" t="n"/>
      <c r="E949" s="106" t="n">
        <v>1</v>
      </c>
      <c r="F949" s="106" t="n">
        <v>0</v>
      </c>
      <c r="G949" s="106" t="n">
        <v>5</v>
      </c>
      <c r="H949" s="107" t="inlineStr">
        <is>
          <t>SARL MAZINE SERVICES</t>
        </is>
      </c>
      <c r="I949" s="107" t="inlineStr">
        <is>
          <t>COLIS</t>
        </is>
      </c>
      <c r="J949" s="107" t="inlineStr">
        <is>
          <t>COLIS</t>
        </is>
      </c>
      <c r="K949" s="108">
        <f>D949+8</f>
        <v/>
      </c>
      <c r="L949" s="108">
        <f>K949+60</f>
        <v/>
      </c>
      <c r="M949" s="107" t="n"/>
      <c r="N949" s="112">
        <f>E949-1</f>
        <v/>
      </c>
      <c r="O949" s="113">
        <f>F949/E949*N949</f>
        <v/>
      </c>
      <c r="P949" s="112">
        <f>G949/E949*N949</f>
        <v/>
      </c>
      <c r="Q949" s="109" t="n"/>
      <c r="R949" s="107" t="n"/>
      <c r="S949" s="109" t="inlineStr">
        <is>
          <t>BR25339LDJD039</t>
        </is>
      </c>
      <c r="T949" s="114" t="n">
        <v>36</v>
      </c>
      <c r="U949" s="109" t="n"/>
      <c r="V949" s="106" t="n"/>
      <c r="W949" s="106" t="n"/>
      <c r="X949" s="106" t="inlineStr">
        <is>
          <t>SOLDEE</t>
        </is>
      </c>
      <c r="Y949" s="116">
        <f>F949/E949</f>
        <v/>
      </c>
      <c r="Z949" s="64">
        <f>E949-N949</f>
        <v/>
      </c>
    </row>
    <row r="950" ht="15.75" customHeight="1" s="202">
      <c r="A950" s="116" t="n">
        <v>20260055</v>
      </c>
      <c r="B950" s="117" t="inlineStr">
        <is>
          <t>BAO RUN</t>
        </is>
      </c>
      <c r="C950" s="118" t="n">
        <v>46079</v>
      </c>
      <c r="E950" s="116" t="n">
        <v>1</v>
      </c>
      <c r="F950" s="119" t="n">
        <v>10</v>
      </c>
      <c r="G950" s="120" t="n">
        <v>24</v>
      </c>
      <c r="H950" s="117" t="inlineStr">
        <is>
          <t>SARL FRERES GHARBI EGTPH</t>
        </is>
      </c>
      <c r="I950" s="117" t="inlineStr">
        <is>
          <t>FINISSEUR</t>
        </is>
      </c>
      <c r="J950" s="117" t="inlineStr">
        <is>
          <t>ENGINS</t>
        </is>
      </c>
      <c r="K950" s="48">
        <f>D950+8</f>
        <v/>
      </c>
      <c r="L950" s="48">
        <f>K950+60</f>
        <v/>
      </c>
      <c r="N950" s="72">
        <f>E950</f>
        <v/>
      </c>
      <c r="O950" s="50">
        <f>F950/E950*N950</f>
        <v/>
      </c>
      <c r="P950" s="273">
        <f>G950/E950*N950</f>
        <v/>
      </c>
      <c r="S950" s="200" t="inlineStr">
        <is>
          <t>BR25339LDJD040</t>
        </is>
      </c>
      <c r="T950" s="201" t="n">
        <v>37</v>
      </c>
      <c r="U950" s="58" t="inlineStr">
        <is>
          <t>XCMG 6M PAVER RP603 + XCMG 10TON TANDEM ROAD ROLLER + 02 PKGS</t>
        </is>
      </c>
      <c r="V950" s="67" t="n"/>
      <c r="W950" s="67" t="n"/>
      <c r="X950" s="62" t="inlineStr">
        <is>
          <t>N-OP</t>
        </is>
      </c>
      <c r="Y950" s="116">
        <f>F950/E950</f>
        <v/>
      </c>
      <c r="Z950" s="64">
        <f>E950-N950</f>
        <v/>
      </c>
    </row>
    <row r="951" ht="15.75" customHeight="1" s="202">
      <c r="A951" s="116" t="n">
        <v>20260055</v>
      </c>
      <c r="B951" s="117" t="inlineStr">
        <is>
          <t>BAO RUN</t>
        </is>
      </c>
      <c r="C951" s="118" t="n">
        <v>46079</v>
      </c>
      <c r="E951" s="116" t="n">
        <v>1</v>
      </c>
      <c r="F951" s="119" t="n">
        <v>19</v>
      </c>
      <c r="G951" s="120" t="n">
        <v>24</v>
      </c>
      <c r="H951" s="117" t="inlineStr">
        <is>
          <t>SARL FRERES GHARBI EGTPH</t>
        </is>
      </c>
      <c r="I951" s="117" t="inlineStr">
        <is>
          <t>COMPACTEURS</t>
        </is>
      </c>
      <c r="J951" s="117" t="inlineStr">
        <is>
          <t>ENGINS</t>
        </is>
      </c>
      <c r="K951" s="48">
        <f>D951+8</f>
        <v/>
      </c>
      <c r="L951" s="48">
        <f>K951+60</f>
        <v/>
      </c>
      <c r="N951" s="72">
        <f>E951</f>
        <v/>
      </c>
      <c r="O951" s="50">
        <f>F951/E951*N951</f>
        <v/>
      </c>
      <c r="P951" s="273">
        <f>G951/E951*N951</f>
        <v/>
      </c>
      <c r="S951" s="200" t="inlineStr">
        <is>
          <t>BR25339LDJD040</t>
        </is>
      </c>
      <c r="T951" s="201" t="n">
        <v>37</v>
      </c>
      <c r="U951" s="58" t="n"/>
      <c r="V951" s="67" t="n"/>
      <c r="W951" s="67" t="n"/>
      <c r="X951" s="62" t="inlineStr">
        <is>
          <t>N-OP</t>
        </is>
      </c>
      <c r="Y951" s="116">
        <f>F951/E951</f>
        <v/>
      </c>
      <c r="Z951" s="64">
        <f>E951-N951</f>
        <v/>
      </c>
    </row>
    <row r="952" ht="15.75" customHeight="1" s="202">
      <c r="A952" s="116" t="n">
        <v>20260055</v>
      </c>
      <c r="B952" s="117" t="inlineStr">
        <is>
          <t>BAO RUN</t>
        </is>
      </c>
      <c r="C952" s="118" t="n">
        <v>46079</v>
      </c>
      <c r="E952" s="116" t="n">
        <v>2</v>
      </c>
      <c r="F952" s="119" t="n">
        <v>0</v>
      </c>
      <c r="G952" s="120" t="n">
        <v>10</v>
      </c>
      <c r="H952" s="117" t="inlineStr">
        <is>
          <t>SARL FRERES GHARBI EGTPH</t>
        </is>
      </c>
      <c r="I952" s="117" t="inlineStr">
        <is>
          <t>COLIS</t>
        </is>
      </c>
      <c r="J952" s="117" t="inlineStr">
        <is>
          <t>COLIS</t>
        </is>
      </c>
      <c r="K952" s="48">
        <f>D952+8</f>
        <v/>
      </c>
      <c r="L952" s="48">
        <f>K952+60</f>
        <v/>
      </c>
      <c r="N952" s="72">
        <f>E952</f>
        <v/>
      </c>
      <c r="O952" s="50">
        <f>F952/E952*N952</f>
        <v/>
      </c>
      <c r="P952" s="273">
        <f>G952/E952*N952</f>
        <v/>
      </c>
      <c r="S952" s="200" t="inlineStr">
        <is>
          <t>BR25339LDJD040</t>
        </is>
      </c>
      <c r="T952" s="201" t="n">
        <v>37</v>
      </c>
      <c r="U952" s="58" t="n"/>
      <c r="V952" s="67" t="n"/>
      <c r="W952" s="67" t="n"/>
      <c r="X952" s="62" t="inlineStr">
        <is>
          <t>N-OP</t>
        </is>
      </c>
      <c r="Y952" s="116">
        <f>F952/E952</f>
        <v/>
      </c>
      <c r="Z952" s="64">
        <f>E952-N952</f>
        <v/>
      </c>
    </row>
    <row r="953" ht="15.75" customHeight="1" s="202">
      <c r="A953" s="106" t="n">
        <v>20260055</v>
      </c>
      <c r="B953" s="107" t="inlineStr">
        <is>
          <t>BAO RUN</t>
        </is>
      </c>
      <c r="C953" s="108" t="n">
        <v>46079</v>
      </c>
      <c r="D953" s="108" t="n"/>
      <c r="E953" s="106" t="n">
        <v>1</v>
      </c>
      <c r="F953" s="106" t="n">
        <v>12.67</v>
      </c>
      <c r="G953" s="106" t="n">
        <v>24</v>
      </c>
      <c r="H953" s="107" t="inlineStr">
        <is>
          <t>LALAOUNA AMAR</t>
        </is>
      </c>
      <c r="I953" s="107" t="inlineStr">
        <is>
          <t>CAMIONS</t>
        </is>
      </c>
      <c r="J953" s="107" t="inlineStr">
        <is>
          <t>LOURD</t>
        </is>
      </c>
      <c r="K953" s="108">
        <f>D953+8</f>
        <v/>
      </c>
      <c r="L953" s="108">
        <f>K953+60</f>
        <v/>
      </c>
      <c r="M953" s="107" t="n"/>
      <c r="N953" s="112">
        <f>E953-1</f>
        <v/>
      </c>
      <c r="O953" s="113">
        <f>F953/E953*N953</f>
        <v/>
      </c>
      <c r="P953" s="112">
        <f>G953/E953*N953</f>
        <v/>
      </c>
      <c r="Q953" s="109" t="n"/>
      <c r="R953" s="107" t="n"/>
      <c r="S953" s="109" t="inlineStr">
        <is>
          <t>BR25339LDJD042</t>
        </is>
      </c>
      <c r="T953" s="114" t="n">
        <v>38</v>
      </c>
      <c r="U953" s="109" t="inlineStr">
        <is>
          <t>SHACMAN F2000 6X4 DUMP TRUCK</t>
        </is>
      </c>
      <c r="V953" s="106" t="n"/>
      <c r="W953" s="106" t="n"/>
      <c r="X953" s="106" t="inlineStr">
        <is>
          <t>SOLDEE</t>
        </is>
      </c>
      <c r="Y953" s="116">
        <f>F953/E953</f>
        <v/>
      </c>
      <c r="Z953" s="64">
        <f>E953-N953</f>
        <v/>
      </c>
    </row>
    <row r="954" ht="15.75" customHeight="1" s="202">
      <c r="A954" s="116" t="n">
        <v>20260055</v>
      </c>
      <c r="B954" s="117" t="inlineStr">
        <is>
          <t>BAO RUN</t>
        </is>
      </c>
      <c r="C954" s="118" t="n">
        <v>46079</v>
      </c>
      <c r="E954" s="116" t="n">
        <v>1</v>
      </c>
      <c r="F954" s="119" t="n">
        <v>12.47</v>
      </c>
      <c r="G954" s="120" t="n">
        <v>24</v>
      </c>
      <c r="H954" s="117" t="inlineStr">
        <is>
          <t>GHOBCHI YOUCEF</t>
        </is>
      </c>
      <c r="I954" s="117" t="inlineStr">
        <is>
          <t>CAMIONS</t>
        </is>
      </c>
      <c r="J954" s="117" t="inlineStr">
        <is>
          <t>LOURD</t>
        </is>
      </c>
      <c r="K954" s="48">
        <f>D954+8</f>
        <v/>
      </c>
      <c r="L954" s="48">
        <f>K954+60</f>
        <v/>
      </c>
      <c r="N954" s="72">
        <f>E954</f>
        <v/>
      </c>
      <c r="O954" s="50">
        <f>F954/E954*N954</f>
        <v/>
      </c>
      <c r="P954" s="273">
        <f>G954/E954*N954</f>
        <v/>
      </c>
      <c r="S954" s="200" t="inlineStr">
        <is>
          <t>BR25339LDJD043</t>
        </is>
      </c>
      <c r="T954" s="201" t="n">
        <v>39</v>
      </c>
      <c r="U954" s="58" t="inlineStr">
        <is>
          <t>SHACMAN F3000 6X4 DUMP TRUCK</t>
        </is>
      </c>
      <c r="V954" s="67" t="n"/>
      <c r="W954" s="67" t="n"/>
      <c r="X954" s="62" t="inlineStr">
        <is>
          <t>N-OP</t>
        </is>
      </c>
      <c r="Y954" s="116">
        <f>F954/E954</f>
        <v/>
      </c>
      <c r="Z954" s="64">
        <f>E954-N954</f>
        <v/>
      </c>
    </row>
    <row r="955" ht="15.75" customHeight="1" s="202">
      <c r="A955" s="106" t="n">
        <v>20260055</v>
      </c>
      <c r="B955" s="107" t="inlineStr">
        <is>
          <t>BAO RUN</t>
        </is>
      </c>
      <c r="C955" s="108" t="n">
        <v>46079</v>
      </c>
      <c r="D955" s="108" t="n"/>
      <c r="E955" s="106" t="n">
        <v>1</v>
      </c>
      <c r="F955" s="106" t="n">
        <v>11.67</v>
      </c>
      <c r="G955" s="106" t="n">
        <v>24</v>
      </c>
      <c r="H955" s="107" t="inlineStr">
        <is>
          <t>SARL FILS AMOURI MOHAMED EL HADI TRAVAUX DE ROUTE</t>
        </is>
      </c>
      <c r="I955" s="107" t="inlineStr">
        <is>
          <t>CAMIONS</t>
        </is>
      </c>
      <c r="J955" s="107" t="inlineStr">
        <is>
          <t>LOURD</t>
        </is>
      </c>
      <c r="K955" s="108">
        <f>D955+8</f>
        <v/>
      </c>
      <c r="L955" s="108">
        <f>K955+60</f>
        <v/>
      </c>
      <c r="M955" s="107" t="n"/>
      <c r="N955" s="112">
        <f>E955-1</f>
        <v/>
      </c>
      <c r="O955" s="113">
        <f>F955/E955*N955</f>
        <v/>
      </c>
      <c r="P955" s="112">
        <f>G955/E955*N955</f>
        <v/>
      </c>
      <c r="Q955" s="109" t="n"/>
      <c r="R955" s="107" t="n"/>
      <c r="S955" s="109" t="inlineStr">
        <is>
          <t>BR25339LDJD044</t>
        </is>
      </c>
      <c r="T955" s="114" t="n">
        <v>40</v>
      </c>
      <c r="U955" s="109" t="inlineStr">
        <is>
          <t>SHACMAN MIXER TRUCK</t>
        </is>
      </c>
      <c r="V955" s="106" t="n"/>
      <c r="W955" s="106" t="n"/>
      <c r="X955" s="106" t="inlineStr">
        <is>
          <t>SOLDEE</t>
        </is>
      </c>
      <c r="Y955" s="116">
        <f>F955/E955</f>
        <v/>
      </c>
    </row>
    <row r="956" ht="15.75" customHeight="1" s="202">
      <c r="A956" s="106" t="n">
        <v>20260055</v>
      </c>
      <c r="B956" s="107" t="inlineStr">
        <is>
          <t>BAO RUN</t>
        </is>
      </c>
      <c r="C956" s="108" t="n">
        <v>46079</v>
      </c>
      <c r="D956" s="108" t="n"/>
      <c r="E956" s="106" t="n">
        <v>1</v>
      </c>
      <c r="F956" s="106" t="n">
        <v>11.67</v>
      </c>
      <c r="G956" s="106" t="n">
        <v>24</v>
      </c>
      <c r="H956" s="107" t="inlineStr">
        <is>
          <t>EURL BEGUI MEDANI</t>
        </is>
      </c>
      <c r="I956" s="107" t="inlineStr">
        <is>
          <t>CAMIONS</t>
        </is>
      </c>
      <c r="J956" s="107" t="inlineStr">
        <is>
          <t>LOURD</t>
        </is>
      </c>
      <c r="K956" s="108">
        <f>D956+8</f>
        <v/>
      </c>
      <c r="L956" s="108">
        <f>K956+60</f>
        <v/>
      </c>
      <c r="M956" s="107" t="n"/>
      <c r="N956" s="112">
        <f>E956-1</f>
        <v/>
      </c>
      <c r="O956" s="113">
        <f>F956/E956*N956</f>
        <v/>
      </c>
      <c r="P956" s="112">
        <f>G956/E956*N956</f>
        <v/>
      </c>
      <c r="Q956" s="109" t="n"/>
      <c r="R956" s="107" t="n"/>
      <c r="S956" s="109" t="inlineStr">
        <is>
          <t>BR25339LDJD045</t>
        </is>
      </c>
      <c r="T956" s="114" t="n">
        <v>41</v>
      </c>
      <c r="U956" s="109" t="inlineStr">
        <is>
          <t>BRAND NEW SHACMAN 6X4 F2000 MIX TRUCK</t>
        </is>
      </c>
      <c r="V956" s="106" t="n"/>
      <c r="W956" s="106" t="n"/>
      <c r="X956" s="106" t="inlineStr">
        <is>
          <t>SOLDEE</t>
        </is>
      </c>
      <c r="Y956" s="116">
        <f>F956/E956</f>
        <v/>
      </c>
      <c r="Z956" s="64">
        <f>E956-N956</f>
        <v/>
      </c>
    </row>
    <row r="957" ht="15.75" customHeight="1" s="202">
      <c r="A957" s="116" t="n">
        <v>20260055</v>
      </c>
      <c r="B957" s="117" t="inlineStr">
        <is>
          <t>BAO RUN</t>
        </is>
      </c>
      <c r="C957" s="118" t="n">
        <v>46079</v>
      </c>
      <c r="E957" s="116" t="n">
        <v>1</v>
      </c>
      <c r="F957" s="119" t="n">
        <v>9.24</v>
      </c>
      <c r="G957" s="120" t="n">
        <v>24</v>
      </c>
      <c r="H957" s="117" t="inlineStr">
        <is>
          <t>SARL EL HADJ TEDJANI SERVICES</t>
        </is>
      </c>
      <c r="I957" s="117" t="inlineStr">
        <is>
          <t>REMORQUES</t>
        </is>
      </c>
      <c r="J957" s="117" t="inlineStr">
        <is>
          <t>LOURD</t>
        </is>
      </c>
      <c r="K957" s="48">
        <f>D957+8</f>
        <v/>
      </c>
      <c r="L957" s="48">
        <f>K957+60</f>
        <v/>
      </c>
      <c r="N957" s="72">
        <f>E957</f>
        <v/>
      </c>
      <c r="O957" s="50">
        <f>F957/E957*N957</f>
        <v/>
      </c>
      <c r="P957" s="273">
        <f>G957/E957*N957</f>
        <v/>
      </c>
      <c r="S957" s="200" t="inlineStr">
        <is>
          <t>BR25339LDJD046</t>
        </is>
      </c>
      <c r="T957" s="201" t="n">
        <v>42</v>
      </c>
      <c r="U957" s="58" t="inlineStr">
        <is>
          <t>SIDE WALL SEMI-TRAILER WITH TRI-AXLE (BRAND NEW)</t>
        </is>
      </c>
      <c r="V957" s="67" t="n"/>
      <c r="W957" s="67" t="n"/>
      <c r="X957" s="62" t="inlineStr">
        <is>
          <t>N-OP</t>
        </is>
      </c>
      <c r="Y957" s="116">
        <f>F957/E957</f>
        <v/>
      </c>
      <c r="Z957" s="64">
        <f>E957-N957</f>
        <v/>
      </c>
    </row>
    <row r="958" ht="15.75" customHeight="1" s="202">
      <c r="A958" s="116" t="n">
        <v>20260055</v>
      </c>
      <c r="B958" s="117" t="inlineStr">
        <is>
          <t>BAO RUN</t>
        </is>
      </c>
      <c r="C958" s="118" t="n">
        <v>46079</v>
      </c>
      <c r="E958" s="116" t="n">
        <v>1</v>
      </c>
      <c r="F958" s="119" t="n">
        <v>11.3</v>
      </c>
      <c r="G958" s="120" t="n">
        <v>24</v>
      </c>
      <c r="H958" s="117" t="inlineStr">
        <is>
          <t>EURL KOUDJIL HYDROBAT</t>
        </is>
      </c>
      <c r="I958" s="117" t="inlineStr">
        <is>
          <t>CAMIONS</t>
        </is>
      </c>
      <c r="J958" s="117" t="inlineStr">
        <is>
          <t>LOURD</t>
        </is>
      </c>
      <c r="K958" s="48">
        <f>D958+8</f>
        <v/>
      </c>
      <c r="L958" s="48">
        <f>K958+60</f>
        <v/>
      </c>
      <c r="N958" s="72">
        <f>E958-1</f>
        <v/>
      </c>
      <c r="O958" s="50">
        <f>F958/E958*N958</f>
        <v/>
      </c>
      <c r="P958" s="273">
        <f>G958/E958*N958</f>
        <v/>
      </c>
      <c r="S958" s="200" t="inlineStr">
        <is>
          <t>BR25339LDJD047</t>
        </is>
      </c>
      <c r="T958" s="201" t="n">
        <v>43</v>
      </c>
      <c r="U958" s="58" t="inlineStr">
        <is>
          <t>CIMC 60 TONS LOW BED TRAILER(BRAND NEW)</t>
        </is>
      </c>
      <c r="V958" s="67" t="n"/>
      <c r="W958" s="67" t="n"/>
      <c r="X958" s="62" t="inlineStr">
        <is>
          <t>SOLDEE</t>
        </is>
      </c>
      <c r="Y958" s="116">
        <f>F958/E958</f>
        <v/>
      </c>
      <c r="Z958" s="64">
        <f>E958-N958</f>
        <v/>
      </c>
    </row>
    <row r="959" ht="15.75" customHeight="1" s="202">
      <c r="A959" s="116" t="n">
        <v>20260055</v>
      </c>
      <c r="B959" s="117" t="inlineStr">
        <is>
          <t>BAO RUN</t>
        </is>
      </c>
      <c r="C959" s="118" t="n">
        <v>46079</v>
      </c>
      <c r="E959" s="116" t="n">
        <v>1</v>
      </c>
      <c r="F959" s="119" t="n">
        <v>9</v>
      </c>
      <c r="G959" s="120" t="n">
        <v>24</v>
      </c>
      <c r="H959" s="117" t="inlineStr">
        <is>
          <t>SARL GROUPE AISSAOUI</t>
        </is>
      </c>
      <c r="I959" s="117" t="inlineStr">
        <is>
          <t>CAMIONS</t>
        </is>
      </c>
      <c r="J959" s="117" t="inlineStr">
        <is>
          <t>LOURD</t>
        </is>
      </c>
      <c r="K959" s="48">
        <f>D959+8</f>
        <v/>
      </c>
      <c r="L959" s="48">
        <f>K959+60</f>
        <v/>
      </c>
      <c r="N959" s="72">
        <f>E959</f>
        <v/>
      </c>
      <c r="O959" s="50">
        <f>F959/E959*N959</f>
        <v/>
      </c>
      <c r="P959" s="273">
        <f>G959/E959*N959</f>
        <v/>
      </c>
      <c r="S959" s="200" t="inlineStr">
        <is>
          <t>BR25339LDJD048</t>
        </is>
      </c>
      <c r="T959" s="201" t="n">
        <v>44</v>
      </c>
      <c r="U959" s="58" t="inlineStr">
        <is>
          <t>HOWO TX CARGO TRUCK</t>
        </is>
      </c>
      <c r="V959" s="67" t="n"/>
      <c r="W959" s="67" t="n"/>
      <c r="X959" s="62" t="inlineStr">
        <is>
          <t>N-OP</t>
        </is>
      </c>
      <c r="Y959" s="116">
        <f>F959/E959</f>
        <v/>
      </c>
      <c r="Z959" s="64">
        <f>E959-N959</f>
        <v/>
      </c>
    </row>
    <row r="960" ht="15.75" customHeight="1" s="202">
      <c r="A960" s="116" t="n">
        <v>20260055</v>
      </c>
      <c r="B960" s="117" t="inlineStr">
        <is>
          <t>BAO RUN</t>
        </is>
      </c>
      <c r="C960" s="118" t="n">
        <v>46079</v>
      </c>
      <c r="E960" s="116" t="n">
        <v>2</v>
      </c>
      <c r="F960" s="119" t="n">
        <v>68</v>
      </c>
      <c r="G960" s="120" t="n">
        <v>48</v>
      </c>
      <c r="H960" s="117" t="inlineStr">
        <is>
          <t>EURL EL WIAM GTPH</t>
        </is>
      </c>
      <c r="I960" s="117" t="inlineStr">
        <is>
          <t>EXCAVATEURS</t>
        </is>
      </c>
      <c r="J960" s="117" t="inlineStr">
        <is>
          <t>ENGINS</t>
        </is>
      </c>
      <c r="K960" s="48">
        <f>D960+8</f>
        <v/>
      </c>
      <c r="L960" s="48">
        <f>K960+60</f>
        <v/>
      </c>
      <c r="N960" s="72">
        <f>E960</f>
        <v/>
      </c>
      <c r="O960" s="50">
        <f>F960/E960*N960</f>
        <v/>
      </c>
      <c r="P960" s="273">
        <f>G960/E960*N960</f>
        <v/>
      </c>
      <c r="S960" s="200" t="inlineStr">
        <is>
          <t>BR25339LDJD049</t>
        </is>
      </c>
      <c r="T960" s="201" t="n">
        <v>45</v>
      </c>
      <c r="U960" s="58" t="inlineStr">
        <is>
          <t>02 UNITS BRAND NEW 2025 HYUNDAI EXCAVATOR + 02 PKGS</t>
        </is>
      </c>
      <c r="V960" s="67" t="n"/>
      <c r="W960" s="67" t="n"/>
      <c r="X960" s="62" t="inlineStr">
        <is>
          <t>N-OP</t>
        </is>
      </c>
      <c r="Y960" s="116">
        <f>F960/E960</f>
        <v/>
      </c>
      <c r="Z960" s="64">
        <f>E960-N960</f>
        <v/>
      </c>
    </row>
    <row r="961" ht="15.75" customHeight="1" s="202">
      <c r="A961" s="116" t="n">
        <v>20260055</v>
      </c>
      <c r="B961" s="117" t="inlineStr">
        <is>
          <t>BAO RUN</t>
        </is>
      </c>
      <c r="C961" s="118" t="n">
        <v>46079</v>
      </c>
      <c r="E961" s="116" t="n">
        <v>2</v>
      </c>
      <c r="F961" s="119" t="n">
        <v>0</v>
      </c>
      <c r="G961" s="120" t="n">
        <v>10</v>
      </c>
      <c r="H961" s="117" t="inlineStr">
        <is>
          <t>EURL EL WIAM GTPH</t>
        </is>
      </c>
      <c r="I961" s="117" t="inlineStr">
        <is>
          <t>COLIS</t>
        </is>
      </c>
      <c r="J961" s="117" t="inlineStr">
        <is>
          <t>COLIS</t>
        </is>
      </c>
      <c r="K961" s="48">
        <f>D961+8</f>
        <v/>
      </c>
      <c r="L961" s="48">
        <f>K961+60</f>
        <v/>
      </c>
      <c r="N961" s="72">
        <f>E961</f>
        <v/>
      </c>
      <c r="O961" s="50">
        <f>F961/E961*N961</f>
        <v/>
      </c>
      <c r="P961" s="273">
        <f>G961/E961*N961</f>
        <v/>
      </c>
      <c r="S961" s="200" t="inlineStr">
        <is>
          <t>BR25339LDJD049</t>
        </is>
      </c>
      <c r="T961" s="201" t="n">
        <v>45</v>
      </c>
      <c r="U961" s="58" t="n"/>
      <c r="V961" s="67" t="n"/>
      <c r="W961" s="67" t="n"/>
      <c r="X961" s="62" t="inlineStr">
        <is>
          <t>N-OP</t>
        </is>
      </c>
      <c r="Y961" s="116">
        <f>F961/E961</f>
        <v/>
      </c>
      <c r="Z961" s="64">
        <f>E961-N961</f>
        <v/>
      </c>
    </row>
    <row r="962" ht="15.75" customHeight="1" s="202">
      <c r="A962" s="116" t="n">
        <v>20260055</v>
      </c>
      <c r="B962" s="117" t="inlineStr">
        <is>
          <t>BAO RUN</t>
        </is>
      </c>
      <c r="C962" s="118" t="n">
        <v>46079</v>
      </c>
      <c r="E962" s="116" t="n">
        <v>2</v>
      </c>
      <c r="F962" s="119" t="n">
        <v>44.2</v>
      </c>
      <c r="G962" s="120" t="n">
        <v>48</v>
      </c>
      <c r="H962" s="117" t="inlineStr">
        <is>
          <t>AMARA OMAR</t>
        </is>
      </c>
      <c r="I962" s="117" t="inlineStr">
        <is>
          <t>EXCAVATEURS</t>
        </is>
      </c>
      <c r="J962" s="117" t="inlineStr">
        <is>
          <t>ENGINS</t>
        </is>
      </c>
      <c r="K962" s="48">
        <f>D962+8</f>
        <v/>
      </c>
      <c r="L962" s="48">
        <f>K962+60</f>
        <v/>
      </c>
      <c r="N962" s="72">
        <f>E962</f>
        <v/>
      </c>
      <c r="O962" s="50">
        <f>F962/E962*N962</f>
        <v/>
      </c>
      <c r="P962" s="273">
        <f>G962/E962*N962</f>
        <v/>
      </c>
      <c r="S962" s="200" t="inlineStr">
        <is>
          <t>BR25339LDJD052</t>
        </is>
      </c>
      <c r="T962" s="201" t="n">
        <v>46</v>
      </c>
      <c r="U962" s="58" t="inlineStr">
        <is>
          <t>01 HYUNDAI EXCAVATOR HX245 + 01 XCMG WHEEL LODER XC958 SAHGCHAI + 01 PKG</t>
        </is>
      </c>
      <c r="V962" s="67" t="n"/>
      <c r="W962" s="67" t="n"/>
      <c r="X962" s="62" t="inlineStr">
        <is>
          <t>N-OP</t>
        </is>
      </c>
      <c r="Y962" s="116">
        <f>F962/E962</f>
        <v/>
      </c>
      <c r="Z962" s="64">
        <f>E962-N962</f>
        <v/>
      </c>
    </row>
    <row r="963" ht="15.75" customHeight="1" s="202">
      <c r="A963" s="116" t="n">
        <v>20260055</v>
      </c>
      <c r="B963" s="117" t="inlineStr">
        <is>
          <t>BAO RUN</t>
        </is>
      </c>
      <c r="C963" s="118" t="n">
        <v>46079</v>
      </c>
      <c r="E963" s="116" t="n">
        <v>1</v>
      </c>
      <c r="F963" s="119" t="n">
        <v>0</v>
      </c>
      <c r="G963" s="120" t="n">
        <v>5</v>
      </c>
      <c r="H963" s="117" t="inlineStr">
        <is>
          <t>AMARA OMAR</t>
        </is>
      </c>
      <c r="I963" s="117" t="inlineStr">
        <is>
          <t>COLIS</t>
        </is>
      </c>
      <c r="J963" s="117" t="inlineStr">
        <is>
          <t>COLIS</t>
        </is>
      </c>
      <c r="K963" s="48">
        <f>D963+8</f>
        <v/>
      </c>
      <c r="L963" s="48">
        <f>K963+60</f>
        <v/>
      </c>
      <c r="N963" s="72">
        <f>E963</f>
        <v/>
      </c>
      <c r="O963" s="50">
        <f>F963/E963*N963</f>
        <v/>
      </c>
      <c r="P963" s="273">
        <f>G963/E963*N963</f>
        <v/>
      </c>
      <c r="S963" s="200" t="inlineStr">
        <is>
          <t>BR25339LDJD052</t>
        </is>
      </c>
      <c r="T963" s="201" t="n">
        <v>46</v>
      </c>
      <c r="U963" s="58" t="n"/>
      <c r="V963" s="67" t="n"/>
      <c r="W963" s="67" t="n"/>
      <c r="X963" s="62" t="inlineStr">
        <is>
          <t>N-OP</t>
        </is>
      </c>
      <c r="Y963" s="116">
        <f>F963/E963</f>
        <v/>
      </c>
      <c r="Z963" s="64">
        <f>E963-N963</f>
        <v/>
      </c>
    </row>
    <row r="964" ht="15.75" customHeight="1" s="202">
      <c r="A964" s="116" t="n">
        <v>20260055</v>
      </c>
      <c r="B964" s="117" t="inlineStr">
        <is>
          <t>BAO RUN</t>
        </is>
      </c>
      <c r="C964" s="118" t="n">
        <v>46079</v>
      </c>
      <c r="E964" s="116" t="n">
        <v>1</v>
      </c>
      <c r="F964" s="119" t="n">
        <v>25.47</v>
      </c>
      <c r="G964" s="120" t="n">
        <v>24</v>
      </c>
      <c r="H964" s="117" t="inlineStr">
        <is>
          <t>SARL ETPHB TAMRAF</t>
        </is>
      </c>
      <c r="I964" s="117" t="inlineStr">
        <is>
          <t>CAMIONS</t>
        </is>
      </c>
      <c r="J964" s="117" t="inlineStr">
        <is>
          <t>LOURD</t>
        </is>
      </c>
      <c r="K964" s="48">
        <f>D964+8</f>
        <v/>
      </c>
      <c r="L964" s="48">
        <f>K964+60</f>
        <v/>
      </c>
      <c r="N964" s="72">
        <f>E964</f>
        <v/>
      </c>
      <c r="O964" s="50">
        <f>F964/E964*N964</f>
        <v/>
      </c>
      <c r="P964" s="273">
        <f>G964/E964*N964</f>
        <v/>
      </c>
      <c r="S964" s="200" t="inlineStr">
        <is>
          <t>BR25339LDJD053</t>
        </is>
      </c>
      <c r="T964" s="201" t="n">
        <v>47</v>
      </c>
      <c r="U964" s="58" t="inlineStr">
        <is>
          <t>01 SINOTRUK HOWO TX 6X4 350HP CONCRETE PUMP TRUCK 37M(XS37)</t>
        </is>
      </c>
      <c r="V964" s="67" t="n"/>
      <c r="W964" s="67" t="n"/>
      <c r="X964" s="62" t="inlineStr">
        <is>
          <t>N-OP</t>
        </is>
      </c>
      <c r="Y964" s="116">
        <f>F964/E964</f>
        <v/>
      </c>
      <c r="Z964" s="64">
        <f>E964-N964</f>
        <v/>
      </c>
    </row>
    <row r="965" ht="15.75" customHeight="1" s="202">
      <c r="A965" s="106" t="n">
        <v>20260055</v>
      </c>
      <c r="B965" s="107" t="inlineStr">
        <is>
          <t>BAO RUN</t>
        </is>
      </c>
      <c r="C965" s="108" t="n">
        <v>46079</v>
      </c>
      <c r="D965" s="108" t="n"/>
      <c r="E965" s="106" t="n">
        <v>1</v>
      </c>
      <c r="F965" s="106" t="n">
        <v>15</v>
      </c>
      <c r="G965" s="106" t="n">
        <v>24</v>
      </c>
      <c r="H965" s="107" t="inlineStr">
        <is>
          <t>BOUAICHAOUI RACHID(ETB/TCE)</t>
        </is>
      </c>
      <c r="I965" s="107" t="inlineStr">
        <is>
          <t>CAMIONS</t>
        </is>
      </c>
      <c r="J965" s="107" t="inlineStr">
        <is>
          <t>LOURD</t>
        </is>
      </c>
      <c r="K965" s="108">
        <f>D965+8</f>
        <v/>
      </c>
      <c r="L965" s="108">
        <f>K965+60</f>
        <v/>
      </c>
      <c r="M965" s="107" t="n"/>
      <c r="N965" s="112">
        <f>E965-1</f>
        <v/>
      </c>
      <c r="O965" s="113">
        <f>F965/E965*N965</f>
        <v/>
      </c>
      <c r="P965" s="112">
        <f>G965/E965*N965</f>
        <v/>
      </c>
      <c r="Q965" s="109" t="n"/>
      <c r="R965" s="107" t="n"/>
      <c r="S965" s="109" t="inlineStr">
        <is>
          <t>BR25339LDJD054</t>
        </is>
      </c>
      <c r="T965" s="114" t="n">
        <v>48</v>
      </c>
      <c r="U965" s="109" t="inlineStr">
        <is>
          <t>01 CAMION A BENNE SINOTRUK HOWO TX 6X4 TIPPER TRUCK LHD-19 CBM</t>
        </is>
      </c>
      <c r="V965" s="106" t="n"/>
      <c r="W965" s="106" t="n"/>
      <c r="X965" s="106" t="inlineStr">
        <is>
          <t>SOLDEE</t>
        </is>
      </c>
      <c r="Y965" s="116">
        <f>F965/E965</f>
        <v/>
      </c>
    </row>
    <row r="966" ht="15.75" customHeight="1" s="202">
      <c r="A966" s="116" t="n">
        <v>20260055</v>
      </c>
      <c r="B966" s="117" t="inlineStr">
        <is>
          <t>BAO RUN</t>
        </is>
      </c>
      <c r="C966" s="118" t="n">
        <v>46079</v>
      </c>
      <c r="E966" s="116" t="n">
        <v>1</v>
      </c>
      <c r="F966" s="119" t="n">
        <v>13.5</v>
      </c>
      <c r="G966" s="120" t="n">
        <v>24</v>
      </c>
      <c r="H966" s="117" t="inlineStr">
        <is>
          <t>AMARA OMAR</t>
        </is>
      </c>
      <c r="I966" s="117" t="inlineStr">
        <is>
          <t>CAMIONS</t>
        </is>
      </c>
      <c r="J966" s="117" t="inlineStr">
        <is>
          <t>LOURD</t>
        </is>
      </c>
      <c r="K966" s="48">
        <f>D966+8</f>
        <v/>
      </c>
      <c r="L966" s="48">
        <f>K966+60</f>
        <v/>
      </c>
      <c r="N966" s="72">
        <f>E966</f>
        <v/>
      </c>
      <c r="O966" s="50">
        <f>F966/E966*N966</f>
        <v/>
      </c>
      <c r="P966" s="273">
        <f>G966/E966*N966</f>
        <v/>
      </c>
      <c r="S966" s="200" t="inlineStr">
        <is>
          <t>BR25339LDJD055</t>
        </is>
      </c>
      <c r="T966" s="201" t="n">
        <v>49</v>
      </c>
      <c r="U966" s="58" t="inlineStr">
        <is>
          <t>SINOTRUK HOWO 6X4 MIXER TRUCK</t>
        </is>
      </c>
      <c r="V966" s="67" t="n"/>
      <c r="W966" s="67" t="n"/>
      <c r="X966" s="62" t="inlineStr">
        <is>
          <t>N-OP</t>
        </is>
      </c>
      <c r="Y966" s="116">
        <f>F966/E966</f>
        <v/>
      </c>
      <c r="Z966" s="64">
        <f>E966-N966</f>
        <v/>
      </c>
    </row>
    <row r="967" ht="15.75" customHeight="1" s="202">
      <c r="A967" s="106" t="n">
        <v>20260055</v>
      </c>
      <c r="B967" s="107" t="inlineStr">
        <is>
          <t>BAO RUN</t>
        </is>
      </c>
      <c r="C967" s="108" t="n">
        <v>46079</v>
      </c>
      <c r="D967" s="108" t="n"/>
      <c r="E967" s="106" t="n">
        <v>2</v>
      </c>
      <c r="F967" s="106" t="n">
        <v>4.08</v>
      </c>
      <c r="G967" s="106" t="n">
        <v>48</v>
      </c>
      <c r="H967" s="107" t="inlineStr">
        <is>
          <t>EURL AL LAMIAA LI SINAAT AL HADITHA</t>
        </is>
      </c>
      <c r="I967" s="107" t="inlineStr">
        <is>
          <t>CAMIONS</t>
        </is>
      </c>
      <c r="J967" s="107" t="inlineStr">
        <is>
          <t>LOURD</t>
        </is>
      </c>
      <c r="K967" s="108">
        <f>D967+8</f>
        <v/>
      </c>
      <c r="L967" s="108">
        <f>K967+60</f>
        <v/>
      </c>
      <c r="M967" s="107" t="n"/>
      <c r="N967" s="112">
        <f>E967-2</f>
        <v/>
      </c>
      <c r="O967" s="113">
        <f>F967/E967*N967</f>
        <v/>
      </c>
      <c r="P967" s="112">
        <f>G967/E967*N967</f>
        <v/>
      </c>
      <c r="Q967" s="109" t="n"/>
      <c r="R967" s="107" t="n"/>
      <c r="S967" s="109" t="inlineStr">
        <is>
          <t>BR25339LDJD057</t>
        </is>
      </c>
      <c r="T967" s="114" t="n">
        <v>51</v>
      </c>
      <c r="U967" s="109" t="inlineStr">
        <is>
          <t>CARGO TRUCK</t>
        </is>
      </c>
      <c r="V967" s="106" t="n"/>
      <c r="W967" s="106" t="n"/>
      <c r="X967" s="106" t="inlineStr">
        <is>
          <t>SOLDEE</t>
        </is>
      </c>
      <c r="Y967" s="116">
        <f>F967/E967</f>
        <v/>
      </c>
    </row>
    <row r="968" ht="15.75" customHeight="1" s="202">
      <c r="A968" s="116" t="n">
        <v>20260055</v>
      </c>
      <c r="B968" s="117" t="inlineStr">
        <is>
          <t>BAO RUN</t>
        </is>
      </c>
      <c r="C968" s="118" t="n">
        <v>46079</v>
      </c>
      <c r="E968" s="116" t="n">
        <v>1</v>
      </c>
      <c r="F968" s="119" t="n">
        <v>2.35</v>
      </c>
      <c r="G968" s="120" t="n">
        <v>24</v>
      </c>
      <c r="H968" s="117" t="inlineStr">
        <is>
          <t>BENABED ABDELKADER</t>
        </is>
      </c>
      <c r="I968" s="117" t="inlineStr">
        <is>
          <t>CAMIONS</t>
        </is>
      </c>
      <c r="J968" s="117" t="inlineStr">
        <is>
          <t>LOURD</t>
        </is>
      </c>
      <c r="K968" s="48">
        <f>D968+8</f>
        <v/>
      </c>
      <c r="L968" s="48">
        <f>K968+60</f>
        <v/>
      </c>
      <c r="N968" s="72">
        <f>E968</f>
        <v/>
      </c>
      <c r="O968" s="50">
        <f>F968/E968*N968</f>
        <v/>
      </c>
      <c r="P968" s="273">
        <f>G968/E968*N968</f>
        <v/>
      </c>
      <c r="S968" s="200" t="inlineStr">
        <is>
          <t>BR25339LDJD058</t>
        </is>
      </c>
      <c r="T968" s="201" t="n">
        <v>52</v>
      </c>
      <c r="U968" s="58" t="inlineStr">
        <is>
          <t>JAC 1040S FLATBED TRUCK</t>
        </is>
      </c>
      <c r="V968" s="67" t="n"/>
      <c r="W968" s="67" t="n"/>
      <c r="X968" s="62" t="inlineStr">
        <is>
          <t>N-OP</t>
        </is>
      </c>
      <c r="Y968" s="116">
        <f>F968/E968</f>
        <v/>
      </c>
      <c r="Z968" s="64">
        <f>E968-N968</f>
        <v/>
      </c>
    </row>
    <row r="969" ht="15.75" customHeight="1" s="202">
      <c r="A969" s="106" t="n">
        <v>20260055</v>
      </c>
      <c r="B969" s="107" t="inlineStr">
        <is>
          <t>BAO RUN</t>
        </is>
      </c>
      <c r="C969" s="108" t="n">
        <v>46079</v>
      </c>
      <c r="D969" s="108" t="n"/>
      <c r="E969" s="106" t="n">
        <v>2</v>
      </c>
      <c r="F969" s="106" t="n">
        <v>7.64</v>
      </c>
      <c r="G969" s="106" t="n">
        <v>48</v>
      </c>
      <c r="H969" s="107" t="inlineStr">
        <is>
          <t>KETFI MESSAOUD</t>
        </is>
      </c>
      <c r="I969" s="107" t="inlineStr">
        <is>
          <t>CAMIONS</t>
        </is>
      </c>
      <c r="J969" s="107" t="inlineStr">
        <is>
          <t>LOURD</t>
        </is>
      </c>
      <c r="K969" s="108">
        <f>D969+8</f>
        <v/>
      </c>
      <c r="L969" s="108">
        <f>K969+60</f>
        <v/>
      </c>
      <c r="M969" s="107" t="n"/>
      <c r="N969" s="112">
        <f>E969-2</f>
        <v/>
      </c>
      <c r="O969" s="113">
        <f>F969/E969*N969</f>
        <v/>
      </c>
      <c r="P969" s="112">
        <f>G969/E969*N969</f>
        <v/>
      </c>
      <c r="Q969" s="109" t="n"/>
      <c r="R969" s="107" t="n"/>
      <c r="S969" s="109" t="inlineStr">
        <is>
          <t>BR25339LDJD059086</t>
        </is>
      </c>
      <c r="T969" s="114" t="n">
        <v>53</v>
      </c>
      <c r="U969" s="109" t="inlineStr">
        <is>
          <t>JMC DOUBLE CAB DUMP TRUCK + HOWO FLATBED TRUCK</t>
        </is>
      </c>
      <c r="V969" s="106" t="n"/>
      <c r="W969" s="106" t="n"/>
      <c r="X969" s="106" t="inlineStr">
        <is>
          <t>SOLDEE</t>
        </is>
      </c>
      <c r="Y969" s="116">
        <f>F969/E969</f>
        <v/>
      </c>
      <c r="Z969" s="64">
        <f>E969-N969</f>
        <v/>
      </c>
    </row>
    <row r="970" ht="15.75" customHeight="1" s="202">
      <c r="A970" s="116" t="n">
        <v>20260055</v>
      </c>
      <c r="B970" s="117" t="inlineStr">
        <is>
          <t>BAO RUN</t>
        </is>
      </c>
      <c r="C970" s="118" t="n">
        <v>46079</v>
      </c>
      <c r="E970" s="116" t="n">
        <v>1</v>
      </c>
      <c r="F970" s="119" t="n">
        <v>17.4</v>
      </c>
      <c r="G970" s="120" t="n">
        <v>24</v>
      </c>
      <c r="H970" s="117" t="inlineStr">
        <is>
          <t>ABED HAMMOU ABDELKADER</t>
        </is>
      </c>
      <c r="I970" s="117" t="inlineStr">
        <is>
          <t>CHARGEURS</t>
        </is>
      </c>
      <c r="J970" s="117" t="inlineStr">
        <is>
          <t>ENGINS</t>
        </is>
      </c>
      <c r="K970" s="48">
        <f>D970+8</f>
        <v/>
      </c>
      <c r="L970" s="48">
        <f>K970+60</f>
        <v/>
      </c>
      <c r="N970" s="72">
        <f>E970</f>
        <v/>
      </c>
      <c r="O970" s="50">
        <f>F970/E970*N970</f>
        <v/>
      </c>
      <c r="P970" s="273">
        <f>G970/E970*N970</f>
        <v/>
      </c>
      <c r="S970" s="200" t="inlineStr">
        <is>
          <t>BR25339LDJD060</t>
        </is>
      </c>
      <c r="T970" s="201" t="n">
        <v>54</v>
      </c>
      <c r="U970" s="58" t="inlineStr">
        <is>
          <t>XCMG ZL50GN WHEEL LOADER</t>
        </is>
      </c>
      <c r="V970" s="67" t="n"/>
      <c r="W970" s="67" t="n"/>
      <c r="X970" s="62" t="inlineStr">
        <is>
          <t>N-OP</t>
        </is>
      </c>
      <c r="Y970" s="116">
        <f>F970/E970</f>
        <v/>
      </c>
      <c r="Z970" s="64">
        <f>E970-N970</f>
        <v/>
      </c>
    </row>
    <row r="971" ht="15.75" customHeight="1" s="202">
      <c r="A971" s="116" t="n">
        <v>20260055</v>
      </c>
      <c r="B971" s="117" t="inlineStr">
        <is>
          <t>BAO RUN</t>
        </is>
      </c>
      <c r="C971" s="118" t="n">
        <v>46079</v>
      </c>
      <c r="E971" s="116" t="n">
        <v>1</v>
      </c>
      <c r="F971" s="119" t="n">
        <v>16.23</v>
      </c>
      <c r="G971" s="120" t="n">
        <v>24</v>
      </c>
      <c r="H971" s="117" t="inlineStr">
        <is>
          <t>ABED TAYYIB</t>
        </is>
      </c>
      <c r="I971" s="117" t="inlineStr">
        <is>
          <t>REMORQUES</t>
        </is>
      </c>
      <c r="J971" s="117" t="inlineStr">
        <is>
          <t>LOURD</t>
        </is>
      </c>
      <c r="K971" s="48">
        <f>D971+8</f>
        <v/>
      </c>
      <c r="L971" s="48">
        <f>K971+60</f>
        <v/>
      </c>
      <c r="N971" s="72">
        <f>E971</f>
        <v/>
      </c>
      <c r="O971" s="50">
        <f>F971/E971*N971</f>
        <v/>
      </c>
      <c r="P971" s="273">
        <f>G971/E971*N971</f>
        <v/>
      </c>
      <c r="S971" s="200" t="inlineStr">
        <is>
          <t>BR25339LDJD061</t>
        </is>
      </c>
      <c r="T971" s="201" t="n">
        <v>55</v>
      </c>
      <c r="U971" s="58" t="inlineStr">
        <is>
          <t>CIMC LOW BED TRAILER 60 TONS</t>
        </is>
      </c>
      <c r="V971" s="67" t="n"/>
      <c r="W971" s="67" t="n"/>
      <c r="X971" s="62" t="inlineStr">
        <is>
          <t>N-OP</t>
        </is>
      </c>
      <c r="Y971" s="116">
        <f>F971/E971</f>
        <v/>
      </c>
      <c r="Z971" s="64">
        <f>E971-N971</f>
        <v/>
      </c>
    </row>
    <row r="972" ht="15.75" customHeight="1" s="202">
      <c r="A972" s="106" t="n">
        <v>20260055</v>
      </c>
      <c r="B972" s="107" t="inlineStr">
        <is>
          <t>BAO RUN</t>
        </is>
      </c>
      <c r="C972" s="108" t="n">
        <v>46079</v>
      </c>
      <c r="D972" s="108" t="n"/>
      <c r="E972" s="106" t="n">
        <v>2</v>
      </c>
      <c r="F972" s="106" t="n">
        <v>23.82</v>
      </c>
      <c r="G972" s="106" t="n">
        <v>48</v>
      </c>
      <c r="H972" s="107" t="inlineStr">
        <is>
          <t>SARL SOLIDIS BETON</t>
        </is>
      </c>
      <c r="I972" s="107" t="inlineStr">
        <is>
          <t>CAMIONS</t>
        </is>
      </c>
      <c r="J972" s="107" t="inlineStr">
        <is>
          <t>LOURD</t>
        </is>
      </c>
      <c r="K972" s="108">
        <f>D972+8</f>
        <v/>
      </c>
      <c r="L972" s="108">
        <f>K972+60</f>
        <v/>
      </c>
      <c r="M972" s="107" t="n"/>
      <c r="N972" s="112">
        <f>E972-2</f>
        <v/>
      </c>
      <c r="O972" s="113">
        <f>F972/E972*N972</f>
        <v/>
      </c>
      <c r="P972" s="112">
        <f>G972/E972*N972</f>
        <v/>
      </c>
      <c r="Q972" s="109" t="n"/>
      <c r="R972" s="107" t="n"/>
      <c r="S972" s="109" t="inlineStr">
        <is>
          <t>BR25339LDJD062063</t>
        </is>
      </c>
      <c r="T972" s="114" t="n">
        <v>56</v>
      </c>
      <c r="U972" s="109" t="inlineStr">
        <is>
          <t>SHACMAN F3000 6X4 MIXER TRUCK +LOVOL FL936H WHEEL LOADER</t>
        </is>
      </c>
      <c r="V972" s="106" t="n"/>
      <c r="W972" s="106" t="n"/>
      <c r="X972" s="106" t="inlineStr">
        <is>
          <t>SOLDEE</t>
        </is>
      </c>
      <c r="Y972" s="116">
        <f>F972/E972</f>
        <v/>
      </c>
      <c r="Z972" s="64">
        <f>E972-N972</f>
        <v/>
      </c>
    </row>
    <row r="973" ht="15.75" customHeight="1" s="202">
      <c r="A973" s="116" t="n">
        <v>20260055</v>
      </c>
      <c r="B973" s="117" t="inlineStr">
        <is>
          <t>BAO RUN</t>
        </is>
      </c>
      <c r="C973" s="118" t="n">
        <v>46079</v>
      </c>
      <c r="E973" s="116" t="n">
        <v>1</v>
      </c>
      <c r="F973" s="119" t="n">
        <v>7.6</v>
      </c>
      <c r="G973" s="120" t="n">
        <v>24</v>
      </c>
      <c r="H973" s="117" t="inlineStr">
        <is>
          <t>SARL DESERT</t>
        </is>
      </c>
      <c r="I973" s="117" t="inlineStr">
        <is>
          <t>RETROCHARGEURS</t>
        </is>
      </c>
      <c r="J973" s="117" t="inlineStr">
        <is>
          <t>ENGINS</t>
        </is>
      </c>
      <c r="K973" s="48">
        <f>D973+8</f>
        <v/>
      </c>
      <c r="L973" s="48">
        <f>K973+60</f>
        <v/>
      </c>
      <c r="N973" s="72">
        <f>E973</f>
        <v/>
      </c>
      <c r="O973" s="50">
        <f>F973/E973*N973</f>
        <v/>
      </c>
      <c r="P973" s="273">
        <f>G973/E973*N973</f>
        <v/>
      </c>
      <c r="S973" s="200" t="inlineStr">
        <is>
          <t>BR25339LDJD064</t>
        </is>
      </c>
      <c r="T973" s="201" t="n">
        <v>57</v>
      </c>
      <c r="U973" s="58" t="inlineStr">
        <is>
          <t>1 XCMG XC870K BACKHOE LOADER</t>
        </is>
      </c>
      <c r="V973" s="67" t="n"/>
      <c r="W973" s="67" t="n"/>
      <c r="X973" s="62" t="inlineStr">
        <is>
          <t>N-OP</t>
        </is>
      </c>
      <c r="Y973" s="116">
        <f>F973/E973</f>
        <v/>
      </c>
      <c r="Z973" s="64">
        <f>E973-N973</f>
        <v/>
      </c>
    </row>
    <row r="974" ht="15.75" customHeight="1" s="202">
      <c r="A974" s="106" t="n">
        <v>20260055</v>
      </c>
      <c r="B974" s="107" t="inlineStr">
        <is>
          <t>BAO RUN</t>
        </is>
      </c>
      <c r="C974" s="108" t="n">
        <v>46079</v>
      </c>
      <c r="D974" s="108" t="n"/>
      <c r="E974" s="106" t="n">
        <v>1</v>
      </c>
      <c r="F974" s="106" t="n">
        <v>9.32</v>
      </c>
      <c r="G974" s="106" t="n">
        <v>24</v>
      </c>
      <c r="H974" s="107" t="inlineStr">
        <is>
          <t>EURL MEHRIA GRAND TRAVUX ET HYDRAULIQUE</t>
        </is>
      </c>
      <c r="I974" s="107" t="inlineStr">
        <is>
          <t>CAMIONS</t>
        </is>
      </c>
      <c r="J974" s="107" t="inlineStr">
        <is>
          <t>LOURD</t>
        </is>
      </c>
      <c r="K974" s="108">
        <f>D974+8</f>
        <v/>
      </c>
      <c r="L974" s="108">
        <f>K974+60</f>
        <v/>
      </c>
      <c r="M974" s="107" t="n"/>
      <c r="N974" s="112">
        <f>E974-1</f>
        <v/>
      </c>
      <c r="O974" s="113">
        <f>F974/E974*N974</f>
        <v/>
      </c>
      <c r="P974" s="112">
        <f>G974/E974*N974</f>
        <v/>
      </c>
      <c r="Q974" s="109" t="n"/>
      <c r="R974" s="107" t="n"/>
      <c r="S974" s="109" t="inlineStr">
        <is>
          <t>BR25339LDJD065A</t>
        </is>
      </c>
      <c r="T974" s="114" t="n">
        <v>58</v>
      </c>
      <c r="U974" s="109" t="inlineStr">
        <is>
          <t>INTELLIGENT ASPHALT DISTRIBUTOR</t>
        </is>
      </c>
      <c r="V974" s="106" t="n"/>
      <c r="W974" s="106" t="n"/>
      <c r="X974" s="106" t="inlineStr">
        <is>
          <t>SOLDEE</t>
        </is>
      </c>
      <c r="Y974" s="116">
        <f>F974/E974</f>
        <v/>
      </c>
      <c r="Z974" s="64">
        <f>E974-N974</f>
        <v/>
      </c>
    </row>
    <row r="975" ht="15.75" customHeight="1" s="202">
      <c r="A975" s="106" t="n">
        <v>20260055</v>
      </c>
      <c r="B975" s="107" t="inlineStr">
        <is>
          <t>BAO RUN</t>
        </is>
      </c>
      <c r="C975" s="108" t="n">
        <v>46079</v>
      </c>
      <c r="D975" s="108" t="n"/>
      <c r="E975" s="106" t="n">
        <v>1</v>
      </c>
      <c r="F975" s="106" t="n">
        <v>9.32</v>
      </c>
      <c r="G975" s="106" t="n">
        <v>24</v>
      </c>
      <c r="H975" s="107" t="inlineStr">
        <is>
          <t>SARL ABNAA SALMA TRAVAUX</t>
        </is>
      </c>
      <c r="I975" s="107" t="inlineStr">
        <is>
          <t>CAMIONS</t>
        </is>
      </c>
      <c r="J975" s="107" t="inlineStr">
        <is>
          <t>LOURD</t>
        </is>
      </c>
      <c r="K975" s="108">
        <f>D975+8</f>
        <v/>
      </c>
      <c r="L975" s="108">
        <f>K975+60</f>
        <v/>
      </c>
      <c r="M975" s="107" t="n"/>
      <c r="N975" s="112">
        <f>E975-1</f>
        <v/>
      </c>
      <c r="O975" s="113">
        <f>F975/E975*N975</f>
        <v/>
      </c>
      <c r="P975" s="112">
        <f>G975/E975*N975</f>
        <v/>
      </c>
      <c r="Q975" s="109" t="n"/>
      <c r="R975" s="107" t="n"/>
      <c r="S975" s="109" t="inlineStr">
        <is>
          <t>BR25339LDJD065B</t>
        </is>
      </c>
      <c r="T975" s="114" t="n">
        <v>59</v>
      </c>
      <c r="U975" s="109" t="inlineStr">
        <is>
          <t>INTELLIGENT ASPHALT DISTRIBUTOR</t>
        </is>
      </c>
      <c r="V975" s="106" t="n"/>
      <c r="W975" s="106" t="n"/>
      <c r="X975" s="106" t="inlineStr">
        <is>
          <t>SOLDEE</t>
        </is>
      </c>
      <c r="Y975" s="116">
        <f>F975/E975</f>
        <v/>
      </c>
      <c r="Z975" s="64">
        <f>E975-N975</f>
        <v/>
      </c>
    </row>
    <row r="976" ht="15.75" customHeight="1" s="202">
      <c r="A976" s="106" t="n">
        <v>20260055</v>
      </c>
      <c r="B976" s="107" t="inlineStr">
        <is>
          <t>BAO RUN</t>
        </is>
      </c>
      <c r="C976" s="108" t="n">
        <v>46079</v>
      </c>
      <c r="D976" s="108" t="n"/>
      <c r="E976" s="106" t="n">
        <v>1</v>
      </c>
      <c r="F976" s="106" t="n">
        <v>28.59</v>
      </c>
      <c r="G976" s="106" t="n">
        <v>24</v>
      </c>
      <c r="H976" s="107" t="inlineStr">
        <is>
          <t>SARL FILS AMOURI M.EL HADI T.ROUTE</t>
        </is>
      </c>
      <c r="I976" s="107" t="inlineStr">
        <is>
          <t>CAMION POMPE A BETON</t>
        </is>
      </c>
      <c r="J976" s="107" t="inlineStr">
        <is>
          <t>LOURD</t>
        </is>
      </c>
      <c r="K976" s="108">
        <f>D976+8</f>
        <v/>
      </c>
      <c r="L976" s="108">
        <f>K976+60</f>
        <v/>
      </c>
      <c r="M976" s="107" t="n"/>
      <c r="N976" s="112">
        <f>E9631</f>
        <v/>
      </c>
      <c r="O976" s="113">
        <f>F976/E976*N976</f>
        <v/>
      </c>
      <c r="P976" s="112">
        <f>G976/E976*N976</f>
        <v/>
      </c>
      <c r="Q976" s="109" t="n"/>
      <c r="R976" s="107" t="n"/>
      <c r="S976" s="109" t="inlineStr">
        <is>
          <t>BR25339LDJD066</t>
        </is>
      </c>
      <c r="T976" s="114" t="n">
        <v>60</v>
      </c>
      <c r="U976" s="109" t="inlineStr">
        <is>
          <t>ZOOMLION 3AXLES SITRUK + 01 PKG</t>
        </is>
      </c>
      <c r="V976" s="106" t="n"/>
      <c r="W976" s="106" t="n"/>
      <c r="X976" s="106" t="inlineStr">
        <is>
          <t>SOLDEE</t>
        </is>
      </c>
      <c r="Y976" s="116">
        <f>F976/E976</f>
        <v/>
      </c>
    </row>
    <row r="977" ht="15.75" customHeight="1" s="202">
      <c r="A977" s="106" t="n">
        <v>20260055</v>
      </c>
      <c r="B977" s="107" t="inlineStr">
        <is>
          <t>BAO RUN</t>
        </is>
      </c>
      <c r="C977" s="108" t="n">
        <v>46079</v>
      </c>
      <c r="D977" s="108" t="n"/>
      <c r="E977" s="106" t="n">
        <v>1</v>
      </c>
      <c r="F977" s="106" t="n">
        <v>0</v>
      </c>
      <c r="G977" s="106" t="n">
        <v>5</v>
      </c>
      <c r="H977" s="107" t="inlineStr">
        <is>
          <t>SARL FILS AMOURI M.EL HADI T.ROUTE</t>
        </is>
      </c>
      <c r="I977" s="107" t="inlineStr">
        <is>
          <t>COLIS</t>
        </is>
      </c>
      <c r="J977" s="107" t="inlineStr">
        <is>
          <t>COLIS</t>
        </is>
      </c>
      <c r="K977" s="108">
        <f>D977+8</f>
        <v/>
      </c>
      <c r="L977" s="108">
        <f>K977+60</f>
        <v/>
      </c>
      <c r="M977" s="107" t="n"/>
      <c r="N977" s="112">
        <f>E977-1</f>
        <v/>
      </c>
      <c r="O977" s="113">
        <f>F977/E977*N977</f>
        <v/>
      </c>
      <c r="P977" s="112">
        <f>G977/E977*N977</f>
        <v/>
      </c>
      <c r="Q977" s="109" t="n"/>
      <c r="R977" s="107" t="n"/>
      <c r="S977" s="109" t="inlineStr">
        <is>
          <t>BR25339LDJD066</t>
        </is>
      </c>
      <c r="T977" s="114" t="n">
        <v>60</v>
      </c>
      <c r="U977" s="109" t="n"/>
      <c r="V977" s="106" t="n"/>
      <c r="W977" s="106" t="n"/>
      <c r="X977" s="106" t="inlineStr">
        <is>
          <t>SOLDEE</t>
        </is>
      </c>
      <c r="Y977" s="116">
        <f>F977/E977</f>
        <v/>
      </c>
    </row>
    <row r="978" ht="15.75" customHeight="1" s="202">
      <c r="A978" s="116" t="n">
        <v>20260055</v>
      </c>
      <c r="B978" s="117" t="inlineStr">
        <is>
          <t>BAO RUN</t>
        </is>
      </c>
      <c r="C978" s="118" t="n">
        <v>46079</v>
      </c>
      <c r="E978" s="116" t="n">
        <v>1</v>
      </c>
      <c r="F978" s="119" t="n">
        <v>27.9</v>
      </c>
      <c r="G978" s="120" t="n">
        <v>24</v>
      </c>
      <c r="H978" s="117" t="inlineStr">
        <is>
          <t>EURL BESTAOUI FOUAD BST</t>
        </is>
      </c>
      <c r="I978" s="117" t="inlineStr">
        <is>
          <t>CAMION POMPE A BETON</t>
        </is>
      </c>
      <c r="J978" s="117" t="inlineStr">
        <is>
          <t>LOURD</t>
        </is>
      </c>
      <c r="K978" s="48">
        <f>D978+8</f>
        <v/>
      </c>
      <c r="L978" s="48">
        <f>K978+60</f>
        <v/>
      </c>
      <c r="N978" s="72">
        <f>E978</f>
        <v/>
      </c>
      <c r="O978" s="50">
        <f>F978/E978*N978</f>
        <v/>
      </c>
      <c r="P978" s="273">
        <f>G978/E978*N978</f>
        <v/>
      </c>
      <c r="S978" s="200" t="inlineStr">
        <is>
          <t>BR25339LDJD068</t>
        </is>
      </c>
      <c r="T978" s="201" t="n">
        <v>61</v>
      </c>
      <c r="U978" s="58" t="inlineStr">
        <is>
          <t>ZOOMLION 43M CONCRETE PUMP</t>
        </is>
      </c>
      <c r="V978" s="67" t="n"/>
      <c r="W978" s="67" t="n"/>
      <c r="X978" s="62" t="inlineStr">
        <is>
          <t>N-OP</t>
        </is>
      </c>
      <c r="Y978" s="116">
        <f>F978/E978</f>
        <v/>
      </c>
      <c r="Z978" s="64">
        <f>E978-N978</f>
        <v/>
      </c>
    </row>
    <row r="979" ht="15.75" customHeight="1" s="202">
      <c r="A979" s="116" t="n">
        <v>20260055</v>
      </c>
      <c r="B979" s="117" t="inlineStr">
        <is>
          <t>BAO RUN</t>
        </is>
      </c>
      <c r="C979" s="118" t="n">
        <v>46079</v>
      </c>
      <c r="E979" s="116" t="n">
        <v>1</v>
      </c>
      <c r="F979" s="119" t="n">
        <v>38.6</v>
      </c>
      <c r="G979" s="120" t="n">
        <v>24</v>
      </c>
      <c r="H979" s="117" t="inlineStr">
        <is>
          <t>SABAANI TRAVAUX GENERAUX EURL</t>
        </is>
      </c>
      <c r="I979" s="117" t="inlineStr">
        <is>
          <t>EXCAVATEURS</t>
        </is>
      </c>
      <c r="J979" s="117" t="inlineStr">
        <is>
          <t>ENGINS</t>
        </is>
      </c>
      <c r="K979" s="48">
        <f>D979+8</f>
        <v/>
      </c>
      <c r="L979" s="48">
        <f>K979+60</f>
        <v/>
      </c>
      <c r="N979" s="72">
        <f>E979</f>
        <v/>
      </c>
      <c r="O979" s="50">
        <f>F979/E979*N979</f>
        <v/>
      </c>
      <c r="P979" s="273">
        <f>G979/E979*N979</f>
        <v/>
      </c>
      <c r="S979" s="200" t="inlineStr">
        <is>
          <t>BR25339LDJD069</t>
        </is>
      </c>
      <c r="T979" s="201" t="n">
        <v>62</v>
      </c>
      <c r="U979" s="58" t="inlineStr">
        <is>
          <t>1 UNIT HYUNDAI EXCAVATOR HX340HD + 3 PKGS</t>
        </is>
      </c>
      <c r="V979" s="67" t="n"/>
      <c r="W979" s="67" t="n"/>
      <c r="X979" s="62" t="inlineStr">
        <is>
          <t>N-OP</t>
        </is>
      </c>
      <c r="Y979" s="116">
        <f>F979/E979</f>
        <v/>
      </c>
      <c r="Z979" s="64">
        <f>E979-N979</f>
        <v/>
      </c>
    </row>
    <row r="980" ht="15.75" customHeight="1" s="202">
      <c r="A980" s="116" t="n">
        <v>20260055</v>
      </c>
      <c r="B980" s="117" t="inlineStr">
        <is>
          <t>BAO RUN</t>
        </is>
      </c>
      <c r="C980" s="118" t="n">
        <v>46079</v>
      </c>
      <c r="E980" s="116" t="n">
        <v>3</v>
      </c>
      <c r="F980" s="119" t="n">
        <v>0</v>
      </c>
      <c r="G980" s="120" t="n">
        <v>15</v>
      </c>
      <c r="H980" s="117" t="inlineStr">
        <is>
          <t>SABAANI TRAVAUX GENERAUX EURL</t>
        </is>
      </c>
      <c r="I980" s="117" t="inlineStr">
        <is>
          <t>COLIS</t>
        </is>
      </c>
      <c r="J980" s="117" t="inlineStr">
        <is>
          <t>COLIS</t>
        </is>
      </c>
      <c r="K980" s="48">
        <f>D980+8</f>
        <v/>
      </c>
      <c r="L980" s="48">
        <f>K980+60</f>
        <v/>
      </c>
      <c r="N980" s="72">
        <f>E980</f>
        <v/>
      </c>
      <c r="O980" s="50">
        <f>F980/E980*N980</f>
        <v/>
      </c>
      <c r="P980" s="273">
        <f>G980/E980*N980</f>
        <v/>
      </c>
      <c r="S980" s="200" t="inlineStr">
        <is>
          <t>BR25339LDJD069</t>
        </is>
      </c>
      <c r="T980" s="201" t="n">
        <v>62</v>
      </c>
      <c r="U980" s="58" t="n"/>
      <c r="V980" s="67" t="n"/>
      <c r="W980" s="67" t="n"/>
      <c r="X980" s="62" t="inlineStr">
        <is>
          <t>N-OP</t>
        </is>
      </c>
      <c r="Y980" s="116">
        <f>F980/E980</f>
        <v/>
      </c>
      <c r="Z980" s="64">
        <f>E980-N980</f>
        <v/>
      </c>
    </row>
    <row r="981" ht="15.75" customHeight="1" s="202">
      <c r="A981" s="106" t="n">
        <v>20260055</v>
      </c>
      <c r="B981" s="107" t="inlineStr">
        <is>
          <t>BAO RUN</t>
        </is>
      </c>
      <c r="C981" s="108" t="n">
        <v>46079</v>
      </c>
      <c r="D981" s="108" t="n"/>
      <c r="E981" s="106" t="n">
        <v>2</v>
      </c>
      <c r="F981" s="106" t="n">
        <v>25.5</v>
      </c>
      <c r="G981" s="106" t="n">
        <v>48</v>
      </c>
      <c r="H981" s="107" t="inlineStr">
        <is>
          <t>SARL LAMAOU TRAVAUX PUBLICS</t>
        </is>
      </c>
      <c r="I981" s="107" t="inlineStr">
        <is>
          <t>CAMIONS</t>
        </is>
      </c>
      <c r="J981" s="107" t="inlineStr">
        <is>
          <t>LOURD</t>
        </is>
      </c>
      <c r="K981" s="108">
        <f>D981+8</f>
        <v/>
      </c>
      <c r="L981" s="108">
        <f>K981+60</f>
        <v/>
      </c>
      <c r="M981" s="107" t="n"/>
      <c r="N981" s="112">
        <f>E981-2</f>
        <v/>
      </c>
      <c r="O981" s="113">
        <f>F981/E981*N981</f>
        <v/>
      </c>
      <c r="P981" s="112">
        <f>G981/E981*N981</f>
        <v/>
      </c>
      <c r="Q981" s="109" t="n"/>
      <c r="R981" s="107" t="n"/>
      <c r="S981" s="109" t="inlineStr">
        <is>
          <t>BR25339LDJD070A071A</t>
        </is>
      </c>
      <c r="T981" s="114" t="n">
        <v>63</v>
      </c>
      <c r="U981" s="109" t="inlineStr">
        <is>
          <t>SHACMAN F2000 6X4 DUMPER TRUCK + SHACMAN F2000 6X4 WATER TRUCK</t>
        </is>
      </c>
      <c r="V981" s="106" t="n"/>
      <c r="W981" s="106" t="n"/>
      <c r="X981" s="106" t="inlineStr">
        <is>
          <t>SOLDEE</t>
        </is>
      </c>
      <c r="Y981" s="116">
        <f>F981/E981</f>
        <v/>
      </c>
    </row>
    <row r="982" ht="15.75" customHeight="1" s="202">
      <c r="A982" s="116" t="n">
        <v>20260055</v>
      </c>
      <c r="B982" s="117" t="inlineStr">
        <is>
          <t>BAO RUN</t>
        </is>
      </c>
      <c r="C982" s="118" t="n">
        <v>46079</v>
      </c>
      <c r="E982" s="116" t="n">
        <v>3</v>
      </c>
      <c r="F982" s="119" t="n">
        <v>39</v>
      </c>
      <c r="G982" s="120" t="n">
        <v>72</v>
      </c>
      <c r="H982" s="117" t="inlineStr">
        <is>
          <t>SARL AL BEN ALI TRAVAUX PUBLICS ET ROUTES</t>
        </is>
      </c>
      <c r="I982" s="117" t="inlineStr">
        <is>
          <t>CAMIONS</t>
        </is>
      </c>
      <c r="J982" s="117" t="inlineStr">
        <is>
          <t>LOURD</t>
        </is>
      </c>
      <c r="K982" s="48">
        <f>D982+8</f>
        <v/>
      </c>
      <c r="L982" s="48">
        <f>K982+60</f>
        <v/>
      </c>
      <c r="N982" s="72">
        <f>E982</f>
        <v/>
      </c>
      <c r="O982" s="50">
        <f>F982/E982*N982</f>
        <v/>
      </c>
      <c r="P982" s="273">
        <f>G982/E982*N982</f>
        <v/>
      </c>
      <c r="S982" s="200" t="inlineStr">
        <is>
          <t>BR25339LDJD070B071B</t>
        </is>
      </c>
      <c r="T982" s="201" t="n">
        <v>64</v>
      </c>
      <c r="U982" s="58" t="inlineStr">
        <is>
          <t>SHACMAN F2000 6X4 DUMPER TRUCK + SHACMAN F2000 6X4 WATER TRUCK + SHACMAN F2000 6X4 CONCRETE MIXER TRUCK</t>
        </is>
      </c>
      <c r="V982" s="67" t="n"/>
      <c r="W982" s="67" t="n"/>
      <c r="X982" s="62" t="inlineStr">
        <is>
          <t>N-OP</t>
        </is>
      </c>
      <c r="Y982" s="116">
        <f>F982/E982</f>
        <v/>
      </c>
      <c r="Z982" s="64">
        <f>E982-N982</f>
        <v/>
      </c>
    </row>
    <row r="983" ht="15.75" customHeight="1" s="202">
      <c r="A983" s="106" t="n">
        <v>20260055</v>
      </c>
      <c r="B983" s="107" t="inlineStr">
        <is>
          <t>BAO RUN</t>
        </is>
      </c>
      <c r="C983" s="108" t="n">
        <v>46079</v>
      </c>
      <c r="D983" s="108" t="n"/>
      <c r="E983" s="106" t="n">
        <v>1</v>
      </c>
      <c r="F983" s="106" t="n">
        <v>12.5</v>
      </c>
      <c r="G983" s="106" t="n">
        <v>24</v>
      </c>
      <c r="H983" s="107" t="inlineStr">
        <is>
          <t>SARL HGB GRANDS TRAVAUX</t>
        </is>
      </c>
      <c r="I983" s="107" t="inlineStr">
        <is>
          <t>CAMIONS</t>
        </is>
      </c>
      <c r="J983" s="107" t="inlineStr">
        <is>
          <t>LOURD</t>
        </is>
      </c>
      <c r="K983" s="108">
        <f>D983+8</f>
        <v/>
      </c>
      <c r="L983" s="108">
        <f>K983+60</f>
        <v/>
      </c>
      <c r="M983" s="107" t="n"/>
      <c r="N983" s="112">
        <f>E983-1</f>
        <v/>
      </c>
      <c r="O983" s="113">
        <f>F983/E983*N983</f>
        <v/>
      </c>
      <c r="P983" s="112">
        <f>G983/E983*N983</f>
        <v/>
      </c>
      <c r="Q983" s="109" t="n"/>
      <c r="R983" s="107" t="n"/>
      <c r="S983" s="109" t="inlineStr">
        <is>
          <t>BR25339LDJD070C</t>
        </is>
      </c>
      <c r="T983" s="114" t="n">
        <v>65</v>
      </c>
      <c r="U983" s="109" t="inlineStr">
        <is>
          <t>SHACMAN F2000 6X4 DUMPER TRUCK</t>
        </is>
      </c>
      <c r="V983" s="106" t="n"/>
      <c r="W983" s="106" t="n"/>
      <c r="X983" s="106" t="inlineStr">
        <is>
          <t>SOLDEE</t>
        </is>
      </c>
      <c r="Y983" s="116">
        <f>F983/E983</f>
        <v/>
      </c>
      <c r="Z983" s="64">
        <f>E983-N983</f>
        <v/>
      </c>
    </row>
    <row r="984" ht="15.75" customHeight="1" s="202">
      <c r="A984" s="106" t="n">
        <v>20260055</v>
      </c>
      <c r="B984" s="107" t="inlineStr">
        <is>
          <t>BAO RUN</t>
        </is>
      </c>
      <c r="C984" s="108" t="n">
        <v>46079</v>
      </c>
      <c r="D984" s="108" t="n"/>
      <c r="E984" s="106" t="n">
        <v>1</v>
      </c>
      <c r="F984" s="106" t="n">
        <v>12.5</v>
      </c>
      <c r="G984" s="106" t="n">
        <v>24</v>
      </c>
      <c r="H984" s="107" t="inlineStr">
        <is>
          <t>MOUSSAOUI ABDELBASSET</t>
        </is>
      </c>
      <c r="I984" s="107" t="inlineStr">
        <is>
          <t>CAMIONS</t>
        </is>
      </c>
      <c r="J984" s="107" t="inlineStr">
        <is>
          <t>LOURD</t>
        </is>
      </c>
      <c r="K984" s="108">
        <f>D984+8</f>
        <v/>
      </c>
      <c r="L984" s="108">
        <f>K984+60</f>
        <v/>
      </c>
      <c r="M984" s="107" t="n"/>
      <c r="N984" s="112">
        <f>E984-1</f>
        <v/>
      </c>
      <c r="O984" s="113">
        <f>F984/E984*N984</f>
        <v/>
      </c>
      <c r="P984" s="112">
        <f>G984/E984*N984</f>
        <v/>
      </c>
      <c r="Q984" s="109" t="n"/>
      <c r="R984" s="107" t="n"/>
      <c r="S984" s="109" t="inlineStr">
        <is>
          <t>BR25339LDJD070D</t>
        </is>
      </c>
      <c r="T984" s="114" t="n">
        <v>66</v>
      </c>
      <c r="U984" s="109" t="inlineStr">
        <is>
          <t>SHACMAN DUMPER TRUCK F2000 16M3 6X4</t>
        </is>
      </c>
      <c r="V984" s="106" t="n"/>
      <c r="W984" s="106" t="n"/>
      <c r="X984" s="106" t="inlineStr">
        <is>
          <t>SOLDEE</t>
        </is>
      </c>
      <c r="Y984" s="116">
        <f>F984/E984</f>
        <v/>
      </c>
      <c r="Z984" s="64">
        <f>E984-N984</f>
        <v/>
      </c>
    </row>
    <row r="985" ht="15.75" customHeight="1" s="202">
      <c r="A985" s="106" t="n">
        <v>20260055</v>
      </c>
      <c r="B985" s="107" t="inlineStr">
        <is>
          <t>BAO RUN</t>
        </is>
      </c>
      <c r="C985" s="108" t="n">
        <v>46079</v>
      </c>
      <c r="D985" s="108" t="n"/>
      <c r="E985" s="106" t="n">
        <v>1</v>
      </c>
      <c r="F985" s="106" t="n">
        <v>26.5</v>
      </c>
      <c r="G985" s="106" t="n">
        <v>24</v>
      </c>
      <c r="H985" s="107" t="inlineStr">
        <is>
          <t>EURL EVERY STEP SERVICES</t>
        </is>
      </c>
      <c r="I985" s="107" t="inlineStr">
        <is>
          <t>CAMION POMPE A BETON</t>
        </is>
      </c>
      <c r="J985" s="107" t="inlineStr">
        <is>
          <t>LOURD</t>
        </is>
      </c>
      <c r="K985" s="108">
        <f>D985+8</f>
        <v/>
      </c>
      <c r="L985" s="108">
        <f>K985+60</f>
        <v/>
      </c>
      <c r="M985" s="107" t="n"/>
      <c r="N985" s="112">
        <f>E985-1</f>
        <v/>
      </c>
      <c r="O985" s="113">
        <f>F985/E985*N985</f>
        <v/>
      </c>
      <c r="P985" s="112">
        <f>G985/E985*N985</f>
        <v/>
      </c>
      <c r="Q985" s="109" t="n"/>
      <c r="R985" s="107" t="n"/>
      <c r="S985" s="109" t="inlineStr">
        <is>
          <t>BR25339LDJD072</t>
        </is>
      </c>
      <c r="T985" s="114" t="n">
        <v>67</v>
      </c>
      <c r="U985" s="109" t="inlineStr">
        <is>
          <t>XCMG CEMENT PUMP TRUCK</t>
        </is>
      </c>
      <c r="V985" s="106" t="n"/>
      <c r="W985" s="106" t="n"/>
      <c r="X985" s="106" t="inlineStr">
        <is>
          <t>SOLDEE</t>
        </is>
      </c>
      <c r="Y985" s="116">
        <f>F985/E985</f>
        <v/>
      </c>
      <c r="Z985" s="64">
        <f>E985-N985</f>
        <v/>
      </c>
    </row>
    <row r="986" ht="15.75" customHeight="1" s="202">
      <c r="A986" s="106" t="n">
        <v>20260055</v>
      </c>
      <c r="B986" s="107" t="inlineStr">
        <is>
          <t>BAO RUN</t>
        </is>
      </c>
      <c r="C986" s="108" t="n">
        <v>46079</v>
      </c>
      <c r="D986" s="108" t="n"/>
      <c r="E986" s="106" t="n">
        <v>1</v>
      </c>
      <c r="F986" s="106" t="n">
        <v>9</v>
      </c>
      <c r="G986" s="106" t="n">
        <v>24</v>
      </c>
      <c r="H986" s="107" t="inlineStr">
        <is>
          <t>SARL MINKOM TRAVAUX PUBLICS</t>
        </is>
      </c>
      <c r="I986" s="107" t="inlineStr">
        <is>
          <t>CAMIONS</t>
        </is>
      </c>
      <c r="J986" s="107" t="inlineStr">
        <is>
          <t>LOURD</t>
        </is>
      </c>
      <c r="K986" s="108">
        <f>D986+8</f>
        <v/>
      </c>
      <c r="L986" s="108">
        <f>K986+60</f>
        <v/>
      </c>
      <c r="M986" s="107" t="n"/>
      <c r="N986" s="112">
        <f>E986-1</f>
        <v/>
      </c>
      <c r="O986" s="113">
        <f>F986/E986*N986</f>
        <v/>
      </c>
      <c r="P986" s="112">
        <f>G986/E986*N986</f>
        <v/>
      </c>
      <c r="Q986" s="109" t="n"/>
      <c r="R986" s="107" t="n"/>
      <c r="S986" s="109" t="inlineStr">
        <is>
          <t>BR25339LDJD073</t>
        </is>
      </c>
      <c r="T986" s="114" t="n">
        <v>68</v>
      </c>
      <c r="U986" s="109" t="inlineStr">
        <is>
          <t>BEIBEN HEAD TRACTOR 6X4</t>
        </is>
      </c>
      <c r="V986" s="106" t="n"/>
      <c r="W986" s="106" t="n"/>
      <c r="X986" s="106" t="inlineStr">
        <is>
          <t>SOLDEE</t>
        </is>
      </c>
      <c r="Y986" s="116">
        <f>F986/E986</f>
        <v/>
      </c>
      <c r="Z986" s="64">
        <f>E986-N986</f>
        <v/>
      </c>
    </row>
    <row r="987" ht="15.75" customHeight="1" s="202">
      <c r="A987" s="106" t="n">
        <v>20260055</v>
      </c>
      <c r="B987" s="107" t="inlineStr">
        <is>
          <t>BAO RUN</t>
        </is>
      </c>
      <c r="C987" s="108" t="n">
        <v>46079</v>
      </c>
      <c r="D987" s="108" t="n"/>
      <c r="E987" s="106" t="n">
        <v>1</v>
      </c>
      <c r="F987" s="106" t="n">
        <v>15</v>
      </c>
      <c r="G987" s="106" t="n">
        <v>24</v>
      </c>
      <c r="H987" s="107" t="inlineStr">
        <is>
          <t>SARL SOCIETE MODERNE SERVCES</t>
        </is>
      </c>
      <c r="I987" s="107" t="inlineStr">
        <is>
          <t>CAMIONS</t>
        </is>
      </c>
      <c r="J987" s="107" t="inlineStr">
        <is>
          <t>LOURD</t>
        </is>
      </c>
      <c r="K987" s="108">
        <f>D987+8</f>
        <v/>
      </c>
      <c r="L987" s="108">
        <f>K987+60</f>
        <v/>
      </c>
      <c r="M987" s="107" t="n"/>
      <c r="N987" s="112">
        <f>E987-1</f>
        <v/>
      </c>
      <c r="O987" s="113">
        <f>F987/E987*N987</f>
        <v/>
      </c>
      <c r="P987" s="112">
        <f>G987/E987*N987</f>
        <v/>
      </c>
      <c r="Q987" s="109" t="n"/>
      <c r="R987" s="107" t="n"/>
      <c r="S987" s="109" t="inlineStr">
        <is>
          <t>BR25339LDJD074</t>
        </is>
      </c>
      <c r="T987" s="114" t="n">
        <v>69</v>
      </c>
      <c r="U987" s="109" t="inlineStr">
        <is>
          <t>BEIBEN 6X6 WATER TRUCK</t>
        </is>
      </c>
      <c r="V987" s="106" t="n"/>
      <c r="W987" s="106" t="n"/>
      <c r="X987" s="106" t="inlineStr">
        <is>
          <t>SOLDEE</t>
        </is>
      </c>
      <c r="Y987" s="116">
        <f>F987/E987</f>
        <v/>
      </c>
      <c r="Z987" s="64">
        <f>E987-N987</f>
        <v/>
      </c>
    </row>
    <row r="988" ht="15.75" customHeight="1" s="202">
      <c r="A988" s="106" t="n">
        <v>20260055</v>
      </c>
      <c r="B988" s="107" t="inlineStr">
        <is>
          <t>BAO RUN</t>
        </is>
      </c>
      <c r="C988" s="108" t="n">
        <v>46079</v>
      </c>
      <c r="D988" s="108" t="n"/>
      <c r="E988" s="106" t="n">
        <v>1</v>
      </c>
      <c r="F988" s="106" t="n">
        <v>34</v>
      </c>
      <c r="G988" s="106" t="n">
        <v>24</v>
      </c>
      <c r="H988" s="107" t="inlineStr">
        <is>
          <t>SARL AMINOU MONDE</t>
        </is>
      </c>
      <c r="I988" s="107" t="inlineStr">
        <is>
          <t>EXCAVATEURS</t>
        </is>
      </c>
      <c r="J988" s="107" t="inlineStr">
        <is>
          <t>ENGINS</t>
        </is>
      </c>
      <c r="K988" s="108">
        <f>D988+8</f>
        <v/>
      </c>
      <c r="L988" s="108">
        <f>K988+60</f>
        <v/>
      </c>
      <c r="M988" s="107" t="n"/>
      <c r="N988" s="112">
        <f>E988-1</f>
        <v/>
      </c>
      <c r="O988" s="113">
        <f>F988/E988*N988</f>
        <v/>
      </c>
      <c r="P988" s="112">
        <f>G988/E988*N988</f>
        <v/>
      </c>
      <c r="Q988" s="109" t="n"/>
      <c r="R988" s="107" t="n"/>
      <c r="S988" s="109" t="inlineStr">
        <is>
          <t>BR25339LDJD075</t>
        </is>
      </c>
      <c r="T988" s="114" t="n">
        <v>70</v>
      </c>
      <c r="U988" s="109" t="inlineStr">
        <is>
          <t>HYUNDAI EXCAVATOR HX340HD, HAMMER LINE SYSTEM, A/C CAB, CAB CLASS GARDER GRILL AND EXTRA BUCKET + HYUNDAI EXCAVATOR HX340HD</t>
        </is>
      </c>
      <c r="V988" s="106" t="n"/>
      <c r="W988" s="106" t="n"/>
      <c r="X988" s="106" t="inlineStr">
        <is>
          <t>SOLDEE</t>
        </is>
      </c>
      <c r="Y988" s="116">
        <f>F988/E988</f>
        <v/>
      </c>
      <c r="Z988" s="64">
        <f>E988-N988</f>
        <v/>
      </c>
    </row>
    <row r="989" ht="15.75" customHeight="1" s="202">
      <c r="A989" s="106" t="n">
        <v>20260055</v>
      </c>
      <c r="B989" s="107" t="inlineStr">
        <is>
          <t>BAO RUN</t>
        </is>
      </c>
      <c r="C989" s="108" t="n">
        <v>46079</v>
      </c>
      <c r="D989" s="108" t="n"/>
      <c r="E989" s="106" t="n">
        <v>1</v>
      </c>
      <c r="F989" s="106" t="n">
        <v>0</v>
      </c>
      <c r="G989" s="106" t="n">
        <v>5</v>
      </c>
      <c r="H989" s="107" t="inlineStr">
        <is>
          <t>SARL AMINOU MONDE</t>
        </is>
      </c>
      <c r="I989" s="107" t="inlineStr">
        <is>
          <t>COLIS</t>
        </is>
      </c>
      <c r="J989" s="107" t="inlineStr">
        <is>
          <t>COLIS</t>
        </is>
      </c>
      <c r="K989" s="108">
        <f>D989+8</f>
        <v/>
      </c>
      <c r="L989" s="108">
        <f>K989+60</f>
        <v/>
      </c>
      <c r="M989" s="107" t="n"/>
      <c r="N989" s="112">
        <f>E989-1</f>
        <v/>
      </c>
      <c r="O989" s="113">
        <f>F989/E989*N989</f>
        <v/>
      </c>
      <c r="P989" s="112">
        <f>G989/E989*N989</f>
        <v/>
      </c>
      <c r="Q989" s="109" t="n"/>
      <c r="R989" s="107" t="n"/>
      <c r="S989" s="109" t="inlineStr">
        <is>
          <t>BR25339LDJD075</t>
        </is>
      </c>
      <c r="T989" s="114" t="n">
        <v>70</v>
      </c>
      <c r="U989" s="109" t="n"/>
      <c r="V989" s="106" t="n"/>
      <c r="W989" s="106" t="n"/>
      <c r="X989" s="106" t="inlineStr">
        <is>
          <t>SOLDEE</t>
        </is>
      </c>
      <c r="Y989" s="116">
        <f>F989/E989</f>
        <v/>
      </c>
      <c r="Z989" s="64">
        <f>E989-N989</f>
        <v/>
      </c>
    </row>
    <row r="990" ht="15.75" customHeight="1" s="202">
      <c r="A990" s="106" t="n">
        <v>20260055</v>
      </c>
      <c r="B990" s="107" t="inlineStr">
        <is>
          <t>BAO RUN</t>
        </is>
      </c>
      <c r="C990" s="108" t="n">
        <v>46079</v>
      </c>
      <c r="D990" s="108" t="n"/>
      <c r="E990" s="106" t="n">
        <v>1</v>
      </c>
      <c r="F990" s="106" t="n">
        <v>18.5</v>
      </c>
      <c r="G990" s="106" t="n">
        <v>24</v>
      </c>
      <c r="H990" s="107" t="inlineStr">
        <is>
          <t>SARL ENERGYDIS</t>
        </is>
      </c>
      <c r="I990" s="107" t="inlineStr">
        <is>
          <t>CAMIONS</t>
        </is>
      </c>
      <c r="J990" s="107" t="inlineStr">
        <is>
          <t>LOURD</t>
        </is>
      </c>
      <c r="K990" s="108">
        <f>D990+8</f>
        <v/>
      </c>
      <c r="L990" s="108">
        <f>K990+60</f>
        <v/>
      </c>
      <c r="M990" s="107" t="n"/>
      <c r="N990" s="112">
        <f>E990-1</f>
        <v/>
      </c>
      <c r="O990" s="113">
        <f>F990/E990*N990</f>
        <v/>
      </c>
      <c r="P990" s="112">
        <f>G990/E990*N990</f>
        <v/>
      </c>
      <c r="Q990" s="109" t="n"/>
      <c r="R990" s="107" t="n"/>
      <c r="S990" s="109" t="inlineStr">
        <is>
          <t>BR25339LDJD076</t>
        </is>
      </c>
      <c r="T990" s="114" t="n">
        <v>71</v>
      </c>
      <c r="U990" s="109" t="inlineStr">
        <is>
          <t>FAW 8X4 DUMP TRUCK</t>
        </is>
      </c>
      <c r="V990" s="106" t="n"/>
      <c r="W990" s="106" t="n"/>
      <c r="X990" s="106" t="inlineStr">
        <is>
          <t>SOLDEE</t>
        </is>
      </c>
      <c r="Y990" s="116">
        <f>F990/E990</f>
        <v/>
      </c>
      <c r="Z990" s="64">
        <f>E990-N990</f>
        <v/>
      </c>
    </row>
    <row r="991" ht="15.75" customHeight="1" s="202">
      <c r="A991" s="116" t="n">
        <v>20260055</v>
      </c>
      <c r="B991" s="117" t="inlineStr">
        <is>
          <t>BAO RUN</t>
        </is>
      </c>
      <c r="C991" s="118" t="n">
        <v>46079</v>
      </c>
      <c r="E991" s="116" t="n">
        <v>45</v>
      </c>
      <c r="F991" s="119" t="n">
        <v>661.01</v>
      </c>
      <c r="G991" s="120" t="n">
        <v>1080</v>
      </c>
      <c r="H991" s="117" t="inlineStr">
        <is>
          <t>CSCEC ALGERIE</t>
        </is>
      </c>
      <c r="I991" s="117" t="inlineStr">
        <is>
          <t>CAMIONS</t>
        </is>
      </c>
      <c r="J991" s="117" t="inlineStr">
        <is>
          <t>LOURD</t>
        </is>
      </c>
      <c r="K991" s="48">
        <f>D991+8</f>
        <v/>
      </c>
      <c r="L991" s="48">
        <f>K991+60</f>
        <v/>
      </c>
      <c r="N991" s="72">
        <f>E991</f>
        <v/>
      </c>
      <c r="O991" s="50">
        <f>F991/E991*N991</f>
        <v/>
      </c>
      <c r="P991" s="273">
        <f>G991/E991*N991</f>
        <v/>
      </c>
      <c r="S991" s="200" t="inlineStr">
        <is>
          <t>BR25339LDJD077</t>
        </is>
      </c>
      <c r="T991" s="201" t="n">
        <v>72</v>
      </c>
      <c r="U991" s="58" t="inlineStr">
        <is>
          <t>31UNITS CAMION A BENNE + 02 UNITS VEHICULE DE RAVITAILLEMENT + 03 UNITS GRUE MONTEE SUR CAMION + 06 UNITS CAMION MALAXEUR + 03 UNITS VEHICULE D’ARROSAGE</t>
        </is>
      </c>
      <c r="V991" s="67" t="n"/>
      <c r="W991" s="67" t="n"/>
      <c r="X991" s="62" t="inlineStr">
        <is>
          <t>N-OP</t>
        </is>
      </c>
      <c r="Y991" s="116">
        <f>F991/E991</f>
        <v/>
      </c>
      <c r="Z991" s="64">
        <f>E991-N991</f>
        <v/>
      </c>
    </row>
    <row r="992" ht="15.75" customHeight="1" s="202">
      <c r="A992" s="116" t="n">
        <v>20260055</v>
      </c>
      <c r="B992" s="117" t="inlineStr">
        <is>
          <t>BAO RUN</t>
        </is>
      </c>
      <c r="C992" s="118" t="n">
        <v>46079</v>
      </c>
      <c r="E992" s="116" t="n">
        <v>9</v>
      </c>
      <c r="F992" s="119" t="n">
        <v>0</v>
      </c>
      <c r="G992" s="120" t="n">
        <v>60</v>
      </c>
      <c r="H992" s="117" t="inlineStr">
        <is>
          <t>CSCEC ALGERIE</t>
        </is>
      </c>
      <c r="I992" s="117" t="inlineStr">
        <is>
          <t>COLIS</t>
        </is>
      </c>
      <c r="J992" s="117" t="inlineStr">
        <is>
          <t>COLIS</t>
        </is>
      </c>
      <c r="K992" s="48">
        <f>D992+8</f>
        <v/>
      </c>
      <c r="L992" s="48">
        <f>K992+60</f>
        <v/>
      </c>
      <c r="N992" s="72">
        <f>E992</f>
        <v/>
      </c>
      <c r="O992" s="50">
        <f>F992/E992*N992</f>
        <v/>
      </c>
      <c r="P992" s="273">
        <f>G992/E992*N992</f>
        <v/>
      </c>
      <c r="S992" s="200" t="inlineStr">
        <is>
          <t>BR25339LDJD079</t>
        </is>
      </c>
      <c r="T992" s="201" t="n">
        <v>74</v>
      </c>
      <c r="U992" s="58" t="inlineStr">
        <is>
          <t>CONSTRUCTION MATERIALS</t>
        </is>
      </c>
      <c r="V992" s="67" t="n"/>
      <c r="W992" s="67" t="n"/>
      <c r="X992" s="62" t="inlineStr">
        <is>
          <t>N-OP</t>
        </is>
      </c>
      <c r="Y992" s="116">
        <f>F992/E992</f>
        <v/>
      </c>
      <c r="Z992" s="64">
        <f>E992-N992</f>
        <v/>
      </c>
    </row>
    <row r="993" ht="15.75" customHeight="1" s="202">
      <c r="A993" s="116" t="n">
        <v>20260055</v>
      </c>
      <c r="B993" s="117" t="inlineStr">
        <is>
          <t>BAO RUN</t>
        </is>
      </c>
      <c r="C993" s="118" t="n">
        <v>46079</v>
      </c>
      <c r="E993" s="116" t="n">
        <v>23</v>
      </c>
      <c r="F993" s="119" t="n">
        <v>6.754</v>
      </c>
      <c r="G993" s="120" t="n">
        <v>145</v>
      </c>
      <c r="H993" s="117" t="inlineStr">
        <is>
          <t>CSCEC ALGERIE</t>
        </is>
      </c>
      <c r="I993" s="117" t="inlineStr">
        <is>
          <t>COLIS</t>
        </is>
      </c>
      <c r="J993" s="117" t="inlineStr">
        <is>
          <t>COLIS</t>
        </is>
      </c>
      <c r="K993" s="48">
        <f>D993+8</f>
        <v/>
      </c>
      <c r="L993" s="48">
        <f>K993+60</f>
        <v/>
      </c>
      <c r="N993" s="72">
        <f>E993</f>
        <v/>
      </c>
      <c r="O993" s="50">
        <f>F993/E993*N993</f>
        <v/>
      </c>
      <c r="P993" s="273">
        <f>G993/E993*N993</f>
        <v/>
      </c>
      <c r="S993" s="200" t="inlineStr">
        <is>
          <t>BR25339LDJD080</t>
        </is>
      </c>
      <c r="T993" s="201" t="n">
        <v>75</v>
      </c>
      <c r="U993" s="58" t="inlineStr">
        <is>
          <t>CONSTRUCTION MATERIALS</t>
        </is>
      </c>
      <c r="V993" s="67" t="n"/>
      <c r="W993" s="67" t="n"/>
      <c r="X993" s="62" t="inlineStr">
        <is>
          <t>N-OP</t>
        </is>
      </c>
      <c r="Y993" s="116">
        <f>F993/E993</f>
        <v/>
      </c>
      <c r="Z993" s="64">
        <f>E993-N993</f>
        <v/>
      </c>
    </row>
    <row r="994" ht="15.75" customHeight="1" s="202">
      <c r="A994" s="116" t="n">
        <v>20260055</v>
      </c>
      <c r="B994" s="117" t="inlineStr">
        <is>
          <t>BAO RUN</t>
        </is>
      </c>
      <c r="C994" s="118" t="n">
        <v>46079</v>
      </c>
      <c r="E994" s="116" t="n">
        <v>3</v>
      </c>
      <c r="F994" s="119" t="n">
        <v>43.8</v>
      </c>
      <c r="G994" s="120" t="n">
        <v>72</v>
      </c>
      <c r="H994" s="117" t="inlineStr">
        <is>
          <t>SOCIETE ALGERIENNE DE L'ELECTRICITE ET DU GAZ-ENER</t>
        </is>
      </c>
      <c r="I994" s="117" t="inlineStr">
        <is>
          <t>CAMIONS</t>
        </is>
      </c>
      <c r="J994" s="117" t="inlineStr">
        <is>
          <t>LOURD</t>
        </is>
      </c>
      <c r="K994" s="48">
        <f>D994+8</f>
        <v/>
      </c>
      <c r="L994" s="48">
        <f>K994+60</f>
        <v/>
      </c>
      <c r="N994" s="72">
        <f>E994</f>
        <v/>
      </c>
      <c r="O994" s="50">
        <f>F994/E994*N994</f>
        <v/>
      </c>
      <c r="P994" s="273">
        <f>G994/E994*N994</f>
        <v/>
      </c>
      <c r="S994" s="200" t="inlineStr">
        <is>
          <t>BR25339LDJD078</t>
        </is>
      </c>
      <c r="T994" s="201" t="n">
        <v>73</v>
      </c>
      <c r="U994" s="58" t="inlineStr">
        <is>
          <t>03 PACKAGE MODEL:SX5255GYSDT435 VIN: LZGCL2T56SX115938/LZGCL2T56SX115939/LZGCL2T56SX115940</t>
        </is>
      </c>
      <c r="V994" s="67" t="n"/>
      <c r="W994" s="67" t="n"/>
      <c r="X994" s="62" t="inlineStr">
        <is>
          <t>N-OP</t>
        </is>
      </c>
      <c r="Y994" s="116">
        <f>F994/E994</f>
        <v/>
      </c>
      <c r="Z994" s="64">
        <f>E994-N994</f>
        <v/>
      </c>
    </row>
    <row r="995" ht="15.75" customHeight="1" s="202">
      <c r="A995" s="116" t="n">
        <v>20260055</v>
      </c>
      <c r="B995" s="117" t="inlineStr">
        <is>
          <t>BAO RUN</t>
        </is>
      </c>
      <c r="C995" s="118" t="n">
        <v>46079</v>
      </c>
      <c r="E995" s="116" t="n">
        <v>3</v>
      </c>
      <c r="F995" s="119" t="n">
        <v>36.88</v>
      </c>
      <c r="G995" s="120" t="n">
        <v>72</v>
      </c>
      <c r="H995" s="117" t="inlineStr">
        <is>
          <t>SARL NINGBO</t>
        </is>
      </c>
      <c r="I995" s="117" t="inlineStr">
        <is>
          <t>CAMIONS</t>
        </is>
      </c>
      <c r="J995" s="117" t="inlineStr">
        <is>
          <t>LOURD</t>
        </is>
      </c>
      <c r="K995" s="48">
        <f>D995+8</f>
        <v/>
      </c>
      <c r="L995" s="48">
        <f>K995+60</f>
        <v/>
      </c>
      <c r="N995" s="72">
        <f>E995</f>
        <v/>
      </c>
      <c r="O995" s="50">
        <f>F995/E995*N995</f>
        <v/>
      </c>
      <c r="P995" s="273">
        <f>G995/E995*N995</f>
        <v/>
      </c>
      <c r="S995" s="200" t="inlineStr">
        <is>
          <t>BR25339LDJD081082</t>
        </is>
      </c>
      <c r="T995" s="201" t="n">
        <v>76</v>
      </c>
      <c r="U995" s="58" t="inlineStr">
        <is>
          <t>02 UNITS SINOTRUK HOWO 6X4 TIPPER TRUCK LHD + 01 UNIT SINOTRUK SITRAK 6X4 TRACTOR-MANUAL GEARBOX LHD.</t>
        </is>
      </c>
      <c r="V995" s="67" t="n"/>
      <c r="W995" s="67" t="n"/>
      <c r="X995" s="62" t="inlineStr">
        <is>
          <t>N-OP</t>
        </is>
      </c>
      <c r="Y995" s="116">
        <f>F995/E995</f>
        <v/>
      </c>
      <c r="Z995" s="64">
        <f>E995-N995</f>
        <v/>
      </c>
    </row>
    <row r="996" ht="15.75" customHeight="1" s="202">
      <c r="A996" s="116" t="n">
        <v>20260055</v>
      </c>
      <c r="B996" s="117" t="inlineStr">
        <is>
          <t>BAO RUN</t>
        </is>
      </c>
      <c r="C996" s="118" t="n">
        <v>46079</v>
      </c>
      <c r="E996" s="116" t="n">
        <v>1</v>
      </c>
      <c r="F996" s="119" t="n">
        <v>38.47</v>
      </c>
      <c r="G996" s="120" t="n">
        <v>60</v>
      </c>
      <c r="H996" s="117" t="inlineStr">
        <is>
          <t>HAREK RAMZI</t>
        </is>
      </c>
      <c r="I996" s="117" t="inlineStr">
        <is>
          <t>CAMION GRUE</t>
        </is>
      </c>
      <c r="J996" s="117" t="inlineStr">
        <is>
          <t>ENGINS</t>
        </is>
      </c>
      <c r="K996" s="48">
        <f>D996+8</f>
        <v/>
      </c>
      <c r="L996" s="48">
        <f>K996+60</f>
        <v/>
      </c>
      <c r="N996" s="72">
        <f>E996</f>
        <v/>
      </c>
      <c r="O996" s="50">
        <f>F996/E996*N996</f>
        <v/>
      </c>
      <c r="P996" s="273">
        <f>G996/E996*N996</f>
        <v/>
      </c>
      <c r="S996" s="200" t="inlineStr">
        <is>
          <t>BR25339LDJD083</t>
        </is>
      </c>
      <c r="T996" s="201" t="n">
        <v>77</v>
      </c>
      <c r="U996" s="58" t="inlineStr">
        <is>
          <t>XCMG 50T TRUCK CRANE</t>
        </is>
      </c>
      <c r="V996" s="67" t="n"/>
      <c r="W996" s="67" t="n"/>
      <c r="X996" s="62" t="inlineStr">
        <is>
          <t>N-OP</t>
        </is>
      </c>
      <c r="Y996" s="116">
        <f>F996/E996</f>
        <v/>
      </c>
      <c r="Z996" s="64">
        <f>E996-N996</f>
        <v/>
      </c>
    </row>
    <row r="997" ht="15.75" customHeight="1" s="202">
      <c r="A997" s="116" t="n">
        <v>20260055</v>
      </c>
      <c r="B997" s="117" t="inlineStr">
        <is>
          <t>BAO RUN</t>
        </is>
      </c>
      <c r="C997" s="118" t="n">
        <v>46079</v>
      </c>
      <c r="E997" s="116" t="n">
        <v>2</v>
      </c>
      <c r="F997" s="119" t="n">
        <v>16</v>
      </c>
      <c r="G997" s="120" t="n">
        <v>48</v>
      </c>
      <c r="H997" s="117" t="inlineStr">
        <is>
          <t>NAME : EURL CHARADI MOHAMED</t>
        </is>
      </c>
      <c r="I997" s="117" t="inlineStr">
        <is>
          <t>CAMIONS</t>
        </is>
      </c>
      <c r="J997" s="117" t="inlineStr">
        <is>
          <t>LOURD</t>
        </is>
      </c>
      <c r="K997" s="48">
        <f>D997+8</f>
        <v/>
      </c>
      <c r="L997" s="48">
        <f>K997+60</f>
        <v/>
      </c>
      <c r="N997" s="72">
        <f>E997</f>
        <v/>
      </c>
      <c r="O997" s="50">
        <f>F997/E997*N997</f>
        <v/>
      </c>
      <c r="P997" s="273">
        <f>G997/E997*N997</f>
        <v/>
      </c>
      <c r="S997" s="200" t="inlineStr">
        <is>
          <t>BR25339LDJD084</t>
        </is>
      </c>
      <c r="T997" s="201" t="n">
        <v>78</v>
      </c>
      <c r="U997" s="58" t="inlineStr">
        <is>
          <t>TWO SITRAK TRACTOR HEAD TRUCKS</t>
        </is>
      </c>
      <c r="V997" s="67" t="n"/>
      <c r="W997" s="67" t="n"/>
      <c r="X997" s="62" t="inlineStr">
        <is>
          <t>N-OP</t>
        </is>
      </c>
      <c r="Y997" s="116">
        <f>F997/E997</f>
        <v/>
      </c>
      <c r="Z997" s="64">
        <f>E997-N997</f>
        <v/>
      </c>
    </row>
    <row r="998" ht="15.75" customHeight="1" s="202">
      <c r="A998" s="106" t="n">
        <v>20260055</v>
      </c>
      <c r="B998" s="107" t="inlineStr">
        <is>
          <t>BAO RUN</t>
        </is>
      </c>
      <c r="C998" s="108" t="n">
        <v>46079</v>
      </c>
      <c r="D998" s="108" t="n"/>
      <c r="E998" s="106" t="n">
        <v>1</v>
      </c>
      <c r="F998" s="106" t="n">
        <v>14.32</v>
      </c>
      <c r="G998" s="106" t="n">
        <v>24</v>
      </c>
      <c r="H998" s="107" t="inlineStr">
        <is>
          <t>NAME : EURL ALKATER ENTREPRISE DES TRAVAUX HYDRAUL</t>
        </is>
      </c>
      <c r="I998" s="107" t="inlineStr">
        <is>
          <t>CAMIONS</t>
        </is>
      </c>
      <c r="J998" s="107" t="inlineStr">
        <is>
          <t>LOURD</t>
        </is>
      </c>
      <c r="K998" s="108">
        <f>D998+8</f>
        <v/>
      </c>
      <c r="L998" s="108">
        <f>K998+60</f>
        <v/>
      </c>
      <c r="M998" s="107" t="n"/>
      <c r="N998" s="112">
        <f>E998-1</f>
        <v/>
      </c>
      <c r="O998" s="113">
        <f>F998/E998*N998</f>
        <v/>
      </c>
      <c r="P998" s="112">
        <f>G998/E998*N998</f>
        <v/>
      </c>
      <c r="Q998" s="109" t="n"/>
      <c r="R998" s="107" t="n"/>
      <c r="S998" s="109" t="inlineStr">
        <is>
          <t>BR25339LDJD085</t>
        </is>
      </c>
      <c r="T998" s="114" t="n">
        <v>79</v>
      </c>
      <c r="U998" s="109" t="inlineStr">
        <is>
          <t>HOWO TX DUMP TRUCK</t>
        </is>
      </c>
      <c r="V998" s="106" t="n"/>
      <c r="W998" s="106" t="n"/>
      <c r="X998" s="106" t="inlineStr">
        <is>
          <t>SOLDEE</t>
        </is>
      </c>
      <c r="Y998" s="116">
        <f>F998/E998</f>
        <v/>
      </c>
      <c r="Z998" s="64">
        <f>E998-N998</f>
        <v/>
      </c>
    </row>
    <row r="999" ht="15.75" customHeight="1" s="202">
      <c r="A999" s="116" t="n">
        <v>20260055</v>
      </c>
      <c r="B999" s="117" t="inlineStr">
        <is>
          <t>BAO RUN</t>
        </is>
      </c>
      <c r="C999" s="118" t="n">
        <v>46079</v>
      </c>
      <c r="E999" s="116" t="n">
        <v>1</v>
      </c>
      <c r="F999" s="119" t="n">
        <v>7.5</v>
      </c>
      <c r="G999" s="120" t="n">
        <v>24</v>
      </c>
      <c r="H999" s="117" t="inlineStr">
        <is>
          <t>BEN BRAHIM SALAH</t>
        </is>
      </c>
      <c r="I999" s="117" t="inlineStr">
        <is>
          <t>CAMIONS</t>
        </is>
      </c>
      <c r="J999" s="117" t="inlineStr">
        <is>
          <t>LOURD</t>
        </is>
      </c>
      <c r="K999" s="48">
        <f>D999+8</f>
        <v/>
      </c>
      <c r="L999" s="48">
        <f>K999+60</f>
        <v/>
      </c>
      <c r="N999" s="72">
        <f>E999</f>
        <v/>
      </c>
      <c r="O999" s="50">
        <f>F999/E999*N999</f>
        <v/>
      </c>
      <c r="P999" s="273">
        <f>G999/E999*N999</f>
        <v/>
      </c>
      <c r="S999" s="200" t="inlineStr">
        <is>
          <t>BR25339LDJD087</t>
        </is>
      </c>
      <c r="T999" s="201" t="n">
        <v>80</v>
      </c>
      <c r="U999" s="58" t="inlineStr">
        <is>
          <t>SINOTRUCK SITRAK 4X2 TRACTOR AUTOMATIC</t>
        </is>
      </c>
      <c r="V999" s="67" t="n"/>
      <c r="W999" s="67" t="n"/>
      <c r="X999" s="62" t="inlineStr">
        <is>
          <t>N-OP</t>
        </is>
      </c>
      <c r="Y999" s="116">
        <f>F999/E999</f>
        <v/>
      </c>
      <c r="Z999" s="64">
        <f>E999-N999</f>
        <v/>
      </c>
    </row>
    <row r="1000" ht="15.75" customHeight="1" s="202">
      <c r="A1000" s="116" t="n">
        <v>20260055</v>
      </c>
      <c r="B1000" s="117" t="inlineStr">
        <is>
          <t>BAO RUN</t>
        </is>
      </c>
      <c r="C1000" s="118" t="n">
        <v>46079</v>
      </c>
      <c r="E1000" s="116" t="n">
        <v>2</v>
      </c>
      <c r="F1000" s="119" t="n">
        <v>45.54</v>
      </c>
      <c r="G1000" s="120" t="n">
        <v>48</v>
      </c>
      <c r="H1000" s="117" t="inlineStr">
        <is>
          <t>BELMOKHTAR LOTFI</t>
        </is>
      </c>
      <c r="I1000" s="117" t="inlineStr">
        <is>
          <t>CAMIONS</t>
        </is>
      </c>
      <c r="J1000" s="117" t="inlineStr">
        <is>
          <t>LOURD</t>
        </is>
      </c>
      <c r="K1000" s="48">
        <f>D1000+8</f>
        <v/>
      </c>
      <c r="L1000" s="48">
        <f>K1000+60</f>
        <v/>
      </c>
      <c r="N1000" s="72">
        <f>E1000</f>
        <v/>
      </c>
      <c r="O1000" s="50">
        <f>F1000/E1000*N1000</f>
        <v/>
      </c>
      <c r="P1000" s="273">
        <f>G1000/E1000*N1000</f>
        <v/>
      </c>
      <c r="S1000" s="200" t="inlineStr">
        <is>
          <t>BR25339LDJD088</t>
        </is>
      </c>
      <c r="T1000" s="201" t="n">
        <v>81</v>
      </c>
      <c r="U1000" s="58" t="inlineStr">
        <is>
          <t>F2000 MIXER TRUCK + ZOOMLION TRUCK PUMP</t>
        </is>
      </c>
      <c r="V1000" s="67" t="n"/>
      <c r="W1000" s="67" t="n"/>
      <c r="X1000" s="62" t="inlineStr">
        <is>
          <t>N-OP</t>
        </is>
      </c>
      <c r="Y1000" s="116">
        <f>F1000/E1000</f>
        <v/>
      </c>
      <c r="Z1000" s="64">
        <f>E1000-N1000</f>
        <v/>
      </c>
    </row>
    <row r="1001" ht="15.75" customHeight="1" s="202">
      <c r="A1001" s="116" t="n">
        <v>20260055</v>
      </c>
      <c r="B1001" s="117" t="inlineStr">
        <is>
          <t>BAO RUN</t>
        </is>
      </c>
      <c r="C1001" s="118" t="n">
        <v>46079</v>
      </c>
      <c r="E1001" s="116" t="n">
        <v>1</v>
      </c>
      <c r="F1001" s="119" t="n">
        <v>17.4</v>
      </c>
      <c r="G1001" s="120" t="n">
        <v>24</v>
      </c>
      <c r="H1001" s="117" t="inlineStr">
        <is>
          <t>SARL ROUJA BOUTIES</t>
        </is>
      </c>
      <c r="I1001" s="117" t="inlineStr">
        <is>
          <t>CHARGEURS</t>
        </is>
      </c>
      <c r="J1001" s="117" t="inlineStr">
        <is>
          <t>ENGINS</t>
        </is>
      </c>
      <c r="K1001" s="48">
        <f>D1001+8</f>
        <v/>
      </c>
      <c r="L1001" s="48">
        <f>K1001+60</f>
        <v/>
      </c>
      <c r="N1001" s="72">
        <f>E1001</f>
        <v/>
      </c>
      <c r="O1001" s="50">
        <f>F1001/E1001*N1001</f>
        <v/>
      </c>
      <c r="P1001" s="273">
        <f>G1001/E1001*N1001</f>
        <v/>
      </c>
      <c r="S1001" s="200" t="inlineStr">
        <is>
          <t>BR25339LDJD089</t>
        </is>
      </c>
      <c r="T1001" s="201" t="n">
        <v>82</v>
      </c>
      <c r="U1001" s="58" t="inlineStr">
        <is>
          <t>01 XCMG WHEEL LOADER</t>
        </is>
      </c>
      <c r="V1001" s="67" t="n"/>
      <c r="W1001" s="67" t="n"/>
      <c r="X1001" s="62" t="inlineStr">
        <is>
          <t>N-OP</t>
        </is>
      </c>
      <c r="Y1001" s="116">
        <f>F1001/E1001</f>
        <v/>
      </c>
      <c r="Z1001" s="64">
        <f>E1001-N1001</f>
        <v/>
      </c>
    </row>
    <row r="1002" ht="15.75" customHeight="1" s="202">
      <c r="A1002" s="106" t="n">
        <v>20260055</v>
      </c>
      <c r="B1002" s="107" t="inlineStr">
        <is>
          <t>BAO RUN</t>
        </is>
      </c>
      <c r="C1002" s="108" t="n">
        <v>46079</v>
      </c>
      <c r="D1002" s="108" t="n"/>
      <c r="E1002" s="106" t="n">
        <v>1</v>
      </c>
      <c r="F1002" s="106" t="n">
        <v>17.4</v>
      </c>
      <c r="G1002" s="106" t="n">
        <v>24</v>
      </c>
      <c r="H1002" s="107" t="inlineStr">
        <is>
          <t>SARL H EL SAADI</t>
        </is>
      </c>
      <c r="I1002" s="107" t="inlineStr">
        <is>
          <t>CHARGEURS</t>
        </is>
      </c>
      <c r="J1002" s="107" t="inlineStr">
        <is>
          <t>ENGINS</t>
        </is>
      </c>
      <c r="K1002" s="108">
        <f>D1002+8</f>
        <v/>
      </c>
      <c r="L1002" s="108">
        <f>K1002+60</f>
        <v/>
      </c>
      <c r="M1002" s="107" t="n"/>
      <c r="N1002" s="112">
        <f>E1002-1</f>
        <v/>
      </c>
      <c r="O1002" s="113">
        <f>F1002/E1002*N1002</f>
        <v/>
      </c>
      <c r="P1002" s="112">
        <f>G1002/E1002*N1002</f>
        <v/>
      </c>
      <c r="Q1002" s="109" t="n"/>
      <c r="R1002" s="107" t="n"/>
      <c r="S1002" s="109" t="inlineStr">
        <is>
          <t>BR25339LDJD090</t>
        </is>
      </c>
      <c r="T1002" s="114" t="n">
        <v>83</v>
      </c>
      <c r="U1002" s="109" t="inlineStr">
        <is>
          <t>01 XCMG WHEEL LOADER MODEL</t>
        </is>
      </c>
      <c r="V1002" s="106" t="n"/>
      <c r="W1002" s="106" t="n"/>
      <c r="X1002" s="106" t="inlineStr">
        <is>
          <t>SOLDEE</t>
        </is>
      </c>
      <c r="Y1002" s="116">
        <f>F1002/E1002</f>
        <v/>
      </c>
      <c r="Z1002" s="64">
        <f>E1002-N1002</f>
        <v/>
      </c>
    </row>
    <row r="1003" ht="15.75" customHeight="1" s="202">
      <c r="A1003" s="106" t="n">
        <v>20260055</v>
      </c>
      <c r="B1003" s="107" t="inlineStr">
        <is>
          <t>BAO RUN</t>
        </is>
      </c>
      <c r="C1003" s="108" t="n">
        <v>46079</v>
      </c>
      <c r="D1003" s="108" t="n"/>
      <c r="E1003" s="106" t="n">
        <v>2</v>
      </c>
      <c r="F1003" s="106" t="n">
        <v>6.725</v>
      </c>
      <c r="G1003" s="106" t="n">
        <v>48</v>
      </c>
      <c r="H1003" s="107" t="inlineStr">
        <is>
          <t>EURL CHELIFRUITY</t>
        </is>
      </c>
      <c r="I1003" s="107" t="inlineStr">
        <is>
          <t>CAMIONS</t>
        </is>
      </c>
      <c r="J1003" s="107" t="inlineStr">
        <is>
          <t>LOURD</t>
        </is>
      </c>
      <c r="K1003" s="108">
        <f>D1003+8</f>
        <v/>
      </c>
      <c r="L1003" s="108">
        <f>K1003+60</f>
        <v/>
      </c>
      <c r="M1003" s="107" t="n"/>
      <c r="N1003" s="112">
        <f>E1003-2</f>
        <v/>
      </c>
      <c r="O1003" s="113">
        <f>F1003/E1003*N1003</f>
        <v/>
      </c>
      <c r="P1003" s="112">
        <f>G1003/E1003*N1003</f>
        <v/>
      </c>
      <c r="Q1003" s="109" t="n"/>
      <c r="R1003" s="107" t="n"/>
      <c r="S1003" s="109" t="inlineStr">
        <is>
          <t>BR25339LDJD091092</t>
        </is>
      </c>
      <c r="T1003" s="114" t="n">
        <v>84</v>
      </c>
      <c r="U1003" s="109" t="inlineStr">
        <is>
          <t>ISUZU 8TON REFRIGERATED TRUCK + JMC MINI BUS 15 SEATS</t>
        </is>
      </c>
      <c r="V1003" s="106" t="n"/>
      <c r="W1003" s="106" t="n"/>
      <c r="X1003" s="106" t="inlineStr">
        <is>
          <t>SOLDEE</t>
        </is>
      </c>
      <c r="Y1003" s="116">
        <f>F1003/E1003</f>
        <v/>
      </c>
      <c r="Z1003" s="64">
        <f>E1003-N1003</f>
        <v/>
      </c>
    </row>
    <row r="1004" ht="15.75" customHeight="1" s="202">
      <c r="A1004" s="106" t="n">
        <v>20260055</v>
      </c>
      <c r="B1004" s="107" t="inlineStr">
        <is>
          <t>BAO RUN</t>
        </is>
      </c>
      <c r="C1004" s="108" t="n">
        <v>46079</v>
      </c>
      <c r="D1004" s="108" t="n"/>
      <c r="E1004" s="106" t="n">
        <v>1</v>
      </c>
      <c r="F1004" s="106" t="n">
        <v>16.76</v>
      </c>
      <c r="G1004" s="106" t="n">
        <v>24</v>
      </c>
      <c r="H1004" s="107" t="inlineStr">
        <is>
          <t>SARL MNHM</t>
        </is>
      </c>
      <c r="I1004" s="107" t="inlineStr">
        <is>
          <t>REMORQUES</t>
        </is>
      </c>
      <c r="J1004" s="107" t="inlineStr">
        <is>
          <t>LOURD</t>
        </is>
      </c>
      <c r="K1004" s="108">
        <f>D1004+8</f>
        <v/>
      </c>
      <c r="L1004" s="108">
        <f>K1004+60</f>
        <v/>
      </c>
      <c r="M1004" s="107" t="n"/>
      <c r="N1004" s="112">
        <f>E1004-1</f>
        <v/>
      </c>
      <c r="O1004" s="113">
        <f>F1004/E1004*N1004</f>
        <v/>
      </c>
      <c r="P1004" s="112">
        <f>G1004/E1004*N1004</f>
        <v/>
      </c>
      <c r="Q1004" s="109" t="n"/>
      <c r="R1004" s="107" t="n"/>
      <c r="S1004" s="109" t="inlineStr">
        <is>
          <t>BR25339LDJD093</t>
        </is>
      </c>
      <c r="T1004" s="114" t="n">
        <v>85</v>
      </c>
      <c r="U1004" s="109" t="inlineStr">
        <is>
          <t>80T CIMC LOW--BED SEMI-TRAILER</t>
        </is>
      </c>
      <c r="V1004" s="106" t="n"/>
      <c r="W1004" s="106" t="n"/>
      <c r="X1004" s="106" t="inlineStr">
        <is>
          <t>SOLDEE</t>
        </is>
      </c>
      <c r="Y1004" s="116">
        <f>F1004/E1004</f>
        <v/>
      </c>
      <c r="Z1004" s="64">
        <f>E1004-N1004</f>
        <v/>
      </c>
    </row>
    <row r="1005" ht="15.75" customHeight="1" s="202">
      <c r="A1005" s="106" t="n">
        <v>20260055</v>
      </c>
      <c r="B1005" s="107" t="inlineStr">
        <is>
          <t>BAO RUN</t>
        </is>
      </c>
      <c r="C1005" s="108" t="n">
        <v>46079</v>
      </c>
      <c r="D1005" s="108" t="n"/>
      <c r="E1005" s="106" t="n">
        <v>1</v>
      </c>
      <c r="F1005" s="106" t="n">
        <v>16.76</v>
      </c>
      <c r="G1005" s="106" t="n">
        <v>24</v>
      </c>
      <c r="H1005" s="107" t="inlineStr">
        <is>
          <t>SARL KIMOUSSET TRAVAUX</t>
        </is>
      </c>
      <c r="I1005" s="107" t="inlineStr">
        <is>
          <t>REMORQUES</t>
        </is>
      </c>
      <c r="J1005" s="107" t="inlineStr">
        <is>
          <t>LOURD</t>
        </is>
      </c>
      <c r="K1005" s="108">
        <f>D1005+8</f>
        <v/>
      </c>
      <c r="L1005" s="108">
        <f>K1005+60</f>
        <v/>
      </c>
      <c r="M1005" s="107" t="n"/>
      <c r="N1005" s="112">
        <f>E1005-1</f>
        <v/>
      </c>
      <c r="O1005" s="113">
        <f>F1005/E1005*N1005</f>
        <v/>
      </c>
      <c r="P1005" s="112">
        <f>G1005/E1005*N1005</f>
        <v/>
      </c>
      <c r="Q1005" s="109" t="n"/>
      <c r="R1005" s="107" t="n"/>
      <c r="S1005" s="109" t="inlineStr">
        <is>
          <t>BR25339LDJD094</t>
        </is>
      </c>
      <c r="T1005" s="114" t="n">
        <v>86</v>
      </c>
      <c r="U1005" s="109" t="inlineStr">
        <is>
          <t>80T CIMC LOW-BED SEMI-TRAILER</t>
        </is>
      </c>
      <c r="V1005" s="106" t="n"/>
      <c r="W1005" s="106" t="n"/>
      <c r="X1005" s="106" t="inlineStr">
        <is>
          <t>SOLDEE</t>
        </is>
      </c>
      <c r="Y1005" s="116">
        <f>F1005/E1005</f>
        <v/>
      </c>
      <c r="Z1005" s="64">
        <f>E1005-N1005</f>
        <v/>
      </c>
    </row>
    <row r="1006" ht="15.75" customHeight="1" s="202">
      <c r="A1006" s="106" t="n">
        <v>20260055</v>
      </c>
      <c r="B1006" s="107" t="inlineStr">
        <is>
          <t>BAO RUN</t>
        </is>
      </c>
      <c r="C1006" s="108" t="n">
        <v>46079</v>
      </c>
      <c r="D1006" s="108" t="n"/>
      <c r="E1006" s="106" t="n">
        <v>2</v>
      </c>
      <c r="F1006" s="106" t="n">
        <v>12.35</v>
      </c>
      <c r="G1006" s="106" t="n">
        <v>48</v>
      </c>
      <c r="H1006" s="107" t="inlineStr">
        <is>
          <t>SARL BELAKHDAR ET FILS POUR CONSTRUCTION</t>
        </is>
      </c>
      <c r="I1006" s="107" t="inlineStr">
        <is>
          <t>CAMIONS</t>
        </is>
      </c>
      <c r="J1006" s="107" t="inlineStr">
        <is>
          <t>LOURD</t>
        </is>
      </c>
      <c r="K1006" s="108">
        <f>D1006+8</f>
        <v/>
      </c>
      <c r="L1006" s="108">
        <f>K1006+60</f>
        <v/>
      </c>
      <c r="M1006" s="107" t="n"/>
      <c r="N1006" s="112">
        <f>E1006-2</f>
        <v/>
      </c>
      <c r="O1006" s="113">
        <f>F1006/E1006*N1006</f>
        <v/>
      </c>
      <c r="P1006" s="112">
        <f>G1006/E1006*N1006</f>
        <v/>
      </c>
      <c r="Q1006" s="109" t="n"/>
      <c r="R1006" s="107" t="n"/>
      <c r="S1006" s="109" t="inlineStr">
        <is>
          <t>BR25339LDJD113</t>
        </is>
      </c>
      <c r="T1006" s="114" t="n">
        <v>105</v>
      </c>
      <c r="U1006" s="109" t="inlineStr">
        <is>
          <t>01 SINOTRUK SITRAK 4X2 TRACTOR-MANUAL GEARBOX LHD + 01 HELI 3.5 TONS DIESEL FORKLIFT</t>
        </is>
      </c>
      <c r="V1006" s="106" t="n"/>
      <c r="W1006" s="106" t="n"/>
      <c r="X1006" s="106" t="inlineStr">
        <is>
          <t>SOLDEE</t>
        </is>
      </c>
      <c r="Y1006" s="116">
        <f>F1006/E1006</f>
        <v/>
      </c>
      <c r="Z1006" s="64">
        <f>E1006-N1006</f>
        <v/>
      </c>
    </row>
    <row r="1007" ht="15.75" customHeight="1" s="202">
      <c r="A1007" s="116" t="n">
        <v>20260055</v>
      </c>
      <c r="B1007" s="117" t="inlineStr">
        <is>
          <t>BAO RUN</t>
        </is>
      </c>
      <c r="C1007" s="118" t="n">
        <v>46079</v>
      </c>
      <c r="E1007" s="116" t="n">
        <v>1</v>
      </c>
      <c r="F1007" s="119" t="n">
        <v>13.5</v>
      </c>
      <c r="G1007" s="120" t="n">
        <v>24</v>
      </c>
      <c r="H1007" s="117" t="inlineStr">
        <is>
          <t>EURL EGTPH MOUILAH</t>
        </is>
      </c>
      <c r="I1007" s="117" t="inlineStr">
        <is>
          <t>CAMIONS</t>
        </is>
      </c>
      <c r="J1007" s="117" t="inlineStr">
        <is>
          <t>LOURD</t>
        </is>
      </c>
      <c r="K1007" s="48">
        <f>D1007+8</f>
        <v/>
      </c>
      <c r="L1007" s="48">
        <f>K1007+60</f>
        <v/>
      </c>
      <c r="N1007" s="72">
        <f>E1007</f>
        <v/>
      </c>
      <c r="O1007" s="50">
        <f>F1007/E1007*N1007</f>
        <v/>
      </c>
      <c r="P1007" s="273">
        <f>G1007/E1007*N1007</f>
        <v/>
      </c>
      <c r="S1007" s="200" t="inlineStr">
        <is>
          <t>BR25339LDJD114</t>
        </is>
      </c>
      <c r="T1007" s="201" t="n">
        <v>106</v>
      </c>
      <c r="U1007" s="58" t="inlineStr">
        <is>
          <t>SINOTRUK SITRAK 8X4 MIXER TRUCK 12M3</t>
        </is>
      </c>
      <c r="V1007" s="67" t="n"/>
      <c r="W1007" s="67" t="n"/>
      <c r="X1007" s="62" t="inlineStr">
        <is>
          <t>N-OP</t>
        </is>
      </c>
      <c r="Y1007" s="116">
        <f>F1007/E1007</f>
        <v/>
      </c>
      <c r="Z1007" s="64">
        <f>E1007-N1007</f>
        <v/>
      </c>
    </row>
    <row r="1008" ht="15.75" customHeight="1" s="202">
      <c r="A1008" s="106" t="n">
        <v>20260055</v>
      </c>
      <c r="B1008" s="107" t="inlineStr">
        <is>
          <t>BAO RUN</t>
        </is>
      </c>
      <c r="C1008" s="108" t="n">
        <v>46079</v>
      </c>
      <c r="D1008" s="108" t="n"/>
      <c r="E1008" s="106" t="n">
        <v>6</v>
      </c>
      <c r="F1008" s="106" t="n">
        <v>48</v>
      </c>
      <c r="G1008" s="106" t="n">
        <v>144</v>
      </c>
      <c r="H1008" s="107" t="inlineStr">
        <is>
          <t>SOCIETE GENERALE ALGERIE SPA LOCATAIRE SARL PLAST</t>
        </is>
      </c>
      <c r="I1008" s="107" t="inlineStr">
        <is>
          <t>CAMIONS</t>
        </is>
      </c>
      <c r="J1008" s="107" t="inlineStr">
        <is>
          <t>LOURD</t>
        </is>
      </c>
      <c r="K1008" s="108">
        <f>D1008+8</f>
        <v/>
      </c>
      <c r="L1008" s="108">
        <f>K1008+60</f>
        <v/>
      </c>
      <c r="M1008" s="107" t="n"/>
      <c r="N1008" s="112">
        <f>E1008-6</f>
        <v/>
      </c>
      <c r="O1008" s="113">
        <f>F1008/E1008*N1008</f>
        <v/>
      </c>
      <c r="P1008" s="112">
        <f>G1008/E1008*N1008</f>
        <v/>
      </c>
      <c r="Q1008" s="109" t="n"/>
      <c r="R1008" s="107" t="n"/>
      <c r="S1008" s="109" t="inlineStr">
        <is>
          <t>BR25339LDJD115</t>
        </is>
      </c>
      <c r="T1008" s="114" t="n">
        <v>107</v>
      </c>
      <c r="U1008" s="109" t="inlineStr">
        <is>
          <t>06 SHACMAN X3000 4X2 TRACTOR TRUCK.</t>
        </is>
      </c>
      <c r="V1008" s="106" t="n"/>
      <c r="W1008" s="106" t="n"/>
      <c r="X1008" s="106" t="inlineStr">
        <is>
          <t>SOLDEE</t>
        </is>
      </c>
      <c r="Y1008" s="116">
        <f>F1008/E1008</f>
        <v/>
      </c>
      <c r="Z1008" s="64">
        <f>E1008-N1008</f>
        <v/>
      </c>
    </row>
    <row r="1009" ht="15.75" customHeight="1" s="202">
      <c r="A1009" s="116" t="n">
        <v>20260055</v>
      </c>
      <c r="B1009" s="117" t="inlineStr">
        <is>
          <t>BAO RUN</t>
        </is>
      </c>
      <c r="C1009" s="118" t="n">
        <v>46079</v>
      </c>
      <c r="E1009" s="116" t="n">
        <v>1</v>
      </c>
      <c r="F1009" s="119" t="n">
        <v>17.5</v>
      </c>
      <c r="G1009" s="120" t="n">
        <v>24</v>
      </c>
      <c r="H1009" s="117" t="inlineStr">
        <is>
          <t>EURL EGTPH MOUILAH</t>
        </is>
      </c>
      <c r="I1009" s="117" t="inlineStr">
        <is>
          <t>CAMIONS</t>
        </is>
      </c>
      <c r="J1009" s="117" t="inlineStr">
        <is>
          <t>LOURD</t>
        </is>
      </c>
      <c r="K1009" s="48">
        <f>D1009+8</f>
        <v/>
      </c>
      <c r="L1009" s="48">
        <f>K1009+60</f>
        <v/>
      </c>
      <c r="N1009" s="72">
        <f>E1009</f>
        <v/>
      </c>
      <c r="O1009" s="50">
        <f>F1009/E1009*N1009</f>
        <v/>
      </c>
      <c r="P1009" s="273">
        <f>G1009/E1009*N1009</f>
        <v/>
      </c>
      <c r="S1009" s="200" t="inlineStr">
        <is>
          <t>BR25339LDJD116</t>
        </is>
      </c>
      <c r="T1009" s="201" t="n">
        <v>108</v>
      </c>
      <c r="U1009" s="58" t="inlineStr">
        <is>
          <t>SINOTRUK SITRAK 8X4 TIPPER TRUCK 430HP</t>
        </is>
      </c>
      <c r="V1009" s="67" t="n"/>
      <c r="W1009" s="67" t="n"/>
      <c r="X1009" s="62" t="inlineStr">
        <is>
          <t>N-OP</t>
        </is>
      </c>
      <c r="Y1009" s="116">
        <f>F1009/E1009</f>
        <v/>
      </c>
      <c r="Z1009" s="64">
        <f>E1009-N1009</f>
        <v/>
      </c>
    </row>
    <row r="1010" ht="15.75" customHeight="1" s="202">
      <c r="A1010" s="116" t="n">
        <v>20260055</v>
      </c>
      <c r="B1010" s="117" t="inlineStr">
        <is>
          <t>BAO RUN</t>
        </is>
      </c>
      <c r="C1010" s="118" t="n">
        <v>46079</v>
      </c>
      <c r="E1010" s="116" t="n">
        <v>1</v>
      </c>
      <c r="F1010" s="119" t="n">
        <v>28.7451666666667</v>
      </c>
      <c r="G1010" s="120" t="n">
        <v>40</v>
      </c>
      <c r="H1010" s="117" t="inlineStr">
        <is>
          <t>SARL LIOUA</t>
        </is>
      </c>
      <c r="I1010" s="117" t="inlineStr">
        <is>
          <t>NIVELEUSES</t>
        </is>
      </c>
      <c r="J1010" s="117" t="inlineStr">
        <is>
          <t>ENGINS</t>
        </is>
      </c>
      <c r="K1010" s="48">
        <f>D1010+8</f>
        <v/>
      </c>
      <c r="L1010" s="48">
        <f>K1010+60</f>
        <v/>
      </c>
      <c r="N1010" s="72">
        <f>E1010</f>
        <v/>
      </c>
      <c r="O1010" s="50">
        <f>F1010/E1010*N1010</f>
        <v/>
      </c>
      <c r="P1010" s="273">
        <f>G1010/E1010*N1010</f>
        <v/>
      </c>
      <c r="S1010" s="200" t="inlineStr">
        <is>
          <t>BR25339LDJD117</t>
        </is>
      </c>
      <c r="T1010" s="201" t="n">
        <v>109</v>
      </c>
      <c r="U1010" s="58" t="inlineStr">
        <is>
          <t>1 UNIT GRADER(NIVLEUSE) + 1 UNIT SINGLE DRUM VIBRATORY ROLLER(COMPACTEUR CYLINDRE) +1 UNIT PNEUMATIC TIRE ROLLER(COMPACTEUR PNEUMATIQUE)+06 PACKAGES + 02 UNITS FORKLIFT LOADER(CHARGEUR A FOURCHETTE 25T)+ 1 UNIT FORKLIFT LOADER(CHARGEUR A FOURCHETTE 33T)+ 8 PACKAGES,</t>
        </is>
      </c>
      <c r="V1010" s="67" t="n"/>
      <c r="W1010" s="67" t="n"/>
      <c r="X1010" s="62" t="inlineStr">
        <is>
          <t>N-OP</t>
        </is>
      </c>
      <c r="Y1010" s="116">
        <f>F1010/E1010</f>
        <v/>
      </c>
      <c r="Z1010" s="64">
        <f>E1010-N1010</f>
        <v/>
      </c>
    </row>
    <row r="1011" ht="15.75" customHeight="1" s="202">
      <c r="A1011" s="116" t="n">
        <v>20260055</v>
      </c>
      <c r="B1011" s="117" t="inlineStr">
        <is>
          <t>BAO RUN</t>
        </is>
      </c>
      <c r="C1011" s="118" t="n">
        <v>46079</v>
      </c>
      <c r="E1011" s="116" t="n">
        <v>2</v>
      </c>
      <c r="F1011" s="119" t="n">
        <v>57.4903333333333</v>
      </c>
      <c r="G1011" s="120" t="n">
        <v>48</v>
      </c>
      <c r="H1011" s="117" t="inlineStr">
        <is>
          <t>SARL LIOUA</t>
        </is>
      </c>
      <c r="I1011" s="117" t="inlineStr">
        <is>
          <t>COMPACTEURS</t>
        </is>
      </c>
      <c r="J1011" s="117" t="inlineStr">
        <is>
          <t>ENGINS</t>
        </is>
      </c>
      <c r="K1011" s="48">
        <f>D1011+8</f>
        <v/>
      </c>
      <c r="L1011" s="48">
        <f>K1011+60</f>
        <v/>
      </c>
      <c r="N1011" s="72">
        <f>E1011</f>
        <v/>
      </c>
      <c r="O1011" s="50">
        <f>F1011/E1011*N1011</f>
        <v/>
      </c>
      <c r="P1011" s="273">
        <f>G1011/E1011*N1011</f>
        <v/>
      </c>
      <c r="S1011" s="200" t="inlineStr">
        <is>
          <t>BR25339LDJD117</t>
        </is>
      </c>
      <c r="T1011" s="201" t="n">
        <v>109</v>
      </c>
      <c r="U1011" s="58" t="n"/>
      <c r="V1011" s="67" t="n"/>
      <c r="W1011" s="67" t="n"/>
      <c r="X1011" s="62" t="inlineStr">
        <is>
          <t>N-OP</t>
        </is>
      </c>
      <c r="Y1011" s="116">
        <f>F1011/E1011</f>
        <v/>
      </c>
      <c r="Z1011" s="64">
        <f>E1011-N1011</f>
        <v/>
      </c>
    </row>
    <row r="1012" ht="15.75" customHeight="1" s="202">
      <c r="A1012" s="116" t="n">
        <v>20260055</v>
      </c>
      <c r="B1012" s="117" t="inlineStr">
        <is>
          <t>BAO RUN</t>
        </is>
      </c>
      <c r="C1012" s="118" t="n">
        <v>46079</v>
      </c>
      <c r="E1012" s="116" t="n">
        <v>3</v>
      </c>
      <c r="F1012" s="119" t="n">
        <v>86.2355</v>
      </c>
      <c r="G1012" s="120" t="n">
        <v>72</v>
      </c>
      <c r="H1012" s="117" t="inlineStr">
        <is>
          <t>SARL LIOUA</t>
        </is>
      </c>
      <c r="I1012" s="117" t="inlineStr">
        <is>
          <t>CHARIOT ELEVATEUR</t>
        </is>
      </c>
      <c r="J1012" s="117" t="inlineStr">
        <is>
          <t>ENGINS</t>
        </is>
      </c>
      <c r="K1012" s="48">
        <f>D1012+8</f>
        <v/>
      </c>
      <c r="L1012" s="48">
        <f>K1012+60</f>
        <v/>
      </c>
      <c r="N1012" s="72">
        <f>E1012</f>
        <v/>
      </c>
      <c r="O1012" s="50">
        <f>F1012/E1012*N1012</f>
        <v/>
      </c>
      <c r="P1012" s="273">
        <f>G1012/E1012*N1012</f>
        <v/>
      </c>
      <c r="S1012" s="200" t="inlineStr">
        <is>
          <t>BR25339LDJD117</t>
        </is>
      </c>
      <c r="T1012" s="201" t="n">
        <v>109</v>
      </c>
      <c r="U1012" s="58" t="n"/>
      <c r="V1012" s="67" t="n"/>
      <c r="W1012" s="67" t="n"/>
      <c r="X1012" s="62" t="inlineStr">
        <is>
          <t>N-OP</t>
        </is>
      </c>
      <c r="Y1012" s="116">
        <f>F1012/E1012</f>
        <v/>
      </c>
      <c r="Z1012" s="64">
        <f>E1012-N1012</f>
        <v/>
      </c>
    </row>
    <row r="1013" ht="15.75" customHeight="1" s="202">
      <c r="A1013" s="116" t="n">
        <v>20260055</v>
      </c>
      <c r="B1013" s="117" t="inlineStr">
        <is>
          <t>BAO RUN</t>
        </is>
      </c>
      <c r="C1013" s="118" t="n">
        <v>46079</v>
      </c>
      <c r="E1013" s="116" t="n">
        <v>14</v>
      </c>
      <c r="F1013" s="119" t="n">
        <v>0</v>
      </c>
      <c r="G1013" s="120" t="n">
        <v>80</v>
      </c>
      <c r="H1013" s="117" t="inlineStr">
        <is>
          <t>SARL LIOUA</t>
        </is>
      </c>
      <c r="I1013" s="117" t="inlineStr">
        <is>
          <t>COLIS</t>
        </is>
      </c>
      <c r="J1013" s="117" t="inlineStr">
        <is>
          <t>COLIS</t>
        </is>
      </c>
      <c r="K1013" s="48">
        <f>D1013+8</f>
        <v/>
      </c>
      <c r="L1013" s="48">
        <f>K1013+60</f>
        <v/>
      </c>
      <c r="N1013" s="72">
        <f>E1013</f>
        <v/>
      </c>
      <c r="O1013" s="50">
        <f>F1013/E1013*N1013</f>
        <v/>
      </c>
      <c r="P1013" s="273">
        <f>G1013/E1013*N1013</f>
        <v/>
      </c>
      <c r="S1013" s="200" t="inlineStr">
        <is>
          <t>BR25339LDJD117</t>
        </is>
      </c>
      <c r="T1013" s="201" t="n">
        <v>109</v>
      </c>
      <c r="U1013" s="58" t="n"/>
      <c r="V1013" s="67" t="n"/>
      <c r="W1013" s="67" t="n"/>
      <c r="X1013" s="62" t="inlineStr">
        <is>
          <t>N-OP</t>
        </is>
      </c>
      <c r="Y1013" s="116">
        <f>F1013/E1013</f>
        <v/>
      </c>
      <c r="Z1013" s="64">
        <f>E1013-N1013</f>
        <v/>
      </c>
    </row>
    <row r="1014" ht="15.75" customHeight="1" s="202">
      <c r="A1014" s="116" t="n">
        <v>20260055</v>
      </c>
      <c r="B1014" s="117" t="inlineStr">
        <is>
          <t>BAO RUN</t>
        </is>
      </c>
      <c r="C1014" s="118" t="n">
        <v>46079</v>
      </c>
      <c r="E1014" s="116" t="n">
        <v>1</v>
      </c>
      <c r="F1014" s="119" t="n">
        <v>20.445</v>
      </c>
      <c r="G1014" s="120" t="n">
        <v>40</v>
      </c>
      <c r="H1014" s="117" t="inlineStr">
        <is>
          <t>SARL LIOUA</t>
        </is>
      </c>
      <c r="I1014" s="117" t="inlineStr">
        <is>
          <t>NIVELEUSES</t>
        </is>
      </c>
      <c r="J1014" s="117" t="inlineStr">
        <is>
          <t>ENGINS</t>
        </is>
      </c>
      <c r="K1014" s="48">
        <f>D1014+8</f>
        <v/>
      </c>
      <c r="L1014" s="48">
        <f>K1014+60</f>
        <v/>
      </c>
      <c r="N1014" s="72">
        <f>E1014</f>
        <v/>
      </c>
      <c r="O1014" s="50">
        <f>F1014/E1014*N1014</f>
        <v/>
      </c>
      <c r="P1014" s="273">
        <f>G1014/E1014*N1014</f>
        <v/>
      </c>
      <c r="S1014" s="200" t="inlineStr">
        <is>
          <t>BR25339LDJD118</t>
        </is>
      </c>
      <c r="T1014" s="201" t="n">
        <v>110</v>
      </c>
      <c r="U1014" s="58" t="inlineStr">
        <is>
          <t>01 UNIT GRADER(NIVLEUSE) + 01 UNIT SINGLE DRUM VIBRATORY ROLLER(COMPACTEUR CYLINDRE) + 01 UNIT PNEUMATIC TIRE ROLLER(COMPACTEUR PNEUMATIQUE) + 01 UNIT LOADER(CHARGEUR)</t>
        </is>
      </c>
      <c r="V1014" s="67" t="n"/>
      <c r="W1014" s="67" t="n"/>
      <c r="X1014" s="62" t="inlineStr">
        <is>
          <t>N-OP</t>
        </is>
      </c>
      <c r="Y1014" s="116">
        <f>F1014/E1014</f>
        <v/>
      </c>
      <c r="Z1014" s="64">
        <f>E1014-N1014</f>
        <v/>
      </c>
    </row>
    <row r="1015" ht="15.75" customHeight="1" s="202">
      <c r="A1015" s="116" t="n">
        <v>20260055</v>
      </c>
      <c r="B1015" s="117" t="inlineStr">
        <is>
          <t>BAO RUN</t>
        </is>
      </c>
      <c r="C1015" s="118" t="n">
        <v>46079</v>
      </c>
      <c r="E1015" s="116" t="n">
        <v>2</v>
      </c>
      <c r="F1015" s="119" t="n">
        <v>40.89</v>
      </c>
      <c r="G1015" s="120" t="n">
        <v>48</v>
      </c>
      <c r="H1015" s="117" t="inlineStr">
        <is>
          <t>SARL LIOUA</t>
        </is>
      </c>
      <c r="I1015" s="117" t="inlineStr">
        <is>
          <t>COMPACTEURS</t>
        </is>
      </c>
      <c r="J1015" s="117" t="inlineStr">
        <is>
          <t>ENGINS</t>
        </is>
      </c>
      <c r="K1015" s="48">
        <f>D1015+8</f>
        <v/>
      </c>
      <c r="L1015" s="48">
        <f>K1015+60</f>
        <v/>
      </c>
      <c r="N1015" s="72">
        <f>E1015</f>
        <v/>
      </c>
      <c r="O1015" s="50">
        <f>F1015/E1015*N1015</f>
        <v/>
      </c>
      <c r="P1015" s="273">
        <f>G1015/E1015*N1015</f>
        <v/>
      </c>
      <c r="S1015" s="200" t="inlineStr">
        <is>
          <t>BR25339LDJD118</t>
        </is>
      </c>
      <c r="T1015" s="201" t="n">
        <v>110</v>
      </c>
      <c r="U1015" s="58" t="n"/>
      <c r="V1015" s="67" t="n"/>
      <c r="W1015" s="67" t="n"/>
      <c r="X1015" s="62" t="inlineStr">
        <is>
          <t>N-OP</t>
        </is>
      </c>
      <c r="Y1015" s="116">
        <f>F1015/E1015</f>
        <v/>
      </c>
      <c r="Z1015" s="64">
        <f>E1015-N1015</f>
        <v/>
      </c>
    </row>
    <row r="1016" ht="15.75" customHeight="1" s="202">
      <c r="A1016" s="116" t="n">
        <v>20260055</v>
      </c>
      <c r="B1016" s="117" t="inlineStr">
        <is>
          <t>BAO RUN</t>
        </is>
      </c>
      <c r="C1016" s="118" t="n">
        <v>46079</v>
      </c>
      <c r="E1016" s="116" t="n">
        <v>1</v>
      </c>
      <c r="F1016" s="119" t="n">
        <v>20.445</v>
      </c>
      <c r="G1016" s="120" t="n">
        <v>24</v>
      </c>
      <c r="H1016" s="117" t="inlineStr">
        <is>
          <t>SARL LIOUA</t>
        </is>
      </c>
      <c r="I1016" s="117" t="inlineStr">
        <is>
          <t>CHARGEURS</t>
        </is>
      </c>
      <c r="J1016" s="117" t="inlineStr">
        <is>
          <t>ENGINS</t>
        </is>
      </c>
      <c r="K1016" s="48">
        <f>D1016+8</f>
        <v/>
      </c>
      <c r="L1016" s="48">
        <f>K1016+60</f>
        <v/>
      </c>
      <c r="N1016" s="72">
        <f>E1016</f>
        <v/>
      </c>
      <c r="O1016" s="50">
        <f>F1016/E1016*N1016</f>
        <v/>
      </c>
      <c r="P1016" s="273">
        <f>G1016/E1016*N1016</f>
        <v/>
      </c>
      <c r="S1016" s="200" t="inlineStr">
        <is>
          <t>BR25339LDJD118</t>
        </is>
      </c>
      <c r="T1016" s="201" t="n">
        <v>110</v>
      </c>
      <c r="U1016" s="58" t="n"/>
      <c r="V1016" s="67" t="n"/>
      <c r="W1016" s="67" t="n"/>
      <c r="X1016" s="62" t="inlineStr">
        <is>
          <t>N-OP</t>
        </is>
      </c>
      <c r="Y1016" s="116">
        <f>F1016/E1016</f>
        <v/>
      </c>
      <c r="Z1016" s="64">
        <f>E1016-N1016</f>
        <v/>
      </c>
    </row>
    <row r="1017" ht="15.75" customHeight="1" s="202">
      <c r="A1017" s="116" t="n">
        <v>20260055</v>
      </c>
      <c r="B1017" s="117" t="inlineStr">
        <is>
          <t>BAO RUN</t>
        </is>
      </c>
      <c r="C1017" s="118" t="n">
        <v>46079</v>
      </c>
      <c r="E1017" s="116" t="n">
        <v>2</v>
      </c>
      <c r="F1017" s="119" t="n">
        <v>68.36</v>
      </c>
      <c r="G1017" s="120" t="n">
        <v>48</v>
      </c>
      <c r="H1017" s="117" t="inlineStr">
        <is>
          <t>SARL MERIEM SOUF GRAND TRAVAUX</t>
        </is>
      </c>
      <c r="I1017" s="117" t="inlineStr">
        <is>
          <t>EXCAVATEURS</t>
        </is>
      </c>
      <c r="J1017" s="117" t="inlineStr">
        <is>
          <t>ENGINS</t>
        </is>
      </c>
      <c r="K1017" s="48">
        <f>D1017+8</f>
        <v/>
      </c>
      <c r="L1017" s="48">
        <f>K1017+60</f>
        <v/>
      </c>
      <c r="N1017" s="72">
        <f>E1017</f>
        <v/>
      </c>
      <c r="O1017" s="50">
        <f>F1017/E1017*N1017</f>
        <v/>
      </c>
      <c r="P1017" s="273">
        <f>G1017/E1017*N1017</f>
        <v/>
      </c>
      <c r="S1017" s="200" t="inlineStr">
        <is>
          <t>BR25339LDJD119</t>
        </is>
      </c>
      <c r="T1017" s="201" t="n">
        <v>111</v>
      </c>
      <c r="U1017" s="58" t="inlineStr">
        <is>
          <t>02 UNITS HYUNDAI EXCAVATOR HX340HD ROCK BUCKET+ 06 PKGS</t>
        </is>
      </c>
      <c r="V1017" s="67" t="n"/>
      <c r="W1017" s="67" t="n"/>
      <c r="X1017" s="62" t="inlineStr">
        <is>
          <t>N-OP</t>
        </is>
      </c>
      <c r="Y1017" s="116">
        <f>F1017/E1017</f>
        <v/>
      </c>
      <c r="Z1017" s="64">
        <f>E1017-N1017</f>
        <v/>
      </c>
    </row>
    <row r="1018" ht="15.75" customHeight="1" s="202">
      <c r="A1018" s="116" t="n">
        <v>20260055</v>
      </c>
      <c r="B1018" s="117" t="inlineStr">
        <is>
          <t>BAO RUN</t>
        </is>
      </c>
      <c r="C1018" s="118" t="n">
        <v>46079</v>
      </c>
      <c r="E1018" s="116" t="n">
        <v>6</v>
      </c>
      <c r="F1018" s="119" t="n">
        <v>0</v>
      </c>
      <c r="G1018" s="120" t="n">
        <v>30</v>
      </c>
      <c r="H1018" s="117" t="inlineStr">
        <is>
          <t>SARL MERIEM SOUF GRAND TRAVAUX</t>
        </is>
      </c>
      <c r="I1018" s="117" t="inlineStr">
        <is>
          <t>COLIS</t>
        </is>
      </c>
      <c r="J1018" s="117" t="inlineStr">
        <is>
          <t>COLIS</t>
        </is>
      </c>
      <c r="K1018" s="48">
        <f>D1018+8</f>
        <v/>
      </c>
      <c r="L1018" s="48">
        <f>K1018+60</f>
        <v/>
      </c>
      <c r="N1018" s="72">
        <f>E1018</f>
        <v/>
      </c>
      <c r="O1018" s="50">
        <f>F1018/E1018*N1018</f>
        <v/>
      </c>
      <c r="P1018" s="273">
        <f>G1018/E1018*N1018</f>
        <v/>
      </c>
      <c r="S1018" s="200" t="inlineStr">
        <is>
          <t>BR25339LDJD119</t>
        </is>
      </c>
      <c r="T1018" s="201" t="n">
        <v>111</v>
      </c>
      <c r="U1018" s="58" t="n"/>
      <c r="V1018" s="67" t="n"/>
      <c r="W1018" s="67" t="n"/>
      <c r="X1018" s="62" t="inlineStr">
        <is>
          <t>N-OP</t>
        </is>
      </c>
      <c r="Y1018" s="116">
        <f>F1018/E1018</f>
        <v/>
      </c>
      <c r="Z1018" s="64">
        <f>E1018-N1018</f>
        <v/>
      </c>
    </row>
    <row r="1019" ht="15.75" customHeight="1" s="202">
      <c r="A1019" s="116" t="n">
        <v>20260055</v>
      </c>
      <c r="B1019" s="117" t="inlineStr">
        <is>
          <t>BAO RUN</t>
        </is>
      </c>
      <c r="C1019" s="118" t="n">
        <v>46079</v>
      </c>
      <c r="E1019" s="116" t="n">
        <v>1</v>
      </c>
      <c r="F1019" s="119" t="n">
        <v>12.67</v>
      </c>
      <c r="G1019" s="120" t="n">
        <v>24</v>
      </c>
      <c r="H1019" s="117" t="inlineStr">
        <is>
          <t>SADEDDINE MARZAK</t>
        </is>
      </c>
      <c r="I1019" s="117" t="inlineStr">
        <is>
          <t>CAMIONS</t>
        </is>
      </c>
      <c r="J1019" s="117" t="inlineStr">
        <is>
          <t>LOURD</t>
        </is>
      </c>
      <c r="K1019" s="48">
        <f>D1019+8</f>
        <v/>
      </c>
      <c r="L1019" s="48">
        <f>K1019+60</f>
        <v/>
      </c>
      <c r="N1019" s="72">
        <f>E1019</f>
        <v/>
      </c>
      <c r="O1019" s="50">
        <f>F1019/E1019*N1019</f>
        <v/>
      </c>
      <c r="P1019" s="273">
        <f>G1019/E1019*N1019</f>
        <v/>
      </c>
      <c r="S1019" s="200" t="inlineStr">
        <is>
          <t>BR25339LDJD120</t>
        </is>
      </c>
      <c r="T1019" s="201" t="n">
        <v>112</v>
      </c>
      <c r="U1019" s="58" t="inlineStr">
        <is>
          <t>SHACMAN DUMP TRUCK F2000</t>
        </is>
      </c>
      <c r="V1019" s="67" t="n"/>
      <c r="W1019" s="67" t="n"/>
      <c r="X1019" s="62" t="inlineStr">
        <is>
          <t>N-OP</t>
        </is>
      </c>
      <c r="Y1019" s="116">
        <f>F1019/E1019</f>
        <v/>
      </c>
      <c r="Z1019" s="64">
        <f>E1019-N1019</f>
        <v/>
      </c>
    </row>
    <row r="1020" ht="15.75" customHeight="1" s="202">
      <c r="A1020" s="116" t="n">
        <v>20260055</v>
      </c>
      <c r="B1020" s="117" t="inlineStr">
        <is>
          <t>BAO RUN</t>
        </is>
      </c>
      <c r="C1020" s="118" t="n">
        <v>46079</v>
      </c>
      <c r="E1020" s="116" t="n">
        <v>2</v>
      </c>
      <c r="F1020" s="119" t="n">
        <v>25.2</v>
      </c>
      <c r="G1020" s="120" t="n">
        <v>48</v>
      </c>
      <c r="H1020" s="117" t="inlineStr">
        <is>
          <t>SARL MERIEM SOUF GRAND TRAVAUX</t>
        </is>
      </c>
      <c r="I1020" s="117" t="inlineStr">
        <is>
          <t>CAMIONS</t>
        </is>
      </c>
      <c r="J1020" s="117" t="inlineStr">
        <is>
          <t>LOURD</t>
        </is>
      </c>
      <c r="K1020" s="48">
        <f>D1020+8</f>
        <v/>
      </c>
      <c r="L1020" s="48">
        <f>K1020+60</f>
        <v/>
      </c>
      <c r="N1020" s="72">
        <f>E1020</f>
        <v/>
      </c>
      <c r="O1020" s="50">
        <f>F1020/E1020*N1020</f>
        <v/>
      </c>
      <c r="P1020" s="273">
        <f>G1020/E1020*N1020</f>
        <v/>
      </c>
      <c r="S1020" s="200" t="inlineStr">
        <is>
          <t>BR25339LDJD121</t>
        </is>
      </c>
      <c r="T1020" s="201" t="n">
        <v>113</v>
      </c>
      <c r="U1020" s="58" t="inlineStr">
        <is>
          <t>01 UNIT SHACMAN DUMP TRUCK F2000 + 01 SHACMAN SPRINKLER TRUCK F2000 6X4 SPRINKLER</t>
        </is>
      </c>
      <c r="V1020" s="67" t="n"/>
      <c r="W1020" s="67" t="n"/>
      <c r="X1020" s="62" t="inlineStr">
        <is>
          <t>N-OP</t>
        </is>
      </c>
      <c r="Y1020" s="116">
        <f>F1020/E1020</f>
        <v/>
      </c>
      <c r="Z1020" s="64">
        <f>E1020-N1020</f>
        <v/>
      </c>
    </row>
    <row r="1021" ht="15.75" customHeight="1" s="202">
      <c r="A1021" s="106" t="n">
        <v>20260055</v>
      </c>
      <c r="B1021" s="107" t="inlineStr">
        <is>
          <t>BAO RUN</t>
        </is>
      </c>
      <c r="C1021" s="108" t="n">
        <v>46079</v>
      </c>
      <c r="D1021" s="108" t="n"/>
      <c r="E1021" s="106" t="n">
        <v>1</v>
      </c>
      <c r="F1021" s="106" t="n">
        <v>14.4</v>
      </c>
      <c r="G1021" s="106" t="n">
        <v>24</v>
      </c>
      <c r="H1021" s="107" t="inlineStr">
        <is>
          <t>SARL SOCIETE SENDID ENTREPRISES</t>
        </is>
      </c>
      <c r="I1021" s="107" t="inlineStr">
        <is>
          <t>REMORQUES</t>
        </is>
      </c>
      <c r="J1021" s="107" t="inlineStr">
        <is>
          <t>LOURD</t>
        </is>
      </c>
      <c r="K1021" s="108">
        <f>D1021+8</f>
        <v/>
      </c>
      <c r="L1021" s="108">
        <f>K1021+60</f>
        <v/>
      </c>
      <c r="M1021" s="107" t="n"/>
      <c r="N1021" s="112">
        <f>E1021-1</f>
        <v/>
      </c>
      <c r="O1021" s="113">
        <f>F1021/E1021*N1021</f>
        <v/>
      </c>
      <c r="P1021" s="112">
        <f>G1021/E1021*N1021</f>
        <v/>
      </c>
      <c r="Q1021" s="109" t="n"/>
      <c r="R1021" s="107" t="n"/>
      <c r="S1021" s="109" t="inlineStr">
        <is>
          <t>BR25339LDJD122</t>
        </is>
      </c>
      <c r="T1021" s="114" t="n">
        <v>114</v>
      </c>
      <c r="U1021" s="109" t="inlineStr">
        <is>
          <t>CIMC TRAILER, LOAD CAPACITY 80 T</t>
        </is>
      </c>
      <c r="V1021" s="106" t="n"/>
      <c r="W1021" s="106" t="n"/>
      <c r="X1021" s="106" t="inlineStr">
        <is>
          <t>SOLDEE</t>
        </is>
      </c>
      <c r="Y1021" s="116">
        <f>F1021/E1021</f>
        <v/>
      </c>
      <c r="Z1021" s="64">
        <f>E1021-N1021</f>
        <v/>
      </c>
    </row>
    <row r="1022" ht="15.75" customHeight="1" s="202">
      <c r="A1022" s="116" t="n">
        <v>20260055</v>
      </c>
      <c r="B1022" s="117" t="inlineStr">
        <is>
          <t>BAO RUN</t>
        </is>
      </c>
      <c r="C1022" s="118" t="n">
        <v>46079</v>
      </c>
      <c r="E1022" s="116" t="n">
        <v>1</v>
      </c>
      <c r="F1022" s="119" t="n">
        <v>12.3</v>
      </c>
      <c r="G1022" s="120" t="n">
        <v>24</v>
      </c>
      <c r="H1022" s="117" t="inlineStr">
        <is>
          <t>EURL SOCIETE EL MADJED DE GRANDE REALISATION</t>
        </is>
      </c>
      <c r="I1022" s="117" t="inlineStr">
        <is>
          <t>CHARGEURS</t>
        </is>
      </c>
      <c r="J1022" s="117" t="inlineStr">
        <is>
          <t>ENGINS</t>
        </is>
      </c>
      <c r="K1022" s="48">
        <f>D1022+8</f>
        <v/>
      </c>
      <c r="L1022" s="48">
        <f>K1022+60</f>
        <v/>
      </c>
      <c r="N1022" s="72">
        <f>E1022</f>
        <v/>
      </c>
      <c r="O1022" s="50">
        <f>F1022/E1022*N1022</f>
        <v/>
      </c>
      <c r="P1022" s="273">
        <f>G1022/E1022*N1022</f>
        <v/>
      </c>
      <c r="S1022" s="200" t="inlineStr">
        <is>
          <t>BR25339LDJD123</t>
        </is>
      </c>
      <c r="T1022" s="201" t="n">
        <v>115</v>
      </c>
      <c r="U1022" s="58" t="inlineStr">
        <is>
          <t>XCMG ROLLER</t>
        </is>
      </c>
      <c r="V1022" s="67" t="n"/>
      <c r="W1022" s="67" t="n"/>
      <c r="X1022" s="62" t="inlineStr">
        <is>
          <t>N-OP</t>
        </is>
      </c>
      <c r="Y1022" s="116">
        <f>F1022/E1022</f>
        <v/>
      </c>
      <c r="Z1022" s="64">
        <f>E1022-N1022</f>
        <v/>
      </c>
    </row>
    <row r="1023" ht="15.75" customHeight="1" s="202">
      <c r="A1023" s="116" t="n">
        <v>20260055</v>
      </c>
      <c r="B1023" s="117" t="inlineStr">
        <is>
          <t>BAO RUN</t>
        </is>
      </c>
      <c r="C1023" s="118" t="n">
        <v>46079</v>
      </c>
      <c r="E1023" s="116" t="n">
        <v>1</v>
      </c>
      <c r="F1023" s="119" t="n">
        <v>17.4</v>
      </c>
      <c r="G1023" s="120" t="n">
        <v>24</v>
      </c>
      <c r="H1023" s="117" t="inlineStr">
        <is>
          <t>EURL SOCIETE EL MADJED DE GRANDE REALISATION</t>
        </is>
      </c>
      <c r="I1023" s="117" t="inlineStr">
        <is>
          <t>CHARGEURS</t>
        </is>
      </c>
      <c r="J1023" s="117" t="inlineStr">
        <is>
          <t>ENGINS</t>
        </is>
      </c>
      <c r="K1023" s="48">
        <f>D1023+8</f>
        <v/>
      </c>
      <c r="L1023" s="48">
        <f>K1023+60</f>
        <v/>
      </c>
      <c r="N1023" s="72">
        <f>E1023</f>
        <v/>
      </c>
      <c r="O1023" s="50">
        <f>F1023/E1023*N1023</f>
        <v/>
      </c>
      <c r="P1023" s="273">
        <f>G1023/E1023*N1023</f>
        <v/>
      </c>
      <c r="S1023" s="200" t="inlineStr">
        <is>
          <t>BR25339LDJD124</t>
        </is>
      </c>
      <c r="T1023" s="201" t="n">
        <v>116</v>
      </c>
      <c r="U1023" s="58" t="inlineStr">
        <is>
          <t>XCMG WHEEL LOADER</t>
        </is>
      </c>
      <c r="V1023" s="67" t="n"/>
      <c r="W1023" s="67" t="n"/>
      <c r="X1023" s="62" t="inlineStr">
        <is>
          <t>N-OP</t>
        </is>
      </c>
      <c r="Y1023" s="116">
        <f>F1023/E1023</f>
        <v/>
      </c>
      <c r="Z1023" s="64">
        <f>E1023-N1023</f>
        <v/>
      </c>
    </row>
    <row r="1024" ht="15.75" customHeight="1" s="202">
      <c r="A1024" s="116" t="n">
        <v>20260055</v>
      </c>
      <c r="B1024" s="117" t="inlineStr">
        <is>
          <t>BAO RUN</t>
        </is>
      </c>
      <c r="C1024" s="118" t="n">
        <v>46079</v>
      </c>
      <c r="E1024" s="116" t="n">
        <v>1</v>
      </c>
      <c r="F1024" s="119" t="n">
        <v>34.18</v>
      </c>
      <c r="G1024" s="120" t="n">
        <v>24</v>
      </c>
      <c r="H1024" s="117" t="inlineStr">
        <is>
          <t>ABDALLAOUI RACHID</t>
        </is>
      </c>
      <c r="I1024" s="117" t="inlineStr">
        <is>
          <t>EXCAVATEURS</t>
        </is>
      </c>
      <c r="J1024" s="117" t="inlineStr">
        <is>
          <t>ENGINS</t>
        </is>
      </c>
      <c r="K1024" s="48">
        <f>D1024+8</f>
        <v/>
      </c>
      <c r="L1024" s="48">
        <f>K1024+60</f>
        <v/>
      </c>
      <c r="N1024" s="72">
        <f>E1024</f>
        <v/>
      </c>
      <c r="O1024" s="50">
        <f>F1024/E1024*N1024</f>
        <v/>
      </c>
      <c r="P1024" s="273">
        <f>G1024/E1024*N1024</f>
        <v/>
      </c>
      <c r="S1024" s="200" t="inlineStr">
        <is>
          <t>BR25339LDJD125</t>
        </is>
      </c>
      <c r="T1024" s="201" t="n">
        <v>117</v>
      </c>
      <c r="U1024" s="58" t="inlineStr">
        <is>
          <t>HYUNDAI EXCAVATOR + 03 PKGS</t>
        </is>
      </c>
      <c r="V1024" s="67" t="n"/>
      <c r="W1024" s="67" t="n"/>
      <c r="X1024" s="62" t="inlineStr">
        <is>
          <t>N-OP</t>
        </is>
      </c>
      <c r="Y1024" s="116">
        <f>F1024/E1024</f>
        <v/>
      </c>
      <c r="Z1024" s="64">
        <f>E1024-N1024</f>
        <v/>
      </c>
    </row>
    <row r="1025" ht="15.75" customHeight="1" s="202">
      <c r="A1025" s="116" t="n">
        <v>20260055</v>
      </c>
      <c r="B1025" s="117" t="inlineStr">
        <is>
          <t>BAO RUN</t>
        </is>
      </c>
      <c r="C1025" s="118" t="n">
        <v>46079</v>
      </c>
      <c r="E1025" s="116" t="n">
        <v>3</v>
      </c>
      <c r="F1025" s="119" t="n">
        <v>0</v>
      </c>
      <c r="G1025" s="120" t="n">
        <v>15</v>
      </c>
      <c r="H1025" s="117" t="inlineStr">
        <is>
          <t>ABDALLAOUI RACHID</t>
        </is>
      </c>
      <c r="I1025" s="117" t="inlineStr">
        <is>
          <t>COLIS</t>
        </is>
      </c>
      <c r="J1025" s="117" t="inlineStr">
        <is>
          <t>COLIS</t>
        </is>
      </c>
      <c r="K1025" s="48">
        <f>D1025+8</f>
        <v/>
      </c>
      <c r="L1025" s="48">
        <f>K1025+60</f>
        <v/>
      </c>
      <c r="N1025" s="72">
        <f>E1025</f>
        <v/>
      </c>
      <c r="O1025" s="50">
        <f>F1025/E1025*N1025</f>
        <v/>
      </c>
      <c r="P1025" s="273">
        <f>G1025/E1025*N1025</f>
        <v/>
      </c>
      <c r="S1025" s="200" t="inlineStr">
        <is>
          <t>BR25339LDJD125</t>
        </is>
      </c>
      <c r="T1025" s="201" t="n">
        <v>117</v>
      </c>
      <c r="U1025" s="58" t="n"/>
      <c r="V1025" s="67" t="n"/>
      <c r="W1025" s="67" t="n"/>
      <c r="X1025" s="62" t="inlineStr">
        <is>
          <t>N-OP</t>
        </is>
      </c>
      <c r="Y1025" s="116">
        <f>F1025/E1025</f>
        <v/>
      </c>
      <c r="Z1025" s="64">
        <f>E1025-N1025</f>
        <v/>
      </c>
    </row>
    <row r="1026" ht="15.75" customHeight="1" s="202">
      <c r="A1026" s="116" t="n">
        <v>20260055</v>
      </c>
      <c r="B1026" s="117" t="inlineStr">
        <is>
          <t>BAO RUN</t>
        </is>
      </c>
      <c r="C1026" s="118" t="n">
        <v>46079</v>
      </c>
      <c r="E1026" s="116" t="n">
        <v>1</v>
      </c>
      <c r="F1026" s="119" t="n">
        <v>34.18</v>
      </c>
      <c r="G1026" s="120" t="n">
        <v>24</v>
      </c>
      <c r="H1026" s="117" t="inlineStr">
        <is>
          <t>SARL MENNAI TRAVAUX ET SERVICES</t>
        </is>
      </c>
      <c r="I1026" s="117" t="inlineStr">
        <is>
          <t>EXCAVATEURS</t>
        </is>
      </c>
      <c r="J1026" s="117" t="inlineStr">
        <is>
          <t>ENGINS</t>
        </is>
      </c>
      <c r="K1026" s="48">
        <f>D1026+8</f>
        <v/>
      </c>
      <c r="L1026" s="48">
        <f>K1026+60</f>
        <v/>
      </c>
      <c r="N1026" s="72">
        <f>E1026</f>
        <v/>
      </c>
      <c r="O1026" s="50">
        <f>F1026/E1026*N1026</f>
        <v/>
      </c>
      <c r="P1026" s="273">
        <f>G1026/E1026*N1026</f>
        <v/>
      </c>
      <c r="S1026" s="200" t="inlineStr">
        <is>
          <t>BR25339LDJD126</t>
        </is>
      </c>
      <c r="T1026" s="201" t="n">
        <v>118</v>
      </c>
      <c r="U1026" s="58" t="inlineStr">
        <is>
          <t>HYUNDAI EXCAVATOR + 03 PKGS</t>
        </is>
      </c>
      <c r="V1026" s="67" t="n"/>
      <c r="W1026" s="67" t="n"/>
      <c r="X1026" s="62" t="inlineStr">
        <is>
          <t>N-OP</t>
        </is>
      </c>
      <c r="Y1026" s="116">
        <f>F1026/E1026</f>
        <v/>
      </c>
      <c r="Z1026" s="64">
        <f>E1026-N1026</f>
        <v/>
      </c>
    </row>
    <row r="1027" ht="15.75" customHeight="1" s="202">
      <c r="A1027" s="116" t="n">
        <v>20260055</v>
      </c>
      <c r="B1027" s="117" t="inlineStr">
        <is>
          <t>BAO RUN</t>
        </is>
      </c>
      <c r="C1027" s="118" t="n">
        <v>46079</v>
      </c>
      <c r="E1027" s="116" t="n">
        <v>3</v>
      </c>
      <c r="F1027" s="119" t="n">
        <v>0</v>
      </c>
      <c r="G1027" s="120" t="n">
        <v>15</v>
      </c>
      <c r="H1027" s="117" t="inlineStr">
        <is>
          <t>SARL MENNAI TRAVAUX ET SERVICES</t>
        </is>
      </c>
      <c r="I1027" s="117" t="inlineStr">
        <is>
          <t>COLIS</t>
        </is>
      </c>
      <c r="J1027" s="117" t="inlineStr">
        <is>
          <t>COLIS</t>
        </is>
      </c>
      <c r="K1027" s="48">
        <f>D1027+8</f>
        <v/>
      </c>
      <c r="L1027" s="48">
        <f>K1027+60</f>
        <v/>
      </c>
      <c r="N1027" s="72">
        <f>E1027</f>
        <v/>
      </c>
      <c r="O1027" s="50">
        <f>F1027/E1027*N1027</f>
        <v/>
      </c>
      <c r="P1027" s="273">
        <f>G1027/E1027*N1027</f>
        <v/>
      </c>
      <c r="S1027" s="200" t="inlineStr">
        <is>
          <t>BR25339LDJD126</t>
        </is>
      </c>
      <c r="T1027" s="201" t="n">
        <v>118</v>
      </c>
      <c r="U1027" s="58" t="n"/>
      <c r="V1027" s="67" t="n"/>
      <c r="W1027" s="67" t="n"/>
      <c r="X1027" s="62" t="inlineStr">
        <is>
          <t>N-OP</t>
        </is>
      </c>
      <c r="Y1027" s="116">
        <f>F1027/E1027</f>
        <v/>
      </c>
      <c r="Z1027" s="64">
        <f>E1027-N1027</f>
        <v/>
      </c>
    </row>
    <row r="1028" ht="15.75" customHeight="1" s="202">
      <c r="A1028" s="116" t="n">
        <v>20260055</v>
      </c>
      <c r="B1028" s="117" t="inlineStr">
        <is>
          <t>BAO RUN</t>
        </is>
      </c>
      <c r="C1028" s="118" t="n">
        <v>46079</v>
      </c>
      <c r="E1028" s="116" t="n">
        <v>1</v>
      </c>
      <c r="F1028" s="119" t="n">
        <v>12.3</v>
      </c>
      <c r="G1028" s="120" t="n">
        <v>24</v>
      </c>
      <c r="H1028" s="117" t="inlineStr">
        <is>
          <t>SARL JUSTE TRAVAUX</t>
        </is>
      </c>
      <c r="I1028" s="117" t="inlineStr">
        <is>
          <t>COMPACTEURS</t>
        </is>
      </c>
      <c r="J1028" s="117" t="inlineStr">
        <is>
          <t>ENGINS</t>
        </is>
      </c>
      <c r="K1028" s="48">
        <f>D1028+8</f>
        <v/>
      </c>
      <c r="L1028" s="48">
        <f>K1028+60</f>
        <v/>
      </c>
      <c r="N1028" s="72">
        <f>E1028</f>
        <v/>
      </c>
      <c r="O1028" s="50">
        <f>F1028/E1028*N1028</f>
        <v/>
      </c>
      <c r="P1028" s="273">
        <f>G1028/E1028*N1028</f>
        <v/>
      </c>
      <c r="S1028" s="200" t="inlineStr">
        <is>
          <t>BR25339LDJD127</t>
        </is>
      </c>
      <c r="T1028" s="201" t="n">
        <v>119</v>
      </c>
      <c r="U1028" s="58" t="inlineStr">
        <is>
          <t>XCMG ROLLER MODEL XD123</t>
        </is>
      </c>
      <c r="V1028" s="67" t="n"/>
      <c r="W1028" s="67" t="n"/>
      <c r="X1028" s="62" t="inlineStr">
        <is>
          <t>N-OP</t>
        </is>
      </c>
      <c r="Y1028" s="116">
        <f>F1028/E1028</f>
        <v/>
      </c>
      <c r="Z1028" s="64">
        <f>E1028-N1028</f>
        <v/>
      </c>
    </row>
    <row r="1029" ht="15.75" customHeight="1" s="202">
      <c r="A1029" s="116" t="n">
        <v>20260055</v>
      </c>
      <c r="B1029" s="117" t="inlineStr">
        <is>
          <t>BAO RUN</t>
        </is>
      </c>
      <c r="C1029" s="118" t="n">
        <v>46079</v>
      </c>
      <c r="E1029" s="116" t="n">
        <v>1</v>
      </c>
      <c r="F1029" s="119" t="n">
        <v>10.9</v>
      </c>
      <c r="G1029" s="120" t="n">
        <v>24</v>
      </c>
      <c r="H1029" s="117" t="inlineStr">
        <is>
          <t>EURL KOUDJIL HYDROBAT</t>
        </is>
      </c>
      <c r="I1029" s="117" t="inlineStr">
        <is>
          <t>CAMIONS</t>
        </is>
      </c>
      <c r="J1029" s="117" t="inlineStr">
        <is>
          <t>LOURD</t>
        </is>
      </c>
      <c r="K1029" s="48">
        <f>D1029+8</f>
        <v/>
      </c>
      <c r="L1029" s="48">
        <f>K1029+60</f>
        <v/>
      </c>
      <c r="N1029" s="72">
        <f>E1029</f>
        <v/>
      </c>
      <c r="O1029" s="50">
        <f>F1029/E1029*N1029</f>
        <v/>
      </c>
      <c r="P1029" s="273">
        <f>G1029/E1029*N1029</f>
        <v/>
      </c>
      <c r="S1029" s="200" t="inlineStr">
        <is>
          <t>BR25339LDJD128</t>
        </is>
      </c>
      <c r="T1029" s="201" t="n">
        <v>120</v>
      </c>
      <c r="U1029" s="58" t="inlineStr">
        <is>
          <t>SHACMAN F2000 SPRINKLER TRUCK</t>
        </is>
      </c>
      <c r="V1029" s="67" t="n"/>
      <c r="W1029" s="67" t="n"/>
      <c r="X1029" s="62" t="inlineStr">
        <is>
          <t>N-OP</t>
        </is>
      </c>
      <c r="Y1029" s="116">
        <f>F1029/E1029</f>
        <v/>
      </c>
      <c r="Z1029" s="64">
        <f>E1029-N1029</f>
        <v/>
      </c>
    </row>
    <row r="1030" ht="15.75" customHeight="1" s="202">
      <c r="A1030" s="116" t="n">
        <v>20260055</v>
      </c>
      <c r="B1030" s="117" t="inlineStr">
        <is>
          <t>BAO RUN</t>
        </is>
      </c>
      <c r="C1030" s="118" t="n">
        <v>46079</v>
      </c>
      <c r="E1030" s="116" t="n">
        <v>1</v>
      </c>
      <c r="F1030" s="119" t="n">
        <v>9.029999999999999</v>
      </c>
      <c r="G1030" s="120" t="n">
        <v>24</v>
      </c>
      <c r="H1030" s="117" t="inlineStr">
        <is>
          <t>SARL SAFI SERVICE GENERAL</t>
        </is>
      </c>
      <c r="I1030" s="117" t="inlineStr">
        <is>
          <t>CAMIONS</t>
        </is>
      </c>
      <c r="J1030" s="117" t="inlineStr">
        <is>
          <t>LOURD</t>
        </is>
      </c>
      <c r="K1030" s="48">
        <f>D1030+8</f>
        <v/>
      </c>
      <c r="L1030" s="48">
        <f>K1030+60</f>
        <v/>
      </c>
      <c r="N1030" s="72">
        <f>E1030</f>
        <v/>
      </c>
      <c r="O1030" s="50">
        <f>F1030/E1030*N1030</f>
        <v/>
      </c>
      <c r="P1030" s="273">
        <f>G1030/E1030*N1030</f>
        <v/>
      </c>
      <c r="S1030" s="200" t="inlineStr">
        <is>
          <t>BR25339LDJD129A157</t>
        </is>
      </c>
      <c r="T1030" s="201" t="n">
        <v>121</v>
      </c>
      <c r="U1030" s="58" t="inlineStr">
        <is>
          <t>SINOTRUK SITRAK 6X4 TRACTOR TRUCK + 01 PKG</t>
        </is>
      </c>
      <c r="V1030" s="67" t="n"/>
      <c r="W1030" s="67" t="n"/>
      <c r="X1030" s="62" t="inlineStr">
        <is>
          <t>N-OP</t>
        </is>
      </c>
      <c r="Y1030" s="116">
        <f>F1030/E1030</f>
        <v/>
      </c>
      <c r="Z1030" s="64">
        <f>E1030-N1030</f>
        <v/>
      </c>
    </row>
    <row r="1031" ht="15.75" customHeight="1" s="202">
      <c r="A1031" s="116" t="n">
        <v>20260055</v>
      </c>
      <c r="B1031" s="117" t="inlineStr">
        <is>
          <t>BAO RUN</t>
        </is>
      </c>
      <c r="C1031" s="118" t="n">
        <v>46079</v>
      </c>
      <c r="E1031" s="116" t="n">
        <v>1</v>
      </c>
      <c r="F1031" s="119" t="n">
        <v>0</v>
      </c>
      <c r="G1031" s="120" t="n">
        <v>5</v>
      </c>
      <c r="H1031" s="117" t="inlineStr">
        <is>
          <t>SARL SAFI SERVICE GENERAL</t>
        </is>
      </c>
      <c r="I1031" s="117" t="inlineStr">
        <is>
          <t>COLIS</t>
        </is>
      </c>
      <c r="J1031" s="117" t="inlineStr">
        <is>
          <t>COLIS</t>
        </is>
      </c>
      <c r="K1031" s="48">
        <f>D1031+8</f>
        <v/>
      </c>
      <c r="L1031" s="48">
        <f>K1031+60</f>
        <v/>
      </c>
      <c r="N1031" s="72">
        <f>E1031</f>
        <v/>
      </c>
      <c r="O1031" s="50">
        <f>F1031/E1031*N1031</f>
        <v/>
      </c>
      <c r="P1031" s="273">
        <f>G1031/E1031*N1031</f>
        <v/>
      </c>
      <c r="S1031" s="200" t="inlineStr">
        <is>
          <t>BR25339LDJD129A157</t>
        </is>
      </c>
      <c r="T1031" s="201" t="n">
        <v>121</v>
      </c>
      <c r="U1031" s="58" t="n"/>
      <c r="V1031" s="67" t="n"/>
      <c r="W1031" s="67" t="n"/>
      <c r="X1031" s="62" t="inlineStr">
        <is>
          <t>N-OP</t>
        </is>
      </c>
      <c r="Y1031" s="116">
        <f>F1031/E1031</f>
        <v/>
      </c>
      <c r="Z1031" s="64">
        <f>E1031-N1031</f>
        <v/>
      </c>
    </row>
    <row r="1032" ht="15.75" customHeight="1" s="202">
      <c r="A1032" s="116" t="n">
        <v>20260055</v>
      </c>
      <c r="B1032" s="117" t="inlineStr">
        <is>
          <t>BAO RUN</t>
        </is>
      </c>
      <c r="C1032" s="118" t="n">
        <v>46079</v>
      </c>
      <c r="E1032" s="116" t="n">
        <v>1</v>
      </c>
      <c r="F1032" s="119" t="n">
        <v>9.029999999999999</v>
      </c>
      <c r="G1032" s="120" t="n">
        <v>24</v>
      </c>
      <c r="H1032" s="117" t="inlineStr">
        <is>
          <t>SARL FILS BOUTERAA SERVICES</t>
        </is>
      </c>
      <c r="I1032" s="117" t="inlineStr">
        <is>
          <t>CAMIONS</t>
        </is>
      </c>
      <c r="J1032" s="117" t="inlineStr">
        <is>
          <t>LOURD</t>
        </is>
      </c>
      <c r="K1032" s="48">
        <f>D1032+8</f>
        <v/>
      </c>
      <c r="L1032" s="48">
        <f>K1032+60</f>
        <v/>
      </c>
      <c r="N1032" s="72">
        <f>E1032</f>
        <v/>
      </c>
      <c r="O1032" s="50">
        <f>F1032/E1032*N1032</f>
        <v/>
      </c>
      <c r="P1032" s="273">
        <f>G1032/E1032*N1032</f>
        <v/>
      </c>
      <c r="S1032" s="200" t="inlineStr">
        <is>
          <t>BR25339LDJD129B158</t>
        </is>
      </c>
      <c r="T1032" s="201" t="n">
        <v>122</v>
      </c>
      <c r="U1032" s="58" t="inlineStr">
        <is>
          <t>SINOTRUK SITRAK 6X4 TRACTOR TRUCK + 01 PKG</t>
        </is>
      </c>
      <c r="V1032" s="67" t="n"/>
      <c r="W1032" s="67" t="n"/>
      <c r="X1032" s="62" t="inlineStr">
        <is>
          <t>N-OP</t>
        </is>
      </c>
      <c r="Y1032" s="116">
        <f>F1032/E1032</f>
        <v/>
      </c>
      <c r="Z1032" s="64">
        <f>E1032-N1032</f>
        <v/>
      </c>
    </row>
    <row r="1033" ht="15.75" customHeight="1" s="202">
      <c r="A1033" s="116" t="n">
        <v>20260055</v>
      </c>
      <c r="B1033" s="117" t="inlineStr">
        <is>
          <t>BAO RUN</t>
        </is>
      </c>
      <c r="C1033" s="118" t="n">
        <v>46079</v>
      </c>
      <c r="E1033" s="116" t="n">
        <v>1</v>
      </c>
      <c r="F1033" s="119" t="n">
        <v>0</v>
      </c>
      <c r="G1033" s="120" t="n">
        <v>5</v>
      </c>
      <c r="H1033" s="117" t="inlineStr">
        <is>
          <t>SARL FILS BOUTERAA SERVICES</t>
        </is>
      </c>
      <c r="I1033" s="117" t="inlineStr">
        <is>
          <t>COLIS</t>
        </is>
      </c>
      <c r="J1033" s="117" t="inlineStr">
        <is>
          <t>COLIS</t>
        </is>
      </c>
      <c r="K1033" s="48">
        <f>D1033+8</f>
        <v/>
      </c>
      <c r="L1033" s="48">
        <f>K1033+60</f>
        <v/>
      </c>
      <c r="N1033" s="72">
        <f>E1033</f>
        <v/>
      </c>
      <c r="O1033" s="50">
        <f>F1033/E1033*N1033</f>
        <v/>
      </c>
      <c r="P1033" s="273">
        <f>G1033/E1033*N1033</f>
        <v/>
      </c>
      <c r="S1033" s="200" t="inlineStr">
        <is>
          <t>BR25339LDJD129B158</t>
        </is>
      </c>
      <c r="T1033" s="201" t="n">
        <v>122</v>
      </c>
      <c r="U1033" s="58" t="n"/>
      <c r="V1033" s="67" t="n"/>
      <c r="W1033" s="67" t="n"/>
      <c r="X1033" s="62" t="inlineStr">
        <is>
          <t>N-OP</t>
        </is>
      </c>
      <c r="Y1033" s="116">
        <f>F1033/E1033</f>
        <v/>
      </c>
      <c r="Z1033" s="64">
        <f>E1033-N1033</f>
        <v/>
      </c>
    </row>
    <row r="1034" ht="15.75" customHeight="1" s="202">
      <c r="A1034" s="116" t="n">
        <v>20260055</v>
      </c>
      <c r="B1034" s="117" t="inlineStr">
        <is>
          <t>BAO RUN</t>
        </is>
      </c>
      <c r="C1034" s="118" t="n">
        <v>46079</v>
      </c>
      <c r="E1034" s="116" t="n">
        <v>2</v>
      </c>
      <c r="F1034" s="119" t="n">
        <v>19.4</v>
      </c>
      <c r="G1034" s="120" t="n">
        <v>48</v>
      </c>
      <c r="H1034" s="117" t="inlineStr">
        <is>
          <t>SARL BOUDI</t>
        </is>
      </c>
      <c r="I1034" s="117" t="inlineStr">
        <is>
          <t>CAMIONS</t>
        </is>
      </c>
      <c r="J1034" s="117" t="inlineStr">
        <is>
          <t>LOURD</t>
        </is>
      </c>
      <c r="K1034" s="48">
        <f>D1034+8</f>
        <v/>
      </c>
      <c r="L1034" s="48">
        <f>K1034+60</f>
        <v/>
      </c>
      <c r="N1034" s="72">
        <f>E1034</f>
        <v/>
      </c>
      <c r="O1034" s="50">
        <f>F1034/E1034*N1034</f>
        <v/>
      </c>
      <c r="P1034" s="273">
        <f>G1034/E1034*N1034</f>
        <v/>
      </c>
      <c r="S1034" s="200" t="inlineStr">
        <is>
          <t>BR25339LDJD131</t>
        </is>
      </c>
      <c r="T1034" s="201" t="n">
        <v>123</v>
      </c>
      <c r="U1034" s="58" t="inlineStr">
        <is>
          <t>2 SINOTRUK SITRAK 6X4 TRACTOR FOR HEAVY LOAD DESERT</t>
        </is>
      </c>
      <c r="V1034" s="67" t="n"/>
      <c r="W1034" s="67" t="n"/>
      <c r="X1034" s="62" t="inlineStr">
        <is>
          <t>N-OP</t>
        </is>
      </c>
      <c r="Y1034" s="116">
        <f>F1034/E1034</f>
        <v/>
      </c>
      <c r="Z1034" s="64">
        <f>E1034-N1034</f>
        <v/>
      </c>
    </row>
    <row r="1035" ht="15.75" customHeight="1" s="202">
      <c r="A1035" s="116" t="n">
        <v>20260055</v>
      </c>
      <c r="B1035" s="117" t="inlineStr">
        <is>
          <t>BAO RUN</t>
        </is>
      </c>
      <c r="C1035" s="118" t="n">
        <v>46079</v>
      </c>
      <c r="E1035" s="116" t="n">
        <v>2</v>
      </c>
      <c r="F1035" s="119" t="n">
        <v>19.4</v>
      </c>
      <c r="G1035" s="120" t="n">
        <v>48</v>
      </c>
      <c r="H1035" s="117" t="inlineStr">
        <is>
          <t>SARL BOUDI</t>
        </is>
      </c>
      <c r="I1035" s="117" t="inlineStr">
        <is>
          <t>CAMIONS</t>
        </is>
      </c>
      <c r="J1035" s="117" t="inlineStr">
        <is>
          <t>LOURD</t>
        </is>
      </c>
      <c r="K1035" s="48">
        <f>D1035+8</f>
        <v/>
      </c>
      <c r="L1035" s="48">
        <f>K1035+60</f>
        <v/>
      </c>
      <c r="N1035" s="72">
        <f>E1035</f>
        <v/>
      </c>
      <c r="O1035" s="50">
        <f>F1035/E1035*N1035</f>
        <v/>
      </c>
      <c r="P1035" s="273">
        <f>G1035/E1035*N1035</f>
        <v/>
      </c>
      <c r="S1035" s="200" t="inlineStr">
        <is>
          <t>BR25339LDJD132</t>
        </is>
      </c>
      <c r="T1035" s="201" t="n">
        <v>124</v>
      </c>
      <c r="U1035" s="58" t="inlineStr">
        <is>
          <t>2 SINOTRUK SITRAK 6X4 TRACTOR FOR HEAVY LOAD DESERT</t>
        </is>
      </c>
      <c r="V1035" s="67" t="n"/>
      <c r="W1035" s="67" t="n"/>
      <c r="X1035" s="62" t="inlineStr">
        <is>
          <t>N-OP</t>
        </is>
      </c>
      <c r="Y1035" s="116">
        <f>F1035/E1035</f>
        <v/>
      </c>
      <c r="Z1035" s="64">
        <f>E1035-N1035</f>
        <v/>
      </c>
    </row>
    <row r="1036" ht="15.75" customHeight="1" s="202">
      <c r="A1036" s="116" t="n">
        <v>20260055</v>
      </c>
      <c r="B1036" s="117" t="inlineStr">
        <is>
          <t>BAO RUN</t>
        </is>
      </c>
      <c r="C1036" s="118" t="n">
        <v>46079</v>
      </c>
      <c r="E1036" s="116" t="n">
        <v>1</v>
      </c>
      <c r="F1036" s="119" t="n">
        <v>0.416</v>
      </c>
      <c r="G1036" s="120" t="n">
        <v>5</v>
      </c>
      <c r="H1036" s="117" t="inlineStr">
        <is>
          <t>SARL BOUDI</t>
        </is>
      </c>
      <c r="I1036" s="117" t="inlineStr">
        <is>
          <t>COLIS</t>
        </is>
      </c>
      <c r="J1036" s="117" t="inlineStr">
        <is>
          <t>COLIS</t>
        </is>
      </c>
      <c r="K1036" s="48">
        <f>D1036+8</f>
        <v/>
      </c>
      <c r="L1036" s="48">
        <f>K1036+60</f>
        <v/>
      </c>
      <c r="N1036" s="72">
        <f>E1036</f>
        <v/>
      </c>
      <c r="O1036" s="50">
        <f>F1036/E1036*N1036</f>
        <v/>
      </c>
      <c r="P1036" s="273">
        <f>G1036/E1036*N1036</f>
        <v/>
      </c>
      <c r="S1036" s="200" t="inlineStr">
        <is>
          <t>BR25339LDJD160</t>
        </is>
      </c>
      <c r="T1036" s="201" t="n">
        <v>146</v>
      </c>
      <c r="U1036" s="58" t="inlineStr">
        <is>
          <t>SINOTRUK SPARE PARTS</t>
        </is>
      </c>
      <c r="V1036" s="67" t="n"/>
      <c r="W1036" s="67" t="n"/>
      <c r="X1036" s="62" t="inlineStr">
        <is>
          <t>N-OP</t>
        </is>
      </c>
      <c r="Y1036" s="116">
        <f>F1036/E1036</f>
        <v/>
      </c>
      <c r="Z1036" s="64">
        <f>E1036-N1036</f>
        <v/>
      </c>
    </row>
    <row r="1037" ht="15.75" customHeight="1" s="202">
      <c r="A1037" s="116" t="n">
        <v>20260055</v>
      </c>
      <c r="B1037" s="117" t="inlineStr">
        <is>
          <t>BAO RUN</t>
        </is>
      </c>
      <c r="C1037" s="118" t="n">
        <v>46079</v>
      </c>
      <c r="E1037" s="116" t="n">
        <v>2</v>
      </c>
      <c r="F1037" s="119" t="n">
        <v>0.497</v>
      </c>
      <c r="G1037" s="120" t="n">
        <v>10</v>
      </c>
      <c r="H1037" s="117" t="inlineStr">
        <is>
          <t>SARL BOUDI</t>
        </is>
      </c>
      <c r="I1037" s="117" t="inlineStr">
        <is>
          <t>COLIS</t>
        </is>
      </c>
      <c r="J1037" s="117" t="inlineStr">
        <is>
          <t>COLIS</t>
        </is>
      </c>
      <c r="K1037" s="48">
        <f>D1037+8</f>
        <v/>
      </c>
      <c r="L1037" s="48">
        <f>K1037+60</f>
        <v/>
      </c>
      <c r="N1037" s="72">
        <f>E1037</f>
        <v/>
      </c>
      <c r="O1037" s="50">
        <f>F1037/E1037*N1037</f>
        <v/>
      </c>
      <c r="P1037" s="273">
        <f>G1037/E1037*N1037</f>
        <v/>
      </c>
      <c r="S1037" s="200" t="inlineStr">
        <is>
          <t>BR25339LDJD161</t>
        </is>
      </c>
      <c r="T1037" s="201" t="n">
        <v>147</v>
      </c>
      <c r="U1037" s="58" t="inlineStr">
        <is>
          <t>SINOTRUK SPARE PARTS</t>
        </is>
      </c>
      <c r="V1037" s="67" t="n"/>
      <c r="W1037" s="67" t="n"/>
      <c r="X1037" s="62" t="inlineStr">
        <is>
          <t>N-OP</t>
        </is>
      </c>
      <c r="Y1037" s="116">
        <f>F1037/E1037</f>
        <v/>
      </c>
      <c r="Z1037" s="64">
        <f>E1037-N1037</f>
        <v/>
      </c>
    </row>
    <row r="1038" ht="15.75" customHeight="1" s="202">
      <c r="A1038" s="116" t="n">
        <v>20260055</v>
      </c>
      <c r="B1038" s="117" t="inlineStr">
        <is>
          <t>BAO RUN</t>
        </is>
      </c>
      <c r="C1038" s="118" t="n">
        <v>46079</v>
      </c>
      <c r="E1038" s="116" t="n">
        <v>2</v>
      </c>
      <c r="F1038" s="119" t="n">
        <v>32.8</v>
      </c>
      <c r="G1038" s="120" t="n">
        <v>48</v>
      </c>
      <c r="H1038" s="117" t="inlineStr">
        <is>
          <t>EURL SOTRAMCO</t>
        </is>
      </c>
      <c r="I1038" s="117" t="inlineStr">
        <is>
          <t>CAMIONS</t>
        </is>
      </c>
      <c r="J1038" s="117" t="inlineStr">
        <is>
          <t>LOURD</t>
        </is>
      </c>
      <c r="K1038" s="48">
        <f>D1038+8</f>
        <v/>
      </c>
      <c r="L1038" s="48">
        <f>K1038+60</f>
        <v/>
      </c>
      <c r="N1038" s="72">
        <f>E1038</f>
        <v/>
      </c>
      <c r="O1038" s="50">
        <f>F1038/E1038*N1038</f>
        <v/>
      </c>
      <c r="P1038" s="273">
        <f>G1038/E1038*N1038</f>
        <v/>
      </c>
      <c r="S1038" s="200" t="inlineStr">
        <is>
          <t>BR25339LDJD133</t>
        </is>
      </c>
      <c r="T1038" s="201" t="n">
        <v>125</v>
      </c>
      <c r="U1038" s="58" t="inlineStr">
        <is>
          <t>2 SINOTRUK HOWO 8X4 TIPPER TRUCK LHD-22</t>
        </is>
      </c>
      <c r="V1038" s="67" t="n"/>
      <c r="W1038" s="67" t="n"/>
      <c r="X1038" s="62" t="inlineStr">
        <is>
          <t>N-OP</t>
        </is>
      </c>
      <c r="Y1038" s="116">
        <f>F1038/E1038</f>
        <v/>
      </c>
      <c r="Z1038" s="64">
        <f>E1038-N1038</f>
        <v/>
      </c>
    </row>
    <row r="1039" ht="15.75" customHeight="1" s="202">
      <c r="A1039" s="106" t="n">
        <v>20260055</v>
      </c>
      <c r="B1039" s="107" t="inlineStr">
        <is>
          <t>BAO RUN</t>
        </is>
      </c>
      <c r="C1039" s="108" t="n">
        <v>46079</v>
      </c>
      <c r="D1039" s="108" t="n"/>
      <c r="E1039" s="106" t="n">
        <v>4</v>
      </c>
      <c r="F1039" s="106" t="n">
        <v>29.6</v>
      </c>
      <c r="G1039" s="106" t="n">
        <v>96</v>
      </c>
      <c r="H1039" s="107" t="inlineStr">
        <is>
          <t>SARL JUS LABELLE</t>
        </is>
      </c>
      <c r="I1039" s="107" t="inlineStr">
        <is>
          <t>CAMIONS</t>
        </is>
      </c>
      <c r="J1039" s="107" t="inlineStr">
        <is>
          <t>LOURD</t>
        </is>
      </c>
      <c r="K1039" s="108">
        <f>D1039+8</f>
        <v/>
      </c>
      <c r="L1039" s="108">
        <f>K1039+60</f>
        <v/>
      </c>
      <c r="M1039" s="107" t="n"/>
      <c r="N1039" s="112">
        <f>E1039-4</f>
        <v/>
      </c>
      <c r="O1039" s="113">
        <f>F1039/E1039*N1039</f>
        <v/>
      </c>
      <c r="P1039" s="112">
        <f>G1039/E1039*N1039</f>
        <v/>
      </c>
      <c r="Q1039" s="109" t="n"/>
      <c r="R1039" s="107" t="n"/>
      <c r="S1039" s="109" t="inlineStr">
        <is>
          <t>BR25339LDJD134135</t>
        </is>
      </c>
      <c r="T1039" s="114" t="n">
        <v>126</v>
      </c>
      <c r="U1039" s="109" t="inlineStr">
        <is>
          <t>02 UNITS SINOTRUK SITRAK 4X2 TRACTOR AUTOMATIC GEARBOX + 02 UNITS SINOTRUK SITRAK 4X2AS TRUCK CHASSIS LHD</t>
        </is>
      </c>
      <c r="V1039" s="106" t="n"/>
      <c r="W1039" s="106" t="n"/>
      <c r="X1039" s="106" t="inlineStr">
        <is>
          <t>SOLDEE</t>
        </is>
      </c>
      <c r="Y1039" s="116">
        <f>F1039/E1039</f>
        <v/>
      </c>
    </row>
    <row r="1040" ht="15.75" customHeight="1" s="202">
      <c r="A1040" s="116" t="n">
        <v>20260055</v>
      </c>
      <c r="B1040" s="117" t="inlineStr">
        <is>
          <t>BAO RUN</t>
        </is>
      </c>
      <c r="C1040" s="118" t="n">
        <v>46079</v>
      </c>
      <c r="E1040" s="116" t="n">
        <v>1</v>
      </c>
      <c r="F1040" s="119" t="n">
        <v>12.53</v>
      </c>
      <c r="G1040" s="120" t="n">
        <v>24</v>
      </c>
      <c r="H1040" s="117" t="inlineStr">
        <is>
          <t>DIAB SAAD</t>
        </is>
      </c>
      <c r="I1040" s="117" t="inlineStr">
        <is>
          <t>CAMIONS</t>
        </is>
      </c>
      <c r="J1040" s="117" t="inlineStr">
        <is>
          <t>LOURD</t>
        </is>
      </c>
      <c r="K1040" s="48">
        <f>D1040+8</f>
        <v/>
      </c>
      <c r="L1040" s="48">
        <f>K1040+60</f>
        <v/>
      </c>
      <c r="N1040" s="72">
        <f>E1040</f>
        <v/>
      </c>
      <c r="O1040" s="50">
        <f>F1040/E1040*N1040</f>
        <v/>
      </c>
      <c r="P1040" s="273">
        <f>G1040/E1040*N1040</f>
        <v/>
      </c>
      <c r="S1040" s="200" t="inlineStr">
        <is>
          <t>BR25339LDJD136</t>
        </is>
      </c>
      <c r="T1040" s="201" t="n">
        <v>127</v>
      </c>
      <c r="U1040" s="58" t="inlineStr">
        <is>
          <t>SPRINKLER TRUCK</t>
        </is>
      </c>
      <c r="V1040" s="67" t="n"/>
      <c r="W1040" s="67" t="n"/>
      <c r="X1040" s="62" t="inlineStr">
        <is>
          <t>N-OP</t>
        </is>
      </c>
      <c r="Y1040" s="116">
        <f>F1040/E1040</f>
        <v/>
      </c>
      <c r="Z1040" s="64">
        <f>E1040-N1040</f>
        <v/>
      </c>
    </row>
    <row r="1041" ht="15.75" customHeight="1" s="202">
      <c r="A1041" s="116" t="n">
        <v>20260055</v>
      </c>
      <c r="B1041" s="117" t="inlineStr">
        <is>
          <t>BAO RUN</t>
        </is>
      </c>
      <c r="C1041" s="118" t="n">
        <v>46079</v>
      </c>
      <c r="E1041" s="116" t="n">
        <v>4</v>
      </c>
      <c r="F1041" s="119" t="n">
        <v>69.59999999999999</v>
      </c>
      <c r="G1041" s="120" t="n">
        <v>96</v>
      </c>
      <c r="H1041" s="117" t="inlineStr">
        <is>
          <t>EURL SOTRAMCO</t>
        </is>
      </c>
      <c r="I1041" s="117" t="inlineStr">
        <is>
          <t>CHARGEURS</t>
        </is>
      </c>
      <c r="J1041" s="117" t="inlineStr">
        <is>
          <t>ENGINS</t>
        </is>
      </c>
      <c r="K1041" s="48">
        <f>D1041+8</f>
        <v/>
      </c>
      <c r="L1041" s="48">
        <f>K1041+60</f>
        <v/>
      </c>
      <c r="N1041" s="72">
        <f>E1041</f>
        <v/>
      </c>
      <c r="O1041" s="50">
        <f>F1041/E1041*N1041</f>
        <v/>
      </c>
      <c r="P1041" s="273">
        <f>G1041/E1041*N1041</f>
        <v/>
      </c>
      <c r="S1041" s="200" t="inlineStr">
        <is>
          <t>BR25339LDJD137</t>
        </is>
      </c>
      <c r="T1041" s="201" t="n">
        <v>128</v>
      </c>
      <c r="U1041" s="58" t="inlineStr">
        <is>
          <t>04 UNITS NEW XCMG WHEEL LOADER</t>
        </is>
      </c>
      <c r="V1041" s="67" t="n"/>
      <c r="W1041" s="67" t="n"/>
      <c r="X1041" s="62" t="inlineStr">
        <is>
          <t>N-OP</t>
        </is>
      </c>
      <c r="Y1041" s="116">
        <f>F1041/E1041</f>
        <v/>
      </c>
      <c r="Z1041" s="64">
        <f>E1041-N1041</f>
        <v/>
      </c>
    </row>
    <row r="1042" ht="15.75" customHeight="1" s="202">
      <c r="A1042" s="116" t="n">
        <v>20260055</v>
      </c>
      <c r="B1042" s="117" t="inlineStr">
        <is>
          <t>BAO RUN</t>
        </is>
      </c>
      <c r="C1042" s="118" t="n">
        <v>46079</v>
      </c>
      <c r="E1042" s="116" t="n">
        <v>1</v>
      </c>
      <c r="F1042" s="119" t="n">
        <v>12.33</v>
      </c>
      <c r="G1042" s="120" t="n">
        <v>24</v>
      </c>
      <c r="H1042" s="117" t="inlineStr">
        <is>
          <t>EURL IKHWA DOU SERVICES ET GRAND TRAVAUX</t>
        </is>
      </c>
      <c r="I1042" s="117" t="inlineStr">
        <is>
          <t>CAMIONS</t>
        </is>
      </c>
      <c r="J1042" s="117" t="inlineStr">
        <is>
          <t>LOURD</t>
        </is>
      </c>
      <c r="K1042" s="48">
        <f>D1042+8</f>
        <v/>
      </c>
      <c r="L1042" s="48">
        <f>K1042+60</f>
        <v/>
      </c>
      <c r="N1042" s="72">
        <f>E1042</f>
        <v/>
      </c>
      <c r="O1042" s="50">
        <f>F1042/E1042*N1042</f>
        <v/>
      </c>
      <c r="P1042" s="273">
        <f>G1042/E1042*N1042</f>
        <v/>
      </c>
      <c r="S1042" s="200" t="inlineStr">
        <is>
          <t>BR25339LDJD138</t>
        </is>
      </c>
      <c r="T1042" s="201" t="n">
        <v>129</v>
      </c>
      <c r="U1042" s="58" t="inlineStr">
        <is>
          <t>SHACMAN F2000 64 DUMP TRUCK</t>
        </is>
      </c>
      <c r="V1042" s="67" t="n"/>
      <c r="W1042" s="67" t="n"/>
      <c r="X1042" s="62" t="inlineStr">
        <is>
          <t>N-OP</t>
        </is>
      </c>
      <c r="Y1042" s="116">
        <f>F1042/E1042</f>
        <v/>
      </c>
      <c r="Z1042" s="64">
        <f>E1042-N1042</f>
        <v/>
      </c>
    </row>
    <row r="1043" ht="15.75" customHeight="1" s="202">
      <c r="A1043" s="116" t="n">
        <v>20260055</v>
      </c>
      <c r="B1043" s="117" t="inlineStr">
        <is>
          <t>BAO RUN</t>
        </is>
      </c>
      <c r="C1043" s="118" t="n">
        <v>46079</v>
      </c>
      <c r="E1043" s="116" t="n">
        <v>1</v>
      </c>
      <c r="F1043" s="119" t="n">
        <v>33.8</v>
      </c>
      <c r="G1043" s="120" t="n">
        <v>24</v>
      </c>
      <c r="H1043" s="117" t="inlineStr">
        <is>
          <t>MEHDA ADEL</t>
        </is>
      </c>
      <c r="I1043" s="117" t="inlineStr">
        <is>
          <t>EXCAVATEURS</t>
        </is>
      </c>
      <c r="J1043" s="117" t="inlineStr">
        <is>
          <t>ENGINS</t>
        </is>
      </c>
      <c r="K1043" s="48">
        <f>D1043+8</f>
        <v/>
      </c>
      <c r="L1043" s="48">
        <f>K1043+60</f>
        <v/>
      </c>
      <c r="N1043" s="72">
        <f>E1043</f>
        <v/>
      </c>
      <c r="O1043" s="50">
        <f>F1043/E1043*N1043</f>
        <v/>
      </c>
      <c r="P1043" s="273">
        <f>G1043/E1043*N1043</f>
        <v/>
      </c>
      <c r="S1043" s="200" t="inlineStr">
        <is>
          <t>BR25339LDJD139</t>
        </is>
      </c>
      <c r="T1043" s="201" t="n">
        <v>130</v>
      </c>
      <c r="U1043" s="58" t="inlineStr">
        <is>
          <t>HYUNDAI CRAWLER EXCAVATOR HX340HD + 01 PKG</t>
        </is>
      </c>
      <c r="V1043" s="67" t="n"/>
      <c r="W1043" s="67" t="n"/>
      <c r="X1043" s="62" t="inlineStr">
        <is>
          <t>N-OP</t>
        </is>
      </c>
      <c r="Y1043" s="116">
        <f>F1043/E1043</f>
        <v/>
      </c>
      <c r="Z1043" s="64">
        <f>E1043-N1043</f>
        <v/>
      </c>
    </row>
    <row r="1044" ht="15.75" customHeight="1" s="202">
      <c r="A1044" s="116" t="n">
        <v>20260055</v>
      </c>
      <c r="B1044" s="117" t="inlineStr">
        <is>
          <t>BAO RUN</t>
        </is>
      </c>
      <c r="C1044" s="118" t="n">
        <v>46079</v>
      </c>
      <c r="E1044" s="116" t="n">
        <v>1</v>
      </c>
      <c r="F1044" s="119" t="n">
        <v>0</v>
      </c>
      <c r="G1044" s="120" t="n">
        <v>5</v>
      </c>
      <c r="H1044" s="117" t="inlineStr">
        <is>
          <t>MEHDA ADEL</t>
        </is>
      </c>
      <c r="I1044" s="117" t="inlineStr">
        <is>
          <t>COLIS</t>
        </is>
      </c>
      <c r="J1044" s="117" t="inlineStr">
        <is>
          <t>COLIS</t>
        </is>
      </c>
      <c r="K1044" s="48">
        <f>D1044+8</f>
        <v/>
      </c>
      <c r="L1044" s="48">
        <f>K1044+60</f>
        <v/>
      </c>
      <c r="N1044" s="72">
        <f>E1044</f>
        <v/>
      </c>
      <c r="O1044" s="50">
        <f>F1044/E1044*N1044</f>
        <v/>
      </c>
      <c r="P1044" s="273">
        <f>G1044/E1044*N1044</f>
        <v/>
      </c>
      <c r="S1044" s="200" t="inlineStr">
        <is>
          <t>BR25339LDJD139</t>
        </is>
      </c>
      <c r="T1044" s="201" t="n">
        <v>130</v>
      </c>
      <c r="U1044" s="58" t="n"/>
      <c r="V1044" s="67" t="n"/>
      <c r="W1044" s="67" t="n"/>
      <c r="X1044" s="62" t="inlineStr">
        <is>
          <t>N-OP</t>
        </is>
      </c>
      <c r="Y1044" s="116">
        <f>F1044/E1044</f>
        <v/>
      </c>
      <c r="Z1044" s="64">
        <f>E1044-N1044</f>
        <v/>
      </c>
    </row>
    <row r="1045" ht="15.75" customHeight="1" s="202">
      <c r="A1045" s="116" t="n">
        <v>20260055</v>
      </c>
      <c r="B1045" s="117" t="inlineStr">
        <is>
          <t>BAO RUN</t>
        </is>
      </c>
      <c r="C1045" s="118" t="n">
        <v>46079</v>
      </c>
      <c r="E1045" s="116" t="n">
        <v>1</v>
      </c>
      <c r="F1045" s="119" t="n">
        <v>17.52</v>
      </c>
      <c r="G1045" s="120" t="n">
        <v>24</v>
      </c>
      <c r="H1045" s="117" t="inlineStr">
        <is>
          <t>EURL ECHANOUIA</t>
        </is>
      </c>
      <c r="I1045" s="117" t="inlineStr">
        <is>
          <t>CHARGEURS</t>
        </is>
      </c>
      <c r="J1045" s="117" t="inlineStr">
        <is>
          <t>ENGINS</t>
        </is>
      </c>
      <c r="K1045" s="48">
        <f>D1045+8</f>
        <v/>
      </c>
      <c r="L1045" s="48">
        <f>K1045+60</f>
        <v/>
      </c>
      <c r="N1045" s="72">
        <f>E1045</f>
        <v/>
      </c>
      <c r="O1045" s="50">
        <f>F1045/E1045*N1045</f>
        <v/>
      </c>
      <c r="P1045" s="273">
        <f>G1045/E1045*N1045</f>
        <v/>
      </c>
      <c r="S1045" s="200" t="inlineStr">
        <is>
          <t>BR25339LDJD140</t>
        </is>
      </c>
      <c r="T1045" s="201" t="n">
        <v>131</v>
      </c>
      <c r="U1045" s="58" t="inlineStr">
        <is>
          <t>XCMG WHEEL LOADER</t>
        </is>
      </c>
      <c r="V1045" s="67" t="n"/>
      <c r="W1045" s="67" t="n"/>
      <c r="X1045" s="62" t="inlineStr">
        <is>
          <t>N-OP</t>
        </is>
      </c>
      <c r="Y1045" s="116">
        <f>F1045/E1045</f>
        <v/>
      </c>
      <c r="Z1045" s="64">
        <f>E1045-N1045</f>
        <v/>
      </c>
    </row>
    <row r="1046" ht="15.75" customHeight="1" s="202">
      <c r="A1046" s="106" t="n">
        <v>20260055</v>
      </c>
      <c r="B1046" s="107" t="inlineStr">
        <is>
          <t>BAO RUN</t>
        </is>
      </c>
      <c r="C1046" s="108" t="n">
        <v>46079</v>
      </c>
      <c r="D1046" s="108" t="n"/>
      <c r="E1046" s="106" t="n">
        <v>1</v>
      </c>
      <c r="F1046" s="106" t="n">
        <v>27.5</v>
      </c>
      <c r="G1046" s="106" t="n">
        <v>24</v>
      </c>
      <c r="H1046" s="107" t="inlineStr">
        <is>
          <t>SARL ERROA</t>
        </is>
      </c>
      <c r="I1046" s="107" t="inlineStr">
        <is>
          <t>REMORQUES</t>
        </is>
      </c>
      <c r="J1046" s="107" t="inlineStr">
        <is>
          <t>LOURD</t>
        </is>
      </c>
      <c r="K1046" s="108">
        <f>D1046+8</f>
        <v/>
      </c>
      <c r="L1046" s="108">
        <f>K1046+60</f>
        <v/>
      </c>
      <c r="M1046" s="107" t="n"/>
      <c r="N1046" s="112">
        <f>E1046-1</f>
        <v/>
      </c>
      <c r="O1046" s="113">
        <f>F1046/E1046*N1046</f>
        <v/>
      </c>
      <c r="P1046" s="112">
        <f>G1046/E1046*N1046</f>
        <v/>
      </c>
      <c r="Q1046" s="109" t="n"/>
      <c r="R1046" s="107" t="n"/>
      <c r="S1046" s="109" t="inlineStr">
        <is>
          <t>BR25339LDJD141</t>
        </is>
      </c>
      <c r="T1046" s="114" t="n">
        <v>132</v>
      </c>
      <c r="U1046" s="109" t="inlineStr">
        <is>
          <t>BULK CARRIERS 3 LINE 6 AXLE 120 TONS FOLDABLE GOOSENECK LOWBOY TRAILER</t>
        </is>
      </c>
      <c r="V1046" s="106" t="n"/>
      <c r="W1046" s="106" t="n"/>
      <c r="X1046" s="106" t="inlineStr">
        <is>
          <t>SOLDEE</t>
        </is>
      </c>
      <c r="Y1046" s="116">
        <f>F1046/E1046</f>
        <v/>
      </c>
      <c r="Z1046" s="64">
        <f>E1046-N1046</f>
        <v/>
      </c>
    </row>
    <row r="1047" ht="15.75" customHeight="1" s="202">
      <c r="A1047" s="106" t="n">
        <v>20260055</v>
      </c>
      <c r="B1047" s="107" t="inlineStr">
        <is>
          <t>BAO RUN</t>
        </is>
      </c>
      <c r="C1047" s="108" t="n">
        <v>46079</v>
      </c>
      <c r="D1047" s="108" t="n"/>
      <c r="E1047" s="106" t="n">
        <v>13</v>
      </c>
      <c r="F1047" s="106" t="n">
        <v>77.501</v>
      </c>
      <c r="G1047" s="106" t="n">
        <v>85</v>
      </c>
      <c r="H1047" s="107" t="inlineStr">
        <is>
          <t>SARL BPI/ENH DOUDAH</t>
        </is>
      </c>
      <c r="I1047" s="107" t="inlineStr">
        <is>
          <t>COLIS</t>
        </is>
      </c>
      <c r="J1047" s="107" t="inlineStr">
        <is>
          <t>COLIS</t>
        </is>
      </c>
      <c r="K1047" s="108">
        <f>D1047+8</f>
        <v/>
      </c>
      <c r="L1047" s="108">
        <f>K1047+60</f>
        <v/>
      </c>
      <c r="M1047" s="107" t="n"/>
      <c r="N1047" s="112">
        <f>E1047-5-3-5</f>
        <v/>
      </c>
      <c r="O1047" s="113">
        <f>F1047/E1047*N1047</f>
        <v/>
      </c>
      <c r="P1047" s="112">
        <f>G1047/E1047*N1047</f>
        <v/>
      </c>
      <c r="Q1047" s="109" t="n"/>
      <c r="R1047" s="107" t="n"/>
      <c r="S1047" s="109" t="inlineStr">
        <is>
          <t>BR25339LDJD142</t>
        </is>
      </c>
      <c r="T1047" s="114" t="n">
        <v>133</v>
      </c>
      <c r="U1047" s="109" t="inlineStr">
        <is>
          <t>13 PACKAGES ( Storage Tank / Mixing Tank / Waste Heat Recovery Unit / Hydroscrubber / Upper Body of the Fluidized Bed )</t>
        </is>
      </c>
      <c r="V1047" s="106" t="n"/>
      <c r="W1047" s="106" t="n"/>
      <c r="X1047" s="106" t="inlineStr">
        <is>
          <t>SOLDEE</t>
        </is>
      </c>
      <c r="Y1047" s="116">
        <f>F1047/E1047</f>
        <v/>
      </c>
      <c r="Z1047" s="64">
        <f>E1047-N1047</f>
        <v/>
      </c>
    </row>
    <row r="1048" ht="15.75" customHeight="1" s="202">
      <c r="A1048" s="116" t="n">
        <v>20260055</v>
      </c>
      <c r="B1048" s="117" t="inlineStr">
        <is>
          <t>BAO RUN</t>
        </is>
      </c>
      <c r="C1048" s="118" t="n">
        <v>46079</v>
      </c>
      <c r="E1048" s="116" t="n">
        <v>5</v>
      </c>
      <c r="F1048" s="119" t="n">
        <v>23.76</v>
      </c>
      <c r="G1048" s="120" t="n">
        <v>120</v>
      </c>
      <c r="H1048" s="117" t="inlineStr">
        <is>
          <t>SARL OVOTEL HATATB</t>
        </is>
      </c>
      <c r="I1048" s="117" t="inlineStr">
        <is>
          <t>CHARIOT ELEVATEUR</t>
        </is>
      </c>
      <c r="J1048" s="117" t="inlineStr">
        <is>
          <t>ENGINS</t>
        </is>
      </c>
      <c r="K1048" s="48">
        <f>D1048+8</f>
        <v/>
      </c>
      <c r="L1048" s="48">
        <f>K1048+60</f>
        <v/>
      </c>
      <c r="N1048" s="72">
        <f>E1048</f>
        <v/>
      </c>
      <c r="O1048" s="50">
        <f>F1048/E1048*N1048</f>
        <v/>
      </c>
      <c r="P1048" s="273">
        <f>G1048/E1048*N1048</f>
        <v/>
      </c>
      <c r="S1048" s="200" t="inlineStr">
        <is>
          <t>BR25339LDJD143</t>
        </is>
      </c>
      <c r="T1048" s="201" t="n">
        <v>134</v>
      </c>
      <c r="U1048" s="58" t="inlineStr">
        <is>
          <t>05 HELI 3.5 TON DIESEL FORKLIFT CPCD35-W4K2 CHASSIS SERIAL NO.: 010353R5626/010353R5627/010353R5628/010353R5629/010353R5630</t>
        </is>
      </c>
      <c r="V1048" s="67" t="n"/>
      <c r="W1048" s="67" t="n"/>
      <c r="X1048" s="62" t="inlineStr">
        <is>
          <t>N-OP</t>
        </is>
      </c>
      <c r="Y1048" s="116">
        <f>F1048/E1048</f>
        <v/>
      </c>
      <c r="Z1048" s="64">
        <f>E1048-N1048</f>
        <v/>
      </c>
    </row>
    <row r="1049" ht="15.75" customHeight="1" s="202">
      <c r="A1049" s="116" t="n">
        <v>20260055</v>
      </c>
      <c r="B1049" s="117" t="inlineStr">
        <is>
          <t>BAO RUN</t>
        </is>
      </c>
      <c r="C1049" s="118" t="n">
        <v>46079</v>
      </c>
      <c r="E1049" s="116" t="n">
        <v>1</v>
      </c>
      <c r="F1049" s="119" t="n">
        <v>0</v>
      </c>
      <c r="G1049" s="120" t="n">
        <v>5</v>
      </c>
      <c r="H1049" s="117" t="inlineStr">
        <is>
          <t>SARL OVOTEL HATATB</t>
        </is>
      </c>
      <c r="I1049" s="117" t="inlineStr">
        <is>
          <t>COLIS</t>
        </is>
      </c>
      <c r="J1049" s="117" t="inlineStr">
        <is>
          <t>COLIS</t>
        </is>
      </c>
      <c r="K1049" s="48">
        <f>D1049+8</f>
        <v/>
      </c>
      <c r="L1049" s="48">
        <f>K1049+60</f>
        <v/>
      </c>
      <c r="N1049" s="72">
        <f>E1049</f>
        <v/>
      </c>
      <c r="O1049" s="50">
        <f>F1049/E1049*N1049</f>
        <v/>
      </c>
      <c r="P1049" s="273">
        <f>G1049/E1049*N1049</f>
        <v/>
      </c>
      <c r="S1049" s="200" t="inlineStr">
        <is>
          <t>BR25339LDJD143</t>
        </is>
      </c>
      <c r="T1049" s="201" t="n">
        <v>134</v>
      </c>
      <c r="U1049" s="58" t="n"/>
      <c r="V1049" s="67" t="n"/>
      <c r="W1049" s="67" t="n"/>
      <c r="X1049" s="62" t="inlineStr">
        <is>
          <t>N-OP</t>
        </is>
      </c>
      <c r="Y1049" s="116">
        <f>F1049/E1049</f>
        <v/>
      </c>
      <c r="Z1049" s="64">
        <f>E1049-N1049</f>
        <v/>
      </c>
    </row>
    <row r="1050" ht="15.75" customHeight="1" s="202">
      <c r="A1050" s="116" t="n">
        <v>20260055</v>
      </c>
      <c r="B1050" s="117" t="inlineStr">
        <is>
          <t>BAO RUN</t>
        </is>
      </c>
      <c r="C1050" s="118" t="n">
        <v>46079</v>
      </c>
      <c r="E1050" s="116" t="n">
        <v>2</v>
      </c>
      <c r="F1050" s="119" t="n">
        <v>10.8</v>
      </c>
      <c r="G1050" s="120" t="n">
        <v>48</v>
      </c>
      <c r="H1050" s="117" t="inlineStr">
        <is>
          <t>GOUICHICHE MAHMOUD</t>
        </is>
      </c>
      <c r="I1050" s="117" t="inlineStr">
        <is>
          <t>CAMIONS</t>
        </is>
      </c>
      <c r="J1050" s="117" t="inlineStr">
        <is>
          <t>LOURD</t>
        </is>
      </c>
      <c r="K1050" s="48">
        <f>D1050+8</f>
        <v/>
      </c>
      <c r="L1050" s="48">
        <f>K1050+60</f>
        <v/>
      </c>
      <c r="N1050" s="72">
        <f>E1050</f>
        <v/>
      </c>
      <c r="O1050" s="50">
        <f>F1050/E1050*N1050</f>
        <v/>
      </c>
      <c r="P1050" s="273">
        <f>G1050/E1050*N1050</f>
        <v/>
      </c>
      <c r="S1050" s="200" t="inlineStr">
        <is>
          <t>BR25339LDJD144</t>
        </is>
      </c>
      <c r="T1050" s="201" t="n">
        <v>135</v>
      </c>
      <c r="U1050" s="58" t="inlineStr">
        <is>
          <t>02 UNITS SINOTRUK HOWO TX 4X2 CARGO TRUCK</t>
        </is>
      </c>
      <c r="V1050" s="67" t="n"/>
      <c r="W1050" s="67" t="n"/>
      <c r="X1050" s="62" t="inlineStr">
        <is>
          <t>N-OP</t>
        </is>
      </c>
      <c r="Y1050" s="116">
        <f>F1050/E1050</f>
        <v/>
      </c>
      <c r="Z1050" s="64">
        <f>E1050-N1050</f>
        <v/>
      </c>
    </row>
    <row r="1051" ht="15.75" customHeight="1" s="202">
      <c r="A1051" s="106" t="n">
        <v>20260055</v>
      </c>
      <c r="B1051" s="107" t="inlineStr">
        <is>
          <t>BAO RUN</t>
        </is>
      </c>
      <c r="C1051" s="108" t="n">
        <v>46079</v>
      </c>
      <c r="D1051" s="108" t="n"/>
      <c r="E1051" s="106" t="n">
        <v>1</v>
      </c>
      <c r="F1051" s="106" t="n">
        <v>8.960000000000001</v>
      </c>
      <c r="G1051" s="106" t="n">
        <v>24</v>
      </c>
      <c r="H1051" s="107" t="inlineStr">
        <is>
          <t>SARL MARMI ET GRANITI</t>
        </is>
      </c>
      <c r="I1051" s="107" t="inlineStr">
        <is>
          <t>CAMIONS</t>
        </is>
      </c>
      <c r="J1051" s="107" t="inlineStr">
        <is>
          <t>LOURD</t>
        </is>
      </c>
      <c r="K1051" s="108">
        <f>D1051+8</f>
        <v/>
      </c>
      <c r="L1051" s="108">
        <f>K1051+60</f>
        <v/>
      </c>
      <c r="M1051" s="107" t="n"/>
      <c r="N1051" s="112">
        <f>E1051-1</f>
        <v/>
      </c>
      <c r="O1051" s="113">
        <f>F1051/E1051*N1051</f>
        <v/>
      </c>
      <c r="P1051" s="112">
        <f>G1051/E1051*N1051</f>
        <v/>
      </c>
      <c r="Q1051" s="109" t="n"/>
      <c r="R1051" s="107" t="n"/>
      <c r="S1051" s="109" t="inlineStr">
        <is>
          <t>BR25339LDJD145</t>
        </is>
      </c>
      <c r="T1051" s="114" t="n">
        <v>136</v>
      </c>
      <c r="U1051" s="109" t="inlineStr">
        <is>
          <t>SINOTRUK HOWO-TX TRACTOR HEAD 6X4 LHD</t>
        </is>
      </c>
      <c r="V1051" s="106" t="n"/>
      <c r="W1051" s="106" t="n"/>
      <c r="X1051" s="106" t="inlineStr">
        <is>
          <t>SOLDEE</t>
        </is>
      </c>
      <c r="Y1051" s="116">
        <f>F1051/E1051</f>
        <v/>
      </c>
    </row>
    <row r="1052" ht="15.75" customHeight="1" s="202">
      <c r="A1052" s="106" t="n">
        <v>20260055</v>
      </c>
      <c r="B1052" s="107" t="inlineStr">
        <is>
          <t>BAO RUN</t>
        </is>
      </c>
      <c r="C1052" s="108" t="n">
        <v>46079</v>
      </c>
      <c r="D1052" s="108" t="n"/>
      <c r="E1052" s="106" t="n">
        <v>1</v>
      </c>
      <c r="F1052" s="106" t="n">
        <v>9</v>
      </c>
      <c r="G1052" s="106" t="n">
        <v>24</v>
      </c>
      <c r="H1052" s="107" t="inlineStr">
        <is>
          <t>EURL STE NO</t>
        </is>
      </c>
      <c r="I1052" s="107" t="inlineStr">
        <is>
          <t>CAMIONS</t>
        </is>
      </c>
      <c r="J1052" s="107" t="inlineStr">
        <is>
          <t>LOURD</t>
        </is>
      </c>
      <c r="K1052" s="108">
        <f>D1052+8</f>
        <v/>
      </c>
      <c r="L1052" s="108">
        <f>K1052+60</f>
        <v/>
      </c>
      <c r="M1052" s="107" t="n"/>
      <c r="N1052" s="112">
        <f>E1052-1</f>
        <v/>
      </c>
      <c r="O1052" s="113">
        <f>F1052/E1052*N1052</f>
        <v/>
      </c>
      <c r="P1052" s="112">
        <f>G1052/E1052*N1052</f>
        <v/>
      </c>
      <c r="Q1052" s="109" t="n"/>
      <c r="R1052" s="107" t="n"/>
      <c r="S1052" s="109" t="inlineStr">
        <is>
          <t>BR25339LDJD146</t>
        </is>
      </c>
      <c r="T1052" s="114" t="n">
        <v>137</v>
      </c>
      <c r="U1052" s="109" t="inlineStr">
        <is>
          <t>SINOTRUKSITRAK-G76X4 TRACTOR TRUCK LHD-MANUAL</t>
        </is>
      </c>
      <c r="V1052" s="106" t="n"/>
      <c r="W1052" s="106" t="n"/>
      <c r="X1052" s="106" t="inlineStr">
        <is>
          <t>SOLDEE</t>
        </is>
      </c>
      <c r="Y1052" s="116">
        <f>F1052/E1052</f>
        <v/>
      </c>
      <c r="Z1052" s="64">
        <f>E1052-N1052</f>
        <v/>
      </c>
    </row>
    <row r="1053" ht="15.75" customHeight="1" s="202">
      <c r="A1053" s="106" t="n">
        <v>20260055</v>
      </c>
      <c r="B1053" s="107" t="inlineStr">
        <is>
          <t>BAO RUN</t>
        </is>
      </c>
      <c r="C1053" s="108" t="n">
        <v>46079</v>
      </c>
      <c r="D1053" s="108" t="n"/>
      <c r="E1053" s="106" t="n">
        <v>2</v>
      </c>
      <c r="F1053" s="106" t="n">
        <v>64.88800000000001</v>
      </c>
      <c r="G1053" s="106" t="n">
        <v>48</v>
      </c>
      <c r="H1053" s="107" t="inlineStr">
        <is>
          <t>PETROLOC TRAVA</t>
        </is>
      </c>
      <c r="I1053" s="107" t="inlineStr">
        <is>
          <t>EXCAVATEURS</t>
        </is>
      </c>
      <c r="J1053" s="107" t="inlineStr">
        <is>
          <t>ENGINS</t>
        </is>
      </c>
      <c r="K1053" s="108">
        <f>D1053+8</f>
        <v/>
      </c>
      <c r="L1053" s="108">
        <f>K1053+60</f>
        <v/>
      </c>
      <c r="M1053" s="107" t="n"/>
      <c r="N1053" s="112">
        <f>E1053-2</f>
        <v/>
      </c>
      <c r="O1053" s="113">
        <f>F1053/E1053*N1053</f>
        <v/>
      </c>
      <c r="P1053" s="112">
        <f>G1053/E1053*N1053</f>
        <v/>
      </c>
      <c r="Q1053" s="109" t="n"/>
      <c r="R1053" s="107" t="n"/>
      <c r="S1053" s="109" t="inlineStr">
        <is>
          <t>BR25339LDJD147</t>
        </is>
      </c>
      <c r="T1053" s="114" t="n">
        <v>138</v>
      </c>
      <c r="U1053" s="109" t="inlineStr">
        <is>
          <t>8 PCKG including 2 HYUNDAI HX340HD EXCAVATOR SERIAL NO.: HDCKECADHS0000277 / SERIAL NO.: HDCKECADPS0000303</t>
        </is>
      </c>
      <c r="V1053" s="106" t="n"/>
      <c r="W1053" s="106" t="n"/>
      <c r="X1053" s="106" t="inlineStr">
        <is>
          <t>SOLDEE</t>
        </is>
      </c>
      <c r="Y1053" s="116">
        <f>F1053/E1053</f>
        <v/>
      </c>
      <c r="Z1053" s="64">
        <f>E1053-N1053</f>
        <v/>
      </c>
    </row>
    <row r="1054" ht="15.75" customHeight="1" s="202">
      <c r="A1054" s="106" t="n">
        <v>20260055</v>
      </c>
      <c r="B1054" s="107" t="inlineStr">
        <is>
          <t>BAO RUN</t>
        </is>
      </c>
      <c r="C1054" s="108" t="n">
        <v>46079</v>
      </c>
      <c r="D1054" s="108" t="n"/>
      <c r="E1054" s="106" t="n">
        <v>6</v>
      </c>
      <c r="F1054" s="106" t="n">
        <v>0</v>
      </c>
      <c r="G1054" s="106" t="n">
        <v>30</v>
      </c>
      <c r="H1054" s="107" t="inlineStr">
        <is>
          <t>PETROLOC TRAVA</t>
        </is>
      </c>
      <c r="I1054" s="107" t="inlineStr">
        <is>
          <t>COLIS</t>
        </is>
      </c>
      <c r="J1054" s="107" t="inlineStr">
        <is>
          <t>COLIS</t>
        </is>
      </c>
      <c r="K1054" s="108">
        <f>D1054+8</f>
        <v/>
      </c>
      <c r="L1054" s="108">
        <f>K1054+60</f>
        <v/>
      </c>
      <c r="M1054" s="107" t="n"/>
      <c r="N1054" s="112">
        <f>E1054-6</f>
        <v/>
      </c>
      <c r="O1054" s="113">
        <f>F1054/E1054*N1054</f>
        <v/>
      </c>
      <c r="P1054" s="112">
        <f>G1054/E1054*N1054</f>
        <v/>
      </c>
      <c r="Q1054" s="109" t="n"/>
      <c r="R1054" s="107" t="n"/>
      <c r="S1054" s="109" t="inlineStr">
        <is>
          <t>BR25339LDJD147</t>
        </is>
      </c>
      <c r="T1054" s="114" t="n">
        <v>138</v>
      </c>
      <c r="U1054" s="109" t="n"/>
      <c r="V1054" s="106" t="n"/>
      <c r="W1054" s="106" t="n"/>
      <c r="X1054" s="106" t="inlineStr">
        <is>
          <t>SOLDEE</t>
        </is>
      </c>
      <c r="Y1054" s="116">
        <f>F1054/E1054</f>
        <v/>
      </c>
      <c r="Z1054" s="64">
        <f>E1054-N1054</f>
        <v/>
      </c>
    </row>
    <row r="1055" ht="15.75" customHeight="1" s="202">
      <c r="A1055" s="116" t="n">
        <v>20260055</v>
      </c>
      <c r="B1055" s="117" t="inlineStr">
        <is>
          <t>BAO RUN</t>
        </is>
      </c>
      <c r="C1055" s="118" t="n">
        <v>46079</v>
      </c>
      <c r="E1055" s="116" t="n">
        <v>1</v>
      </c>
      <c r="F1055" s="119" t="n">
        <v>26</v>
      </c>
      <c r="G1055" s="120" t="n">
        <v>24</v>
      </c>
      <c r="H1055" s="117" t="inlineStr">
        <is>
          <t>ARIF ABDELAZIZ</t>
        </is>
      </c>
      <c r="I1055" s="117" t="inlineStr">
        <is>
          <t>COMPACTEURS</t>
        </is>
      </c>
      <c r="J1055" s="117" t="inlineStr">
        <is>
          <t>ENGINS</t>
        </is>
      </c>
      <c r="K1055" s="48">
        <f>D1055+8</f>
        <v/>
      </c>
      <c r="L1055" s="48">
        <f>K1055+60</f>
        <v/>
      </c>
      <c r="N1055" s="72">
        <f>E1055</f>
        <v/>
      </c>
      <c r="O1055" s="50">
        <f>F1055/E1055*N1055</f>
        <v/>
      </c>
      <c r="P1055" s="273">
        <f>G1055/E1055*N1055</f>
        <v/>
      </c>
      <c r="S1055" s="200" t="inlineStr">
        <is>
          <t>BR25339LDJD148</t>
        </is>
      </c>
      <c r="T1055" s="201" t="n">
        <v>139</v>
      </c>
      <c r="U1055" s="58" t="inlineStr">
        <is>
          <t>XCMG ROAD ROLLER</t>
        </is>
      </c>
      <c r="V1055" s="67" t="n"/>
      <c r="W1055" s="67" t="n"/>
      <c r="X1055" s="62" t="inlineStr">
        <is>
          <t>N-OP</t>
        </is>
      </c>
      <c r="Y1055" s="116">
        <f>F1055/E1055</f>
        <v/>
      </c>
      <c r="Z1055" s="64">
        <f>E1055-N1055</f>
        <v/>
      </c>
    </row>
    <row r="1056" ht="15.75" customHeight="1" s="202">
      <c r="A1056" s="116" t="n">
        <v>20260055</v>
      </c>
      <c r="B1056" s="117" t="inlineStr">
        <is>
          <t>BAO RUN</t>
        </is>
      </c>
      <c r="C1056" s="118" t="n">
        <v>46079</v>
      </c>
      <c r="E1056" s="116" t="n">
        <v>2</v>
      </c>
      <c r="F1056" s="119" t="n">
        <v>46</v>
      </c>
      <c r="G1056" s="120" t="n">
        <v>48</v>
      </c>
      <c r="H1056" s="117" t="inlineStr">
        <is>
          <t>SARL LYDIA AUTO</t>
        </is>
      </c>
      <c r="I1056" s="117" t="inlineStr">
        <is>
          <t>COMPACTEURS</t>
        </is>
      </c>
      <c r="J1056" s="117" t="inlineStr">
        <is>
          <t>ENGINS</t>
        </is>
      </c>
      <c r="K1056" s="48">
        <f>D1056+8</f>
        <v/>
      </c>
      <c r="L1056" s="48">
        <f>K1056+60</f>
        <v/>
      </c>
      <c r="N1056" s="72">
        <f>E1056</f>
        <v/>
      </c>
      <c r="O1056" s="50">
        <f>F1056/E1056*N1056</f>
        <v/>
      </c>
      <c r="P1056" s="273">
        <f>G1056/E1056*N1056</f>
        <v/>
      </c>
      <c r="S1056" s="200" t="inlineStr">
        <is>
          <t>BR25339LDJD150</t>
        </is>
      </c>
      <c r="T1056" s="201" t="n">
        <v>140</v>
      </c>
      <c r="U1056" s="58" t="inlineStr">
        <is>
          <t>01 ROAD ROLLER XS203J + 01 ROAD ROLLER XP263K</t>
        </is>
      </c>
      <c r="V1056" s="67" t="n"/>
      <c r="W1056" s="67" t="n"/>
      <c r="X1056" s="62" t="inlineStr">
        <is>
          <t>N-OP</t>
        </is>
      </c>
      <c r="Y1056" s="116">
        <f>F1056/E1056</f>
        <v/>
      </c>
      <c r="Z1056" s="64">
        <f>E1056-N1056</f>
        <v/>
      </c>
    </row>
    <row r="1057" ht="15.75" customHeight="1" s="202">
      <c r="A1057" s="116" t="n">
        <v>20260055</v>
      </c>
      <c r="B1057" s="117" t="inlineStr">
        <is>
          <t>BAO RUN</t>
        </is>
      </c>
      <c r="C1057" s="118" t="n">
        <v>46079</v>
      </c>
      <c r="E1057" s="116" t="n">
        <v>1</v>
      </c>
      <c r="F1057" s="119" t="n">
        <v>16</v>
      </c>
      <c r="G1057" s="120" t="n">
        <v>24</v>
      </c>
      <c r="H1057" s="117" t="inlineStr">
        <is>
          <t>MONSIEUR KEDDOUCHE DJEMAI</t>
        </is>
      </c>
      <c r="I1057" s="117" t="inlineStr">
        <is>
          <t>CAMIONS</t>
        </is>
      </c>
      <c r="J1057" s="117" t="inlineStr">
        <is>
          <t>LOURD</t>
        </is>
      </c>
      <c r="K1057" s="48">
        <f>D1057+8</f>
        <v/>
      </c>
      <c r="L1057" s="48">
        <f>K1057+60</f>
        <v/>
      </c>
      <c r="N1057" s="72">
        <f>E1057</f>
        <v/>
      </c>
      <c r="O1057" s="50">
        <f>F1057/E1057*N1057</f>
        <v/>
      </c>
      <c r="P1057" s="273">
        <f>G1057/E1057*N1057</f>
        <v/>
      </c>
      <c r="S1057" s="200" t="inlineStr">
        <is>
          <t>BR25339LDJD151</t>
        </is>
      </c>
      <c r="T1057" s="201" t="n">
        <v>141</v>
      </c>
      <c r="U1057" s="58" t="inlineStr">
        <is>
          <t>DUMPER SHACMAN 6*4 F2000</t>
        </is>
      </c>
      <c r="V1057" s="67" t="n"/>
      <c r="W1057" s="67" t="n"/>
      <c r="X1057" s="62" t="inlineStr">
        <is>
          <t>N-OP</t>
        </is>
      </c>
      <c r="Y1057" s="116">
        <f>F1057/E1057</f>
        <v/>
      </c>
      <c r="Z1057" s="64">
        <f>E1057-N1057</f>
        <v/>
      </c>
    </row>
    <row r="1058" ht="15.75" customHeight="1" s="202">
      <c r="A1058" s="116" t="n">
        <v>20260055</v>
      </c>
      <c r="B1058" s="117" t="inlineStr">
        <is>
          <t>BAO RUN</t>
        </is>
      </c>
      <c r="C1058" s="118" t="n">
        <v>46079</v>
      </c>
      <c r="E1058" s="116" t="n">
        <v>1</v>
      </c>
      <c r="F1058" s="119" t="n">
        <v>20</v>
      </c>
      <c r="G1058" s="120" t="n">
        <v>24</v>
      </c>
      <c r="H1058" s="117" t="inlineStr">
        <is>
          <t>ARIF ABDELAZIZ</t>
        </is>
      </c>
      <c r="I1058" s="117" t="inlineStr">
        <is>
          <t>COMPACTEURS</t>
        </is>
      </c>
      <c r="J1058" s="117" t="inlineStr">
        <is>
          <t>ENGINS</t>
        </is>
      </c>
      <c r="K1058" s="48">
        <f>D1058+8</f>
        <v/>
      </c>
      <c r="L1058" s="48">
        <f>K1058+60</f>
        <v/>
      </c>
      <c r="N1058" s="72">
        <f>E1058</f>
        <v/>
      </c>
      <c r="O1058" s="50">
        <f>F1058/E1058*N1058</f>
        <v/>
      </c>
      <c r="P1058" s="273">
        <f>G1058/E1058*N1058</f>
        <v/>
      </c>
      <c r="S1058" s="200" t="inlineStr">
        <is>
          <t>BR25339LDJD152</t>
        </is>
      </c>
      <c r="T1058" s="201" t="n">
        <v>142</v>
      </c>
      <c r="U1058" s="58" t="inlineStr">
        <is>
          <t>XCMG ROAD ROLLER</t>
        </is>
      </c>
      <c r="V1058" s="67" t="n"/>
      <c r="W1058" s="67" t="n"/>
      <c r="X1058" s="62" t="inlineStr">
        <is>
          <t>N-OP</t>
        </is>
      </c>
      <c r="Y1058" s="116">
        <f>F1058/E1058</f>
        <v/>
      </c>
      <c r="Z1058" s="64">
        <f>E1058-N1058</f>
        <v/>
      </c>
    </row>
    <row r="1059" ht="15.75" customHeight="1" s="202">
      <c r="A1059" s="116" t="n">
        <v>20260055</v>
      </c>
      <c r="B1059" s="117" t="inlineStr">
        <is>
          <t>BAO RUN</t>
        </is>
      </c>
      <c r="C1059" s="118" t="n">
        <v>46079</v>
      </c>
      <c r="E1059" s="116" t="n">
        <v>2</v>
      </c>
      <c r="F1059" s="119" t="n">
        <v>30</v>
      </c>
      <c r="G1059" s="120" t="n">
        <v>48</v>
      </c>
      <c r="H1059" s="117" t="inlineStr">
        <is>
          <t>EURL EXPERT KY</t>
        </is>
      </c>
      <c r="I1059" s="117" t="inlineStr">
        <is>
          <t>COMPACTEURS</t>
        </is>
      </c>
      <c r="J1059" s="117" t="inlineStr">
        <is>
          <t>ENGINS</t>
        </is>
      </c>
      <c r="K1059" s="48">
        <f>D1059+8</f>
        <v/>
      </c>
      <c r="L1059" s="48">
        <f>K1059+60</f>
        <v/>
      </c>
      <c r="N1059" s="72">
        <f>E1059</f>
        <v/>
      </c>
      <c r="O1059" s="50">
        <f>F1059/E1059*N1059</f>
        <v/>
      </c>
      <c r="P1059" s="273">
        <f>G1059/E1059*N1059</f>
        <v/>
      </c>
      <c r="S1059" s="200" t="inlineStr">
        <is>
          <t>BR25339LDJD153</t>
        </is>
      </c>
      <c r="T1059" s="201" t="n">
        <v>143</v>
      </c>
      <c r="U1059" s="58" t="inlineStr">
        <is>
          <t>01 ROAD ROLLER XP263 + 01 MOTOR GRADER GR215 + 01 ROAD ROLLER XS203J</t>
        </is>
      </c>
      <c r="V1059" s="67" t="n"/>
      <c r="W1059" s="67" t="n"/>
      <c r="X1059" s="62" t="inlineStr">
        <is>
          <t>N-OP</t>
        </is>
      </c>
      <c r="Y1059" s="116">
        <f>F1059/E1059</f>
        <v/>
      </c>
      <c r="Z1059" s="64">
        <f>E1059-N1059</f>
        <v/>
      </c>
    </row>
    <row r="1060" ht="15.75" customHeight="1" s="202">
      <c r="A1060" s="116" t="n">
        <v>20260055</v>
      </c>
      <c r="B1060" s="117" t="inlineStr">
        <is>
          <t>BAO RUN</t>
        </is>
      </c>
      <c r="C1060" s="118" t="n">
        <v>46079</v>
      </c>
      <c r="E1060" s="116" t="n">
        <v>1</v>
      </c>
      <c r="F1060" s="119" t="n">
        <v>32.5</v>
      </c>
      <c r="G1060" s="120" t="n">
        <v>40</v>
      </c>
      <c r="H1060" s="117" t="inlineStr">
        <is>
          <t>EURL EXPERT KY</t>
        </is>
      </c>
      <c r="I1060" s="117" t="inlineStr">
        <is>
          <t>NIVELEUSES</t>
        </is>
      </c>
      <c r="J1060" s="117" t="inlineStr">
        <is>
          <t>ENGINS</t>
        </is>
      </c>
      <c r="K1060" s="48">
        <f>D1060+8</f>
        <v/>
      </c>
      <c r="L1060" s="48">
        <f>K1060+60</f>
        <v/>
      </c>
      <c r="N1060" s="72">
        <f>E1060</f>
        <v/>
      </c>
      <c r="O1060" s="50">
        <f>F1060/E1060*N1060</f>
        <v/>
      </c>
      <c r="P1060" s="273">
        <f>G1060/E1060*N1060</f>
        <v/>
      </c>
      <c r="S1060" s="200" t="inlineStr">
        <is>
          <t>BR25339LDJD153</t>
        </is>
      </c>
      <c r="T1060" s="201" t="n">
        <v>143</v>
      </c>
      <c r="U1060" s="58" t="n"/>
      <c r="V1060" s="67" t="n"/>
      <c r="W1060" s="67" t="n"/>
      <c r="X1060" s="62" t="inlineStr">
        <is>
          <t>N-OP</t>
        </is>
      </c>
      <c r="Y1060" s="116">
        <f>F1060/E1060</f>
        <v/>
      </c>
      <c r="Z1060" s="64">
        <f>E1060-N1060</f>
        <v/>
      </c>
    </row>
    <row r="1061" ht="15.75" customHeight="1" s="202">
      <c r="A1061" s="116" t="n">
        <v>20260055</v>
      </c>
      <c r="B1061" s="117" t="inlineStr">
        <is>
          <t>BAO RUN</t>
        </is>
      </c>
      <c r="C1061" s="118" t="n">
        <v>46079</v>
      </c>
      <c r="E1061" s="116" t="n">
        <v>1</v>
      </c>
      <c r="F1061" s="119" t="n">
        <v>24.38</v>
      </c>
      <c r="G1061" s="120" t="n">
        <v>24</v>
      </c>
      <c r="H1061" s="117" t="inlineStr">
        <is>
          <t>SARL KOUADRI BOUDJELTHIA BEN HELIMA</t>
        </is>
      </c>
      <c r="I1061" s="117" t="inlineStr">
        <is>
          <t>EXCAVATEURS</t>
        </is>
      </c>
      <c r="J1061" s="117" t="inlineStr">
        <is>
          <t>ENGINS</t>
        </is>
      </c>
      <c r="K1061" s="48">
        <f>D1061+8</f>
        <v/>
      </c>
      <c r="L1061" s="48">
        <f>K1061+60</f>
        <v/>
      </c>
      <c r="N1061" s="72">
        <f>E1061</f>
        <v/>
      </c>
      <c r="O1061" s="50">
        <f>F1061/E1061*N1061</f>
        <v/>
      </c>
      <c r="P1061" s="273">
        <f>G1061/E1061*N1061</f>
        <v/>
      </c>
      <c r="S1061" s="200" t="inlineStr">
        <is>
          <t>BR25339LDJD154</t>
        </is>
      </c>
      <c r="T1061" s="201" t="n">
        <v>144</v>
      </c>
      <c r="U1061" s="58" t="inlineStr">
        <is>
          <t>1 UNIT (DISASSEMBLED INTO 2 PACKAGES FOR SHIPMENT)+HYUNDAI HX220HD EXCAVATOR+EQUIPPED WITH TIER 2 EMISSION+CUMMINS 6BTAA5.9(HYUNDAI) ENGINE+POWER : 110kw/2200 rpm</t>
        </is>
      </c>
      <c r="V1061" s="67" t="n"/>
      <c r="W1061" s="67" t="n"/>
      <c r="X1061" s="62" t="inlineStr">
        <is>
          <t>N-OP</t>
        </is>
      </c>
      <c r="Y1061" s="116">
        <f>F1061/E1061</f>
        <v/>
      </c>
      <c r="Z1061" s="64">
        <f>E1061-N1061</f>
        <v/>
      </c>
    </row>
    <row r="1062" ht="15.75" customHeight="1" s="202">
      <c r="A1062" s="116" t="n">
        <v>20260055</v>
      </c>
      <c r="B1062" s="117" t="inlineStr">
        <is>
          <t>BAO RUN</t>
        </is>
      </c>
      <c r="C1062" s="118" t="n">
        <v>46079</v>
      </c>
      <c r="E1062" s="116" t="n">
        <v>1</v>
      </c>
      <c r="F1062" s="119" t="n">
        <v>0</v>
      </c>
      <c r="G1062" s="120" t="n">
        <v>5</v>
      </c>
      <c r="H1062" s="117" t="inlineStr">
        <is>
          <t>SARL KOUADRI BOUDJELTHIA BEN HELIMA</t>
        </is>
      </c>
      <c r="I1062" s="117" t="inlineStr">
        <is>
          <t>COLIS</t>
        </is>
      </c>
      <c r="J1062" s="117" t="inlineStr">
        <is>
          <t>COLIS</t>
        </is>
      </c>
      <c r="K1062" s="48">
        <f>D1062+8</f>
        <v/>
      </c>
      <c r="L1062" s="48">
        <f>K1062+60</f>
        <v/>
      </c>
      <c r="N1062" s="72">
        <f>E1062</f>
        <v/>
      </c>
      <c r="O1062" s="50">
        <f>F1062/E1062*N1062</f>
        <v/>
      </c>
      <c r="P1062" s="273">
        <f>G1062/E1062*N1062</f>
        <v/>
      </c>
      <c r="S1062" s="200" t="inlineStr">
        <is>
          <t>BR25339LDJD154</t>
        </is>
      </c>
      <c r="T1062" s="201" t="n">
        <v>144</v>
      </c>
      <c r="U1062" s="58" t="n"/>
      <c r="V1062" s="67" t="n"/>
      <c r="W1062" s="67" t="n"/>
      <c r="X1062" s="62" t="inlineStr">
        <is>
          <t>N-OP</t>
        </is>
      </c>
      <c r="Y1062" s="116">
        <f>F1062/E1062</f>
        <v/>
      </c>
      <c r="Z1062" s="64">
        <f>E1062-N1062</f>
        <v/>
      </c>
    </row>
    <row r="1063" ht="15.75" customHeight="1" s="202">
      <c r="A1063" s="116" t="n">
        <v>20260055</v>
      </c>
      <c r="B1063" s="117" t="inlineStr">
        <is>
          <t>BAO RUN</t>
        </is>
      </c>
      <c r="C1063" s="118" t="n">
        <v>46079</v>
      </c>
      <c r="E1063" s="116" t="n">
        <v>1</v>
      </c>
      <c r="F1063" s="119" t="n">
        <v>12.27</v>
      </c>
      <c r="G1063" s="120" t="n">
        <v>24</v>
      </c>
      <c r="H1063" s="117" t="inlineStr">
        <is>
          <t>SARL SAFIAK-ALGERIA</t>
        </is>
      </c>
      <c r="I1063" s="117" t="inlineStr">
        <is>
          <t>CAMIONS</t>
        </is>
      </c>
      <c r="J1063" s="117" t="inlineStr">
        <is>
          <t>LOURD</t>
        </is>
      </c>
      <c r="K1063" s="48">
        <f>D1063+8</f>
        <v/>
      </c>
      <c r="L1063" s="48">
        <f>K1063+60</f>
        <v/>
      </c>
      <c r="N1063" s="72">
        <f>E1063</f>
        <v/>
      </c>
      <c r="O1063" s="50">
        <f>F1063/E1063*N1063</f>
        <v/>
      </c>
      <c r="P1063" s="273">
        <f>G1063/E1063*N1063</f>
        <v/>
      </c>
      <c r="S1063" s="200" t="inlineStr">
        <is>
          <t>BR25339LDJD156</t>
        </is>
      </c>
      <c r="T1063" s="201" t="n">
        <v>145</v>
      </c>
      <c r="U1063" s="58" t="inlineStr">
        <is>
          <t>TRUCK</t>
        </is>
      </c>
      <c r="V1063" s="67" t="n"/>
      <c r="W1063" s="67" t="n"/>
      <c r="X1063" s="62" t="inlineStr">
        <is>
          <t>N-OP</t>
        </is>
      </c>
      <c r="Y1063" s="116">
        <f>F1063/E1063</f>
        <v/>
      </c>
      <c r="Z1063" s="64">
        <f>E1063-N1063</f>
        <v/>
      </c>
    </row>
    <row r="1064" ht="15.75" customHeight="1" s="202">
      <c r="A1064" s="116" t="n">
        <v>20260055</v>
      </c>
      <c r="B1064" s="117" t="inlineStr">
        <is>
          <t>BAO RUN</t>
        </is>
      </c>
      <c r="C1064" s="118" t="n">
        <v>46079</v>
      </c>
      <c r="E1064" s="116" t="n">
        <v>1</v>
      </c>
      <c r="F1064" s="119" t="n">
        <v>9.800000000000001</v>
      </c>
      <c r="G1064" s="120" t="n">
        <v>24</v>
      </c>
      <c r="H1064" s="117" t="inlineStr">
        <is>
          <t>MAKHLOUFI FARES</t>
        </is>
      </c>
      <c r="I1064" s="117" t="inlineStr">
        <is>
          <t>CAMIONS</t>
        </is>
      </c>
      <c r="J1064" s="117" t="inlineStr">
        <is>
          <t>LOURD</t>
        </is>
      </c>
      <c r="K1064" s="48">
        <f>D1064+8</f>
        <v/>
      </c>
      <c r="L1064" s="48">
        <f>K1064+60</f>
        <v/>
      </c>
      <c r="N1064" s="72">
        <f>E1064</f>
        <v/>
      </c>
      <c r="O1064" s="50">
        <f>F1064/E1064*N1064</f>
        <v/>
      </c>
      <c r="P1064" s="273">
        <f>G1064/E1064*N1064</f>
        <v/>
      </c>
      <c r="S1064" s="200" t="inlineStr">
        <is>
          <t>BR25339LDJD162</t>
        </is>
      </c>
      <c r="T1064" s="201" t="n">
        <v>148</v>
      </c>
      <c r="U1064" s="58" t="inlineStr">
        <is>
          <t>SINOTRUK SITRAK 6x4 TRACTOR</t>
        </is>
      </c>
      <c r="V1064" s="67" t="n"/>
      <c r="W1064" s="67" t="n"/>
      <c r="X1064" s="62" t="inlineStr">
        <is>
          <t>N-OP</t>
        </is>
      </c>
      <c r="Y1064" s="116">
        <f>F1064/E1064</f>
        <v/>
      </c>
      <c r="Z1064" s="64">
        <f>E1064-N1064</f>
        <v/>
      </c>
    </row>
    <row r="1065" ht="15.75" customHeight="1" s="202">
      <c r="A1065" s="106" t="n">
        <v>20260055</v>
      </c>
      <c r="B1065" s="107" t="inlineStr">
        <is>
          <t>BAO RUN</t>
        </is>
      </c>
      <c r="C1065" s="108" t="n">
        <v>46079</v>
      </c>
      <c r="D1065" s="108" t="n"/>
      <c r="E1065" s="106" t="n">
        <v>1</v>
      </c>
      <c r="F1065" s="106" t="n">
        <v>12.748</v>
      </c>
      <c r="G1065" s="106" t="n">
        <v>24</v>
      </c>
      <c r="H1065" s="107" t="inlineStr">
        <is>
          <t>SNC FRÈRES BOUSSETIOU</t>
        </is>
      </c>
      <c r="I1065" s="107" t="inlineStr">
        <is>
          <t>CHARIOT TÉLESCOPIQUE</t>
        </is>
      </c>
      <c r="J1065" s="107" t="inlineStr">
        <is>
          <t>ENGINS</t>
        </is>
      </c>
      <c r="K1065" s="108">
        <f>D1065+8</f>
        <v/>
      </c>
      <c r="L1065" s="108">
        <f>K1065+60</f>
        <v/>
      </c>
      <c r="M1065" s="107" t="n"/>
      <c r="N1065" s="112">
        <f>E1065-1</f>
        <v/>
      </c>
      <c r="O1065" s="113">
        <f>F1065/E1065*N1065</f>
        <v/>
      </c>
      <c r="P1065" s="112">
        <f>G1065/E1065*N1065</f>
        <v/>
      </c>
      <c r="Q1065" s="109" t="n"/>
      <c r="R1065" s="107" t="n"/>
      <c r="S1065" s="109" t="inlineStr">
        <is>
          <t>BR25339LDJD163164</t>
        </is>
      </c>
      <c r="T1065" s="114" t="n">
        <v>149</v>
      </c>
      <c r="U1065" s="109" t="inlineStr">
        <is>
          <t>1 TELESCOPIC HANDLER + 3 PACKAGES SHIPPED ON DECK 05 JAN 2026</t>
        </is>
      </c>
      <c r="V1065" s="106" t="n"/>
      <c r="W1065" s="106" t="n"/>
      <c r="X1065" s="106" t="inlineStr">
        <is>
          <t>SOLDEE</t>
        </is>
      </c>
      <c r="Y1065" s="116">
        <f>F1065/E1065</f>
        <v/>
      </c>
      <c r="Z1065" s="64">
        <f>E1065-N1065</f>
        <v/>
      </c>
    </row>
    <row r="1066" ht="15.75" customHeight="1" s="202">
      <c r="A1066" s="106" t="n">
        <v>20260055</v>
      </c>
      <c r="B1066" s="107" t="inlineStr">
        <is>
          <t>BAO RUN</t>
        </is>
      </c>
      <c r="C1066" s="108" t="n">
        <v>46079</v>
      </c>
      <c r="D1066" s="108" t="n"/>
      <c r="E1066" s="106" t="n">
        <v>3</v>
      </c>
      <c r="F1066" s="106" t="n">
        <v>0</v>
      </c>
      <c r="G1066" s="106" t="n">
        <v>15</v>
      </c>
      <c r="H1066" s="107" t="inlineStr">
        <is>
          <t>SNC FRÈRES BOUSSETIOU</t>
        </is>
      </c>
      <c r="I1066" s="107" t="inlineStr">
        <is>
          <t>COLIS</t>
        </is>
      </c>
      <c r="J1066" s="107" t="inlineStr">
        <is>
          <t>COLIS</t>
        </is>
      </c>
      <c r="K1066" s="108">
        <f>D1066+8</f>
        <v/>
      </c>
      <c r="L1066" s="108">
        <f>K1066+60</f>
        <v/>
      </c>
      <c r="M1066" s="107" t="n"/>
      <c r="N1066" s="112">
        <f>E1066-3</f>
        <v/>
      </c>
      <c r="O1066" s="113">
        <f>F1066/E1066*N1066</f>
        <v/>
      </c>
      <c r="P1066" s="112">
        <f>G1066/E1066*N1066</f>
        <v/>
      </c>
      <c r="Q1066" s="109" t="n"/>
      <c r="R1066" s="107" t="n"/>
      <c r="S1066" s="109" t="inlineStr">
        <is>
          <t>BR25339LDJD163164</t>
        </is>
      </c>
      <c r="T1066" s="114" t="n">
        <v>149</v>
      </c>
      <c r="U1066" s="109" t="n"/>
      <c r="V1066" s="106" t="n"/>
      <c r="W1066" s="106" t="n"/>
      <c r="X1066" s="106" t="inlineStr">
        <is>
          <t>SOLDEE</t>
        </is>
      </c>
      <c r="Y1066" s="116">
        <f>F1066/E1066</f>
        <v/>
      </c>
      <c r="Z1066" s="64">
        <f>E1066-N1066</f>
        <v/>
      </c>
    </row>
    <row r="1067" ht="15.75" customHeight="1" s="202">
      <c r="A1067" s="106" t="n">
        <v>20260055</v>
      </c>
      <c r="B1067" s="107" t="inlineStr">
        <is>
          <t>BAO RUN</t>
        </is>
      </c>
      <c r="C1067" s="108" t="n">
        <v>46079</v>
      </c>
      <c r="D1067" s="108" t="n"/>
      <c r="E1067" s="106" t="n">
        <v>2</v>
      </c>
      <c r="F1067" s="106" t="n">
        <v>10.86</v>
      </c>
      <c r="G1067" s="106" t="n">
        <v>48</v>
      </c>
      <c r="H1067" s="107" t="inlineStr">
        <is>
          <t>SPA SOCIETE NATIONALE DE LEASING SN</t>
        </is>
      </c>
      <c r="I1067" s="107" t="inlineStr">
        <is>
          <t>CAMIONS</t>
        </is>
      </c>
      <c r="J1067" s="107" t="inlineStr">
        <is>
          <t>LOURD</t>
        </is>
      </c>
      <c r="K1067" s="108">
        <f>D1067+8</f>
        <v/>
      </c>
      <c r="L1067" s="108">
        <f>K1067+60</f>
        <v/>
      </c>
      <c r="M1067" s="107" t="n"/>
      <c r="N1067" s="112">
        <f>E1067-2</f>
        <v/>
      </c>
      <c r="O1067" s="113">
        <f>F1067/E1067*N1067</f>
        <v/>
      </c>
      <c r="P1067" s="112">
        <f>G1067/E1067*N1067</f>
        <v/>
      </c>
      <c r="Q1067" s="109" t="n"/>
      <c r="R1067" s="107" t="n"/>
      <c r="S1067" s="109" t="inlineStr">
        <is>
          <t>BR25339LDJD165</t>
        </is>
      </c>
      <c r="T1067" s="114" t="n">
        <v>150</v>
      </c>
      <c r="U1067" s="109" t="inlineStr">
        <is>
          <t>TWO (02) SHACMAN L3000 4X2 RIGID</t>
        </is>
      </c>
      <c r="V1067" s="106" t="n"/>
      <c r="W1067" s="106" t="n"/>
      <c r="X1067" s="106" t="inlineStr">
        <is>
          <t>SOLDEE</t>
        </is>
      </c>
      <c r="Y1067" s="116">
        <f>F1067/E1067</f>
        <v/>
      </c>
      <c r="Z1067" s="64">
        <f>E1067-N1067</f>
        <v/>
      </c>
    </row>
    <row r="1068" ht="15.75" customHeight="1" s="202">
      <c r="A1068" s="106" t="n">
        <v>20260055</v>
      </c>
      <c r="B1068" s="107" t="inlineStr">
        <is>
          <t>BAO RUN</t>
        </is>
      </c>
      <c r="C1068" s="108" t="n">
        <v>46079</v>
      </c>
      <c r="D1068" s="108" t="n"/>
      <c r="E1068" s="106" t="n">
        <v>1</v>
      </c>
      <c r="F1068" s="106" t="n">
        <v>26</v>
      </c>
      <c r="G1068" s="106" t="n">
        <v>24</v>
      </c>
      <c r="H1068" s="107" t="inlineStr">
        <is>
          <t>CHERGUI FAOUZI</t>
        </is>
      </c>
      <c r="I1068" s="107" t="inlineStr">
        <is>
          <t>COMPACTEURS</t>
        </is>
      </c>
      <c r="J1068" s="107" t="inlineStr">
        <is>
          <t>ENGINS</t>
        </is>
      </c>
      <c r="K1068" s="108">
        <f>D1068+8</f>
        <v/>
      </c>
      <c r="L1068" s="108">
        <f>K1068+60</f>
        <v/>
      </c>
      <c r="M1068" s="107" t="n"/>
      <c r="N1068" s="112">
        <f>E1068-1</f>
        <v/>
      </c>
      <c r="O1068" s="113">
        <f>F1068/E1068*N1068</f>
        <v/>
      </c>
      <c r="P1068" s="112">
        <f>G1068/E1068*N1068</f>
        <v/>
      </c>
      <c r="Q1068" s="109" t="n"/>
      <c r="R1068" s="107" t="n"/>
      <c r="S1068" s="109" t="inlineStr">
        <is>
          <t>BR25339LDJD166</t>
        </is>
      </c>
      <c r="T1068" s="114" t="n">
        <v>151</v>
      </c>
      <c r="U1068" s="109" t="inlineStr">
        <is>
          <t>XCMG XP263 PNEUMATIC ROLLER</t>
        </is>
      </c>
      <c r="V1068" s="106" t="n"/>
      <c r="W1068" s="106" t="n"/>
      <c r="X1068" s="106" t="inlineStr">
        <is>
          <t>SOLDEE</t>
        </is>
      </c>
      <c r="Y1068" s="116">
        <f>F1068/E1068</f>
        <v/>
      </c>
      <c r="Z1068" s="64">
        <f>E1068-N1068</f>
        <v/>
      </c>
    </row>
    <row r="1069" ht="15.75" customHeight="1" s="202">
      <c r="A1069" s="116" t="n">
        <v>20260055</v>
      </c>
      <c r="B1069" s="117" t="inlineStr">
        <is>
          <t>BAO RUN</t>
        </is>
      </c>
      <c r="C1069" s="118" t="n">
        <v>46079</v>
      </c>
      <c r="E1069" s="116" t="n">
        <v>1</v>
      </c>
      <c r="F1069" s="119" t="n">
        <v>34.15</v>
      </c>
      <c r="G1069" s="120" t="n">
        <v>24</v>
      </c>
      <c r="H1069" s="117" t="inlineStr">
        <is>
          <t>SPA SOCIETE NATIONALE DE LEASING SN</t>
        </is>
      </c>
      <c r="I1069" s="117" t="inlineStr">
        <is>
          <t>EXCAVATEURS</t>
        </is>
      </c>
      <c r="J1069" s="117" t="inlineStr">
        <is>
          <t>ENGINS</t>
        </is>
      </c>
      <c r="K1069" s="48">
        <f>D1069+8</f>
        <v/>
      </c>
      <c r="L1069" s="48">
        <f>K1069+60</f>
        <v/>
      </c>
      <c r="N1069" s="72">
        <f>E1069</f>
        <v/>
      </c>
      <c r="O1069" s="50">
        <f>F1069/E1069*N1069</f>
        <v/>
      </c>
      <c r="P1069" s="273">
        <f>G1069/E1069*N1069</f>
        <v/>
      </c>
      <c r="S1069" s="200" t="inlineStr">
        <is>
          <t>BR25339LDJD168</t>
        </is>
      </c>
      <c r="T1069" s="201" t="n">
        <v>152</v>
      </c>
      <c r="U1069" s="58" t="inlineStr">
        <is>
          <t>01 UNIT HYUNDAI HX340HD EURO2 + 04 PKGS</t>
        </is>
      </c>
      <c r="V1069" s="67" t="n"/>
      <c r="W1069" s="67" t="n"/>
      <c r="X1069" s="62" t="inlineStr">
        <is>
          <t>N-OP</t>
        </is>
      </c>
      <c r="Y1069" s="116">
        <f>F1069/E1069</f>
        <v/>
      </c>
      <c r="Z1069" s="64">
        <f>E1069-N1069</f>
        <v/>
      </c>
    </row>
    <row r="1070" ht="15.75" customHeight="1" s="202">
      <c r="A1070" s="116" t="n">
        <v>20260055</v>
      </c>
      <c r="B1070" s="117" t="inlineStr">
        <is>
          <t>BAO RUN</t>
        </is>
      </c>
      <c r="C1070" s="118" t="n">
        <v>46079</v>
      </c>
      <c r="E1070" s="116" t="n">
        <v>4</v>
      </c>
      <c r="F1070" s="119" t="n">
        <v>0</v>
      </c>
      <c r="G1070" s="120" t="n">
        <v>20</v>
      </c>
      <c r="H1070" s="117" t="inlineStr">
        <is>
          <t>SPA SOCIETE NATIONALE DE LEASING SN</t>
        </is>
      </c>
      <c r="I1070" s="117" t="inlineStr">
        <is>
          <t>COLIS</t>
        </is>
      </c>
      <c r="J1070" s="117" t="inlineStr">
        <is>
          <t>COLIS</t>
        </is>
      </c>
      <c r="K1070" s="48">
        <f>D1070+8</f>
        <v/>
      </c>
      <c r="L1070" s="48">
        <f>K1070+60</f>
        <v/>
      </c>
      <c r="N1070" s="72">
        <f>E1070</f>
        <v/>
      </c>
      <c r="O1070" s="50">
        <f>F1070/E1070*N1070</f>
        <v/>
      </c>
      <c r="P1070" s="273">
        <f>G1070/E1070*N1070</f>
        <v/>
      </c>
      <c r="S1070" s="200" t="inlineStr">
        <is>
          <t>BR25339LDJD168</t>
        </is>
      </c>
      <c r="T1070" s="201" t="n">
        <v>152</v>
      </c>
      <c r="U1070" s="58" t="n"/>
      <c r="V1070" s="67" t="n"/>
      <c r="W1070" s="67" t="n"/>
      <c r="X1070" s="62" t="inlineStr">
        <is>
          <t>N-OP</t>
        </is>
      </c>
      <c r="Y1070" s="116">
        <f>F1070/E1070</f>
        <v/>
      </c>
      <c r="Z1070" s="64">
        <f>E1070-N1070</f>
        <v/>
      </c>
    </row>
    <row r="1071" ht="15.75" customHeight="1" s="202">
      <c r="A1071" s="116" t="n">
        <v>20260055</v>
      </c>
      <c r="B1071" s="117" t="inlineStr">
        <is>
          <t>BAO RUN</t>
        </is>
      </c>
      <c r="C1071" s="118" t="n">
        <v>46079</v>
      </c>
      <c r="E1071" s="116" t="n">
        <v>1</v>
      </c>
      <c r="F1071" s="119" t="n">
        <v>23.92</v>
      </c>
      <c r="G1071" s="120" t="n">
        <v>24</v>
      </c>
      <c r="H1071" s="117" t="inlineStr">
        <is>
          <t>TOUAHRI ABDELHAK</t>
        </is>
      </c>
      <c r="I1071" s="117" t="inlineStr">
        <is>
          <t>EXCAVATEURS</t>
        </is>
      </c>
      <c r="J1071" s="117" t="inlineStr">
        <is>
          <t>ENGINS</t>
        </is>
      </c>
      <c r="K1071" s="48">
        <f>D1071+8</f>
        <v/>
      </c>
      <c r="L1071" s="48">
        <f>K1071+60</f>
        <v/>
      </c>
      <c r="N1071" s="72">
        <f>E1071</f>
        <v/>
      </c>
      <c r="O1071" s="50">
        <f>F1071/E1071*N1071</f>
        <v/>
      </c>
      <c r="P1071" s="273">
        <f>G1071/E1071*N1071</f>
        <v/>
      </c>
      <c r="S1071" s="200" t="inlineStr">
        <is>
          <t>BR25339LDJD171</t>
        </is>
      </c>
      <c r="T1071" s="201" t="n">
        <v>154</v>
      </c>
      <c r="U1071" s="58" t="inlineStr">
        <is>
          <t>01 HYUNDAI CRAWLER EXCAVATOR +01 GENERAL BREAKER TOP HAMMER GBF270</t>
        </is>
      </c>
      <c r="V1071" s="67" t="n"/>
      <c r="W1071" s="67" t="n"/>
      <c r="X1071" s="62" t="inlineStr">
        <is>
          <t>N-OP</t>
        </is>
      </c>
      <c r="Y1071" s="116">
        <f>F1071/E1071</f>
        <v/>
      </c>
      <c r="Z1071" s="64">
        <f>E1071-N1071</f>
        <v/>
      </c>
    </row>
    <row r="1072" ht="15.75" customHeight="1" s="202">
      <c r="A1072" s="116" t="n">
        <v>20260055</v>
      </c>
      <c r="B1072" s="117" t="inlineStr">
        <is>
          <t>BAO RUN</t>
        </is>
      </c>
      <c r="C1072" s="118" t="n">
        <v>46079</v>
      </c>
      <c r="E1072" s="116" t="n">
        <v>1</v>
      </c>
      <c r="F1072" s="119" t="n">
        <v>0</v>
      </c>
      <c r="G1072" s="120" t="n">
        <v>5</v>
      </c>
      <c r="H1072" s="117" t="inlineStr">
        <is>
          <t>TOUAHRI ABDELHAK</t>
        </is>
      </c>
      <c r="I1072" s="117" t="inlineStr">
        <is>
          <t>COLIS</t>
        </is>
      </c>
      <c r="J1072" s="117" t="inlineStr">
        <is>
          <t>COLIS</t>
        </is>
      </c>
      <c r="K1072" s="48">
        <f>D1072+8</f>
        <v/>
      </c>
      <c r="L1072" s="48">
        <f>K1072+60</f>
        <v/>
      </c>
      <c r="N1072" s="72">
        <f>E1072</f>
        <v/>
      </c>
      <c r="O1072" s="50">
        <f>F1072/E1072*N1072</f>
        <v/>
      </c>
      <c r="P1072" s="273">
        <f>G1072/E1072*N1072</f>
        <v/>
      </c>
      <c r="S1072" s="200" t="inlineStr">
        <is>
          <t>BR25339LDJD171</t>
        </is>
      </c>
      <c r="T1072" s="201" t="n">
        <v>154</v>
      </c>
      <c r="U1072" s="58" t="n"/>
      <c r="V1072" s="67" t="n"/>
      <c r="W1072" s="67" t="n"/>
      <c r="X1072" s="62" t="inlineStr">
        <is>
          <t>N-OP</t>
        </is>
      </c>
      <c r="Y1072" s="116">
        <f>F1072/E1072</f>
        <v/>
      </c>
      <c r="Z1072" s="64">
        <f>E1072-N1072</f>
        <v/>
      </c>
    </row>
    <row r="1073" ht="15.75" customHeight="1" s="202">
      <c r="A1073" s="106" t="n">
        <v>20260055</v>
      </c>
      <c r="B1073" s="107" t="inlineStr">
        <is>
          <t>BAO RUN</t>
        </is>
      </c>
      <c r="C1073" s="108" t="n">
        <v>46079</v>
      </c>
      <c r="D1073" s="108" t="n"/>
      <c r="E1073" s="106" t="n">
        <v>2</v>
      </c>
      <c r="F1073" s="106" t="n">
        <v>25.7</v>
      </c>
      <c r="G1073" s="106" t="n">
        <v>48</v>
      </c>
      <c r="H1073" s="107" t="inlineStr">
        <is>
          <t>SARL ETBPH ALLOUCHE</t>
        </is>
      </c>
      <c r="I1073" s="107" t="inlineStr">
        <is>
          <t>CAMIONS</t>
        </is>
      </c>
      <c r="J1073" s="107" t="inlineStr">
        <is>
          <t>LOURD</t>
        </is>
      </c>
      <c r="K1073" s="108">
        <f>D1073+8</f>
        <v/>
      </c>
      <c r="L1073" s="108">
        <f>K1073+60</f>
        <v/>
      </c>
      <c r="M1073" s="107" t="n"/>
      <c r="N1073" s="112">
        <f>E1073-2</f>
        <v/>
      </c>
      <c r="O1073" s="113">
        <f>F1073/E1073*N1073</f>
        <v/>
      </c>
      <c r="P1073" s="112">
        <f>G1073/E1073*N1073</f>
        <v/>
      </c>
      <c r="Q1073" s="109" t="n"/>
      <c r="R1073" s="107" t="n"/>
      <c r="S1073" s="109" t="inlineStr">
        <is>
          <t>BR25339LDJD172</t>
        </is>
      </c>
      <c r="T1073" s="114" t="n">
        <v>155</v>
      </c>
      <c r="U1073" s="109" t="inlineStr">
        <is>
          <t>02 UNITS DUMP TRUCK</t>
        </is>
      </c>
      <c r="V1073" s="106" t="n"/>
      <c r="W1073" s="106" t="n"/>
      <c r="X1073" s="106" t="inlineStr">
        <is>
          <t>SOLDEE</t>
        </is>
      </c>
      <c r="Y1073" s="116">
        <f>F1073/E1073</f>
        <v/>
      </c>
      <c r="Z1073" s="64">
        <f>E1073-N1073</f>
        <v/>
      </c>
    </row>
    <row r="1074" ht="15.75" customHeight="1" s="202">
      <c r="A1074" s="106" t="n">
        <v>20260055</v>
      </c>
      <c r="B1074" s="107" t="inlineStr">
        <is>
          <t>BAO RUN</t>
        </is>
      </c>
      <c r="C1074" s="108" t="n">
        <v>46079</v>
      </c>
      <c r="D1074" s="108" t="n"/>
      <c r="E1074" s="106" t="n">
        <v>1</v>
      </c>
      <c r="F1074" s="106" t="n">
        <v>9</v>
      </c>
      <c r="G1074" s="106" t="n">
        <v>24</v>
      </c>
      <c r="H1074" s="107" t="inlineStr">
        <is>
          <t>SARL MAARIG OLIVE</t>
        </is>
      </c>
      <c r="I1074" s="107" t="inlineStr">
        <is>
          <t>CAMIONS</t>
        </is>
      </c>
      <c r="J1074" s="107" t="inlineStr">
        <is>
          <t>LOURD</t>
        </is>
      </c>
      <c r="K1074" s="108">
        <f>D1074+8</f>
        <v/>
      </c>
      <c r="L1074" s="108">
        <f>K1074+60</f>
        <v/>
      </c>
      <c r="M1074" s="107" t="n"/>
      <c r="N1074" s="112">
        <f>E1074-1</f>
        <v/>
      </c>
      <c r="O1074" s="113">
        <f>F1074/E1074*N1074</f>
        <v/>
      </c>
      <c r="P1074" s="112">
        <f>G1074/E1074*N1074</f>
        <v/>
      </c>
      <c r="Q1074" s="109" t="n"/>
      <c r="R1074" s="107" t="n"/>
      <c r="S1074" s="109" t="inlineStr">
        <is>
          <t>BR25339LDJD173</t>
        </is>
      </c>
      <c r="T1074" s="114" t="n">
        <v>156</v>
      </c>
      <c r="U1074" s="109" t="inlineStr">
        <is>
          <t>2025 NEW MACHINE SINOTRUK SITRAK G7S 6X4</t>
        </is>
      </c>
      <c r="V1074" s="106" t="n"/>
      <c r="W1074" s="106" t="n"/>
      <c r="X1074" s="106" t="inlineStr">
        <is>
          <t>SOLDEE</t>
        </is>
      </c>
      <c r="Y1074" s="116">
        <f>F1074/E1074</f>
        <v/>
      </c>
    </row>
    <row r="1075" ht="15.75" customHeight="1" s="202">
      <c r="A1075" s="106" t="n">
        <v>20260055</v>
      </c>
      <c r="B1075" s="107" t="inlineStr">
        <is>
          <t>BAO RUN</t>
        </is>
      </c>
      <c r="C1075" s="108" t="n">
        <v>46079</v>
      </c>
      <c r="D1075" s="108" t="n"/>
      <c r="E1075" s="106" t="n">
        <v>1</v>
      </c>
      <c r="F1075" s="106" t="n">
        <v>16</v>
      </c>
      <c r="G1075" s="106" t="n">
        <v>24</v>
      </c>
      <c r="H1075" s="107" t="inlineStr">
        <is>
          <t>BENSEGHIR ABDELMOUMANE</t>
        </is>
      </c>
      <c r="I1075" s="107" t="inlineStr">
        <is>
          <t>CAMIONS</t>
        </is>
      </c>
      <c r="J1075" s="107" t="inlineStr">
        <is>
          <t>LOURD</t>
        </is>
      </c>
      <c r="K1075" s="108">
        <f>D1075+8</f>
        <v/>
      </c>
      <c r="L1075" s="108">
        <f>K1075+60</f>
        <v/>
      </c>
      <c r="M1075" s="107" t="n"/>
      <c r="N1075" s="112">
        <f>E1075-1</f>
        <v/>
      </c>
      <c r="O1075" s="113">
        <f>F1075/E1075*N1075</f>
        <v/>
      </c>
      <c r="P1075" s="112">
        <f>G1075/E1075*N1075</f>
        <v/>
      </c>
      <c r="Q1075" s="109" t="n"/>
      <c r="R1075" s="107" t="n"/>
      <c r="S1075" s="109" t="inlineStr">
        <is>
          <t>BR25339LDJD174</t>
        </is>
      </c>
      <c r="T1075" s="114" t="n">
        <v>157</v>
      </c>
      <c r="U1075" s="109" t="inlineStr">
        <is>
          <t>SHACMAN F2000 6X4 DUMP TRUCK</t>
        </is>
      </c>
      <c r="V1075" s="106" t="n"/>
      <c r="W1075" s="106" t="n"/>
      <c r="X1075" s="106" t="inlineStr">
        <is>
          <t>SOLDEE</t>
        </is>
      </c>
      <c r="Y1075" s="116">
        <f>F1075/E1075</f>
        <v/>
      </c>
    </row>
    <row r="1076" ht="15.75" customHeight="1" s="202">
      <c r="A1076" s="116" t="n">
        <v>20260055</v>
      </c>
      <c r="B1076" s="117" t="inlineStr">
        <is>
          <t>BAO RUN</t>
        </is>
      </c>
      <c r="C1076" s="118" t="n">
        <v>46079</v>
      </c>
      <c r="E1076" s="116" t="n">
        <v>1</v>
      </c>
      <c r="F1076" s="119" t="n">
        <v>6.4</v>
      </c>
      <c r="G1076" s="120" t="n">
        <v>24</v>
      </c>
      <c r="H1076" s="117" t="inlineStr">
        <is>
          <t>EURL ALWYAAD PIP</t>
        </is>
      </c>
      <c r="I1076" s="117" t="inlineStr">
        <is>
          <t>CAMIONS</t>
        </is>
      </c>
      <c r="J1076" s="117" t="inlineStr">
        <is>
          <t>LOURD</t>
        </is>
      </c>
      <c r="K1076" s="48">
        <f>D1076+8</f>
        <v/>
      </c>
      <c r="L1076" s="48">
        <f>K1076+60</f>
        <v/>
      </c>
      <c r="N1076" s="72">
        <f>E1076</f>
        <v/>
      </c>
      <c r="O1076" s="50">
        <f>F1076/E1076*N1076</f>
        <v/>
      </c>
      <c r="P1076" s="273">
        <f>G1076/E1076*N1076</f>
        <v/>
      </c>
      <c r="S1076" s="200" t="inlineStr">
        <is>
          <t>BR25339LDJD175</t>
        </is>
      </c>
      <c r="T1076" s="201" t="n">
        <v>158</v>
      </c>
      <c r="U1076" s="58" t="inlineStr">
        <is>
          <t>SINOTRUCK HOWO TX 4X2 CARGO SHASSIS 280HP</t>
        </is>
      </c>
      <c r="V1076" s="67" t="n"/>
      <c r="W1076" s="67" t="n"/>
      <c r="X1076" s="62" t="inlineStr">
        <is>
          <t>N-OP</t>
        </is>
      </c>
      <c r="Y1076" s="116">
        <f>F1076/E1076</f>
        <v/>
      </c>
      <c r="Z1076" s="64">
        <f>E1076-N1076</f>
        <v/>
      </c>
    </row>
    <row r="1077" ht="15.75" customHeight="1" s="202">
      <c r="A1077" s="106" t="n">
        <v>20260055</v>
      </c>
      <c r="B1077" s="107" t="inlineStr">
        <is>
          <t>BAO RUN</t>
        </is>
      </c>
      <c r="C1077" s="108" t="n">
        <v>46079</v>
      </c>
      <c r="D1077" s="108" t="n"/>
      <c r="E1077" s="106" t="n">
        <v>1</v>
      </c>
      <c r="F1077" s="106" t="n">
        <v>20</v>
      </c>
      <c r="G1077" s="106" t="n">
        <v>24</v>
      </c>
      <c r="H1077" s="107" t="inlineStr">
        <is>
          <t>AIT EL HADJ KHALED</t>
        </is>
      </c>
      <c r="I1077" s="107" t="inlineStr">
        <is>
          <t>CHARGEURS</t>
        </is>
      </c>
      <c r="J1077" s="107" t="inlineStr">
        <is>
          <t>ENGINS</t>
        </is>
      </c>
      <c r="K1077" s="108">
        <f>D1077+8</f>
        <v/>
      </c>
      <c r="L1077" s="108">
        <f>K1077+60</f>
        <v/>
      </c>
      <c r="M1077" s="107" t="n"/>
      <c r="N1077" s="112">
        <f>E1077-1</f>
        <v/>
      </c>
      <c r="O1077" s="113">
        <f>F1077/E1077*N1077</f>
        <v/>
      </c>
      <c r="P1077" s="112">
        <f>G1077/E1077*N1077</f>
        <v/>
      </c>
      <c r="Q1077" s="109" t="n"/>
      <c r="R1077" s="107" t="n"/>
      <c r="S1077" s="109" t="inlineStr">
        <is>
          <t>BR25339LDJD176</t>
        </is>
      </c>
      <c r="T1077" s="114" t="n">
        <v>159</v>
      </c>
      <c r="U1077" s="109" t="inlineStr">
        <is>
          <t>01 XCMG ZL50GN WHEEL LOADER + 01 XCMG QY25K5D TRUCK CRANE + 01 PKG</t>
        </is>
      </c>
      <c r="V1077" s="106" t="n"/>
      <c r="W1077" s="106" t="n"/>
      <c r="X1077" s="106" t="inlineStr">
        <is>
          <t>SOLDEE</t>
        </is>
      </c>
      <c r="Y1077" s="116">
        <f>F1077/E1077</f>
        <v/>
      </c>
      <c r="Z1077" s="64">
        <f>E1077-N1077</f>
        <v/>
      </c>
    </row>
    <row r="1078" ht="15.75" customHeight="1" s="202">
      <c r="A1078" s="106" t="n">
        <v>20260055</v>
      </c>
      <c r="B1078" s="107" t="inlineStr">
        <is>
          <t>BAO RUN</t>
        </is>
      </c>
      <c r="C1078" s="108" t="n">
        <v>46079</v>
      </c>
      <c r="D1078" s="108" t="n"/>
      <c r="E1078" s="106" t="n">
        <v>1</v>
      </c>
      <c r="F1078" s="106" t="n">
        <v>28.57</v>
      </c>
      <c r="G1078" s="106" t="n">
        <v>60</v>
      </c>
      <c r="H1078" s="107" t="inlineStr">
        <is>
          <t>AIT EL HADJ KHALED</t>
        </is>
      </c>
      <c r="I1078" s="107" t="inlineStr">
        <is>
          <t>CAMION GRUE</t>
        </is>
      </c>
      <c r="J1078" s="107" t="inlineStr">
        <is>
          <t>ENGINS</t>
        </is>
      </c>
      <c r="K1078" s="108">
        <f>D1078+8</f>
        <v/>
      </c>
      <c r="L1078" s="108">
        <f>K1078+60</f>
        <v/>
      </c>
      <c r="M1078" s="107" t="n"/>
      <c r="N1078" s="112">
        <f>E1078-1</f>
        <v/>
      </c>
      <c r="O1078" s="113">
        <f>F1078/E1078*N1078</f>
        <v/>
      </c>
      <c r="P1078" s="112">
        <f>G1078/E1078*N1078</f>
        <v/>
      </c>
      <c r="Q1078" s="109" t="n"/>
      <c r="R1078" s="107" t="n"/>
      <c r="S1078" s="109" t="inlineStr">
        <is>
          <t>BR25339LDJD176</t>
        </is>
      </c>
      <c r="T1078" s="114" t="n">
        <v>159</v>
      </c>
      <c r="U1078" s="109" t="n"/>
      <c r="V1078" s="106" t="n"/>
      <c r="W1078" s="106" t="n"/>
      <c r="X1078" s="106" t="inlineStr">
        <is>
          <t>SOLDEE</t>
        </is>
      </c>
      <c r="Y1078" s="116">
        <f>F1078/E1078</f>
        <v/>
      </c>
      <c r="Z1078" s="64">
        <f>E1078-N1078</f>
        <v/>
      </c>
    </row>
    <row r="1079" ht="15.75" customHeight="1" s="202">
      <c r="A1079" s="106" t="n">
        <v>20260055</v>
      </c>
      <c r="B1079" s="107" t="inlineStr">
        <is>
          <t>BAO RUN</t>
        </is>
      </c>
      <c r="C1079" s="108" t="n">
        <v>46079</v>
      </c>
      <c r="D1079" s="108" t="n"/>
      <c r="E1079" s="106" t="n">
        <v>1</v>
      </c>
      <c r="F1079" s="106" t="n">
        <v>0</v>
      </c>
      <c r="G1079" s="106" t="n">
        <v>5</v>
      </c>
      <c r="H1079" s="107" t="inlineStr">
        <is>
          <t>AIT EL HADJ KHALED</t>
        </is>
      </c>
      <c r="I1079" s="107" t="inlineStr">
        <is>
          <t>COLIS</t>
        </is>
      </c>
      <c r="J1079" s="107" t="inlineStr">
        <is>
          <t>COLIS</t>
        </is>
      </c>
      <c r="K1079" s="108">
        <f>D1079+8</f>
        <v/>
      </c>
      <c r="L1079" s="108">
        <f>K1079+60</f>
        <v/>
      </c>
      <c r="M1079" s="107" t="n"/>
      <c r="N1079" s="112">
        <f>E1079-1</f>
        <v/>
      </c>
      <c r="O1079" s="113">
        <f>F1079/E1079*N1079</f>
        <v/>
      </c>
      <c r="P1079" s="112">
        <f>G1079/E1079*N1079</f>
        <v/>
      </c>
      <c r="Q1079" s="109" t="n"/>
      <c r="R1079" s="107" t="n"/>
      <c r="S1079" s="109" t="inlineStr">
        <is>
          <t>BR25339LDJD176</t>
        </is>
      </c>
      <c r="T1079" s="114" t="n">
        <v>159</v>
      </c>
      <c r="U1079" s="109" t="n"/>
      <c r="V1079" s="106" t="n"/>
      <c r="W1079" s="106" t="n"/>
      <c r="X1079" s="106" t="inlineStr">
        <is>
          <t>SOLDEE</t>
        </is>
      </c>
      <c r="Y1079" s="116">
        <f>F1079/E1079</f>
        <v/>
      </c>
      <c r="Z1079" s="64">
        <f>E1079-N1079</f>
        <v/>
      </c>
    </row>
    <row r="1080" ht="15.75" customHeight="1" s="202">
      <c r="A1080" s="116" t="n">
        <v>20260055</v>
      </c>
      <c r="B1080" s="117" t="inlineStr">
        <is>
          <t>BAO RUN</t>
        </is>
      </c>
      <c r="C1080" s="118" t="n">
        <v>46079</v>
      </c>
      <c r="E1080" s="116" t="n">
        <v>1</v>
      </c>
      <c r="F1080" s="119" t="n">
        <v>16.5</v>
      </c>
      <c r="G1080" s="120" t="n">
        <v>40</v>
      </c>
      <c r="H1080" s="117" t="inlineStr">
        <is>
          <t>SARL SOREAME</t>
        </is>
      </c>
      <c r="I1080" s="117" t="inlineStr">
        <is>
          <t>NIVELEUSES</t>
        </is>
      </c>
      <c r="J1080" s="117" t="inlineStr">
        <is>
          <t>ENGINS</t>
        </is>
      </c>
      <c r="K1080" s="48">
        <f>D1080+8</f>
        <v/>
      </c>
      <c r="L1080" s="48">
        <f>K1080+60</f>
        <v/>
      </c>
      <c r="N1080" s="72">
        <f>E1080</f>
        <v/>
      </c>
      <c r="O1080" s="50">
        <f>F1080/E1080*N1080</f>
        <v/>
      </c>
      <c r="P1080" s="273">
        <f>G1080/E1080*N1080</f>
        <v/>
      </c>
      <c r="S1080" s="200" t="inlineStr">
        <is>
          <t>BR25339LDJD177</t>
        </is>
      </c>
      <c r="T1080" s="201" t="n">
        <v>160</v>
      </c>
      <c r="U1080" s="58" t="inlineStr">
        <is>
          <t>MOTOR GRADER GR215</t>
        </is>
      </c>
      <c r="V1080" s="67" t="n"/>
      <c r="W1080" s="67" t="n"/>
      <c r="X1080" s="62" t="inlineStr">
        <is>
          <t>N-OP</t>
        </is>
      </c>
      <c r="Y1080" s="116">
        <f>F1080/E1080</f>
        <v/>
      </c>
      <c r="Z1080" s="64">
        <f>E1080-N1080</f>
        <v/>
      </c>
    </row>
    <row r="1081" ht="15.75" customHeight="1" s="202">
      <c r="A1081" s="116" t="n">
        <v>20260055</v>
      </c>
      <c r="B1081" s="117" t="inlineStr">
        <is>
          <t>BAO RUN</t>
        </is>
      </c>
      <c r="C1081" s="118" t="n">
        <v>46079</v>
      </c>
      <c r="E1081" s="116" t="n">
        <v>1</v>
      </c>
      <c r="F1081" s="119" t="n">
        <v>51.296</v>
      </c>
      <c r="G1081" s="120" t="n">
        <v>24</v>
      </c>
      <c r="H1081" s="117" t="inlineStr">
        <is>
          <t>SARL LIOUA</t>
        </is>
      </c>
      <c r="I1081" s="117" t="inlineStr">
        <is>
          <t>EXCAVATEURS</t>
        </is>
      </c>
      <c r="J1081" s="117" t="inlineStr">
        <is>
          <t>ENGINS</t>
        </is>
      </c>
      <c r="K1081" s="48">
        <f>D1081+8</f>
        <v/>
      </c>
      <c r="L1081" s="48">
        <f>K1081+60</f>
        <v/>
      </c>
      <c r="N1081" s="72">
        <f>E1081</f>
        <v/>
      </c>
      <c r="O1081" s="50">
        <f>F1081/E1081*N1081</f>
        <v/>
      </c>
      <c r="P1081" s="273">
        <f>G1081/E1081*N1081</f>
        <v/>
      </c>
      <c r="S1081" s="200" t="inlineStr">
        <is>
          <t>BR25339LDJD178</t>
        </is>
      </c>
      <c r="T1081" s="201" t="n">
        <v>161</v>
      </c>
      <c r="U1081" s="58" t="inlineStr">
        <is>
          <t>01 UNIT VOLVO, EXCAVATOR,+ 03 UNITS</t>
        </is>
      </c>
      <c r="V1081" s="67" t="n"/>
      <c r="W1081" s="67" t="n"/>
      <c r="X1081" s="62" t="inlineStr">
        <is>
          <t>N-OP</t>
        </is>
      </c>
      <c r="Y1081" s="116">
        <f>F1081/E1081</f>
        <v/>
      </c>
      <c r="Z1081" s="64">
        <f>E1081-N1081</f>
        <v/>
      </c>
    </row>
    <row r="1082" ht="15.75" customHeight="1" s="202">
      <c r="A1082" s="116" t="n">
        <v>20260055</v>
      </c>
      <c r="B1082" s="117" t="inlineStr">
        <is>
          <t>BAO RUN</t>
        </is>
      </c>
      <c r="C1082" s="118" t="n">
        <v>46079</v>
      </c>
      <c r="E1082" s="116" t="n">
        <v>3</v>
      </c>
      <c r="F1082" s="119" t="n">
        <v>0</v>
      </c>
      <c r="G1082" s="120" t="n">
        <v>15</v>
      </c>
      <c r="H1082" s="117" t="inlineStr">
        <is>
          <t>SARL LIOUA</t>
        </is>
      </c>
      <c r="I1082" s="117" t="inlineStr">
        <is>
          <t>COLIS</t>
        </is>
      </c>
      <c r="J1082" s="117" t="inlineStr">
        <is>
          <t>COLIS</t>
        </is>
      </c>
      <c r="K1082" s="48">
        <f>D1082+8</f>
        <v/>
      </c>
      <c r="L1082" s="48">
        <f>K1082+60</f>
        <v/>
      </c>
      <c r="N1082" s="72">
        <f>E1082</f>
        <v/>
      </c>
      <c r="O1082" s="50">
        <f>F1082/E1082*N1082</f>
        <v/>
      </c>
      <c r="P1082" s="273">
        <f>G1082/E1082*N1082</f>
        <v/>
      </c>
      <c r="S1082" s="200" t="inlineStr">
        <is>
          <t>BR25339LDJD178</t>
        </is>
      </c>
      <c r="T1082" s="201" t="n">
        <v>161</v>
      </c>
      <c r="U1082" s="58" t="n"/>
      <c r="V1082" s="67" t="n"/>
      <c r="W1082" s="67" t="n"/>
      <c r="X1082" s="62" t="inlineStr">
        <is>
          <t>N-OP</t>
        </is>
      </c>
      <c r="Y1082" s="116">
        <f>F1082/E1082</f>
        <v/>
      </c>
      <c r="Z1082" s="64">
        <f>E1082-N1082</f>
        <v/>
      </c>
    </row>
    <row r="1083" ht="15.75" customHeight="1" s="202">
      <c r="A1083" s="116" t="n">
        <v>20260055</v>
      </c>
      <c r="B1083" s="117" t="inlineStr">
        <is>
          <t>BAO RUN</t>
        </is>
      </c>
      <c r="C1083" s="118" t="n">
        <v>46079</v>
      </c>
      <c r="E1083" s="116" t="n">
        <v>1</v>
      </c>
      <c r="F1083" s="119" t="n">
        <v>50.266</v>
      </c>
      <c r="G1083" s="120" t="n">
        <v>24</v>
      </c>
      <c r="H1083" s="117" t="inlineStr">
        <is>
          <t>SARL LIOUA</t>
        </is>
      </c>
      <c r="I1083" s="117" t="inlineStr">
        <is>
          <t>EXCAVATEURS</t>
        </is>
      </c>
      <c r="J1083" s="117" t="inlineStr">
        <is>
          <t>ENGINS</t>
        </is>
      </c>
      <c r="K1083" s="48">
        <f>D1083+8</f>
        <v/>
      </c>
      <c r="L1083" s="48">
        <f>K1083+60</f>
        <v/>
      </c>
      <c r="N1083" s="72">
        <f>E1083</f>
        <v/>
      </c>
      <c r="O1083" s="50">
        <f>F1083/E1083*N1083</f>
        <v/>
      </c>
      <c r="P1083" s="273">
        <f>G1083/E1083*N1083</f>
        <v/>
      </c>
      <c r="S1083" s="200" t="inlineStr">
        <is>
          <t>BR25339LDJD179</t>
        </is>
      </c>
      <c r="T1083" s="201" t="n">
        <v>162</v>
      </c>
      <c r="U1083" s="58" t="inlineStr">
        <is>
          <t>2 PACKAGES(1 UNIT) VOLVO, EXCAVATOR, EC500ELHBC4 (PELLE HYDRAULIQUE) MODEL:EC500ELC4 VIN NO.&amp;ENGINE NO.:VCE0CEJEE00330201 2304687 YEAR:2025 2 PACKAGES ON DECK</t>
        </is>
      </c>
      <c r="V1083" s="67" t="n"/>
      <c r="W1083" s="67" t="n"/>
      <c r="X1083" s="62" t="inlineStr">
        <is>
          <t>N-OP</t>
        </is>
      </c>
      <c r="Y1083" s="116">
        <f>F1083/E1083</f>
        <v/>
      </c>
      <c r="Z1083" s="64">
        <f>E1083-N1083</f>
        <v/>
      </c>
    </row>
    <row r="1084" ht="15.75" customHeight="1" s="202">
      <c r="A1084" s="116" t="n">
        <v>20260055</v>
      </c>
      <c r="B1084" s="117" t="inlineStr">
        <is>
          <t>BAO RUN</t>
        </is>
      </c>
      <c r="C1084" s="118" t="n">
        <v>46079</v>
      </c>
      <c r="E1084" s="116" t="n">
        <v>1</v>
      </c>
      <c r="F1084" s="119" t="n">
        <v>0</v>
      </c>
      <c r="G1084" s="120" t="n">
        <v>5</v>
      </c>
      <c r="H1084" s="117" t="inlineStr">
        <is>
          <t>SARL LIOUA</t>
        </is>
      </c>
      <c r="I1084" s="117" t="inlineStr">
        <is>
          <t>COLIS</t>
        </is>
      </c>
      <c r="J1084" s="117" t="inlineStr">
        <is>
          <t>COLIS</t>
        </is>
      </c>
      <c r="K1084" s="48">
        <f>D1084+8</f>
        <v/>
      </c>
      <c r="L1084" s="48">
        <f>K1084+60</f>
        <v/>
      </c>
      <c r="N1084" s="72">
        <f>E1084</f>
        <v/>
      </c>
      <c r="O1084" s="50">
        <f>F1084/E1084*N1084</f>
        <v/>
      </c>
      <c r="P1084" s="273">
        <f>G1084/E1084*N1084</f>
        <v/>
      </c>
      <c r="S1084" s="200" t="inlineStr">
        <is>
          <t>BR25339LDJD179</t>
        </is>
      </c>
      <c r="T1084" s="201" t="n">
        <v>162</v>
      </c>
      <c r="U1084" s="58" t="n"/>
      <c r="V1084" s="67" t="n"/>
      <c r="W1084" s="67" t="n"/>
      <c r="X1084" s="62" t="inlineStr">
        <is>
          <t>N-OP</t>
        </is>
      </c>
      <c r="Y1084" s="116">
        <f>F1084/E1084</f>
        <v/>
      </c>
      <c r="Z1084" s="64">
        <f>E1084-N1084</f>
        <v/>
      </c>
    </row>
    <row r="1085" ht="15.75" customHeight="1" s="202">
      <c r="A1085" s="106" t="n">
        <v>20260055</v>
      </c>
      <c r="B1085" s="107" t="inlineStr">
        <is>
          <t>BAO RUN</t>
        </is>
      </c>
      <c r="C1085" s="108" t="n">
        <v>46079</v>
      </c>
      <c r="D1085" s="108" t="n"/>
      <c r="E1085" s="106" t="n">
        <v>1</v>
      </c>
      <c r="F1085" s="106" t="n">
        <v>26</v>
      </c>
      <c r="G1085" s="106" t="n">
        <v>24</v>
      </c>
      <c r="H1085" s="107" t="inlineStr">
        <is>
          <t>SARL BETON OUED REGH</t>
        </is>
      </c>
      <c r="I1085" s="107" t="inlineStr">
        <is>
          <t>CAMION POMPE A BETON</t>
        </is>
      </c>
      <c r="J1085" s="107" t="inlineStr">
        <is>
          <t>LOURD</t>
        </is>
      </c>
      <c r="K1085" s="108">
        <f>D1085+8</f>
        <v/>
      </c>
      <c r="L1085" s="108">
        <f>K1085+60</f>
        <v/>
      </c>
      <c r="M1085" s="107" t="n"/>
      <c r="N1085" s="112">
        <f>E1085-1</f>
        <v/>
      </c>
      <c r="O1085" s="113">
        <f>F1085/E1085*N1085</f>
        <v/>
      </c>
      <c r="P1085" s="112">
        <f>G1085/E1085*N1085</f>
        <v/>
      </c>
      <c r="Q1085" s="109" t="n"/>
      <c r="R1085" s="107" t="n"/>
      <c r="S1085" s="109" t="inlineStr">
        <is>
          <t>BR25339LDJD181</t>
        </is>
      </c>
      <c r="T1085" s="114" t="n">
        <v>164</v>
      </c>
      <c r="U1085" s="109" t="inlineStr">
        <is>
          <t>XCMG CONCRETE PUMP TRUCK</t>
        </is>
      </c>
      <c r="V1085" s="106" t="n"/>
      <c r="W1085" s="106" t="n"/>
      <c r="X1085" s="106" t="inlineStr">
        <is>
          <t>SOLDEE</t>
        </is>
      </c>
      <c r="Y1085" s="116">
        <f>F1085/E1085</f>
        <v/>
      </c>
    </row>
    <row r="1086" ht="15.75" customHeight="1" s="202">
      <c r="A1086" s="106" t="n">
        <v>20260055</v>
      </c>
      <c r="B1086" s="107" t="inlineStr">
        <is>
          <t>BAO RUN</t>
        </is>
      </c>
      <c r="C1086" s="108" t="n">
        <v>46079</v>
      </c>
      <c r="D1086" s="108" t="n"/>
      <c r="E1086" s="106" t="n">
        <v>10</v>
      </c>
      <c r="F1086" s="106" t="n">
        <v>134.56</v>
      </c>
      <c r="G1086" s="106" t="n">
        <v>400</v>
      </c>
      <c r="H1086" s="107" t="inlineStr">
        <is>
          <t>SARL PENG-PU ALGERIE</t>
        </is>
      </c>
      <c r="I1086" s="107" t="inlineStr">
        <is>
          <t>COLIS</t>
        </is>
      </c>
      <c r="J1086" s="107" t="inlineStr">
        <is>
          <t>COLIS</t>
        </is>
      </c>
      <c r="K1086" s="108">
        <f>D1086+8</f>
        <v/>
      </c>
      <c r="L1086" s="108">
        <f>K1086+60</f>
        <v/>
      </c>
      <c r="M1086" s="107" t="n"/>
      <c r="N1086" s="112">
        <f>E1086-6-4</f>
        <v/>
      </c>
      <c r="O1086" s="113">
        <f>F1086/E1086*N1086</f>
        <v/>
      </c>
      <c r="P1086" s="112">
        <f>G1086/E1086*N1086</f>
        <v/>
      </c>
      <c r="Q1086" s="109" t="n"/>
      <c r="R1086" s="107" t="n"/>
      <c r="S1086" s="109" t="inlineStr">
        <is>
          <t>BR25339HGDJ001</t>
        </is>
      </c>
      <c r="T1086" s="114" t="n">
        <v>174</v>
      </c>
      <c r="U1086" s="109" t="inlineStr">
        <is>
          <t>10 AUTOBUS GDW6121HK (EUR03) DKD 2025 MY EN KIT</t>
        </is>
      </c>
      <c r="V1086" s="106" t="n"/>
      <c r="W1086" s="106" t="n"/>
      <c r="X1086" s="106" t="inlineStr">
        <is>
          <t>SOLDEE</t>
        </is>
      </c>
      <c r="Y1086" s="116">
        <f>F1086/E1086</f>
        <v/>
      </c>
      <c r="Z1086" s="64">
        <f>E1086-N1086</f>
        <v/>
      </c>
    </row>
    <row r="1087" ht="15.75" customHeight="1" s="202">
      <c r="A1087" s="106" t="n">
        <v>20260055</v>
      </c>
      <c r="B1087" s="107" t="inlineStr">
        <is>
          <t>BAO RUN</t>
        </is>
      </c>
      <c r="C1087" s="108" t="n">
        <v>46079</v>
      </c>
      <c r="D1087" s="108" t="n"/>
      <c r="E1087" s="106" t="n">
        <v>15</v>
      </c>
      <c r="F1087" s="106" t="n">
        <v>201.84</v>
      </c>
      <c r="G1087" s="106" t="n">
        <v>600</v>
      </c>
      <c r="H1087" s="107" t="inlineStr">
        <is>
          <t>SARL PENG-PU ALGERIE</t>
        </is>
      </c>
      <c r="I1087" s="107" t="inlineStr">
        <is>
          <t>COLIS</t>
        </is>
      </c>
      <c r="J1087" s="107" t="inlineStr">
        <is>
          <t>COLIS</t>
        </is>
      </c>
      <c r="K1087" s="108">
        <f>D1087+8</f>
        <v/>
      </c>
      <c r="L1087" s="108">
        <f>K1087+60</f>
        <v/>
      </c>
      <c r="M1087" s="107" t="n"/>
      <c r="N1087" s="112">
        <f>E1087-3-12</f>
        <v/>
      </c>
      <c r="O1087" s="113">
        <f>F1087/E1087*N1087</f>
        <v/>
      </c>
      <c r="P1087" s="112">
        <f>G1087/E1087*N1087</f>
        <v/>
      </c>
      <c r="Q1087" s="109" t="n"/>
      <c r="R1087" s="107" t="n"/>
      <c r="S1087" s="109" t="inlineStr">
        <is>
          <t>BR25339HGDJ002</t>
        </is>
      </c>
      <c r="T1087" s="114" t="n">
        <v>175</v>
      </c>
      <c r="U1087" s="109" t="inlineStr">
        <is>
          <t>15 AUTOBUS GDW6121HK (EUR03) DKD 2025 MY EN KIT</t>
        </is>
      </c>
      <c r="V1087" s="106" t="n"/>
      <c r="W1087" s="106" t="n"/>
      <c r="X1087" s="106" t="inlineStr">
        <is>
          <t>SOLDEE</t>
        </is>
      </c>
      <c r="Y1087" s="116">
        <f>F1087/E1087</f>
        <v/>
      </c>
      <c r="Z1087" s="64">
        <f>E1087-N1087</f>
        <v/>
      </c>
    </row>
    <row r="1088" ht="15.75" customHeight="1" s="202">
      <c r="A1088" s="116" t="n">
        <v>20260055</v>
      </c>
      <c r="B1088" s="117" t="inlineStr">
        <is>
          <t>BAO RUN</t>
        </is>
      </c>
      <c r="C1088" s="118" t="n">
        <v>46079</v>
      </c>
      <c r="E1088" s="116" t="n">
        <v>465</v>
      </c>
      <c r="F1088" s="119" t="n">
        <v>1043.96</v>
      </c>
      <c r="G1088" s="120" t="n">
        <v>302.25</v>
      </c>
      <c r="H1088" s="117" t="inlineStr">
        <is>
          <t>SARL BKRC TRADING</t>
        </is>
      </c>
      <c r="I1088" s="117" t="inlineStr">
        <is>
          <t>MDF</t>
        </is>
      </c>
      <c r="J1088" s="117" t="inlineStr">
        <is>
          <t>CTP</t>
        </is>
      </c>
      <c r="K1088" s="48">
        <f>D1088+8</f>
        <v/>
      </c>
      <c r="L1088" s="48">
        <f>K1088+60</f>
        <v/>
      </c>
      <c r="N1088" s="72">
        <f>E1088</f>
        <v/>
      </c>
      <c r="O1088" s="50">
        <f>F1088/E1088*N1088</f>
        <v/>
      </c>
      <c r="P1088" s="273">
        <f>G1088/E1088*N1088</f>
        <v/>
      </c>
      <c r="S1088" s="200" t="inlineStr">
        <is>
          <t>BR25339LDJD056</t>
        </is>
      </c>
      <c r="T1088" s="201" t="n">
        <v>50</v>
      </c>
      <c r="U1088" s="58" t="inlineStr">
        <is>
          <t>MDF</t>
        </is>
      </c>
      <c r="V1088" s="67" t="n"/>
      <c r="W1088" s="67" t="n"/>
      <c r="X1088" s="62" t="inlineStr">
        <is>
          <t>N-OP</t>
        </is>
      </c>
      <c r="Y1088" s="116">
        <f>F1088/E1088</f>
        <v/>
      </c>
      <c r="Z1088" s="64">
        <f>E1088-N1088</f>
        <v/>
      </c>
    </row>
    <row r="1089" ht="15.75" customHeight="1" s="202">
      <c r="A1089" s="116" t="n">
        <v>20260055</v>
      </c>
      <c r="B1089" s="117" t="inlineStr">
        <is>
          <t>BAO RUN</t>
        </is>
      </c>
      <c r="C1089" s="118" t="n">
        <v>46079</v>
      </c>
      <c r="E1089" s="116" t="n">
        <v>700</v>
      </c>
      <c r="F1089" s="119" t="n">
        <v>751.2</v>
      </c>
      <c r="G1089" s="120" t="n">
        <v>455</v>
      </c>
      <c r="H1089" s="117" t="inlineStr">
        <is>
          <t>SARL R H BOIS</t>
        </is>
      </c>
      <c r="I1089" s="117" t="inlineStr">
        <is>
          <t>FFP</t>
        </is>
      </c>
      <c r="J1089" s="117" t="inlineStr">
        <is>
          <t>CTP</t>
        </is>
      </c>
      <c r="K1089" s="48">
        <f>D1089+8</f>
        <v/>
      </c>
      <c r="L1089" s="48">
        <f>K1089+60</f>
        <v/>
      </c>
      <c r="N1089" s="72">
        <f>E1089</f>
        <v/>
      </c>
      <c r="O1089" s="50">
        <f>F1089/E1089*N1089</f>
        <v/>
      </c>
      <c r="P1089" s="273">
        <f>G1089/E1089*N1089</f>
        <v/>
      </c>
      <c r="S1089" s="200" t="inlineStr">
        <is>
          <t>BR25339LDJD095</t>
        </is>
      </c>
      <c r="T1089" s="201" t="n">
        <v>87</v>
      </c>
      <c r="U1089" s="58" t="inlineStr">
        <is>
          <t>FILM FACED PLYWOOD</t>
        </is>
      </c>
      <c r="V1089" s="67" t="n"/>
      <c r="W1089" s="67" t="n"/>
      <c r="X1089" s="62" t="inlineStr">
        <is>
          <t>N-OP</t>
        </is>
      </c>
      <c r="Y1089" s="116">
        <f>F1089/E1089</f>
        <v/>
      </c>
      <c r="Z1089" s="64">
        <f>E1089-N1089</f>
        <v/>
      </c>
    </row>
    <row r="1090" ht="15.75" customHeight="1" s="202">
      <c r="A1090" s="300" t="n">
        <v>20260055</v>
      </c>
      <c r="B1090" s="301" t="inlineStr">
        <is>
          <t>BAO RUN</t>
        </is>
      </c>
      <c r="C1090" s="302" t="n">
        <v>46079</v>
      </c>
      <c r="D1090" s="322" t="n"/>
      <c r="E1090" s="300" t="n">
        <v>449</v>
      </c>
      <c r="F1090" s="304" t="n">
        <v>874.049</v>
      </c>
      <c r="G1090" s="305" t="n">
        <v>291.85</v>
      </c>
      <c r="H1090" s="301" t="inlineStr">
        <is>
          <t>SARL R H BOIS</t>
        </is>
      </c>
      <c r="I1090" s="301" t="inlineStr">
        <is>
          <t>PLYWOOD</t>
        </is>
      </c>
      <c r="J1090" s="301" t="inlineStr">
        <is>
          <t>CTP</t>
        </is>
      </c>
      <c r="K1090" s="307">
        <f>D1090+8</f>
        <v/>
      </c>
      <c r="L1090" s="307">
        <f>K1090+60</f>
        <v/>
      </c>
      <c r="M1090" s="322" t="n"/>
      <c r="N1090" s="309">
        <f>E1090-90</f>
        <v/>
      </c>
      <c r="O1090" s="310">
        <f>F1090/E1090*N1090</f>
        <v/>
      </c>
      <c r="P1090" s="311">
        <f>G1090/E1090*N1090</f>
        <v/>
      </c>
      <c r="S1090" s="200" t="inlineStr">
        <is>
          <t>BR25339LDJD102</t>
        </is>
      </c>
      <c r="T1090" s="201" t="n">
        <v>93</v>
      </c>
      <c r="U1090" s="58" t="inlineStr">
        <is>
          <t>COMMERCIAL PLYWOOD</t>
        </is>
      </c>
      <c r="V1090" s="67" t="n"/>
      <c r="W1090" s="67" t="n"/>
      <c r="X1090" s="312" t="inlineStr">
        <is>
          <t>OPER</t>
        </is>
      </c>
      <c r="Y1090" s="116">
        <f>F1090/E1090</f>
        <v/>
      </c>
      <c r="Z1090" s="64">
        <f>E1090-N1090</f>
        <v/>
      </c>
    </row>
    <row r="1091" ht="15.75" customHeight="1" s="202">
      <c r="A1091" s="300" t="n">
        <v>20260055</v>
      </c>
      <c r="B1091" s="301" t="inlineStr">
        <is>
          <t>BAO RUN</t>
        </is>
      </c>
      <c r="C1091" s="302" t="n">
        <v>46079</v>
      </c>
      <c r="D1091" s="322" t="n"/>
      <c r="E1091" s="300" t="n">
        <v>1132</v>
      </c>
      <c r="F1091" s="304" t="n">
        <v>1192.396</v>
      </c>
      <c r="G1091" s="305" t="n">
        <v>735.8</v>
      </c>
      <c r="H1091" s="301" t="inlineStr">
        <is>
          <t>SARL R H BOIS</t>
        </is>
      </c>
      <c r="I1091" s="301" t="inlineStr">
        <is>
          <t>PLYWOOD</t>
        </is>
      </c>
      <c r="J1091" s="301" t="inlineStr">
        <is>
          <t>CTP</t>
        </is>
      </c>
      <c r="K1091" s="307">
        <f>D1091+8</f>
        <v/>
      </c>
      <c r="L1091" s="307">
        <f>K1091+60</f>
        <v/>
      </c>
      <c r="M1091" s="322" t="n"/>
      <c r="N1091" s="309">
        <f>E1091-30</f>
        <v/>
      </c>
      <c r="O1091" s="310">
        <f>F1091/E1091*N1091</f>
        <v/>
      </c>
      <c r="P1091" s="311">
        <f>G1091/E1091*N1091</f>
        <v/>
      </c>
      <c r="S1091" s="200" t="inlineStr">
        <is>
          <t>BR25339LDJD105</t>
        </is>
      </c>
      <c r="T1091" s="201" t="n">
        <v>96</v>
      </c>
      <c r="U1091" s="58" t="inlineStr">
        <is>
          <t>COMMERCIAL PLYWOOD</t>
        </is>
      </c>
      <c r="V1091" s="67" t="n"/>
      <c r="W1091" s="67" t="n"/>
      <c r="X1091" s="312" t="inlineStr">
        <is>
          <t>OPER</t>
        </is>
      </c>
      <c r="Y1091" s="116">
        <f>F1091/E1091</f>
        <v/>
      </c>
      <c r="Z1091" s="64">
        <f>E1091-N1091</f>
        <v/>
      </c>
    </row>
    <row r="1092" ht="15.75" customHeight="1" s="202">
      <c r="A1092" s="206" t="n">
        <v>20260055</v>
      </c>
      <c r="B1092" s="207" t="inlineStr">
        <is>
          <t>BAO RUN</t>
        </is>
      </c>
      <c r="C1092" s="208" t="n">
        <v>46079</v>
      </c>
      <c r="D1092" s="208" t="n"/>
      <c r="E1092" s="206" t="n">
        <v>447</v>
      </c>
      <c r="F1092" s="210" t="n">
        <v>939.662</v>
      </c>
      <c r="G1092" s="211" t="n">
        <v>290.55</v>
      </c>
      <c r="H1092" s="207" t="inlineStr">
        <is>
          <t>EURL ANDOLERZAK PANNEAUX</t>
        </is>
      </c>
      <c r="I1092" s="207" t="inlineStr">
        <is>
          <t>MDF</t>
        </is>
      </c>
      <c r="J1092" s="207" t="inlineStr">
        <is>
          <t>CTP</t>
        </is>
      </c>
      <c r="K1092" s="213">
        <f>D1092+8</f>
        <v/>
      </c>
      <c r="L1092" s="213">
        <f>K1092+60</f>
        <v/>
      </c>
      <c r="M1092" s="207" t="n"/>
      <c r="N1092" s="215">
        <f>E1092-20-40</f>
        <v/>
      </c>
      <c r="O1092" s="216">
        <f>F1092/E1092*N1092</f>
        <v/>
      </c>
      <c r="P1092" s="218">
        <f>G1092/E1092*N1092</f>
        <v/>
      </c>
      <c r="S1092" s="200" t="inlineStr">
        <is>
          <t>BR25339LDJD096</t>
        </is>
      </c>
      <c r="T1092" s="201" t="n">
        <v>88</v>
      </c>
      <c r="U1092" s="58" t="inlineStr">
        <is>
          <t>MDF</t>
        </is>
      </c>
      <c r="V1092" s="67" t="n"/>
      <c r="W1092" s="67" t="n"/>
      <c r="X1092" s="182" t="inlineStr">
        <is>
          <t>OPER</t>
        </is>
      </c>
      <c r="Y1092" s="116">
        <f>F1092/E1092</f>
        <v/>
      </c>
      <c r="Z1092" s="64">
        <f>E1092-N1092</f>
        <v/>
      </c>
    </row>
    <row r="1093" ht="15.75" customHeight="1" s="202">
      <c r="A1093" s="206" t="n">
        <v>20260055</v>
      </c>
      <c r="B1093" s="207" t="inlineStr">
        <is>
          <t>BAO RUN</t>
        </is>
      </c>
      <c r="C1093" s="208" t="n">
        <v>46079</v>
      </c>
      <c r="D1093" s="208" t="n"/>
      <c r="E1093" s="206" t="n">
        <v>750</v>
      </c>
      <c r="F1093" s="210" t="n">
        <v>768.442</v>
      </c>
      <c r="G1093" s="211" t="n">
        <v>487.5</v>
      </c>
      <c r="H1093" s="207" t="inlineStr">
        <is>
          <t>SARL BCIMEX</t>
        </is>
      </c>
      <c r="I1093" s="207" t="inlineStr">
        <is>
          <t>PLYWOOD + FFP</t>
        </is>
      </c>
      <c r="J1093" s="207" t="inlineStr">
        <is>
          <t>CTP</t>
        </is>
      </c>
      <c r="K1093" s="213">
        <f>D1093+8</f>
        <v/>
      </c>
      <c r="L1093" s="213">
        <f>K1093+60</f>
        <v/>
      </c>
      <c r="M1093" s="207" t="n"/>
      <c r="N1093" s="215">
        <f>E1093-130-116-220-150</f>
        <v/>
      </c>
      <c r="O1093" s="216">
        <f>F1093/E1093*N1093</f>
        <v/>
      </c>
      <c r="P1093" s="218">
        <f>G1093/E1093*N1093</f>
        <v/>
      </c>
      <c r="S1093" s="200" t="inlineStr">
        <is>
          <t>BR25339LDJD098</t>
        </is>
      </c>
      <c r="T1093" s="201" t="n">
        <v>89</v>
      </c>
      <c r="U1093" s="58" t="inlineStr">
        <is>
          <t>COMMERCIAL PLYWOOD / FILM FACED PLYWOOD</t>
        </is>
      </c>
      <c r="V1093" s="67" t="n"/>
      <c r="W1093" s="67" t="n"/>
      <c r="X1093" s="182" t="inlineStr">
        <is>
          <t>OPER</t>
        </is>
      </c>
      <c r="Y1093" s="116">
        <f>F1093/E1093</f>
        <v/>
      </c>
      <c r="Z1093" s="64">
        <f>E1093-N1093</f>
        <v/>
      </c>
    </row>
    <row r="1094" ht="15.75" customHeight="1" s="202">
      <c r="A1094" s="300" t="n">
        <v>20260055</v>
      </c>
      <c r="B1094" s="301" t="inlineStr">
        <is>
          <t>BAO RUN</t>
        </is>
      </c>
      <c r="C1094" s="302" t="n">
        <v>46079</v>
      </c>
      <c r="D1094" s="322" t="n"/>
      <c r="E1094" s="300" t="n">
        <v>446</v>
      </c>
      <c r="F1094" s="304" t="n">
        <v>964.929</v>
      </c>
      <c r="G1094" s="305" t="n">
        <v>289.9</v>
      </c>
      <c r="H1094" s="301" t="inlineStr">
        <is>
          <t>SARL BCIMEX</t>
        </is>
      </c>
      <c r="I1094" s="301" t="inlineStr">
        <is>
          <t>MDF</t>
        </is>
      </c>
      <c r="J1094" s="301" t="inlineStr">
        <is>
          <t>CTP</t>
        </is>
      </c>
      <c r="K1094" s="307">
        <f>D1094+8</f>
        <v/>
      </c>
      <c r="L1094" s="307">
        <f>K1094+60</f>
        <v/>
      </c>
      <c r="M1094" s="322" t="n"/>
      <c r="N1094" s="309">
        <f>E1094-69</f>
        <v/>
      </c>
      <c r="O1094" s="310">
        <f>F1094/E1094*N1094</f>
        <v/>
      </c>
      <c r="P1094" s="311">
        <f>G1094/E1094*N1094</f>
        <v/>
      </c>
      <c r="S1094" s="200" t="inlineStr">
        <is>
          <t>BR25339LDJD099</t>
        </is>
      </c>
      <c r="T1094" s="201" t="n">
        <v>90</v>
      </c>
      <c r="U1094" s="58" t="inlineStr">
        <is>
          <t>MDF</t>
        </is>
      </c>
      <c r="V1094" s="67" t="n"/>
      <c r="W1094" s="67" t="n"/>
      <c r="X1094" s="312" t="inlineStr">
        <is>
          <t>OPER</t>
        </is>
      </c>
      <c r="Y1094" s="116">
        <f>F1094/E1094</f>
        <v/>
      </c>
      <c r="Z1094" s="64">
        <f>E1094-N1094</f>
        <v/>
      </c>
    </row>
    <row r="1095" ht="15.75" customHeight="1" s="202">
      <c r="A1095" s="206" t="n">
        <v>20260055</v>
      </c>
      <c r="B1095" s="207" t="inlineStr">
        <is>
          <t>BAO RUN</t>
        </is>
      </c>
      <c r="C1095" s="208" t="n">
        <v>46079</v>
      </c>
      <c r="D1095" s="208" t="n"/>
      <c r="E1095" s="206" t="n">
        <v>600</v>
      </c>
      <c r="F1095" s="210" t="n">
        <v>568.17</v>
      </c>
      <c r="G1095" s="211" t="n">
        <v>390</v>
      </c>
      <c r="H1095" s="207" t="inlineStr">
        <is>
          <t>SARL CHAHIR NOUR</t>
        </is>
      </c>
      <c r="I1095" s="207" t="inlineStr">
        <is>
          <t>PLYWOOD + FFP</t>
        </is>
      </c>
      <c r="J1095" s="207" t="inlineStr">
        <is>
          <t>CTP</t>
        </is>
      </c>
      <c r="K1095" s="213">
        <f>D1095+8</f>
        <v/>
      </c>
      <c r="L1095" s="213">
        <f>K1095+60</f>
        <v/>
      </c>
      <c r="M1095" s="207" t="n"/>
      <c r="N1095" s="215">
        <f>E1095-204-85-13</f>
        <v/>
      </c>
      <c r="O1095" s="216">
        <f>F1095/E1095*N1095</f>
        <v/>
      </c>
      <c r="P1095" s="218">
        <f>G1095/E1095*N1095</f>
        <v/>
      </c>
      <c r="S1095" s="200" t="inlineStr">
        <is>
          <t>BR25339LDJD100</t>
        </is>
      </c>
      <c r="T1095" s="201" t="n">
        <v>91</v>
      </c>
      <c r="U1095" s="58" t="inlineStr">
        <is>
          <t>COMMERCIAL PLYWOOD / FILM FACED PLYWOOD</t>
        </is>
      </c>
      <c r="V1095" s="67" t="n"/>
      <c r="W1095" s="67" t="n"/>
      <c r="X1095" s="182" t="inlineStr">
        <is>
          <t>OPER</t>
        </is>
      </c>
      <c r="Y1095" s="116">
        <f>F1095/E1095</f>
        <v/>
      </c>
      <c r="Z1095" s="64">
        <f>E1095-N1095</f>
        <v/>
      </c>
    </row>
    <row r="1096" ht="15.75" customHeight="1" s="202">
      <c r="A1096" s="116" t="n">
        <v>20260055</v>
      </c>
      <c r="B1096" s="117" t="inlineStr">
        <is>
          <t>BAO RUN</t>
        </is>
      </c>
      <c r="C1096" s="118" t="n">
        <v>46079</v>
      </c>
      <c r="E1096" s="116" t="n">
        <v>350</v>
      </c>
      <c r="F1096" s="119" t="n">
        <v>354.379</v>
      </c>
      <c r="G1096" s="120" t="n">
        <v>227.5</v>
      </c>
      <c r="H1096" s="117" t="inlineStr">
        <is>
          <t>EURL E.I.H EQUIPEMENT INDUSTRIEL BOIS ET DERIVES H</t>
        </is>
      </c>
      <c r="I1096" s="117" t="inlineStr">
        <is>
          <t>MDF</t>
        </is>
      </c>
      <c r="J1096" s="117" t="inlineStr">
        <is>
          <t>CTP</t>
        </is>
      </c>
      <c r="K1096" s="48">
        <f>D1096+8</f>
        <v/>
      </c>
      <c r="L1096" s="48">
        <f>K1096+60</f>
        <v/>
      </c>
      <c r="N1096" s="72">
        <f>E1096</f>
        <v/>
      </c>
      <c r="O1096" s="50">
        <f>F1096/E1096*N1096</f>
        <v/>
      </c>
      <c r="P1096" s="273">
        <f>G1096/E1096*N1096</f>
        <v/>
      </c>
      <c r="S1096" s="200" t="inlineStr">
        <is>
          <t>BR25339LDJD101</t>
        </is>
      </c>
      <c r="T1096" s="201" t="n">
        <v>92</v>
      </c>
      <c r="U1096" s="58" t="inlineStr">
        <is>
          <t>MDF / BLOCKBOARD</t>
        </is>
      </c>
      <c r="V1096" s="67" t="n"/>
      <c r="W1096" s="67" t="n"/>
      <c r="X1096" s="62" t="inlineStr">
        <is>
          <t>N-OP</t>
        </is>
      </c>
      <c r="Y1096" s="116">
        <f>F1096/E1096</f>
        <v/>
      </c>
      <c r="Z1096" s="64">
        <f>E1096-N1096</f>
        <v/>
      </c>
    </row>
    <row r="1097" ht="15.75" customHeight="1" s="202">
      <c r="A1097" s="116" t="n">
        <v>20260055</v>
      </c>
      <c r="B1097" s="117" t="inlineStr">
        <is>
          <t>BAO RUN</t>
        </is>
      </c>
      <c r="C1097" s="118" t="n">
        <v>46079</v>
      </c>
      <c r="E1097" s="116" t="n">
        <v>1432</v>
      </c>
      <c r="F1097" s="119" t="n">
        <v>2920.107</v>
      </c>
      <c r="G1097" s="120" t="n">
        <v>930.8</v>
      </c>
      <c r="H1097" s="117" t="inlineStr">
        <is>
          <t>SARL OFISCO</t>
        </is>
      </c>
      <c r="I1097" s="117" t="inlineStr">
        <is>
          <t>PLYWOOD</t>
        </is>
      </c>
      <c r="J1097" s="117" t="inlineStr">
        <is>
          <t>CTP</t>
        </is>
      </c>
      <c r="K1097" s="48">
        <f>D1097+8</f>
        <v/>
      </c>
      <c r="L1097" s="48">
        <f>K1097+60</f>
        <v/>
      </c>
      <c r="N1097" s="72">
        <f>E1097</f>
        <v/>
      </c>
      <c r="O1097" s="50">
        <f>F1097/E1097*N1097</f>
        <v/>
      </c>
      <c r="P1097" s="273">
        <f>G1097/E1097*N1097</f>
        <v/>
      </c>
      <c r="S1097" s="200" t="inlineStr">
        <is>
          <t>BR25339LDJD103</t>
        </is>
      </c>
      <c r="T1097" s="201" t="n">
        <v>94</v>
      </c>
      <c r="U1097" s="58" t="inlineStr">
        <is>
          <t>PLYWOOD</t>
        </is>
      </c>
      <c r="V1097" s="67" t="n"/>
      <c r="W1097" s="67" t="n"/>
      <c r="X1097" s="62" t="inlineStr">
        <is>
          <t>N-OP</t>
        </is>
      </c>
      <c r="Y1097" s="116">
        <f>F1097/E1097</f>
        <v/>
      </c>
      <c r="Z1097" s="64">
        <f>E1097-N1097</f>
        <v/>
      </c>
    </row>
    <row r="1098" ht="15.75" customHeight="1" s="202">
      <c r="A1098" s="116" t="n">
        <v>20260055</v>
      </c>
      <c r="B1098" s="117" t="inlineStr">
        <is>
          <t>BAO RUN</t>
        </is>
      </c>
      <c r="C1098" s="118" t="n">
        <v>46079</v>
      </c>
      <c r="E1098" s="116" t="n">
        <v>410</v>
      </c>
      <c r="F1098" s="119" t="n">
        <v>394.91</v>
      </c>
      <c r="G1098" s="120" t="n">
        <v>266.5</v>
      </c>
      <c r="H1098" s="117" t="inlineStr">
        <is>
          <t>SARL BYINVEST</t>
        </is>
      </c>
      <c r="I1098" s="117" t="inlineStr">
        <is>
          <t>MDF</t>
        </is>
      </c>
      <c r="J1098" s="117" t="inlineStr">
        <is>
          <t>CTP</t>
        </is>
      </c>
      <c r="K1098" s="48">
        <f>D1098+8</f>
        <v/>
      </c>
      <c r="L1098" s="48">
        <f>K1098+60</f>
        <v/>
      </c>
      <c r="N1098" s="72">
        <f>E1098</f>
        <v/>
      </c>
      <c r="O1098" s="50">
        <f>F1098/E1098*N1098</f>
        <v/>
      </c>
      <c r="P1098" s="273">
        <f>G1098/E1098*N1098</f>
        <v/>
      </c>
      <c r="S1098" s="200" t="inlineStr">
        <is>
          <t>BR25339LDJD104</t>
        </is>
      </c>
      <c r="T1098" s="201" t="n">
        <v>95</v>
      </c>
      <c r="U1098" s="58" t="inlineStr">
        <is>
          <t>MDF</t>
        </is>
      </c>
      <c r="V1098" s="67" t="n"/>
      <c r="W1098" s="67" t="n"/>
      <c r="X1098" s="62" t="inlineStr">
        <is>
          <t>N-OP</t>
        </is>
      </c>
      <c r="Y1098" s="116">
        <f>F1098/E1098</f>
        <v/>
      </c>
      <c r="Z1098" s="64">
        <f>E1098-N1098</f>
        <v/>
      </c>
    </row>
    <row r="1099" ht="15.75" customHeight="1" s="202">
      <c r="A1099" s="116" t="n">
        <v>20260055</v>
      </c>
      <c r="B1099" s="117" t="inlineStr">
        <is>
          <t>BAO RUN</t>
        </is>
      </c>
      <c r="C1099" s="118" t="n">
        <v>46079</v>
      </c>
      <c r="E1099" s="116" t="n">
        <v>170</v>
      </c>
      <c r="F1099" s="119" t="n">
        <v>140.28</v>
      </c>
      <c r="G1099" s="120" t="n">
        <v>110.5</v>
      </c>
      <c r="H1099" s="117" t="inlineStr">
        <is>
          <t>SARL ETPB CHEMRINE</t>
        </is>
      </c>
      <c r="I1099" s="117" t="inlineStr">
        <is>
          <t>PLYWOOD + MDF</t>
        </is>
      </c>
      <c r="J1099" s="117" t="inlineStr">
        <is>
          <t>CTP</t>
        </is>
      </c>
      <c r="K1099" s="48">
        <f>D1099+8</f>
        <v/>
      </c>
      <c r="L1099" s="48">
        <f>K1099+60</f>
        <v/>
      </c>
      <c r="N1099" s="72">
        <f>E1099</f>
        <v/>
      </c>
      <c r="O1099" s="50">
        <f>F1099/E1099*N1099</f>
        <v/>
      </c>
      <c r="P1099" s="273">
        <f>G1099/E1099*N1099</f>
        <v/>
      </c>
      <c r="S1099" s="200" t="inlineStr">
        <is>
          <t>BR25339LDJD106</t>
        </is>
      </c>
      <c r="T1099" s="201" t="n">
        <v>97</v>
      </c>
      <c r="U1099" s="58" t="inlineStr">
        <is>
          <t>EDGE GLUED PANEL / COMMERCIAL PLYWOOD</t>
        </is>
      </c>
      <c r="V1099" s="67" t="n"/>
      <c r="W1099" s="67" t="n"/>
      <c r="X1099" s="62" t="inlineStr">
        <is>
          <t>N-OP</t>
        </is>
      </c>
      <c r="Y1099" s="116">
        <f>F1099/E1099</f>
        <v/>
      </c>
      <c r="Z1099" s="64">
        <f>E1099-N1099</f>
        <v/>
      </c>
    </row>
    <row r="1100" ht="15.75" customHeight="1" s="202">
      <c r="A1100" s="116" t="n">
        <v>20260055</v>
      </c>
      <c r="B1100" s="117" t="inlineStr">
        <is>
          <t>BAO RUN</t>
        </is>
      </c>
      <c r="C1100" s="118" t="n">
        <v>46079</v>
      </c>
      <c r="E1100" s="116" t="n">
        <v>719</v>
      </c>
      <c r="F1100" s="119" t="n">
        <v>664.684</v>
      </c>
      <c r="G1100" s="120" t="n">
        <v>467.35</v>
      </c>
      <c r="H1100" s="117" t="inlineStr">
        <is>
          <t>EURL REGAI HASNAOUI</t>
        </is>
      </c>
      <c r="I1100" s="117" t="inlineStr">
        <is>
          <t>PLYWOOD</t>
        </is>
      </c>
      <c r="J1100" s="117" t="inlineStr">
        <is>
          <t>CTP</t>
        </is>
      </c>
      <c r="K1100" s="48">
        <f>D1100+8</f>
        <v/>
      </c>
      <c r="L1100" s="48">
        <f>K1100+60</f>
        <v/>
      </c>
      <c r="N1100" s="72">
        <f>E1100</f>
        <v/>
      </c>
      <c r="O1100" s="50">
        <f>F1100/E1100*N1100</f>
        <v/>
      </c>
      <c r="P1100" s="273">
        <f>G1100/E1100*N1100</f>
        <v/>
      </c>
      <c r="S1100" s="200" t="inlineStr">
        <is>
          <t>BR25339LDJD107</t>
        </is>
      </c>
      <c r="T1100" s="201" t="n">
        <v>98</v>
      </c>
      <c r="U1100" s="58" t="inlineStr">
        <is>
          <t>COMMERCIAL PLYWOOD</t>
        </is>
      </c>
      <c r="V1100" s="67" t="n"/>
      <c r="W1100" s="67" t="n"/>
      <c r="X1100" s="62" t="inlineStr">
        <is>
          <t>N-OP</t>
        </is>
      </c>
      <c r="Y1100" s="116">
        <f>F1100/E1100</f>
        <v/>
      </c>
      <c r="Z1100" s="64">
        <f>E1100-N1100</f>
        <v/>
      </c>
    </row>
    <row r="1101" ht="15.75" customHeight="1" s="202">
      <c r="A1101" s="116" t="n">
        <v>20260055</v>
      </c>
      <c r="B1101" s="117" t="inlineStr">
        <is>
          <t>BAO RUN</t>
        </is>
      </c>
      <c r="C1101" s="118" t="n">
        <v>46079</v>
      </c>
      <c r="E1101" s="116" t="n">
        <v>1250</v>
      </c>
      <c r="F1101" s="119" t="n">
        <v>2299.226</v>
      </c>
      <c r="G1101" s="120" t="n">
        <v>812.5</v>
      </c>
      <c r="H1101" s="117" t="inlineStr">
        <is>
          <t>SARL FRERES BOUKREDRA MATERIAUX DE CONSTRUCTION</t>
        </is>
      </c>
      <c r="I1101" s="117" t="inlineStr">
        <is>
          <t>MDF</t>
        </is>
      </c>
      <c r="J1101" s="117" t="inlineStr">
        <is>
          <t>CTP</t>
        </is>
      </c>
      <c r="K1101" s="48">
        <f>D1101+8</f>
        <v/>
      </c>
      <c r="L1101" s="48">
        <f>K1101+60</f>
        <v/>
      </c>
      <c r="N1101" s="72">
        <f>E1101</f>
        <v/>
      </c>
      <c r="O1101" s="50">
        <f>F1101/E1101*N1101</f>
        <v/>
      </c>
      <c r="P1101" s="273">
        <f>G1101/E1101*N1101</f>
        <v/>
      </c>
      <c r="S1101" s="200" t="inlineStr">
        <is>
          <t>BR25339LDJD108</t>
        </is>
      </c>
      <c r="T1101" s="201" t="n">
        <v>99</v>
      </c>
      <c r="U1101" s="58" t="inlineStr">
        <is>
          <t>MDF</t>
        </is>
      </c>
      <c r="V1101" s="67" t="n"/>
      <c r="W1101" s="67" t="n"/>
      <c r="X1101" s="62" t="inlineStr">
        <is>
          <t>N-OP</t>
        </is>
      </c>
      <c r="Y1101" s="116">
        <f>F1101/E1101</f>
        <v/>
      </c>
      <c r="Z1101" s="64">
        <f>E1101-N1101</f>
        <v/>
      </c>
    </row>
    <row r="1102" ht="15.75" customHeight="1" s="202">
      <c r="A1102" s="206" t="n">
        <v>20260055</v>
      </c>
      <c r="B1102" s="207" t="inlineStr">
        <is>
          <t>BAO RUN</t>
        </is>
      </c>
      <c r="C1102" s="208" t="n">
        <v>46079</v>
      </c>
      <c r="D1102" s="208" t="n"/>
      <c r="E1102" s="206" t="n">
        <v>600</v>
      </c>
      <c r="F1102" s="210" t="n">
        <v>1360.864</v>
      </c>
      <c r="G1102" s="211" t="n">
        <v>390</v>
      </c>
      <c r="H1102" s="207" t="inlineStr">
        <is>
          <t>EURL MENUI METAL</t>
        </is>
      </c>
      <c r="I1102" s="207" t="inlineStr">
        <is>
          <t>MDF</t>
        </is>
      </c>
      <c r="J1102" s="207" t="inlineStr">
        <is>
          <t>CTP</t>
        </is>
      </c>
      <c r="K1102" s="213">
        <f>D1102+8</f>
        <v/>
      </c>
      <c r="L1102" s="213">
        <f>K1102+60</f>
        <v/>
      </c>
      <c r="M1102" s="207" t="n"/>
      <c r="N1102" s="215">
        <f>E1102-117</f>
        <v/>
      </c>
      <c r="O1102" s="216">
        <f>F1102/E1102*N1102</f>
        <v/>
      </c>
      <c r="P1102" s="218">
        <f>G1102/E1102*N1102</f>
        <v/>
      </c>
      <c r="S1102" s="200" t="inlineStr">
        <is>
          <t>BR25339LDJD109</t>
        </is>
      </c>
      <c r="T1102" s="201" t="n">
        <v>100</v>
      </c>
      <c r="U1102" s="58" t="inlineStr">
        <is>
          <t>MDF</t>
        </is>
      </c>
      <c r="V1102" s="67" t="n"/>
      <c r="W1102" s="67" t="n"/>
      <c r="X1102" s="99" t="inlineStr">
        <is>
          <t>OPER</t>
        </is>
      </c>
      <c r="Y1102" s="116">
        <f>F1102/E1102</f>
        <v/>
      </c>
      <c r="Z1102" s="64">
        <f>E1102-N1102</f>
        <v/>
      </c>
    </row>
    <row r="1103" ht="15.75" customHeight="1" s="202">
      <c r="A1103" s="300" t="n">
        <v>20260055</v>
      </c>
      <c r="B1103" s="301" t="inlineStr">
        <is>
          <t>BAO RUN</t>
        </is>
      </c>
      <c r="C1103" s="302" t="n">
        <v>46079</v>
      </c>
      <c r="D1103" s="322" t="n"/>
      <c r="E1103" s="300" t="n">
        <v>1376</v>
      </c>
      <c r="F1103" s="304" t="n">
        <v>2500.337</v>
      </c>
      <c r="G1103" s="305" t="n">
        <v>894.4</v>
      </c>
      <c r="H1103" s="301" t="inlineStr">
        <is>
          <t>EURL REGAI HASNAOUI</t>
        </is>
      </c>
      <c r="I1103" s="301" t="inlineStr">
        <is>
          <t>MDF</t>
        </is>
      </c>
      <c r="J1103" s="301" t="inlineStr">
        <is>
          <t>CTP</t>
        </is>
      </c>
      <c r="K1103" s="307">
        <f>D1103+8</f>
        <v/>
      </c>
      <c r="L1103" s="307">
        <f>K1103+60</f>
        <v/>
      </c>
      <c r="M1103" s="322" t="n"/>
      <c r="N1103" s="309">
        <f>E1103-220</f>
        <v/>
      </c>
      <c r="O1103" s="322" t="n"/>
      <c r="P1103" s="322" t="n"/>
      <c r="S1103" s="200" t="inlineStr">
        <is>
          <t>BR25339LDJD110</t>
        </is>
      </c>
      <c r="T1103" s="201" t="n">
        <v>101</v>
      </c>
      <c r="U1103" s="58" t="inlineStr">
        <is>
          <t>MDF</t>
        </is>
      </c>
      <c r="V1103" s="67" t="n"/>
      <c r="W1103" s="67" t="n"/>
      <c r="X1103" s="312" t="inlineStr">
        <is>
          <t>OPER</t>
        </is>
      </c>
      <c r="Y1103" s="116">
        <f>F1103/E1103</f>
        <v/>
      </c>
      <c r="Z1103" s="64">
        <f>E1103-N1103</f>
        <v/>
      </c>
    </row>
    <row r="1104" ht="15.75" customHeight="1" s="202">
      <c r="A1104" s="206" t="n">
        <v>20260055</v>
      </c>
      <c r="B1104" s="207" t="inlineStr">
        <is>
          <t>BAO RUN</t>
        </is>
      </c>
      <c r="C1104" s="208" t="n">
        <v>46079</v>
      </c>
      <c r="D1104" s="208" t="n"/>
      <c r="E1104" s="206" t="n">
        <v>300</v>
      </c>
      <c r="F1104" s="210" t="n">
        <v>667.427</v>
      </c>
      <c r="G1104" s="211" t="n">
        <v>195</v>
      </c>
      <c r="H1104" s="207" t="inlineStr">
        <is>
          <t>SARL PRIMINIUM WOOD</t>
        </is>
      </c>
      <c r="I1104" s="207" t="inlineStr">
        <is>
          <t>MDF</t>
        </is>
      </c>
      <c r="J1104" s="207" t="inlineStr">
        <is>
          <t>CTP</t>
        </is>
      </c>
      <c r="K1104" s="213">
        <f>D1104+8</f>
        <v/>
      </c>
      <c r="L1104" s="213">
        <f>K1104+60</f>
        <v/>
      </c>
      <c r="M1104" s="207" t="n"/>
      <c r="N1104" s="289">
        <f>E1104-100</f>
        <v/>
      </c>
      <c r="O1104" s="207" t="n"/>
      <c r="P1104" s="290" t="n"/>
      <c r="S1104" s="200" t="inlineStr">
        <is>
          <t>BR25339LDJD111A</t>
        </is>
      </c>
      <c r="T1104" s="201" t="n">
        <v>102</v>
      </c>
      <c r="U1104" s="58" t="inlineStr">
        <is>
          <t>MDF</t>
        </is>
      </c>
      <c r="V1104" s="67" t="n"/>
      <c r="W1104" s="67" t="n"/>
      <c r="X1104" s="99" t="inlineStr">
        <is>
          <t>OPER</t>
        </is>
      </c>
      <c r="Y1104" s="116">
        <f>F1104/E1104</f>
        <v/>
      </c>
      <c r="Z1104" s="64">
        <f>E1104-N1104</f>
        <v/>
      </c>
    </row>
    <row r="1105" ht="15.75" customHeight="1" s="202">
      <c r="A1105" s="116" t="n">
        <v>20260055</v>
      </c>
      <c r="B1105" s="117" t="inlineStr">
        <is>
          <t>BAO RUN</t>
        </is>
      </c>
      <c r="C1105" s="118" t="n">
        <v>46079</v>
      </c>
      <c r="E1105" s="116" t="n">
        <v>450</v>
      </c>
      <c r="F1105" s="119" t="n">
        <v>472.662</v>
      </c>
      <c r="G1105" s="120" t="n">
        <v>292.5</v>
      </c>
      <c r="H1105" s="117" t="inlineStr">
        <is>
          <t>SARL PRIMINIUM WOOD</t>
        </is>
      </c>
      <c r="I1105" s="117" t="inlineStr">
        <is>
          <t>FFP</t>
        </is>
      </c>
      <c r="J1105" s="117" t="inlineStr">
        <is>
          <t>CTP</t>
        </is>
      </c>
      <c r="K1105" s="48">
        <f>D1105+8</f>
        <v/>
      </c>
      <c r="L1105" s="48">
        <f>K1105+60</f>
        <v/>
      </c>
      <c r="N1105" s="215">
        <f>E1105</f>
        <v/>
      </c>
      <c r="S1105" s="200" t="inlineStr">
        <is>
          <t>BR25339LDJD111BC</t>
        </is>
      </c>
      <c r="T1105" s="201" t="n">
        <v>103</v>
      </c>
      <c r="U1105" s="58" t="inlineStr">
        <is>
          <t>FILM FACED PLYWOOD</t>
        </is>
      </c>
      <c r="V1105" s="67" t="n"/>
      <c r="W1105" s="67" t="n"/>
      <c r="X1105" s="62" t="inlineStr">
        <is>
          <t>N-OP</t>
        </is>
      </c>
      <c r="Y1105" s="116">
        <f>F1105/E1105</f>
        <v/>
      </c>
      <c r="Z1105" s="64">
        <f>E1105-N1105</f>
        <v/>
      </c>
    </row>
    <row r="1106" ht="15.75" customHeight="1" s="202">
      <c r="A1106" s="116" t="n">
        <v>20260055</v>
      </c>
      <c r="B1106" s="117" t="inlineStr">
        <is>
          <t>BAO RUN</t>
        </is>
      </c>
      <c r="C1106" s="118" t="n">
        <v>46079</v>
      </c>
      <c r="E1106" s="116" t="n">
        <v>170</v>
      </c>
      <c r="F1106" s="119" t="n">
        <v>227.478</v>
      </c>
      <c r="G1106" s="120" t="n">
        <v>110.5</v>
      </c>
      <c r="H1106" s="117" t="inlineStr">
        <is>
          <t>SARL PRIMINIUM WOOD</t>
        </is>
      </c>
      <c r="I1106" s="117" t="inlineStr">
        <is>
          <t>MDF</t>
        </is>
      </c>
      <c r="J1106" s="117" t="inlineStr">
        <is>
          <t>CTP</t>
        </is>
      </c>
      <c r="K1106" s="48">
        <f>D1106+8</f>
        <v/>
      </c>
      <c r="L1106" s="48">
        <f>K1106+60</f>
        <v/>
      </c>
      <c r="N1106" s="215">
        <f>E1106</f>
        <v/>
      </c>
      <c r="S1106" s="200" t="inlineStr">
        <is>
          <t>BR25339LDJD111DEFG</t>
        </is>
      </c>
      <c r="T1106" s="201" t="n">
        <v>104</v>
      </c>
      <c r="U1106" s="58" t="inlineStr">
        <is>
          <t>BLOCKBOARD / MELAMINE PLYWOOD / MELAMINE MDF</t>
        </is>
      </c>
      <c r="V1106" s="67" t="n"/>
      <c r="W1106" s="67" t="n"/>
      <c r="X1106" s="62" t="inlineStr">
        <is>
          <t>N-OP</t>
        </is>
      </c>
      <c r="Y1106" s="116">
        <f>F1106/E1106</f>
        <v/>
      </c>
      <c r="Z1106" s="64">
        <f>E1106-N1106</f>
        <v/>
      </c>
    </row>
    <row r="1107" ht="15.75" customHeight="1" s="202">
      <c r="A1107" s="116" t="n">
        <v>20260055</v>
      </c>
      <c r="B1107" s="117" t="inlineStr">
        <is>
          <t>BAO RUN</t>
        </is>
      </c>
      <c r="C1107" s="118" t="n">
        <v>46079</v>
      </c>
      <c r="E1107" s="116" t="n">
        <v>610</v>
      </c>
      <c r="F1107" s="119" t="n">
        <v>637</v>
      </c>
      <c r="G1107" s="120" t="n">
        <v>396.5</v>
      </c>
      <c r="H1107" s="117" t="inlineStr">
        <is>
          <t>EURL BOUAOUD IMPORT EXPORT</t>
        </is>
      </c>
      <c r="I1107" s="117" t="inlineStr">
        <is>
          <t>FFP</t>
        </is>
      </c>
      <c r="J1107" s="117" t="inlineStr">
        <is>
          <t>CTP</t>
        </is>
      </c>
      <c r="K1107" s="48">
        <f>D1107+8</f>
        <v/>
      </c>
      <c r="L1107" s="48">
        <f>K1107+60</f>
        <v/>
      </c>
      <c r="N1107" s="215">
        <f>E1107</f>
        <v/>
      </c>
      <c r="S1107" s="200" t="inlineStr">
        <is>
          <t>BR25339LDJD170</t>
        </is>
      </c>
      <c r="T1107" s="201" t="n">
        <v>153</v>
      </c>
      <c r="U1107" s="58" t="inlineStr">
        <is>
          <t>FILM FACED PLYWOOD</t>
        </is>
      </c>
      <c r="V1107" s="67" t="n"/>
      <c r="W1107" s="67" t="n"/>
      <c r="X1107" s="62" t="inlineStr">
        <is>
          <t>N-OP</t>
        </is>
      </c>
      <c r="Y1107" s="116">
        <f>F1107/E1107</f>
        <v/>
      </c>
      <c r="Z1107" s="64">
        <f>E1107-N1107</f>
        <v/>
      </c>
    </row>
    <row r="1108" ht="15.75" customHeight="1" s="202">
      <c r="A1108" s="116" t="n">
        <v>20260055</v>
      </c>
      <c r="B1108" s="117" t="inlineStr">
        <is>
          <t>BAO RUN</t>
        </is>
      </c>
      <c r="C1108" s="118" t="n">
        <v>46079</v>
      </c>
      <c r="E1108" s="116" t="n">
        <v>120</v>
      </c>
      <c r="F1108" s="119" t="n">
        <v>222.3</v>
      </c>
      <c r="G1108" s="120" t="n">
        <v>78</v>
      </c>
      <c r="H1108" s="117" t="inlineStr">
        <is>
          <t>SARL PROKOMAT</t>
        </is>
      </c>
      <c r="I1108" s="117" t="inlineStr">
        <is>
          <t>MDF</t>
        </is>
      </c>
      <c r="J1108" s="117" t="inlineStr">
        <is>
          <t>CTP</t>
        </is>
      </c>
      <c r="K1108" s="48">
        <f>D1108+8</f>
        <v/>
      </c>
      <c r="L1108" s="48">
        <f>K1108+60</f>
        <v/>
      </c>
      <c r="N1108" s="215">
        <f>E1108</f>
        <v/>
      </c>
      <c r="S1108" s="200" t="inlineStr">
        <is>
          <t>BR25339LDJD180</t>
        </is>
      </c>
      <c r="T1108" s="201" t="n">
        <v>163</v>
      </c>
      <c r="U1108" s="58" t="inlineStr">
        <is>
          <t>PLAIN MDF BOARD</t>
        </is>
      </c>
      <c r="V1108" s="67" t="n"/>
      <c r="W1108" s="67" t="n"/>
      <c r="X1108" s="62" t="inlineStr">
        <is>
          <t>N-OP</t>
        </is>
      </c>
      <c r="Y1108" s="116">
        <f>F1108/E1108</f>
        <v/>
      </c>
      <c r="Z1108" s="64">
        <f>E1108-N1108</f>
        <v/>
      </c>
    </row>
    <row r="1109" ht="15.75" customHeight="1" s="202">
      <c r="A1109" s="116" t="n">
        <v>20260055</v>
      </c>
      <c r="B1109" s="117" t="inlineStr">
        <is>
          <t>BAO RUN</t>
        </is>
      </c>
      <c r="C1109" s="118" t="n">
        <v>46079</v>
      </c>
      <c r="E1109" s="116" t="n">
        <v>148</v>
      </c>
      <c r="F1109" s="119" t="n">
        <v>1901.495</v>
      </c>
      <c r="G1109" s="120" t="n">
        <v>118.4</v>
      </c>
      <c r="H1109" s="117" t="inlineStr">
        <is>
          <t>EURL STEEL SOLIDE</t>
        </is>
      </c>
      <c r="I1109" s="117" t="inlineStr">
        <is>
          <t>BOBINES</t>
        </is>
      </c>
      <c r="J1109" s="117" t="inlineStr">
        <is>
          <t>BOBINES</t>
        </is>
      </c>
      <c r="K1109" s="48">
        <f>D1109+8</f>
        <v/>
      </c>
      <c r="L1109" s="48">
        <f>K1109+60</f>
        <v/>
      </c>
      <c r="N1109" s="72">
        <f>E1109</f>
        <v/>
      </c>
      <c r="O1109" s="50">
        <f>F1109/E1109*N1109</f>
        <v/>
      </c>
      <c r="P1109" s="273">
        <f>G1109/E1109*N1109</f>
        <v/>
      </c>
      <c r="S1109" s="200" t="inlineStr">
        <is>
          <t>BR25339LBDJ001</t>
        </is>
      </c>
      <c r="T1109" s="201" t="n">
        <v>165</v>
      </c>
      <c r="U1109" s="58" t="inlineStr">
        <is>
          <t>PRIME NEWLY PRODUCED HOT ROLLED STEEL COILS</t>
        </is>
      </c>
      <c r="V1109" s="67" t="n"/>
      <c r="W1109" s="67" t="n"/>
      <c r="X1109" s="62" t="inlineStr">
        <is>
          <t>N-OP</t>
        </is>
      </c>
      <c r="Y1109" s="116">
        <f>F1109/E1109</f>
        <v/>
      </c>
      <c r="Z1109" s="64">
        <f>E1109-N1109</f>
        <v/>
      </c>
    </row>
    <row r="1110" ht="15.75" customHeight="1" s="202">
      <c r="A1110" s="116" t="n">
        <v>20260055</v>
      </c>
      <c r="B1110" s="117" t="inlineStr">
        <is>
          <t>BAO RUN</t>
        </is>
      </c>
      <c r="C1110" s="118" t="n">
        <v>46079</v>
      </c>
      <c r="E1110" s="116" t="n">
        <v>281</v>
      </c>
      <c r="F1110" s="119" t="n">
        <v>3001.189</v>
      </c>
      <c r="G1110" s="120" t="n">
        <v>224.8</v>
      </c>
      <c r="H1110" s="117" t="inlineStr">
        <is>
          <t>SARL AMYIS FER</t>
        </is>
      </c>
      <c r="I1110" s="117" t="inlineStr">
        <is>
          <t>BOBINES</t>
        </is>
      </c>
      <c r="J1110" s="117" t="inlineStr">
        <is>
          <t>BOBINES</t>
        </is>
      </c>
      <c r="K1110" s="48">
        <f>D1110+8</f>
        <v/>
      </c>
      <c r="L1110" s="48">
        <f>K1110+60</f>
        <v/>
      </c>
      <c r="N1110" s="72">
        <f>E1110</f>
        <v/>
      </c>
      <c r="O1110" s="50">
        <f>F1110/E1110*N1110</f>
        <v/>
      </c>
      <c r="P1110" s="273">
        <f>G1110/E1110*N1110</f>
        <v/>
      </c>
      <c r="S1110" s="200" t="inlineStr">
        <is>
          <t>BR25339LBDJ002003</t>
        </is>
      </c>
      <c r="T1110" s="201" t="n">
        <v>166</v>
      </c>
      <c r="U1110" s="58" t="inlineStr">
        <is>
          <t>HOT ROLLED COILS</t>
        </is>
      </c>
      <c r="V1110" s="67" t="n"/>
      <c r="W1110" s="67" t="n"/>
      <c r="X1110" s="62" t="inlineStr">
        <is>
          <t>N-OP</t>
        </is>
      </c>
      <c r="Y1110" s="116">
        <f>F1110/E1110</f>
        <v/>
      </c>
      <c r="Z1110" s="64">
        <f>E1110-N1110</f>
        <v/>
      </c>
    </row>
    <row r="1111" ht="15.75" customHeight="1" s="202">
      <c r="A1111" s="116" t="n">
        <v>20260055</v>
      </c>
      <c r="B1111" s="117" t="inlineStr">
        <is>
          <t>BAO RUN</t>
        </is>
      </c>
      <c r="C1111" s="118" t="n">
        <v>46079</v>
      </c>
      <c r="E1111" s="116" t="n">
        <v>242</v>
      </c>
      <c r="F1111" s="119" t="n">
        <v>2990.745</v>
      </c>
      <c r="G1111" s="120" t="n">
        <v>193.6</v>
      </c>
      <c r="H1111" s="117" t="inlineStr">
        <is>
          <t>SARL TOUALI METAL - IMPORT EXPORT</t>
        </is>
      </c>
      <c r="I1111" s="117" t="inlineStr">
        <is>
          <t>BOBINES</t>
        </is>
      </c>
      <c r="J1111" s="117" t="inlineStr">
        <is>
          <t>BOBINES</t>
        </is>
      </c>
      <c r="K1111" s="48">
        <f>D1111+8</f>
        <v/>
      </c>
      <c r="L1111" s="48">
        <f>K1111+60</f>
        <v/>
      </c>
      <c r="N1111" s="72">
        <f>E1111</f>
        <v/>
      </c>
      <c r="O1111" s="50">
        <f>F1111/E1111*N1111</f>
        <v/>
      </c>
      <c r="P1111" s="273">
        <f>G1111/E1111*N1111</f>
        <v/>
      </c>
      <c r="S1111" s="200" t="inlineStr">
        <is>
          <t>BR25339LBDJ004008</t>
        </is>
      </c>
      <c r="T1111" s="201" t="n">
        <v>167</v>
      </c>
      <c r="U1111" s="58" t="inlineStr">
        <is>
          <t>HOT ROLLED COILS</t>
        </is>
      </c>
      <c r="V1111" s="67" t="n"/>
      <c r="W1111" s="67" t="n"/>
      <c r="X1111" s="62" t="inlineStr">
        <is>
          <t>N-OP</t>
        </is>
      </c>
      <c r="Y1111" s="116">
        <f>F1111/E1111</f>
        <v/>
      </c>
      <c r="Z1111" s="64">
        <f>E1111-N1111</f>
        <v/>
      </c>
    </row>
    <row r="1112" ht="15.75" customHeight="1" s="202">
      <c r="A1112" s="116" t="n">
        <v>20260055</v>
      </c>
      <c r="B1112" s="117" t="inlineStr">
        <is>
          <t>BAO RUN</t>
        </is>
      </c>
      <c r="C1112" s="118" t="n">
        <v>46079</v>
      </c>
      <c r="E1112" s="116" t="n">
        <v>33</v>
      </c>
      <c r="F1112" s="119" t="n">
        <v>520.6950000000001</v>
      </c>
      <c r="G1112" s="120" t="n">
        <v>26.4</v>
      </c>
      <c r="H1112" s="117" t="inlineStr">
        <is>
          <t>SARL HAMZA STEEL</t>
        </is>
      </c>
      <c r="I1112" s="117" t="inlineStr">
        <is>
          <t>BOBINES</t>
        </is>
      </c>
      <c r="J1112" s="117" t="inlineStr">
        <is>
          <t>BOBINES</t>
        </is>
      </c>
      <c r="K1112" s="48">
        <f>D1112+8</f>
        <v/>
      </c>
      <c r="L1112" s="48">
        <f>K1112+60</f>
        <v/>
      </c>
      <c r="N1112" s="72">
        <f>E1112</f>
        <v/>
      </c>
      <c r="O1112" s="50">
        <f>F1112/E1112*N1112</f>
        <v/>
      </c>
      <c r="P1112" s="273">
        <f>G1112/E1112*N1112</f>
        <v/>
      </c>
      <c r="S1112" s="200" t="inlineStr">
        <is>
          <t>BR25339LBDJ0051011</t>
        </is>
      </c>
      <c r="T1112" s="201" t="n">
        <v>168</v>
      </c>
      <c r="U1112" s="58" t="inlineStr">
        <is>
          <t>HOT ROLLED COILS</t>
        </is>
      </c>
      <c r="V1112" s="67" t="n"/>
      <c r="W1112" s="67" t="n"/>
      <c r="X1112" s="62" t="inlineStr">
        <is>
          <t>N-OP</t>
        </is>
      </c>
      <c r="Y1112" s="116">
        <f>F1112/E1112</f>
        <v/>
      </c>
      <c r="Z1112" s="64">
        <f>E1112-N1112</f>
        <v/>
      </c>
    </row>
    <row r="1113" ht="15.75" customHeight="1" s="202">
      <c r="A1113" s="116" t="n">
        <v>20260055</v>
      </c>
      <c r="B1113" s="117" t="inlineStr">
        <is>
          <t>BAO RUN</t>
        </is>
      </c>
      <c r="C1113" s="118" t="n">
        <v>46079</v>
      </c>
      <c r="E1113" s="116" t="n">
        <v>61</v>
      </c>
      <c r="F1113" s="119" t="n">
        <v>962.535</v>
      </c>
      <c r="G1113" s="120" t="n">
        <v>48.8</v>
      </c>
      <c r="H1113" s="117" t="inlineStr">
        <is>
          <t>SARL MIRAS ET IYAD</t>
        </is>
      </c>
      <c r="I1113" s="117" t="inlineStr">
        <is>
          <t>BOBINES</t>
        </is>
      </c>
      <c r="J1113" s="117" t="inlineStr">
        <is>
          <t>BOBINES</t>
        </is>
      </c>
      <c r="K1113" s="48">
        <f>D1113+8</f>
        <v/>
      </c>
      <c r="L1113" s="48">
        <f>K1113+60</f>
        <v/>
      </c>
      <c r="N1113" s="72">
        <f>E1113</f>
        <v/>
      </c>
      <c r="O1113" s="50">
        <f>F1113/E1113*N1113</f>
        <v/>
      </c>
      <c r="P1113" s="273">
        <f>G1113/E1113*N1113</f>
        <v/>
      </c>
      <c r="S1113" s="200" t="inlineStr">
        <is>
          <t>BR25339LBDJ006</t>
        </is>
      </c>
      <c r="T1113" s="201" t="n">
        <v>169</v>
      </c>
      <c r="U1113" s="58" t="inlineStr">
        <is>
          <t>HOT ROLLED COILS</t>
        </is>
      </c>
      <c r="V1113" s="67" t="n"/>
      <c r="W1113" s="67" t="n"/>
      <c r="X1113" s="62" t="inlineStr">
        <is>
          <t>N-OP</t>
        </is>
      </c>
      <c r="Y1113" s="116">
        <f>F1113/E1113</f>
        <v/>
      </c>
      <c r="Z1113" s="64">
        <f>E1113-N1113</f>
        <v/>
      </c>
    </row>
    <row r="1114" ht="15.75" customHeight="1" s="202">
      <c r="A1114" s="116" t="n">
        <v>20260055</v>
      </c>
      <c r="B1114" s="117" t="inlineStr">
        <is>
          <t>BAO RUN</t>
        </is>
      </c>
      <c r="C1114" s="118" t="n">
        <v>46079</v>
      </c>
      <c r="E1114" s="116" t="n">
        <v>931</v>
      </c>
      <c r="F1114" s="119" t="n">
        <v>8543.690000000001</v>
      </c>
      <c r="G1114" s="120" t="n">
        <v>744.8</v>
      </c>
      <c r="H1114" s="117" t="inlineStr">
        <is>
          <t>SARL EXTRA METAL</t>
        </is>
      </c>
      <c r="I1114" s="117" t="inlineStr">
        <is>
          <t>BOBINES</t>
        </is>
      </c>
      <c r="J1114" s="117" t="inlineStr">
        <is>
          <t>BOBINES</t>
        </is>
      </c>
      <c r="K1114" s="48">
        <f>D1114+8</f>
        <v/>
      </c>
      <c r="L1114" s="48">
        <f>K1114+60</f>
        <v/>
      </c>
      <c r="N1114" s="72">
        <f>E1114</f>
        <v/>
      </c>
      <c r="O1114" s="50">
        <f>F1114/E1114*N1114</f>
        <v/>
      </c>
      <c r="P1114" s="273">
        <f>G1114/E1114*N1114</f>
        <v/>
      </c>
      <c r="S1114" s="200" t="inlineStr">
        <is>
          <t>BR25339ZDJD001003</t>
        </is>
      </c>
      <c r="T1114" s="201" t="n">
        <v>170</v>
      </c>
      <c r="U1114" s="58" t="inlineStr">
        <is>
          <t>PRIME HOT ROLLED STEEL COILS</t>
        </is>
      </c>
      <c r="V1114" s="67" t="n"/>
      <c r="W1114" s="67" t="n"/>
      <c r="X1114" s="62" t="inlineStr">
        <is>
          <t>N-OP</t>
        </is>
      </c>
      <c r="Y1114" s="116">
        <f>F1114/E1114</f>
        <v/>
      </c>
      <c r="Z1114" s="64">
        <f>E1114-N1114</f>
        <v/>
      </c>
    </row>
    <row r="1115" ht="15.75" customHeight="1" s="202">
      <c r="A1115" s="116" t="n">
        <v>20260055</v>
      </c>
      <c r="B1115" s="117" t="inlineStr">
        <is>
          <t>BAO RUN</t>
        </is>
      </c>
      <c r="C1115" s="118" t="n">
        <v>46079</v>
      </c>
      <c r="E1115" s="116" t="n">
        <v>64</v>
      </c>
      <c r="F1115" s="119" t="n">
        <v>651.13</v>
      </c>
      <c r="G1115" s="120" t="n">
        <v>51.2</v>
      </c>
      <c r="H1115" s="117" t="inlineStr">
        <is>
          <t>SARL NEDJAI STEEL</t>
        </is>
      </c>
      <c r="I1115" s="117" t="inlineStr">
        <is>
          <t>BOBINES</t>
        </is>
      </c>
      <c r="J1115" s="117" t="inlineStr">
        <is>
          <t>BOBINES</t>
        </is>
      </c>
      <c r="K1115" s="48">
        <f>D1115+8</f>
        <v/>
      </c>
      <c r="L1115" s="48">
        <f>K1115+60</f>
        <v/>
      </c>
      <c r="N1115" s="72">
        <f>E1115</f>
        <v/>
      </c>
      <c r="O1115" s="50">
        <f>F1115/E1115*N1115</f>
        <v/>
      </c>
      <c r="P1115" s="273">
        <f>G1115/E1115*N1115</f>
        <v/>
      </c>
      <c r="S1115" s="200" t="inlineStr">
        <is>
          <t>BR25339ZDJD004</t>
        </is>
      </c>
      <c r="T1115" s="201" t="n">
        <v>171</v>
      </c>
      <c r="U1115" s="58" t="inlineStr">
        <is>
          <t>HOT ROLLED STEEL COILS</t>
        </is>
      </c>
      <c r="V1115" s="67" t="n"/>
      <c r="W1115" s="67" t="n"/>
      <c r="X1115" s="62" t="inlineStr">
        <is>
          <t>N-OP</t>
        </is>
      </c>
      <c r="Y1115" s="116">
        <f>F1115/E1115</f>
        <v/>
      </c>
      <c r="Z1115" s="64">
        <f>E1115-N1115</f>
        <v/>
      </c>
    </row>
    <row r="1116" ht="15.75" customHeight="1" s="202">
      <c r="A1116" s="300" t="n">
        <v>20260055</v>
      </c>
      <c r="B1116" s="301" t="inlineStr">
        <is>
          <t>BAO RUN</t>
        </is>
      </c>
      <c r="C1116" s="302" t="n">
        <v>46079</v>
      </c>
      <c r="D1116" s="322" t="n"/>
      <c r="E1116" s="300" t="n">
        <v>284</v>
      </c>
      <c r="F1116" s="304" t="n">
        <v>254.414</v>
      </c>
      <c r="G1116" s="322" t="n"/>
      <c r="H1116" s="301" t="inlineStr">
        <is>
          <t>SARL FRERES BOUKHERBATA</t>
        </is>
      </c>
      <c r="I1116" s="301" t="inlineStr">
        <is>
          <t>POUTRELLES</t>
        </is>
      </c>
      <c r="J1116" s="301" t="inlineStr">
        <is>
          <t>POUTRELLES</t>
        </is>
      </c>
      <c r="K1116" s="307">
        <f>D1116+8</f>
        <v/>
      </c>
      <c r="L1116" s="307">
        <f>K1116+60</f>
        <v/>
      </c>
      <c r="M1116" s="322" t="n"/>
      <c r="N1116" s="309">
        <f>E1116-108</f>
        <v/>
      </c>
      <c r="O1116" s="310">
        <f>F1116/E1116*N1116</f>
        <v/>
      </c>
      <c r="P1116" s="311">
        <f>G1116/E1116*N1116</f>
        <v/>
      </c>
      <c r="Q1116" s="224" t="inlineStr">
        <is>
          <t>daewoo</t>
        </is>
      </c>
      <c r="S1116" s="200" t="inlineStr">
        <is>
          <t>BR25339ZDJD103</t>
        </is>
      </c>
      <c r="T1116" s="201" t="n">
        <v>172</v>
      </c>
      <c r="U1116" s="58" t="inlineStr">
        <is>
          <t>PRIME HOT ROLLED IPE BEAMS</t>
        </is>
      </c>
      <c r="V1116" s="67" t="n"/>
      <c r="W1116" s="67" t="n"/>
      <c r="X1116" s="312" t="inlineStr">
        <is>
          <t>OPER</t>
        </is>
      </c>
      <c r="Y1116" s="116">
        <f>F1116/E1116</f>
        <v/>
      </c>
      <c r="Z1116" s="64">
        <f>E1116-N1116</f>
        <v/>
      </c>
    </row>
    <row r="1117" ht="15.75" customHeight="1" s="202">
      <c r="A1117" s="291" t="n">
        <v>20260055</v>
      </c>
      <c r="B1117" s="292" t="inlineStr">
        <is>
          <t>BAO RUN</t>
        </is>
      </c>
      <c r="C1117" s="293" t="n">
        <v>46079</v>
      </c>
      <c r="D1117" s="293" t="n"/>
      <c r="E1117" s="291" t="n">
        <v>7933</v>
      </c>
      <c r="F1117" s="294" t="n">
        <v>4235.476</v>
      </c>
      <c r="G1117" s="295" t="n"/>
      <c r="H1117" s="292" t="inlineStr">
        <is>
          <t>NATRA INTERNATIONAL SPA</t>
        </is>
      </c>
      <c r="I1117" s="292" t="inlineStr">
        <is>
          <t>POUTRELLES</t>
        </is>
      </c>
      <c r="J1117" s="292" t="inlineStr">
        <is>
          <t>POUTRELLES</t>
        </is>
      </c>
      <c r="K1117" s="296">
        <f>D1117+8</f>
        <v/>
      </c>
      <c r="L1117" s="296">
        <f>K1117+60</f>
        <v/>
      </c>
      <c r="M1117" s="292" t="n"/>
      <c r="N1117" s="297">
        <f>E1117-785-833-608-1092-215</f>
        <v/>
      </c>
      <c r="O1117" s="298">
        <f>F1117/E1117*N1117</f>
        <v/>
      </c>
      <c r="P1117" s="273">
        <f>G1117/E1117*N1117</f>
        <v/>
      </c>
      <c r="Q1117" s="224" t="inlineStr">
        <is>
          <t>daewoo</t>
        </is>
      </c>
      <c r="S1117" s="200" t="inlineStr">
        <is>
          <t>BR25339ZDJD104</t>
        </is>
      </c>
      <c r="T1117" s="201" t="n">
        <v>173</v>
      </c>
      <c r="U1117" s="58" t="inlineStr">
        <is>
          <t>PRIME HOT ROLLED STEEL H-BEAMS / PRIME NEWLY HOT ROLLED STEEL CHANNEL</t>
        </is>
      </c>
      <c r="V1117" s="67" t="n"/>
      <c r="W1117" s="67" t="n"/>
      <c r="X1117" s="182" t="inlineStr">
        <is>
          <t>OPER</t>
        </is>
      </c>
      <c r="Y1117" s="116">
        <f>F1117/E1117</f>
        <v/>
      </c>
      <c r="Z1117" s="64">
        <f>E1117-N1117</f>
        <v/>
      </c>
    </row>
    <row r="1118" ht="15.75" customHeight="1" s="202">
      <c r="A1118" s="87" t="n">
        <v>20260075</v>
      </c>
      <c r="B1118" s="88" t="inlineStr">
        <is>
          <t>AMOY CENTURY</t>
        </is>
      </c>
      <c r="C1118" s="89" t="n">
        <v>46091</v>
      </c>
      <c r="E1118" s="116" t="n">
        <v>20</v>
      </c>
      <c r="F1118" s="119" t="n">
        <v>489.95</v>
      </c>
      <c r="G1118" s="120" t="n">
        <v>16</v>
      </c>
      <c r="H1118" s="117" t="inlineStr">
        <is>
          <t>SARL EXTRA METAL</t>
        </is>
      </c>
      <c r="I1118" s="117" t="inlineStr">
        <is>
          <t>BOBINES</t>
        </is>
      </c>
      <c r="J1118" s="117" t="inlineStr">
        <is>
          <t>BOBINES</t>
        </is>
      </c>
      <c r="K1118" s="48">
        <f>D1118+8</f>
        <v/>
      </c>
      <c r="L1118" s="48">
        <f>K1118+60</f>
        <v/>
      </c>
      <c r="N1118" s="215">
        <f>E1118</f>
        <v/>
      </c>
      <c r="S1118" s="200" t="inlineStr">
        <is>
          <t>AC26004BDJD001/09/10</t>
        </is>
      </c>
      <c r="T1118" s="201" t="n">
        <v>1</v>
      </c>
      <c r="U1118" s="58" t="inlineStr">
        <is>
          <t>PRIME HOT ROLLED STEEL COILS</t>
        </is>
      </c>
      <c r="V1118" s="67" t="n"/>
      <c r="W1118" s="67" t="n"/>
      <c r="X1118" s="62" t="inlineStr">
        <is>
          <t>N-OP</t>
        </is>
      </c>
      <c r="Y1118" s="116">
        <f>F1118/E1118</f>
        <v/>
      </c>
      <c r="Z1118" s="64">
        <f>E1118-N1118</f>
        <v/>
      </c>
    </row>
    <row r="1119" ht="15.75" customHeight="1" s="202">
      <c r="A1119" s="116" t="n">
        <v>20260075</v>
      </c>
      <c r="B1119" s="117" t="inlineStr">
        <is>
          <t>AMOY CENTURY</t>
        </is>
      </c>
      <c r="C1119" s="118" t="n">
        <v>46091</v>
      </c>
      <c r="E1119" s="116" t="n">
        <v>469</v>
      </c>
      <c r="F1119" s="119" t="n">
        <v>8543.99</v>
      </c>
      <c r="G1119" s="120" t="n">
        <v>375.2</v>
      </c>
      <c r="H1119" s="117" t="inlineStr">
        <is>
          <t>SARL EXTRA METAL</t>
        </is>
      </c>
      <c r="I1119" s="117" t="inlineStr">
        <is>
          <t>BOBINES</t>
        </is>
      </c>
      <c r="J1119" s="117" t="inlineStr">
        <is>
          <t>BOBINES</t>
        </is>
      </c>
      <c r="K1119" s="48">
        <f>D1119+8</f>
        <v/>
      </c>
      <c r="L1119" s="48">
        <f>K1119+60</f>
        <v/>
      </c>
      <c r="N1119" s="215">
        <f>E1119</f>
        <v/>
      </c>
      <c r="S1119" s="200" t="inlineStr">
        <is>
          <t>AC26004BDJD002-008</t>
        </is>
      </c>
      <c r="T1119" s="201" t="n">
        <v>2</v>
      </c>
      <c r="U1119" s="58" t="inlineStr">
        <is>
          <t>PRIME HOT ROLLED STEEL COILS</t>
        </is>
      </c>
      <c r="V1119" s="67" t="n"/>
      <c r="W1119" s="67" t="n"/>
      <c r="X1119" s="62" t="inlineStr">
        <is>
          <t>N-OP</t>
        </is>
      </c>
      <c r="Y1119" s="116">
        <f>F1119/E1119</f>
        <v/>
      </c>
      <c r="Z1119" s="64">
        <f>E1119-N1119</f>
        <v/>
      </c>
    </row>
    <row r="1120" ht="15.75" customHeight="1" s="202">
      <c r="A1120" s="116" t="n">
        <v>20260075</v>
      </c>
      <c r="B1120" s="117" t="inlineStr">
        <is>
          <t>AMOY CENTURY</t>
        </is>
      </c>
      <c r="C1120" s="118" t="n">
        <v>46091</v>
      </c>
      <c r="E1120" s="116" t="n">
        <v>495</v>
      </c>
      <c r="F1120" s="119" t="n">
        <v>5993.005</v>
      </c>
      <c r="G1120" s="120" t="n">
        <v>396</v>
      </c>
      <c r="H1120" s="117" t="inlineStr">
        <is>
          <t>STEEL SOLIDE EURL</t>
        </is>
      </c>
      <c r="I1120" s="117" t="inlineStr">
        <is>
          <t>BOBINES</t>
        </is>
      </c>
      <c r="J1120" s="117" t="inlineStr">
        <is>
          <t>BOBINES</t>
        </is>
      </c>
      <c r="K1120" s="48">
        <f>D1120+8</f>
        <v/>
      </c>
      <c r="L1120" s="48">
        <f>K1120+60</f>
        <v/>
      </c>
      <c r="N1120" s="215">
        <f>E1120</f>
        <v/>
      </c>
      <c r="S1120" s="200" t="inlineStr">
        <is>
          <t>AC26004LBDJD001</t>
        </is>
      </c>
      <c r="T1120" s="201" t="n">
        <v>3</v>
      </c>
      <c r="U1120" s="58" t="inlineStr">
        <is>
          <t>PRIME NEWLY PRODUCED HOT ROLLED STEEL COIL(HRC)</t>
        </is>
      </c>
      <c r="V1120" s="67" t="n"/>
      <c r="W1120" s="67" t="n"/>
      <c r="X1120" s="62" t="inlineStr">
        <is>
          <t>N-OP</t>
        </is>
      </c>
      <c r="Y1120" s="116">
        <f>F1120/E1120</f>
        <v/>
      </c>
      <c r="Z1120" s="64">
        <f>E1120-N1120</f>
        <v/>
      </c>
    </row>
    <row r="1121" ht="15.75" customHeight="1" s="202">
      <c r="A1121" s="116" t="n">
        <v>20260075</v>
      </c>
      <c r="B1121" s="117" t="inlineStr">
        <is>
          <t>AMOY CENTURY</t>
        </is>
      </c>
      <c r="C1121" s="118" t="n">
        <v>46091</v>
      </c>
      <c r="E1121" s="116" t="n">
        <v>350</v>
      </c>
      <c r="F1121" s="119" t="n">
        <v>4200.17</v>
      </c>
      <c r="G1121" s="120" t="n">
        <v>280</v>
      </c>
      <c r="H1121" s="117" t="inlineStr">
        <is>
          <t>SARL STEEL PROCESSING COMPANY</t>
        </is>
      </c>
      <c r="I1121" s="117" t="inlineStr">
        <is>
          <t>BOBINES</t>
        </is>
      </c>
      <c r="J1121" s="117" t="inlineStr">
        <is>
          <t>BOBINES</t>
        </is>
      </c>
      <c r="K1121" s="48">
        <f>D1121+8</f>
        <v/>
      </c>
      <c r="L1121" s="48">
        <f>K1121+60</f>
        <v/>
      </c>
      <c r="N1121" s="215">
        <f>E1121</f>
        <v/>
      </c>
      <c r="S1121" s="200" t="inlineStr">
        <is>
          <t>AC26004LBDJD002/003</t>
        </is>
      </c>
      <c r="T1121" s="201" t="n">
        <v>4</v>
      </c>
      <c r="U1121" s="58" t="inlineStr">
        <is>
          <t>HOT ROLLED COILS</t>
        </is>
      </c>
      <c r="V1121" s="67" t="n"/>
      <c r="W1121" s="67" t="n"/>
      <c r="X1121" s="62" t="inlineStr">
        <is>
          <t>N-OP</t>
        </is>
      </c>
      <c r="Y1121" s="116">
        <f>F1121/E1121</f>
        <v/>
      </c>
      <c r="Z1121" s="64">
        <f>E1121-N1121</f>
        <v/>
      </c>
    </row>
    <row r="1122" ht="15.75" customHeight="1" s="202">
      <c r="A1122" s="116" t="n">
        <v>20260075</v>
      </c>
      <c r="B1122" s="117" t="inlineStr">
        <is>
          <t>AMOY CENTURY</t>
        </is>
      </c>
      <c r="C1122" s="118" t="n">
        <v>46091</v>
      </c>
      <c r="E1122" s="116" t="n">
        <v>112</v>
      </c>
      <c r="F1122" s="119" t="n">
        <v>1384.49</v>
      </c>
      <c r="G1122" s="120" t="n">
        <v>89.59999999999999</v>
      </c>
      <c r="H1122" s="117" t="inlineStr">
        <is>
          <t>SARL NEW TECH METAL ALGERIE</t>
        </is>
      </c>
      <c r="I1122" s="117" t="inlineStr">
        <is>
          <t>BOBINES</t>
        </is>
      </c>
      <c r="J1122" s="117" t="inlineStr">
        <is>
          <t>BOBINES</t>
        </is>
      </c>
      <c r="K1122" s="48">
        <f>D1122+8</f>
        <v/>
      </c>
      <c r="L1122" s="48">
        <f>K1122+60</f>
        <v/>
      </c>
      <c r="N1122" s="215">
        <f>E1122</f>
        <v/>
      </c>
      <c r="S1122" s="200" t="inlineStr">
        <is>
          <t>AC26004LBDJD004</t>
        </is>
      </c>
      <c r="T1122" s="201" t="n">
        <v>5</v>
      </c>
      <c r="U1122" s="58" t="inlineStr">
        <is>
          <t>HOT ROLLED COILS</t>
        </is>
      </c>
      <c r="V1122" s="67" t="n"/>
      <c r="W1122" s="67" t="n"/>
      <c r="X1122" s="62" t="inlineStr">
        <is>
          <t>N-OP</t>
        </is>
      </c>
      <c r="Y1122" s="116">
        <f>F1122/E1122</f>
        <v/>
      </c>
      <c r="Z1122" s="64">
        <f>E1122-N1122</f>
        <v/>
      </c>
    </row>
    <row r="1123" ht="15.75" customHeight="1" s="202">
      <c r="A1123" s="116" t="n">
        <v>20260075</v>
      </c>
      <c r="B1123" s="117" t="inlineStr">
        <is>
          <t>AMOY CENTURY</t>
        </is>
      </c>
      <c r="C1123" s="118" t="n">
        <v>46091</v>
      </c>
      <c r="E1123" s="116" t="n">
        <v>254</v>
      </c>
      <c r="F1123" s="119" t="n">
        <v>3053.885</v>
      </c>
      <c r="G1123" s="120" t="n">
        <v>203.2</v>
      </c>
      <c r="H1123" s="117" t="inlineStr">
        <is>
          <t>SARL TOUALI METAL- IMPORT EXPORT</t>
        </is>
      </c>
      <c r="I1123" s="117" t="inlineStr">
        <is>
          <t>BOBINES</t>
        </is>
      </c>
      <c r="J1123" s="117" t="inlineStr">
        <is>
          <t>BOBINES</t>
        </is>
      </c>
      <c r="K1123" s="48">
        <f>D1123+8</f>
        <v/>
      </c>
      <c r="L1123" s="48">
        <f>K1123+60</f>
        <v/>
      </c>
      <c r="N1123" s="215">
        <f>E1123</f>
        <v/>
      </c>
      <c r="S1123" s="200" t="inlineStr">
        <is>
          <t>AC26004LBDJD005</t>
        </is>
      </c>
      <c r="T1123" s="201" t="n">
        <v>6</v>
      </c>
      <c r="U1123" s="58" t="inlineStr">
        <is>
          <t>PRIME NEWLY PRODUCED HOT ROLLED STEEL COIL (HRC)</t>
        </is>
      </c>
      <c r="V1123" s="67" t="n"/>
      <c r="W1123" s="67" t="n"/>
      <c r="X1123" s="62" t="inlineStr">
        <is>
          <t>N-OP</t>
        </is>
      </c>
      <c r="Y1123" s="116">
        <f>F1123/E1123</f>
        <v/>
      </c>
      <c r="Z1123" s="64">
        <f>E1123-N1123</f>
        <v/>
      </c>
    </row>
    <row r="1124" ht="15.75" customHeight="1" s="202">
      <c r="A1124" s="116" t="n">
        <v>20260075</v>
      </c>
      <c r="B1124" s="117" t="inlineStr">
        <is>
          <t>AMOY CENTURY</t>
        </is>
      </c>
      <c r="C1124" s="118" t="n">
        <v>46091</v>
      </c>
      <c r="E1124" s="116" t="n">
        <v>410</v>
      </c>
      <c r="F1124" s="119" t="n">
        <v>830.45</v>
      </c>
      <c r="G1124" s="120" t="n">
        <v>266.5</v>
      </c>
      <c r="H1124" s="117" t="inlineStr">
        <is>
          <t>SARL GSM GHESSAB SAMIR ET MOHAMED</t>
        </is>
      </c>
      <c r="I1124" s="117" t="inlineStr">
        <is>
          <t>MDF</t>
        </is>
      </c>
      <c r="J1124" s="117" t="inlineStr">
        <is>
          <t>CTP</t>
        </is>
      </c>
      <c r="K1124" s="48">
        <f>D1124+8</f>
        <v/>
      </c>
      <c r="L1124" s="48">
        <f>K1124+60</f>
        <v/>
      </c>
      <c r="N1124" s="215">
        <f>E1124</f>
        <v/>
      </c>
      <c r="S1124" s="200" t="inlineStr">
        <is>
          <t>AC26004LDJD069</t>
        </is>
      </c>
      <c r="T1124" s="201" t="n">
        <v>66</v>
      </c>
      <c r="U1124" s="58" t="inlineStr">
        <is>
          <t>PLAIN MDF</t>
        </is>
      </c>
      <c r="V1124" s="67" t="n"/>
      <c r="W1124" s="67" t="n"/>
      <c r="X1124" s="62" t="inlineStr">
        <is>
          <t>N-OP</t>
        </is>
      </c>
      <c r="Y1124" s="116">
        <f>F1124/E1124</f>
        <v/>
      </c>
      <c r="Z1124" s="64">
        <f>E1124-N1124</f>
        <v/>
      </c>
    </row>
    <row r="1125" ht="15.75" customHeight="1" s="202">
      <c r="A1125" s="116" t="n">
        <v>20260075</v>
      </c>
      <c r="B1125" s="117" t="inlineStr">
        <is>
          <t>AMOY CENTURY</t>
        </is>
      </c>
      <c r="C1125" s="118" t="n">
        <v>46091</v>
      </c>
      <c r="E1125" s="116" t="n">
        <v>384</v>
      </c>
      <c r="F1125" s="119" t="n">
        <v>456.96</v>
      </c>
      <c r="G1125" s="120" t="n">
        <v>249.6</v>
      </c>
      <c r="H1125" s="117" t="inlineStr">
        <is>
          <t>SARL BY INVEST</t>
        </is>
      </c>
      <c r="I1125" s="117" t="inlineStr">
        <is>
          <t>MDF</t>
        </is>
      </c>
      <c r="J1125" s="117" t="inlineStr">
        <is>
          <t>CTP</t>
        </is>
      </c>
      <c r="K1125" s="48">
        <f>D1125+8</f>
        <v/>
      </c>
      <c r="L1125" s="48">
        <f>K1125+60</f>
        <v/>
      </c>
      <c r="N1125" s="215">
        <f>E1125</f>
        <v/>
      </c>
      <c r="S1125" s="200" t="inlineStr">
        <is>
          <t>AC26004LDJD070</t>
        </is>
      </c>
      <c r="T1125" s="201" t="n">
        <v>67</v>
      </c>
      <c r="U1125" s="58" t="inlineStr">
        <is>
          <t>PLAIN MDF</t>
        </is>
      </c>
      <c r="V1125" s="67" t="n"/>
      <c r="W1125" s="67" t="n"/>
      <c r="X1125" s="62" t="inlineStr">
        <is>
          <t>N-OP</t>
        </is>
      </c>
      <c r="Y1125" s="116">
        <f>F1125/E1125</f>
        <v/>
      </c>
      <c r="Z1125" s="64">
        <f>E1125-N1125</f>
        <v/>
      </c>
    </row>
    <row r="1126" ht="15.75" customHeight="1" s="202">
      <c r="A1126" s="116" t="n">
        <v>20260075</v>
      </c>
      <c r="B1126" s="117" t="inlineStr">
        <is>
          <t>AMOY CENTURY</t>
        </is>
      </c>
      <c r="C1126" s="118" t="n">
        <v>46091</v>
      </c>
      <c r="E1126" s="116" t="n">
        <v>334</v>
      </c>
      <c r="F1126" s="119" t="n">
        <v>674.694</v>
      </c>
      <c r="G1126" s="120" t="n">
        <v>217.1</v>
      </c>
      <c r="H1126" s="117" t="inlineStr">
        <is>
          <t>EURL ARATIMBER</t>
        </is>
      </c>
      <c r="I1126" s="117" t="inlineStr">
        <is>
          <t>MDF + PLYWOOD</t>
        </is>
      </c>
      <c r="J1126" s="117" t="inlineStr">
        <is>
          <t>CTP</t>
        </is>
      </c>
      <c r="K1126" s="48">
        <f>D1126+8</f>
        <v/>
      </c>
      <c r="L1126" s="48">
        <f>K1126+60</f>
        <v/>
      </c>
      <c r="N1126" s="215">
        <f>E1126</f>
        <v/>
      </c>
      <c r="S1126" s="200" t="inlineStr">
        <is>
          <t>AC26004LDJD108</t>
        </is>
      </c>
      <c r="T1126" s="201" t="n">
        <v>93</v>
      </c>
      <c r="U1126" s="58" t="inlineStr">
        <is>
          <t>MDF /COMMERCIAL PLYWOOD /BLOCKBOARD</t>
        </is>
      </c>
      <c r="V1126" s="67" t="n"/>
      <c r="W1126" s="67" t="n"/>
      <c r="X1126" s="62" t="inlineStr">
        <is>
          <t>N-OP</t>
        </is>
      </c>
      <c r="Y1126" s="116">
        <f>F1126/E1126</f>
        <v/>
      </c>
      <c r="Z1126" s="64">
        <f>E1126-N1126</f>
        <v/>
      </c>
    </row>
    <row r="1127" ht="15.75" customHeight="1" s="202">
      <c r="A1127" s="116" t="n">
        <v>20260075</v>
      </c>
      <c r="B1127" s="117" t="inlineStr">
        <is>
          <t>AMOY CENTURY</t>
        </is>
      </c>
      <c r="C1127" s="118" t="n">
        <v>46091</v>
      </c>
      <c r="E1127" s="116" t="n">
        <v>574</v>
      </c>
      <c r="F1127" s="119" t="n">
        <v>1188.627</v>
      </c>
      <c r="G1127" s="120" t="n">
        <v>373.1</v>
      </c>
      <c r="H1127" s="117" t="inlineStr">
        <is>
          <t>SARL BCIMEX</t>
        </is>
      </c>
      <c r="I1127" s="117" t="inlineStr">
        <is>
          <t>MDF</t>
        </is>
      </c>
      <c r="J1127" s="117" t="inlineStr">
        <is>
          <t>CTP</t>
        </is>
      </c>
      <c r="K1127" s="48">
        <f>D1127+8</f>
        <v/>
      </c>
      <c r="L1127" s="48">
        <f>K1127+60</f>
        <v/>
      </c>
      <c r="N1127" s="215">
        <f>E1127</f>
        <v/>
      </c>
      <c r="S1127" s="200" t="inlineStr">
        <is>
          <t>AC26004LDJD109</t>
        </is>
      </c>
      <c r="T1127" s="201" t="n">
        <v>94</v>
      </c>
      <c r="U1127" s="58" t="inlineStr">
        <is>
          <t>MDF</t>
        </is>
      </c>
      <c r="V1127" s="67" t="n"/>
      <c r="W1127" s="67" t="n"/>
      <c r="X1127" s="62" t="inlineStr">
        <is>
          <t>N-OP</t>
        </is>
      </c>
      <c r="Y1127" s="116">
        <f>F1127/E1127</f>
        <v/>
      </c>
      <c r="Z1127" s="64">
        <f>E1127-N1127</f>
        <v/>
      </c>
    </row>
    <row r="1128" ht="15.75" customHeight="1" s="202">
      <c r="A1128" s="116" t="n">
        <v>20260075</v>
      </c>
      <c r="B1128" s="117" t="inlineStr">
        <is>
          <t>AMOY CENTURY</t>
        </is>
      </c>
      <c r="C1128" s="118" t="n">
        <v>46091</v>
      </c>
      <c r="E1128" s="116" t="n">
        <v>199</v>
      </c>
      <c r="F1128" s="119" t="n">
        <v>463.895</v>
      </c>
      <c r="G1128" s="120" t="n">
        <v>129.35</v>
      </c>
      <c r="H1128" s="117" t="inlineStr">
        <is>
          <t>SARL BRIKEN GOLD</t>
        </is>
      </c>
      <c r="I1128" s="117" t="inlineStr">
        <is>
          <t>MDF</t>
        </is>
      </c>
      <c r="J1128" s="117" t="inlineStr">
        <is>
          <t>CTP</t>
        </is>
      </c>
      <c r="K1128" s="48">
        <f>D1128+8</f>
        <v/>
      </c>
      <c r="L1128" s="48">
        <f>K1128+60</f>
        <v/>
      </c>
      <c r="N1128" s="215">
        <f>E1128</f>
        <v/>
      </c>
      <c r="S1128" s="200" t="inlineStr">
        <is>
          <t>AC26004LDJD110</t>
        </is>
      </c>
      <c r="T1128" s="201" t="n">
        <v>95</v>
      </c>
      <c r="U1128" s="58" t="inlineStr">
        <is>
          <t>MDF</t>
        </is>
      </c>
      <c r="V1128" s="67" t="n"/>
      <c r="W1128" s="67" t="n"/>
      <c r="X1128" s="62" t="inlineStr">
        <is>
          <t>N-OP</t>
        </is>
      </c>
      <c r="Y1128" s="116">
        <f>F1128/E1128</f>
        <v/>
      </c>
      <c r="Z1128" s="64">
        <f>E1128-N1128</f>
        <v/>
      </c>
    </row>
    <row r="1129" ht="15.75" customHeight="1" s="202">
      <c r="A1129" s="116" t="n">
        <v>20260075</v>
      </c>
      <c r="B1129" s="117" t="inlineStr">
        <is>
          <t>AMOY CENTURY</t>
        </is>
      </c>
      <c r="C1129" s="118" t="n">
        <v>46091</v>
      </c>
      <c r="E1129" s="116" t="n">
        <v>200</v>
      </c>
      <c r="F1129" s="119" t="n">
        <v>467.499</v>
      </c>
      <c r="G1129" s="120" t="n">
        <v>130</v>
      </c>
      <c r="H1129" s="117" t="inlineStr">
        <is>
          <t>EURL GHENAM MOHAMED EL AMIR IMPORT EXPORT</t>
        </is>
      </c>
      <c r="I1129" s="117" t="inlineStr">
        <is>
          <t>MDF</t>
        </is>
      </c>
      <c r="J1129" s="117" t="inlineStr">
        <is>
          <t>CTP</t>
        </is>
      </c>
      <c r="K1129" s="48">
        <f>D1129+8</f>
        <v/>
      </c>
      <c r="L1129" s="48">
        <f>K1129+60</f>
        <v/>
      </c>
      <c r="N1129" s="215">
        <f>E1129</f>
        <v/>
      </c>
      <c r="S1129" s="200" t="inlineStr">
        <is>
          <t>AC26004LDJD111</t>
        </is>
      </c>
      <c r="T1129" s="201" t="n">
        <v>96</v>
      </c>
      <c r="U1129" s="58" t="inlineStr">
        <is>
          <t>MDF</t>
        </is>
      </c>
      <c r="V1129" s="67" t="n"/>
      <c r="W1129" s="67" t="n"/>
      <c r="X1129" s="62" t="inlineStr">
        <is>
          <t>N-OP</t>
        </is>
      </c>
      <c r="Y1129" s="116">
        <f>F1129/E1129</f>
        <v/>
      </c>
      <c r="Z1129" s="64">
        <f>E1129-N1129</f>
        <v/>
      </c>
    </row>
    <row r="1130" ht="15.75" customHeight="1" s="202">
      <c r="A1130" s="116" t="n">
        <v>20260075</v>
      </c>
      <c r="B1130" s="117" t="inlineStr">
        <is>
          <t>AMOY CENTURY</t>
        </is>
      </c>
      <c r="C1130" s="118" t="n">
        <v>46091</v>
      </c>
      <c r="E1130" s="116" t="n">
        <v>208</v>
      </c>
      <c r="F1130" s="119" t="n">
        <v>378.708</v>
      </c>
      <c r="G1130" s="120" t="n">
        <v>135.2</v>
      </c>
      <c r="H1130" s="117" t="inlineStr">
        <is>
          <t>EURL HK BOIS</t>
        </is>
      </c>
      <c r="I1130" s="117" t="inlineStr">
        <is>
          <t>MDF</t>
        </is>
      </c>
      <c r="J1130" s="117" t="inlineStr">
        <is>
          <t>CTP</t>
        </is>
      </c>
      <c r="K1130" s="48">
        <f>D1130+8</f>
        <v/>
      </c>
      <c r="L1130" s="48">
        <f>K1130+60</f>
        <v/>
      </c>
      <c r="N1130" s="215">
        <f>E1130</f>
        <v/>
      </c>
      <c r="S1130" s="200" t="inlineStr">
        <is>
          <t>AC26004LDJD112</t>
        </is>
      </c>
      <c r="T1130" s="201" t="n">
        <v>97</v>
      </c>
      <c r="U1130" s="58" t="inlineStr">
        <is>
          <t>MDF /FANCY MDF</t>
        </is>
      </c>
      <c r="V1130" s="67" t="n"/>
      <c r="W1130" s="67" t="n"/>
      <c r="X1130" s="62" t="inlineStr">
        <is>
          <t>N-OP</t>
        </is>
      </c>
      <c r="Y1130" s="116">
        <f>F1130/E1130</f>
        <v/>
      </c>
      <c r="Z1130" s="64">
        <f>E1130-N1130</f>
        <v/>
      </c>
    </row>
    <row r="1131" ht="15.75" customHeight="1" s="202">
      <c r="A1131" s="116" t="n">
        <v>20260075</v>
      </c>
      <c r="B1131" s="117" t="inlineStr">
        <is>
          <t>AMOY CENTURY</t>
        </is>
      </c>
      <c r="C1131" s="118" t="n">
        <v>46091</v>
      </c>
      <c r="E1131" s="116" t="n">
        <v>212</v>
      </c>
      <c r="F1131" s="119" t="n">
        <v>492.577</v>
      </c>
      <c r="G1131" s="120" t="n">
        <v>137.8</v>
      </c>
      <c r="H1131" s="117" t="inlineStr">
        <is>
          <t>SARL GLOBAL TRADING WOOD GT WOOD</t>
        </is>
      </c>
      <c r="I1131" s="117" t="inlineStr">
        <is>
          <t>MDF</t>
        </is>
      </c>
      <c r="J1131" s="117" t="inlineStr">
        <is>
          <t>CTP</t>
        </is>
      </c>
      <c r="K1131" s="48">
        <f>D1131+8</f>
        <v/>
      </c>
      <c r="L1131" s="48">
        <f>K1131+60</f>
        <v/>
      </c>
      <c r="N1131" s="215">
        <f>E1131</f>
        <v/>
      </c>
      <c r="S1131" s="200" t="inlineStr">
        <is>
          <t>AC26004LDJD113</t>
        </is>
      </c>
      <c r="T1131" s="201" t="n">
        <v>98</v>
      </c>
      <c r="U1131" s="58" t="inlineStr">
        <is>
          <t>MDF</t>
        </is>
      </c>
      <c r="V1131" s="67" t="n"/>
      <c r="W1131" s="67" t="n"/>
      <c r="X1131" s="62" t="inlineStr">
        <is>
          <t>N-OP</t>
        </is>
      </c>
      <c r="Y1131" s="116">
        <f>F1131/E1131</f>
        <v/>
      </c>
      <c r="Z1131" s="64">
        <f>E1131-N1131</f>
        <v/>
      </c>
    </row>
    <row r="1132" ht="15.75" customHeight="1" s="202">
      <c r="A1132" s="116" t="n">
        <v>20260075</v>
      </c>
      <c r="B1132" s="117" t="inlineStr">
        <is>
          <t>AMOY CENTURY</t>
        </is>
      </c>
      <c r="C1132" s="118" t="n">
        <v>46091</v>
      </c>
      <c r="E1132" s="116" t="n">
        <v>243</v>
      </c>
      <c r="F1132" s="119" t="n">
        <v>267.3</v>
      </c>
      <c r="G1132" s="120" t="n">
        <v>157.95</v>
      </c>
      <c r="H1132" s="117" t="inlineStr">
        <is>
          <t>SARL KOUR BOIS</t>
        </is>
      </c>
      <c r="I1132" s="117" t="inlineStr">
        <is>
          <t>FFP</t>
        </is>
      </c>
      <c r="J1132" s="117" t="inlineStr">
        <is>
          <t>CTP</t>
        </is>
      </c>
      <c r="K1132" s="48">
        <f>D1132+8</f>
        <v/>
      </c>
      <c r="L1132" s="48">
        <f>K1132+60</f>
        <v/>
      </c>
      <c r="N1132" s="215">
        <f>E1132</f>
        <v/>
      </c>
      <c r="S1132" s="200" t="inlineStr">
        <is>
          <t>AC26004LDJD114</t>
        </is>
      </c>
      <c r="T1132" s="201" t="n">
        <v>99</v>
      </c>
      <c r="U1132" s="58" t="inlineStr">
        <is>
          <t>FILM FACED PLYWOOD</t>
        </is>
      </c>
      <c r="V1132" s="67" t="n"/>
      <c r="W1132" s="67" t="n"/>
      <c r="X1132" s="62" t="inlineStr">
        <is>
          <t>N-OP</t>
        </is>
      </c>
      <c r="Y1132" s="116">
        <f>F1132/E1132</f>
        <v/>
      </c>
      <c r="Z1132" s="64">
        <f>E1132-N1132</f>
        <v/>
      </c>
    </row>
    <row r="1133" ht="15.75" customHeight="1" s="202">
      <c r="A1133" s="116" t="n">
        <v>20260075</v>
      </c>
      <c r="B1133" s="117" t="inlineStr">
        <is>
          <t>AMOY CENTURY</t>
        </is>
      </c>
      <c r="C1133" s="118" t="n">
        <v>46091</v>
      </c>
      <c r="E1133" s="116" t="n">
        <v>1223</v>
      </c>
      <c r="F1133" s="119" t="n">
        <v>1315.84</v>
      </c>
      <c r="G1133" s="120" t="n">
        <v>794.95</v>
      </c>
      <c r="H1133" s="117" t="inlineStr">
        <is>
          <t>SARL GROUPE EL FENNEC</t>
        </is>
      </c>
      <c r="I1133" s="117" t="inlineStr">
        <is>
          <t>FFP</t>
        </is>
      </c>
      <c r="J1133" s="117" t="inlineStr">
        <is>
          <t>CTP</t>
        </is>
      </c>
      <c r="K1133" s="48">
        <f>D1133+8</f>
        <v/>
      </c>
      <c r="L1133" s="48">
        <f>K1133+60</f>
        <v/>
      </c>
      <c r="N1133" s="215">
        <f>E1133</f>
        <v/>
      </c>
      <c r="O1133" s="216">
        <f>F1133/E1133*N1133</f>
        <v/>
      </c>
      <c r="P1133" s="218">
        <f>G1133/E1133*N1133</f>
        <v/>
      </c>
      <c r="S1133" s="200" t="inlineStr">
        <is>
          <t>AC26004LDJD116</t>
        </is>
      </c>
      <c r="T1133" s="201" t="n">
        <v>100</v>
      </c>
      <c r="U1133" s="58" t="inlineStr">
        <is>
          <t>FILM FACED PLYWOOD</t>
        </is>
      </c>
      <c r="V1133" s="67" t="n"/>
      <c r="W1133" s="67" t="n"/>
      <c r="X1133" s="62" t="inlineStr">
        <is>
          <t>N-OP</t>
        </is>
      </c>
      <c r="Y1133" s="116">
        <f>F1133/E1133</f>
        <v/>
      </c>
      <c r="Z1133" s="64">
        <f>E1133-N1133</f>
        <v/>
      </c>
    </row>
    <row r="1134" ht="15.75" customHeight="1" s="202">
      <c r="A1134" s="116" t="n">
        <v>20260075</v>
      </c>
      <c r="B1134" s="117" t="inlineStr">
        <is>
          <t>AMOY CENTURY</t>
        </is>
      </c>
      <c r="C1134" s="118" t="n">
        <v>46091</v>
      </c>
      <c r="E1134" s="116" t="n">
        <v>570</v>
      </c>
      <c r="F1134" s="119" t="n">
        <v>1056.234</v>
      </c>
      <c r="G1134" s="120" t="n">
        <v>370.5</v>
      </c>
      <c r="H1134" s="117" t="inlineStr">
        <is>
          <t>SARL CIBD-GF</t>
        </is>
      </c>
      <c r="I1134" s="117" t="inlineStr">
        <is>
          <t>MDF</t>
        </is>
      </c>
      <c r="J1134" s="117" t="inlineStr">
        <is>
          <t>CTP</t>
        </is>
      </c>
      <c r="K1134" s="48">
        <f>D1134+8</f>
        <v/>
      </c>
      <c r="L1134" s="48">
        <f>K1134+60</f>
        <v/>
      </c>
      <c r="N1134" s="215">
        <f>E1134</f>
        <v/>
      </c>
      <c r="S1134" s="200" t="inlineStr">
        <is>
          <t>AC26004LDJD118</t>
        </is>
      </c>
      <c r="T1134" s="201" t="n">
        <v>101</v>
      </c>
      <c r="U1134" s="58" t="inlineStr">
        <is>
          <t>MDF /FANCY MDF</t>
        </is>
      </c>
      <c r="V1134" s="67" t="n"/>
      <c r="W1134" s="67" t="n"/>
      <c r="X1134" s="62" t="inlineStr">
        <is>
          <t>N-OP</t>
        </is>
      </c>
      <c r="Y1134" s="116">
        <f>F1134/E1134</f>
        <v/>
      </c>
      <c r="Z1134" s="64">
        <f>E1134-N1134</f>
        <v/>
      </c>
    </row>
    <row r="1135" ht="15.75" customHeight="1" s="202">
      <c r="A1135" s="116" t="n">
        <v>20260075</v>
      </c>
      <c r="B1135" s="117" t="inlineStr">
        <is>
          <t>AMOY CENTURY</t>
        </is>
      </c>
      <c r="C1135" s="118" t="n">
        <v>46091</v>
      </c>
      <c r="E1135" s="116" t="n">
        <v>1062</v>
      </c>
      <c r="F1135" s="119" t="n">
        <v>1147.72</v>
      </c>
      <c r="G1135" s="120" t="n">
        <v>690.3</v>
      </c>
      <c r="H1135" s="117" t="inlineStr">
        <is>
          <t>EURL REGAI HASNAOUI</t>
        </is>
      </c>
      <c r="I1135" s="117" t="inlineStr">
        <is>
          <t>FFP</t>
        </is>
      </c>
      <c r="J1135" s="117" t="inlineStr">
        <is>
          <t>CTP</t>
        </is>
      </c>
      <c r="K1135" s="48">
        <f>D1135+8</f>
        <v/>
      </c>
      <c r="L1135" s="48">
        <f>K1135+60</f>
        <v/>
      </c>
      <c r="N1135" s="215">
        <f>E1135</f>
        <v/>
      </c>
      <c r="S1135" s="200" t="inlineStr">
        <is>
          <t>AC26004LDJD119</t>
        </is>
      </c>
      <c r="T1135" s="201" t="n">
        <v>102</v>
      </c>
      <c r="U1135" s="58" t="inlineStr">
        <is>
          <t>FILM FACED PLYWOOD</t>
        </is>
      </c>
      <c r="V1135" s="67" t="n"/>
      <c r="W1135" s="67" t="n"/>
      <c r="X1135" s="62" t="inlineStr">
        <is>
          <t>N-OP</t>
        </is>
      </c>
      <c r="Y1135" s="116">
        <f>F1135/E1135</f>
        <v/>
      </c>
      <c r="Z1135" s="64">
        <f>E1135-N1135</f>
        <v/>
      </c>
    </row>
    <row r="1136" ht="15.75" customHeight="1" s="202">
      <c r="A1136" s="116" t="n">
        <v>20260075</v>
      </c>
      <c r="B1136" s="117" t="inlineStr">
        <is>
          <t>AMOY CENTURY</t>
        </is>
      </c>
      <c r="C1136" s="118" t="n">
        <v>46091</v>
      </c>
      <c r="E1136" s="116" t="n">
        <v>1048</v>
      </c>
      <c r="F1136" s="119" t="n">
        <v>1656.92</v>
      </c>
      <c r="G1136" s="120" t="n">
        <v>681.2</v>
      </c>
      <c r="H1136" s="117" t="inlineStr">
        <is>
          <t>SARL MENOUS DU BOIS</t>
        </is>
      </c>
      <c r="I1136" s="117" t="inlineStr">
        <is>
          <t>MDF</t>
        </is>
      </c>
      <c r="J1136" s="117" t="inlineStr">
        <is>
          <t>CTP</t>
        </is>
      </c>
      <c r="K1136" s="48">
        <f>D1136+8</f>
        <v/>
      </c>
      <c r="L1136" s="48">
        <f>K1136+60</f>
        <v/>
      </c>
      <c r="N1136" s="215">
        <f>E1136</f>
        <v/>
      </c>
      <c r="S1136" s="200" t="inlineStr">
        <is>
          <t>AC26004LDJD120</t>
        </is>
      </c>
      <c r="T1136" s="201" t="n">
        <v>103</v>
      </c>
      <c r="U1136" s="58" t="inlineStr">
        <is>
          <t>MDF /FANCY MDF / BLOCKBOARD</t>
        </is>
      </c>
      <c r="V1136" s="67" t="n"/>
      <c r="W1136" s="67" t="n"/>
      <c r="X1136" s="62" t="inlineStr">
        <is>
          <t>N-OP</t>
        </is>
      </c>
      <c r="Y1136" s="116">
        <f>F1136/E1136</f>
        <v/>
      </c>
      <c r="Z1136" s="64">
        <f>E1136-N1136</f>
        <v/>
      </c>
    </row>
    <row r="1137" ht="15.75" customHeight="1" s="202">
      <c r="A1137" s="116" t="n">
        <v>20260075</v>
      </c>
      <c r="B1137" s="117" t="inlineStr">
        <is>
          <t>AMOY CENTURY</t>
        </is>
      </c>
      <c r="C1137" s="118" t="n">
        <v>46091</v>
      </c>
      <c r="E1137" s="116" t="n">
        <v>140</v>
      </c>
      <c r="F1137" s="119" t="n">
        <v>172.135</v>
      </c>
      <c r="G1137" s="120" t="n">
        <v>91</v>
      </c>
      <c r="H1137" s="117" t="inlineStr">
        <is>
          <t>SARL SONO BOIS</t>
        </is>
      </c>
      <c r="I1137" s="117" t="inlineStr">
        <is>
          <t>MDF</t>
        </is>
      </c>
      <c r="J1137" s="117" t="inlineStr">
        <is>
          <t>CTP</t>
        </is>
      </c>
      <c r="K1137" s="48">
        <f>D1137+8</f>
        <v/>
      </c>
      <c r="L1137" s="48">
        <f>K1137+60</f>
        <v/>
      </c>
      <c r="N1137" s="215">
        <f>E1137</f>
        <v/>
      </c>
      <c r="S1137" s="200" t="inlineStr">
        <is>
          <t>AC26004LDJD121</t>
        </is>
      </c>
      <c r="T1137" s="201" t="n">
        <v>104</v>
      </c>
      <c r="U1137" s="58" t="inlineStr">
        <is>
          <t>FANCY MDF</t>
        </is>
      </c>
      <c r="V1137" s="67" t="n"/>
      <c r="W1137" s="67" t="n"/>
      <c r="X1137" s="62" t="inlineStr">
        <is>
          <t>N-OP</t>
        </is>
      </c>
      <c r="Y1137" s="116">
        <f>F1137/E1137</f>
        <v/>
      </c>
      <c r="Z1137" s="64">
        <f>E1137-N1137</f>
        <v/>
      </c>
    </row>
    <row r="1138" ht="15.75" customHeight="1" s="202">
      <c r="A1138" s="116" t="n">
        <v>20260075</v>
      </c>
      <c r="B1138" s="117" t="inlineStr">
        <is>
          <t>AMOY CENTURY</t>
        </is>
      </c>
      <c r="C1138" s="118" t="n">
        <v>46091</v>
      </c>
      <c r="E1138" s="116" t="n">
        <v>1100</v>
      </c>
      <c r="F1138" s="119" t="n">
        <v>2549.054</v>
      </c>
      <c r="G1138" s="120" t="n">
        <v>715</v>
      </c>
      <c r="H1138" s="117" t="inlineStr">
        <is>
          <t>SARL SONO BOIS</t>
        </is>
      </c>
      <c r="I1138" s="117" t="inlineStr">
        <is>
          <t>MDF</t>
        </is>
      </c>
      <c r="J1138" s="117" t="inlineStr">
        <is>
          <t>CTP</t>
        </is>
      </c>
      <c r="K1138" s="48">
        <f>D1138+8</f>
        <v/>
      </c>
      <c r="L1138" s="48">
        <f>K1138+60</f>
        <v/>
      </c>
      <c r="N1138" s="215">
        <f>E1138</f>
        <v/>
      </c>
      <c r="S1138" s="200" t="inlineStr">
        <is>
          <t>AC26004LDJD122</t>
        </is>
      </c>
      <c r="T1138" s="201" t="n">
        <v>105</v>
      </c>
      <c r="U1138" s="58" t="inlineStr">
        <is>
          <t>MDF</t>
        </is>
      </c>
      <c r="V1138" s="67" t="n"/>
      <c r="W1138" s="67" t="n"/>
      <c r="X1138" s="62" t="inlineStr">
        <is>
          <t>N-OP</t>
        </is>
      </c>
      <c r="Y1138" s="116">
        <f>F1138/E1138</f>
        <v/>
      </c>
      <c r="Z1138" s="64">
        <f>E1138-N1138</f>
        <v/>
      </c>
    </row>
    <row r="1139" ht="15.75" customHeight="1" s="202">
      <c r="A1139" s="116" t="n">
        <v>20260075</v>
      </c>
      <c r="B1139" s="117" t="inlineStr">
        <is>
          <t>AMOY CENTURY</t>
        </is>
      </c>
      <c r="C1139" s="118" t="n">
        <v>46091</v>
      </c>
      <c r="E1139" s="116" t="n">
        <v>900</v>
      </c>
      <c r="F1139" s="119" t="n">
        <v>2142.724</v>
      </c>
      <c r="G1139" s="120" t="n">
        <v>585</v>
      </c>
      <c r="H1139" s="117" t="inlineStr">
        <is>
          <t>EPE ENAB SPA</t>
        </is>
      </c>
      <c r="I1139" s="117" t="inlineStr">
        <is>
          <t>MDF</t>
        </is>
      </c>
      <c r="J1139" s="117" t="inlineStr">
        <is>
          <t>CTP</t>
        </is>
      </c>
      <c r="K1139" s="48">
        <f>D1139+8</f>
        <v/>
      </c>
      <c r="L1139" s="48">
        <f>K1139+60</f>
        <v/>
      </c>
      <c r="N1139" s="215">
        <f>E1139</f>
        <v/>
      </c>
      <c r="S1139" s="200" t="inlineStr">
        <is>
          <t>AC26004LDJD123</t>
        </is>
      </c>
      <c r="T1139" s="201" t="n">
        <v>106</v>
      </c>
      <c r="U1139" s="58" t="inlineStr">
        <is>
          <t>MDF</t>
        </is>
      </c>
      <c r="V1139" s="67" t="n"/>
      <c r="W1139" s="67" t="n"/>
      <c r="X1139" s="62" t="inlineStr">
        <is>
          <t>N-OP</t>
        </is>
      </c>
      <c r="Y1139" s="116">
        <f>F1139/E1139</f>
        <v/>
      </c>
      <c r="Z1139" s="64">
        <f>E1139-N1139</f>
        <v/>
      </c>
    </row>
    <row r="1140" ht="15.75" customHeight="1" s="202">
      <c r="A1140" s="116" t="n">
        <v>20260075</v>
      </c>
      <c r="B1140" s="117" t="inlineStr">
        <is>
          <t>AMOY CENTURY</t>
        </is>
      </c>
      <c r="C1140" s="118" t="n">
        <v>46091</v>
      </c>
      <c r="E1140" s="116" t="n">
        <v>687</v>
      </c>
      <c r="F1140" s="119" t="n">
        <v>726.9</v>
      </c>
      <c r="G1140" s="120" t="n">
        <v>446.55</v>
      </c>
      <c r="H1140" s="117" t="inlineStr">
        <is>
          <t>EURL BOUAOUD IMPORT EXPORT</t>
        </is>
      </c>
      <c r="I1140" s="117" t="inlineStr">
        <is>
          <t>FFP</t>
        </is>
      </c>
      <c r="J1140" s="117" t="inlineStr">
        <is>
          <t>CTP</t>
        </is>
      </c>
      <c r="K1140" s="48">
        <f>D1140+8</f>
        <v/>
      </c>
      <c r="L1140" s="48">
        <f>K1140+60</f>
        <v/>
      </c>
      <c r="N1140" s="215">
        <f>E1140</f>
        <v/>
      </c>
      <c r="S1140" s="200" t="inlineStr">
        <is>
          <t>AC26004LDJD124</t>
        </is>
      </c>
      <c r="T1140" s="201" t="n">
        <v>107</v>
      </c>
      <c r="U1140" s="58" t="inlineStr">
        <is>
          <t>FILM FACED PLYWOOD</t>
        </is>
      </c>
      <c r="V1140" s="67" t="n"/>
      <c r="W1140" s="67" t="n"/>
      <c r="X1140" s="62" t="inlineStr">
        <is>
          <t>N-OP</t>
        </is>
      </c>
      <c r="Y1140" s="116">
        <f>F1140/E1140</f>
        <v/>
      </c>
      <c r="Z1140" s="64">
        <f>E1140-N1140</f>
        <v/>
      </c>
    </row>
    <row r="1141" ht="15.75" customHeight="1" s="202">
      <c r="A1141" s="116" t="n">
        <v>20260075</v>
      </c>
      <c r="B1141" s="117" t="inlineStr">
        <is>
          <t>AMOY CENTURY</t>
        </is>
      </c>
      <c r="C1141" s="118" t="n">
        <v>46091</v>
      </c>
      <c r="E1141" s="116" t="n">
        <v>710</v>
      </c>
      <c r="F1141" s="119" t="n">
        <v>964.776</v>
      </c>
      <c r="G1141" s="120" t="n">
        <v>461.5</v>
      </c>
      <c r="H1141" s="117" t="inlineStr">
        <is>
          <t>EURL PANOTEC</t>
        </is>
      </c>
      <c r="I1141" s="117" t="inlineStr">
        <is>
          <t>MDF</t>
        </is>
      </c>
      <c r="J1141" s="117" t="inlineStr">
        <is>
          <t>CTP</t>
        </is>
      </c>
      <c r="K1141" s="48">
        <f>D1141+8</f>
        <v/>
      </c>
      <c r="L1141" s="48">
        <f>K1141+60</f>
        <v/>
      </c>
      <c r="N1141" s="215">
        <f>E1141</f>
        <v/>
      </c>
      <c r="S1141" s="200" t="inlineStr">
        <is>
          <t>AC26004LDJD125</t>
        </is>
      </c>
      <c r="T1141" s="201" t="n">
        <v>108</v>
      </c>
      <c r="U1141" s="58" t="inlineStr">
        <is>
          <t>FANCY MDF /MDF</t>
        </is>
      </c>
      <c r="V1141" s="67" t="n"/>
      <c r="W1141" s="67" t="n"/>
      <c r="X1141" s="62" t="inlineStr">
        <is>
          <t>N-OP</t>
        </is>
      </c>
      <c r="Y1141" s="116">
        <f>F1141/E1141</f>
        <v/>
      </c>
      <c r="Z1141" s="64">
        <f>E1141-N1141</f>
        <v/>
      </c>
    </row>
    <row r="1142" ht="15.75" customHeight="1" s="202">
      <c r="A1142" s="116" t="n">
        <v>20260075</v>
      </c>
      <c r="B1142" s="117" t="inlineStr">
        <is>
          <t>AMOY CENTURY</t>
        </is>
      </c>
      <c r="C1142" s="118" t="n">
        <v>46091</v>
      </c>
      <c r="E1142" s="116" t="n">
        <v>540</v>
      </c>
      <c r="F1142" s="119" t="n">
        <v>681.4349999999999</v>
      </c>
      <c r="G1142" s="120" t="n">
        <v>351</v>
      </c>
      <c r="H1142" s="117" t="inlineStr">
        <is>
          <t>EURL PANOTEC</t>
        </is>
      </c>
      <c r="I1142" s="117" t="inlineStr">
        <is>
          <t>MDF</t>
        </is>
      </c>
      <c r="J1142" s="117" t="inlineStr">
        <is>
          <t>CTP</t>
        </is>
      </c>
      <c r="K1142" s="48">
        <f>D1142+8</f>
        <v/>
      </c>
      <c r="L1142" s="48">
        <f>K1142+60</f>
        <v/>
      </c>
      <c r="N1142" s="215">
        <f>E1142</f>
        <v/>
      </c>
      <c r="S1142" s="200" t="inlineStr">
        <is>
          <t>AC26004LDJD126</t>
        </is>
      </c>
      <c r="T1142" s="201" t="n">
        <v>109</v>
      </c>
      <c r="U1142" s="58" t="inlineStr">
        <is>
          <t>FANCY MDF / MDF</t>
        </is>
      </c>
      <c r="V1142" s="67" t="n"/>
      <c r="W1142" s="67" t="n"/>
      <c r="X1142" s="62" t="inlineStr">
        <is>
          <t>N-OP</t>
        </is>
      </c>
      <c r="Y1142" s="116">
        <f>F1142/E1142</f>
        <v/>
      </c>
      <c r="Z1142" s="64">
        <f>E1142-N1142</f>
        <v/>
      </c>
    </row>
    <row r="1143" ht="15.75" customHeight="1" s="202">
      <c r="A1143" s="116" t="n">
        <v>20260075</v>
      </c>
      <c r="B1143" s="117" t="inlineStr">
        <is>
          <t>AMOY CENTURY</t>
        </is>
      </c>
      <c r="C1143" s="118" t="n">
        <v>46091</v>
      </c>
      <c r="E1143" s="116" t="n">
        <v>560</v>
      </c>
      <c r="F1143" s="119" t="n">
        <v>1273.667</v>
      </c>
      <c r="G1143" s="120" t="n">
        <v>364</v>
      </c>
      <c r="H1143" s="117" t="inlineStr">
        <is>
          <t>SARL PRIMINIUM WOOD</t>
        </is>
      </c>
      <c r="I1143" s="117" t="inlineStr">
        <is>
          <t>MDF</t>
        </is>
      </c>
      <c r="J1143" s="117" t="inlineStr">
        <is>
          <t>CTP</t>
        </is>
      </c>
      <c r="K1143" s="48">
        <f>D1143+8</f>
        <v/>
      </c>
      <c r="L1143" s="48">
        <f>K1143+60</f>
        <v/>
      </c>
      <c r="N1143" s="215">
        <f>E1143</f>
        <v/>
      </c>
      <c r="S1143" s="200" t="inlineStr">
        <is>
          <t>AC26004LDJD127A</t>
        </is>
      </c>
      <c r="T1143" s="201" t="n">
        <v>110</v>
      </c>
      <c r="U1143" s="58" t="inlineStr">
        <is>
          <t>MDF</t>
        </is>
      </c>
      <c r="V1143" s="67" t="n"/>
      <c r="W1143" s="67" t="n"/>
      <c r="X1143" s="62" t="inlineStr">
        <is>
          <t>N-OP</t>
        </is>
      </c>
      <c r="Y1143" s="116">
        <f>F1143/E1143</f>
        <v/>
      </c>
      <c r="Z1143" s="64">
        <f>E1143-N1143</f>
        <v/>
      </c>
    </row>
    <row r="1144" ht="15.75" customHeight="1" s="202">
      <c r="A1144" s="116" t="n">
        <v>20260075</v>
      </c>
      <c r="B1144" s="117" t="inlineStr">
        <is>
          <t>AMOY CENTURY</t>
        </is>
      </c>
      <c r="C1144" s="118" t="n">
        <v>46091</v>
      </c>
      <c r="E1144" s="116" t="n">
        <v>550</v>
      </c>
      <c r="F1144" s="119" t="n">
        <v>579</v>
      </c>
      <c r="G1144" s="120" t="n">
        <v>357.5</v>
      </c>
      <c r="H1144" s="117" t="inlineStr">
        <is>
          <t>SARL PRIMINIUM WOOD</t>
        </is>
      </c>
      <c r="I1144" s="117" t="inlineStr">
        <is>
          <t>FFP</t>
        </is>
      </c>
      <c r="J1144" s="117" t="inlineStr">
        <is>
          <t>CTP</t>
        </is>
      </c>
      <c r="K1144" s="48">
        <f>D1144+8</f>
        <v/>
      </c>
      <c r="L1144" s="48">
        <f>K1144+60</f>
        <v/>
      </c>
      <c r="N1144" s="215">
        <f>E1144</f>
        <v/>
      </c>
      <c r="S1144" s="200" t="inlineStr">
        <is>
          <t>AC26004LDJD127B/E/F</t>
        </is>
      </c>
      <c r="T1144" s="201" t="n">
        <v>111</v>
      </c>
      <c r="U1144" s="58" t="inlineStr">
        <is>
          <t>FILM FACED PLYWOOD</t>
        </is>
      </c>
      <c r="V1144" s="67" t="n"/>
      <c r="W1144" s="67" t="n"/>
      <c r="X1144" s="62" t="inlineStr">
        <is>
          <t>N-OP</t>
        </is>
      </c>
      <c r="Y1144" s="116">
        <f>F1144/E1144</f>
        <v/>
      </c>
      <c r="Z1144" s="64">
        <f>E1144-N1144</f>
        <v/>
      </c>
    </row>
    <row r="1145" ht="15.75" customHeight="1" s="202">
      <c r="A1145" s="116" t="n">
        <v>20260075</v>
      </c>
      <c r="B1145" s="117" t="inlineStr">
        <is>
          <t>AMOY CENTURY</t>
        </is>
      </c>
      <c r="C1145" s="118" t="n">
        <v>46091</v>
      </c>
      <c r="E1145" s="116" t="n">
        <v>385</v>
      </c>
      <c r="F1145" s="119" t="n">
        <v>470.193</v>
      </c>
      <c r="G1145" s="120" t="n">
        <v>250.25</v>
      </c>
      <c r="H1145" s="117" t="inlineStr">
        <is>
          <t>SARL PRIMINIUM WOOD</t>
        </is>
      </c>
      <c r="I1145" s="117" t="inlineStr">
        <is>
          <t>FFP</t>
        </is>
      </c>
      <c r="J1145" s="117" t="inlineStr">
        <is>
          <t>CTP</t>
        </is>
      </c>
      <c r="K1145" s="48">
        <f>D1145+8</f>
        <v/>
      </c>
      <c r="L1145" s="48">
        <f>K1145+60</f>
        <v/>
      </c>
      <c r="N1145" s="215">
        <f>E1145</f>
        <v/>
      </c>
      <c r="S1145" s="200" t="inlineStr">
        <is>
          <t>AC26004LDJD127C/D/G</t>
        </is>
      </c>
      <c r="T1145" s="201" t="n">
        <v>112</v>
      </c>
      <c r="U1145" s="58" t="inlineStr">
        <is>
          <t>FILM FACED PLYWOOD /BLOCKBOARD</t>
        </is>
      </c>
      <c r="V1145" s="67" t="n"/>
      <c r="W1145" s="67" t="n"/>
      <c r="X1145" s="62" t="inlineStr">
        <is>
          <t>N-OP</t>
        </is>
      </c>
      <c r="Y1145" s="116">
        <f>F1145/E1145</f>
        <v/>
      </c>
      <c r="Z1145" s="64">
        <f>E1145-N1145</f>
        <v/>
      </c>
    </row>
    <row r="1146" ht="15.75" customHeight="1" s="202">
      <c r="A1146" s="116" t="n">
        <v>20260075</v>
      </c>
      <c r="B1146" s="117" t="inlineStr">
        <is>
          <t>AMOY CENTURY</t>
        </is>
      </c>
      <c r="C1146" s="118" t="n">
        <v>46091</v>
      </c>
      <c r="E1146" s="116" t="n">
        <v>1100</v>
      </c>
      <c r="F1146" s="119" t="n">
        <v>1176</v>
      </c>
      <c r="G1146" s="120" t="n">
        <v>715</v>
      </c>
      <c r="H1146" s="117" t="inlineStr">
        <is>
          <t>EURL BOUAOUD IMPORT EXPORT</t>
        </is>
      </c>
      <c r="I1146" s="117" t="inlineStr">
        <is>
          <t>FFP</t>
        </is>
      </c>
      <c r="J1146" s="117" t="inlineStr">
        <is>
          <t>CTP</t>
        </is>
      </c>
      <c r="K1146" s="48">
        <f>D1146+8</f>
        <v/>
      </c>
      <c r="L1146" s="48">
        <f>K1146+60</f>
        <v/>
      </c>
      <c r="N1146" s="215">
        <f>E1146</f>
        <v/>
      </c>
      <c r="S1146" s="200" t="inlineStr">
        <is>
          <t>AC26004LDJD128</t>
        </is>
      </c>
      <c r="T1146" s="201" t="n">
        <v>113</v>
      </c>
      <c r="U1146" s="58" t="inlineStr">
        <is>
          <t>FILM FACED PLYWOOD</t>
        </is>
      </c>
      <c r="V1146" s="67" t="n"/>
      <c r="W1146" s="67" t="n"/>
      <c r="X1146" s="62" t="inlineStr">
        <is>
          <t>N-OP</t>
        </is>
      </c>
      <c r="Y1146" s="116">
        <f>F1146/E1146</f>
        <v/>
      </c>
      <c r="Z1146" s="64">
        <f>E1146-N1146</f>
        <v/>
      </c>
    </row>
    <row r="1147" ht="15.75" customHeight="1" s="202">
      <c r="A1147" s="116" t="n">
        <v>20260075</v>
      </c>
      <c r="B1147" s="117" t="inlineStr">
        <is>
          <t>AMOY CENTURY</t>
        </is>
      </c>
      <c r="C1147" s="118" t="n">
        <v>46091</v>
      </c>
      <c r="E1147" s="116" t="n">
        <v>500</v>
      </c>
      <c r="F1147" s="119" t="n">
        <v>780.917</v>
      </c>
      <c r="G1147" s="120" t="n">
        <v>325</v>
      </c>
      <c r="H1147" s="117" t="inlineStr">
        <is>
          <t>SARL HGMC</t>
        </is>
      </c>
      <c r="I1147" s="117" t="inlineStr">
        <is>
          <t>MDF</t>
        </is>
      </c>
      <c r="J1147" s="117" t="inlineStr">
        <is>
          <t>CTP</t>
        </is>
      </c>
      <c r="K1147" s="48">
        <f>D1147+8</f>
        <v/>
      </c>
      <c r="L1147" s="48">
        <f>K1147+60</f>
        <v/>
      </c>
      <c r="N1147" s="215">
        <f>E1147</f>
        <v/>
      </c>
      <c r="S1147" s="200" t="inlineStr">
        <is>
          <t>AC26004LDJD129</t>
        </is>
      </c>
      <c r="T1147" s="201" t="n">
        <v>114</v>
      </c>
      <c r="U1147" s="58" t="inlineStr">
        <is>
          <t>FANCY MDF /FILM FACED PLYWOOD /MDF</t>
        </is>
      </c>
      <c r="V1147" s="67" t="n"/>
      <c r="W1147" s="67" t="n"/>
      <c r="X1147" s="62" t="inlineStr">
        <is>
          <t>N-OP</t>
        </is>
      </c>
      <c r="Y1147" s="116">
        <f>F1147/E1147</f>
        <v/>
      </c>
      <c r="Z1147" s="64">
        <f>E1147-N1147</f>
        <v/>
      </c>
    </row>
    <row r="1148" ht="15.75" customHeight="1" s="202">
      <c r="A1148" s="116" t="n">
        <v>20260075</v>
      </c>
      <c r="B1148" s="117" t="inlineStr">
        <is>
          <t>AMOY CENTURY</t>
        </is>
      </c>
      <c r="C1148" s="118" t="n">
        <v>46091</v>
      </c>
      <c r="E1148" s="116" t="n">
        <v>2</v>
      </c>
      <c r="F1148" s="119" t="n">
        <v>5.18</v>
      </c>
      <c r="G1148" s="120" t="n">
        <v>48</v>
      </c>
      <c r="H1148" s="117" t="inlineStr">
        <is>
          <t>SARL ECO METAL IMPORT EXPORT</t>
        </is>
      </c>
      <c r="I1148" s="117" t="inlineStr">
        <is>
          <t>CAMIONS</t>
        </is>
      </c>
      <c r="J1148" s="117" t="inlineStr">
        <is>
          <t>LOURD</t>
        </is>
      </c>
      <c r="K1148" s="48">
        <f>D1148+8</f>
        <v/>
      </c>
      <c r="L1148" s="48">
        <f>K1148+60</f>
        <v/>
      </c>
      <c r="N1148" s="72">
        <f>E1148</f>
        <v/>
      </c>
      <c r="O1148" s="50">
        <f>F1148/E1148*N1148</f>
        <v/>
      </c>
      <c r="P1148" s="273">
        <f>G1148/E1148*N1148</f>
        <v/>
      </c>
      <c r="S1148" s="200" t="inlineStr">
        <is>
          <t>AC26004LDJD001</t>
        </is>
      </c>
      <c r="T1148" s="201" t="n">
        <v>7</v>
      </c>
      <c r="U1148" s="58" t="inlineStr">
        <is>
          <t>02 UNITS JMC T822 AERIAL WORK TRUCK ( VOIR BL)</t>
        </is>
      </c>
      <c r="V1148" s="67" t="n"/>
      <c r="W1148" s="67" t="n"/>
      <c r="X1148" s="62" t="inlineStr">
        <is>
          <t>N-OP</t>
        </is>
      </c>
      <c r="Y1148" s="116">
        <f>F1148/E1148</f>
        <v/>
      </c>
      <c r="Z1148" s="64">
        <f>E1148-N1148</f>
        <v/>
      </c>
    </row>
    <row r="1149" ht="15.75" customHeight="1" s="202">
      <c r="A1149" s="116" t="n">
        <v>20260075</v>
      </c>
      <c r="B1149" s="117" t="inlineStr">
        <is>
          <t>AMOY CENTURY</t>
        </is>
      </c>
      <c r="C1149" s="118" t="n">
        <v>46091</v>
      </c>
      <c r="E1149" s="116" t="n">
        <v>3</v>
      </c>
      <c r="F1149" s="119" t="n">
        <v>8.699999999999999</v>
      </c>
      <c r="G1149" s="120" t="n">
        <v>72</v>
      </c>
      <c r="H1149" s="117" t="inlineStr">
        <is>
          <t>EURL ENTREPRISE ALGERI</t>
        </is>
      </c>
      <c r="I1149" s="117" t="inlineStr">
        <is>
          <t>CAMIONS</t>
        </is>
      </c>
      <c r="J1149" s="117" t="inlineStr">
        <is>
          <t>LOURD</t>
        </is>
      </c>
      <c r="K1149" s="48">
        <f>D1149+8</f>
        <v/>
      </c>
      <c r="L1149" s="48">
        <f>K1149+60</f>
        <v/>
      </c>
      <c r="N1149" s="72">
        <f>E1149</f>
        <v/>
      </c>
      <c r="O1149" s="50">
        <f>F1149/E1149*N1149</f>
        <v/>
      </c>
      <c r="P1149" s="273">
        <f>G1149/E1149*N1149</f>
        <v/>
      </c>
      <c r="S1149" s="200" t="inlineStr">
        <is>
          <t>AC26004LDJD002</t>
        </is>
      </c>
      <c r="T1149" s="201" t="n">
        <v>8</v>
      </c>
      <c r="U1149" s="58" t="inlineStr">
        <is>
          <t>03 UNITS ISUZU VAN CARGO TRUCK ( VOIR BL)</t>
        </is>
      </c>
      <c r="V1149" s="67" t="n"/>
      <c r="W1149" s="67" t="n"/>
      <c r="X1149" s="62" t="inlineStr">
        <is>
          <t>N-OP</t>
        </is>
      </c>
      <c r="Y1149" s="116">
        <f>F1149/E1149</f>
        <v/>
      </c>
      <c r="Z1149" s="64">
        <f>E1149-N1149</f>
        <v/>
      </c>
    </row>
    <row r="1150" ht="15.75" customHeight="1" s="202">
      <c r="A1150" s="116" t="n">
        <v>20260075</v>
      </c>
      <c r="B1150" s="117" t="inlineStr">
        <is>
          <t>AMOY CENTURY</t>
        </is>
      </c>
      <c r="C1150" s="118" t="n">
        <v>46091</v>
      </c>
      <c r="E1150" s="116" t="n">
        <v>2</v>
      </c>
      <c r="F1150" s="119" t="n">
        <v>49.465</v>
      </c>
      <c r="G1150" s="120" t="n">
        <v>48</v>
      </c>
      <c r="H1150" s="117" t="inlineStr">
        <is>
          <t>CHIALI SERVICES SPA</t>
        </is>
      </c>
      <c r="I1150" s="117" t="inlineStr">
        <is>
          <t>EXCAVATEURS</t>
        </is>
      </c>
      <c r="J1150" s="117" t="inlineStr">
        <is>
          <t>ENGINS</t>
        </is>
      </c>
      <c r="K1150" s="48">
        <f>D1150+8</f>
        <v/>
      </c>
      <c r="L1150" s="48">
        <f>K1150+60</f>
        <v/>
      </c>
      <c r="N1150" s="72">
        <f>E1150</f>
        <v/>
      </c>
      <c r="O1150" s="50">
        <f>F1150/E1150*N1150</f>
        <v/>
      </c>
      <c r="P1150" s="273">
        <f>G1150/E1150*N1150</f>
        <v/>
      </c>
      <c r="S1150" s="200" t="inlineStr">
        <is>
          <t>AC26004LDJD003</t>
        </is>
      </c>
      <c r="T1150" s="201" t="n">
        <v>9</v>
      </c>
      <c r="U1150" s="58" t="inlineStr">
        <is>
          <t>02 UNITS PELLE SUR PNEU AVEC ACCESSOIRES ( VOIR BL)</t>
        </is>
      </c>
      <c r="V1150" s="67" t="n"/>
      <c r="W1150" s="67" t="n"/>
      <c r="X1150" s="62" t="inlineStr">
        <is>
          <t>N-OP</t>
        </is>
      </c>
      <c r="Y1150" s="116">
        <f>F1150/E1150</f>
        <v/>
      </c>
      <c r="Z1150" s="64">
        <f>E1150-N1150</f>
        <v/>
      </c>
    </row>
    <row r="1151" ht="15.75" customHeight="1" s="202">
      <c r="A1151" s="116" t="n">
        <v>20260075</v>
      </c>
      <c r="B1151" s="117" t="inlineStr">
        <is>
          <t>AMOY CENTURY</t>
        </is>
      </c>
      <c r="C1151" s="118" t="n">
        <v>46091</v>
      </c>
      <c r="E1151" s="116" t="n">
        <v>3</v>
      </c>
      <c r="F1151" s="119" t="n">
        <v>0</v>
      </c>
      <c r="G1151" s="120" t="n">
        <v>15</v>
      </c>
      <c r="H1151" s="117" t="inlineStr">
        <is>
          <t>CHIALI SERVICES SPA</t>
        </is>
      </c>
      <c r="I1151" s="117" t="inlineStr">
        <is>
          <t>COLIS</t>
        </is>
      </c>
      <c r="J1151" s="117" t="inlineStr">
        <is>
          <t>COLIS</t>
        </is>
      </c>
      <c r="K1151" s="48">
        <f>D1151+8</f>
        <v/>
      </c>
      <c r="L1151" s="48">
        <f>K1151+60</f>
        <v/>
      </c>
      <c r="N1151" s="72">
        <f>E1151</f>
        <v/>
      </c>
      <c r="O1151" s="50">
        <f>F1151/E1151*N1151</f>
        <v/>
      </c>
      <c r="P1151" s="273">
        <f>G1151/E1151*N1151</f>
        <v/>
      </c>
      <c r="S1151" s="200" t="inlineStr">
        <is>
          <t>AC26004LDJD003</t>
        </is>
      </c>
      <c r="T1151" s="201" t="n">
        <v>9</v>
      </c>
      <c r="U1151" s="58" t="n"/>
      <c r="V1151" s="67" t="n"/>
      <c r="W1151" s="67" t="n"/>
      <c r="X1151" s="62" t="inlineStr">
        <is>
          <t>N-OP</t>
        </is>
      </c>
      <c r="Y1151" s="116">
        <f>F1151/E1151</f>
        <v/>
      </c>
      <c r="Z1151" s="64">
        <f>E1151-N1151</f>
        <v/>
      </c>
    </row>
    <row r="1152" ht="15.75" customHeight="1" s="202">
      <c r="A1152" s="116" t="n">
        <v>20260075</v>
      </c>
      <c r="B1152" s="117" t="inlineStr">
        <is>
          <t>AMOY CENTURY</t>
        </is>
      </c>
      <c r="C1152" s="118" t="n">
        <v>46091</v>
      </c>
      <c r="E1152" s="116" t="n">
        <v>1</v>
      </c>
      <c r="F1152" s="119" t="n">
        <v>21</v>
      </c>
      <c r="G1152" s="120" t="n">
        <v>24</v>
      </c>
      <c r="H1152" s="117" t="inlineStr">
        <is>
          <t>ETB TAIBI MOHAMED</t>
        </is>
      </c>
      <c r="I1152" s="117" t="inlineStr">
        <is>
          <t>FINISSEUR</t>
        </is>
      </c>
      <c r="J1152" s="117" t="inlineStr">
        <is>
          <t>ENGINS</t>
        </is>
      </c>
      <c r="K1152" s="48">
        <f>D1152+8</f>
        <v/>
      </c>
      <c r="L1152" s="48">
        <f>K1152+60</f>
        <v/>
      </c>
      <c r="N1152" s="72">
        <f>E1152</f>
        <v/>
      </c>
      <c r="O1152" s="50">
        <f>F1152/E1152*N1152</f>
        <v/>
      </c>
      <c r="P1152" s="273">
        <f>G1152/E1152*N1152</f>
        <v/>
      </c>
      <c r="S1152" s="200" t="inlineStr">
        <is>
          <t>AC26004LDJD004</t>
        </is>
      </c>
      <c r="T1152" s="201" t="n">
        <v>10</v>
      </c>
      <c r="U1152" s="58" t="inlineStr">
        <is>
          <t>01 UNIT XCMG RP603 PAVER ( VOIR BL)</t>
        </is>
      </c>
      <c r="V1152" s="67" t="n"/>
      <c r="W1152" s="67" t="n"/>
      <c r="X1152" s="62" t="inlineStr">
        <is>
          <t>N-OP</t>
        </is>
      </c>
      <c r="Y1152" s="116">
        <f>F1152/E1152</f>
        <v/>
      </c>
      <c r="Z1152" s="64">
        <f>E1152-N1152</f>
        <v/>
      </c>
    </row>
    <row r="1153" ht="15.75" customHeight="1" s="202">
      <c r="A1153" s="116" t="n">
        <v>20260075</v>
      </c>
      <c r="B1153" s="117" t="inlineStr">
        <is>
          <t>AMOY CENTURY</t>
        </is>
      </c>
      <c r="C1153" s="118" t="n">
        <v>46091</v>
      </c>
      <c r="E1153" s="116" t="n">
        <v>2</v>
      </c>
      <c r="F1153" s="119" t="n">
        <v>0</v>
      </c>
      <c r="G1153" s="120" t="n">
        <v>10</v>
      </c>
      <c r="H1153" s="117" t="inlineStr">
        <is>
          <t>ETB TAIBI MOHAMED</t>
        </is>
      </c>
      <c r="I1153" s="117" t="inlineStr">
        <is>
          <t>COLIS</t>
        </is>
      </c>
      <c r="J1153" s="117" t="inlineStr">
        <is>
          <t>COLIS</t>
        </is>
      </c>
      <c r="K1153" s="48">
        <f>D1153+8</f>
        <v/>
      </c>
      <c r="L1153" s="48">
        <f>K1153+60</f>
        <v/>
      </c>
      <c r="N1153" s="72">
        <f>E1153</f>
        <v/>
      </c>
      <c r="O1153" s="50">
        <f>F1153/E1153*N1153</f>
        <v/>
      </c>
      <c r="P1153" s="273">
        <f>G1153/E1153*N1153</f>
        <v/>
      </c>
      <c r="S1153" s="200" t="inlineStr">
        <is>
          <t>AC26004LDJD004</t>
        </is>
      </c>
      <c r="T1153" s="201" t="n">
        <v>10</v>
      </c>
      <c r="U1153" s="58" t="n"/>
      <c r="V1153" s="67" t="n"/>
      <c r="W1153" s="67" t="n"/>
      <c r="X1153" s="62" t="inlineStr">
        <is>
          <t>N-OP</t>
        </is>
      </c>
      <c r="Y1153" s="116">
        <f>F1153/E1153</f>
        <v/>
      </c>
      <c r="Z1153" s="64">
        <f>E1153-N1153</f>
        <v/>
      </c>
    </row>
    <row r="1154" ht="15.75" customHeight="1" s="202">
      <c r="A1154" s="116" t="n">
        <v>20260075</v>
      </c>
      <c r="B1154" s="117" t="inlineStr">
        <is>
          <t>AMOY CENTURY</t>
        </is>
      </c>
      <c r="C1154" s="118" t="n">
        <v>46091</v>
      </c>
      <c r="E1154" s="116" t="n">
        <v>2</v>
      </c>
      <c r="F1154" s="119" t="n">
        <v>5.4</v>
      </c>
      <c r="G1154" s="120" t="n">
        <v>48</v>
      </c>
      <c r="H1154" s="117" t="inlineStr">
        <is>
          <t>EURL ECOLOG</t>
        </is>
      </c>
      <c r="I1154" s="117" t="inlineStr">
        <is>
          <t>CAMIONS</t>
        </is>
      </c>
      <c r="J1154" s="117" t="inlineStr">
        <is>
          <t>LOURD</t>
        </is>
      </c>
      <c r="K1154" s="48">
        <f>D1154+8</f>
        <v/>
      </c>
      <c r="L1154" s="48">
        <f>K1154+60</f>
        <v/>
      </c>
      <c r="N1154" s="72">
        <f>E1154</f>
        <v/>
      </c>
      <c r="O1154" s="50">
        <f>F1154/E1154*N1154</f>
        <v/>
      </c>
      <c r="P1154" s="273">
        <f>G1154/E1154*N1154</f>
        <v/>
      </c>
      <c r="S1154" s="200" t="inlineStr">
        <is>
          <t>AC26004LDJD005</t>
        </is>
      </c>
      <c r="T1154" s="201" t="n">
        <v>11</v>
      </c>
      <c r="U1154" s="58" t="inlineStr">
        <is>
          <t>02 UNITS JMC 822 DOUBLE CAB CARGO TRUCK ( VOIR BL)</t>
        </is>
      </c>
      <c r="V1154" s="67" t="n"/>
      <c r="W1154" s="67" t="n"/>
      <c r="X1154" s="62" t="inlineStr">
        <is>
          <t>N-OP</t>
        </is>
      </c>
      <c r="Y1154" s="116">
        <f>F1154/E1154</f>
        <v/>
      </c>
      <c r="Z1154" s="64">
        <f>E1154-N1154</f>
        <v/>
      </c>
    </row>
    <row r="1155" ht="15.75" customHeight="1" s="202">
      <c r="A1155" s="116" t="n">
        <v>20260075</v>
      </c>
      <c r="B1155" s="117" t="inlineStr">
        <is>
          <t>AMOY CENTURY</t>
        </is>
      </c>
      <c r="C1155" s="118" t="n">
        <v>46091</v>
      </c>
      <c r="E1155" s="116" t="n">
        <v>1</v>
      </c>
      <c r="F1155" s="119" t="n">
        <v>24.6</v>
      </c>
      <c r="G1155" s="120" t="n">
        <v>24</v>
      </c>
      <c r="H1155" s="117" t="inlineStr">
        <is>
          <t>EURL TEBIB YOUCEF GRANDS TRAVAUX</t>
        </is>
      </c>
      <c r="I1155" s="117" t="inlineStr">
        <is>
          <t>EXCAVATEURS</t>
        </is>
      </c>
      <c r="J1155" s="117" t="inlineStr">
        <is>
          <t>ENGINS</t>
        </is>
      </c>
      <c r="K1155" s="48">
        <f>D1155+8</f>
        <v/>
      </c>
      <c r="L1155" s="48">
        <f>K1155+60</f>
        <v/>
      </c>
      <c r="N1155" s="72">
        <f>E1155</f>
        <v/>
      </c>
      <c r="O1155" s="50">
        <f>F1155/E1155*N1155</f>
        <v/>
      </c>
      <c r="P1155" s="273">
        <f>G1155/E1155*N1155</f>
        <v/>
      </c>
      <c r="S1155" s="200" t="inlineStr">
        <is>
          <t>AC26004LDJD006</t>
        </is>
      </c>
      <c r="T1155" s="201" t="n">
        <v>12</v>
      </c>
      <c r="U1155" s="58" t="inlineStr">
        <is>
          <t>01 UNIT HYUNDAI HW210 21 TON WHEEL EXCAVATOR ( VOIR BL)</t>
        </is>
      </c>
      <c r="V1155" s="67" t="n"/>
      <c r="W1155" s="67" t="n"/>
      <c r="X1155" s="62" t="inlineStr">
        <is>
          <t>N-OP</t>
        </is>
      </c>
      <c r="Y1155" s="116">
        <f>F1155/E1155</f>
        <v/>
      </c>
      <c r="Z1155" s="64">
        <f>E1155-N1155</f>
        <v/>
      </c>
    </row>
    <row r="1156" ht="15.75" customHeight="1" s="202">
      <c r="A1156" s="116" t="n">
        <v>20260075</v>
      </c>
      <c r="B1156" s="117" t="inlineStr">
        <is>
          <t>AMOY CENTURY</t>
        </is>
      </c>
      <c r="C1156" s="118" t="n">
        <v>46091</v>
      </c>
      <c r="E1156" s="116" t="n">
        <v>1</v>
      </c>
      <c r="F1156" s="119" t="n">
        <v>0</v>
      </c>
      <c r="G1156" s="120" t="n">
        <v>5</v>
      </c>
      <c r="H1156" s="117" t="inlineStr">
        <is>
          <t>EURL TEBIB YOUCEF GRANDS TRAVAUX</t>
        </is>
      </c>
      <c r="I1156" s="117" t="inlineStr">
        <is>
          <t>COLIS</t>
        </is>
      </c>
      <c r="J1156" s="117" t="inlineStr">
        <is>
          <t>COLIS</t>
        </is>
      </c>
      <c r="K1156" s="48">
        <f>D1156+8</f>
        <v/>
      </c>
      <c r="L1156" s="48">
        <f>K1156+60</f>
        <v/>
      </c>
      <c r="N1156" s="72">
        <f>E1156</f>
        <v/>
      </c>
      <c r="O1156" s="50">
        <f>F1156/E1156*N1156</f>
        <v/>
      </c>
      <c r="P1156" s="273">
        <f>G1156/E1156*N1156</f>
        <v/>
      </c>
      <c r="S1156" s="200" t="inlineStr">
        <is>
          <t>AC26004LDJD006</t>
        </is>
      </c>
      <c r="T1156" s="201" t="n">
        <v>12</v>
      </c>
      <c r="U1156" s="58" t="n"/>
      <c r="V1156" s="67" t="n"/>
      <c r="W1156" s="67" t="n"/>
      <c r="X1156" s="62" t="inlineStr">
        <is>
          <t>N-OP</t>
        </is>
      </c>
      <c r="Y1156" s="116">
        <f>F1156/E1156</f>
        <v/>
      </c>
      <c r="Z1156" s="64">
        <f>E1156-N1156</f>
        <v/>
      </c>
    </row>
    <row r="1157" ht="15.75" customHeight="1" s="202">
      <c r="A1157" s="116" t="n">
        <v>20260075</v>
      </c>
      <c r="B1157" s="117" t="inlineStr">
        <is>
          <t>AMOY CENTURY</t>
        </is>
      </c>
      <c r="C1157" s="118" t="n">
        <v>46091</v>
      </c>
      <c r="E1157" s="116" t="n">
        <v>1</v>
      </c>
      <c r="F1157" s="119" t="n">
        <v>38.04</v>
      </c>
      <c r="G1157" s="120" t="n">
        <v>24</v>
      </c>
      <c r="H1157" s="117" t="inlineStr">
        <is>
          <t>SNC KEBICHE ABDELHALIM &amp; CIE CARRIÈRES</t>
        </is>
      </c>
      <c r="I1157" s="117" t="inlineStr">
        <is>
          <t>EXCAVATEURS</t>
        </is>
      </c>
      <c r="J1157" s="117" t="inlineStr">
        <is>
          <t>ENGINS</t>
        </is>
      </c>
      <c r="K1157" s="48">
        <f>D1157+8</f>
        <v/>
      </c>
      <c r="L1157" s="48">
        <f>K1157+60</f>
        <v/>
      </c>
      <c r="N1157" s="72">
        <f>E1157</f>
        <v/>
      </c>
      <c r="O1157" s="50">
        <f>F1157/E1157*N1157</f>
        <v/>
      </c>
      <c r="P1157" s="273">
        <f>G1157/E1157*N1157</f>
        <v/>
      </c>
      <c r="S1157" s="200" t="inlineStr">
        <is>
          <t>AC26004LDJD009</t>
        </is>
      </c>
      <c r="T1157" s="201" t="n">
        <v>13</v>
      </c>
      <c r="U1157" s="58" t="inlineStr">
        <is>
          <t>01 UNIT HYUNDAI EXCAVATOR HX340HD WITH SILENT HAMMER HDBB-165B ( VOIR BL)</t>
        </is>
      </c>
      <c r="V1157" s="67" t="n"/>
      <c r="W1157" s="67" t="n"/>
      <c r="X1157" s="62" t="inlineStr">
        <is>
          <t>N-OP</t>
        </is>
      </c>
      <c r="Y1157" s="116">
        <f>F1157/E1157</f>
        <v/>
      </c>
      <c r="Z1157" s="64">
        <f>E1157-N1157</f>
        <v/>
      </c>
    </row>
    <row r="1158" ht="15.75" customHeight="1" s="202">
      <c r="A1158" s="116" t="n">
        <v>20260075</v>
      </c>
      <c r="B1158" s="117" t="inlineStr">
        <is>
          <t>AMOY CENTURY</t>
        </is>
      </c>
      <c r="C1158" s="118" t="n">
        <v>46091</v>
      </c>
      <c r="E1158" s="116" t="n">
        <v>2</v>
      </c>
      <c r="F1158" s="119" t="n">
        <v>0</v>
      </c>
      <c r="G1158" s="120" t="n">
        <v>10</v>
      </c>
      <c r="H1158" s="117" t="inlineStr">
        <is>
          <t>SNC KEBICHE ABDELHALIM &amp; CIE CARRIÈRES</t>
        </is>
      </c>
      <c r="I1158" s="117" t="inlineStr">
        <is>
          <t>COLIS</t>
        </is>
      </c>
      <c r="J1158" s="117" t="inlineStr">
        <is>
          <t>COLIS</t>
        </is>
      </c>
      <c r="K1158" s="48">
        <f>D1158+8</f>
        <v/>
      </c>
      <c r="L1158" s="48">
        <f>K1158+60</f>
        <v/>
      </c>
      <c r="N1158" s="72">
        <f>E1158</f>
        <v/>
      </c>
      <c r="O1158" s="50">
        <f>F1158/E1158*N1158</f>
        <v/>
      </c>
      <c r="P1158" s="273">
        <f>G1158/E1158*N1158</f>
        <v/>
      </c>
      <c r="S1158" s="200" t="inlineStr">
        <is>
          <t>AC26004LDJD009</t>
        </is>
      </c>
      <c r="T1158" s="201" t="n">
        <v>13</v>
      </c>
      <c r="U1158" s="58" t="n"/>
      <c r="V1158" s="67" t="n"/>
      <c r="W1158" s="67" t="n"/>
      <c r="X1158" s="62" t="inlineStr">
        <is>
          <t>N-OP</t>
        </is>
      </c>
      <c r="Y1158" s="116">
        <f>F1158/E1158</f>
        <v/>
      </c>
      <c r="Z1158" s="64">
        <f>E1158-N1158</f>
        <v/>
      </c>
    </row>
    <row r="1159" ht="15.75" customHeight="1" s="202">
      <c r="A1159" s="116" t="n">
        <v>20260075</v>
      </c>
      <c r="B1159" s="117" t="inlineStr">
        <is>
          <t>AMOY CENTURY</t>
        </is>
      </c>
      <c r="C1159" s="118" t="n">
        <v>46091</v>
      </c>
      <c r="E1159" s="116" t="n">
        <v>1</v>
      </c>
      <c r="F1159" s="119" t="n">
        <v>3.13</v>
      </c>
      <c r="G1159" s="120" t="n">
        <v>24</v>
      </c>
      <c r="H1159" s="117" t="inlineStr">
        <is>
          <t>BENLARBI ABDELAZIZ</t>
        </is>
      </c>
      <c r="I1159" s="117" t="inlineStr">
        <is>
          <t>CAMIONS</t>
        </is>
      </c>
      <c r="J1159" s="117" t="inlineStr">
        <is>
          <t>LOURD</t>
        </is>
      </c>
      <c r="K1159" s="48">
        <f>D1159+8</f>
        <v/>
      </c>
      <c r="L1159" s="48">
        <f>K1159+60</f>
        <v/>
      </c>
      <c r="N1159" s="72">
        <f>E1159</f>
        <v/>
      </c>
      <c r="O1159" s="50">
        <f>F1159/E1159*N1159</f>
        <v/>
      </c>
      <c r="P1159" s="273">
        <f>G1159/E1159*N1159</f>
        <v/>
      </c>
      <c r="S1159" s="200" t="inlineStr">
        <is>
          <t>AC26004LDJD011</t>
        </is>
      </c>
      <c r="T1159" s="201" t="n">
        <v>14</v>
      </c>
      <c r="U1159" s="58" t="inlineStr">
        <is>
          <t>01 UNIT JMC 822 DOUBLE CAB DUMP TRUCK (VOIR BL)</t>
        </is>
      </c>
      <c r="V1159" s="67" t="n"/>
      <c r="W1159" s="67" t="n"/>
      <c r="X1159" s="62" t="inlineStr">
        <is>
          <t>N-OP</t>
        </is>
      </c>
      <c r="Y1159" s="116">
        <f>F1159/E1159</f>
        <v/>
      </c>
      <c r="Z1159" s="64">
        <f>E1159-N1159</f>
        <v/>
      </c>
    </row>
    <row r="1160" ht="15.75" customHeight="1" s="202">
      <c r="A1160" s="116" t="n">
        <v>20260075</v>
      </c>
      <c r="B1160" s="117" t="inlineStr">
        <is>
          <t>AMOY CENTURY</t>
        </is>
      </c>
      <c r="C1160" s="118" t="n">
        <v>46091</v>
      </c>
      <c r="E1160" s="116" t="n">
        <v>1</v>
      </c>
      <c r="F1160" s="119" t="n">
        <v>17.63</v>
      </c>
      <c r="G1160" s="120" t="n">
        <v>24</v>
      </c>
      <c r="H1160" s="117" t="inlineStr">
        <is>
          <t>SARL GLOBAL SALMI</t>
        </is>
      </c>
      <c r="I1160" s="117" t="inlineStr">
        <is>
          <t>CHARGEURS</t>
        </is>
      </c>
      <c r="J1160" s="117" t="inlineStr">
        <is>
          <t>ENGINS</t>
        </is>
      </c>
      <c r="K1160" s="48">
        <f>D1160+8</f>
        <v/>
      </c>
      <c r="L1160" s="48">
        <f>K1160+60</f>
        <v/>
      </c>
      <c r="N1160" s="72">
        <f>E1160</f>
        <v/>
      </c>
      <c r="O1160" s="50">
        <f>F1160/E1160*N1160</f>
        <v/>
      </c>
      <c r="P1160" s="273">
        <f>G1160/E1160*N1160</f>
        <v/>
      </c>
      <c r="S1160" s="200" t="inlineStr">
        <is>
          <t>AC26004LDJD012</t>
        </is>
      </c>
      <c r="T1160" s="201" t="n">
        <v>15</v>
      </c>
      <c r="U1160" s="58" t="inlineStr">
        <is>
          <t>01 UNIT XCMG 5 TON WHEEL LOADER ZL50GN ( VOIR BL)</t>
        </is>
      </c>
      <c r="V1160" s="67" t="n"/>
      <c r="W1160" s="67" t="n"/>
      <c r="X1160" s="62" t="inlineStr">
        <is>
          <t>N-OP</t>
        </is>
      </c>
      <c r="Y1160" s="116">
        <f>F1160/E1160</f>
        <v/>
      </c>
      <c r="Z1160" s="64">
        <f>E1160-N1160</f>
        <v/>
      </c>
    </row>
    <row r="1161" ht="15.75" customHeight="1" s="202">
      <c r="A1161" s="116" t="n">
        <v>20260075</v>
      </c>
      <c r="B1161" s="117" t="inlineStr">
        <is>
          <t>AMOY CENTURY</t>
        </is>
      </c>
      <c r="C1161" s="118" t="n">
        <v>46091</v>
      </c>
      <c r="E1161" s="116" t="n">
        <v>1</v>
      </c>
      <c r="F1161" s="119" t="n">
        <v>34</v>
      </c>
      <c r="G1161" s="120" t="n">
        <v>24</v>
      </c>
      <c r="H1161" s="117" t="inlineStr">
        <is>
          <t>SARL TIZLAOUIN SERVICES</t>
        </is>
      </c>
      <c r="I1161" s="117" t="inlineStr">
        <is>
          <t>EXCAVATEURS</t>
        </is>
      </c>
      <c r="J1161" s="117" t="inlineStr">
        <is>
          <t>ENGINS</t>
        </is>
      </c>
      <c r="K1161" s="48">
        <f>D1161+8</f>
        <v/>
      </c>
      <c r="L1161" s="48">
        <f>K1161+60</f>
        <v/>
      </c>
      <c r="N1161" s="72">
        <f>E1161</f>
        <v/>
      </c>
      <c r="O1161" s="50">
        <f>F1161/E1161*N1161</f>
        <v/>
      </c>
      <c r="P1161" s="273">
        <f>G1161/E1161*N1161</f>
        <v/>
      </c>
      <c r="S1161" s="200" t="inlineStr">
        <is>
          <t>AC26004LDJD013</t>
        </is>
      </c>
      <c r="T1161" s="201" t="n">
        <v>16</v>
      </c>
      <c r="U1161" s="58" t="inlineStr">
        <is>
          <t>01 UNIT HYUNDAI EXCAVATOR ( VOIR BL)</t>
        </is>
      </c>
      <c r="V1161" s="67" t="n"/>
      <c r="W1161" s="67" t="n"/>
      <c r="X1161" s="62" t="inlineStr">
        <is>
          <t>N-OP</t>
        </is>
      </c>
      <c r="Y1161" s="116">
        <f>F1161/E1161</f>
        <v/>
      </c>
      <c r="Z1161" s="64">
        <f>E1161-N1161</f>
        <v/>
      </c>
    </row>
    <row r="1162" ht="15.75" customHeight="1" s="202">
      <c r="A1162" s="116" t="n">
        <v>20260075</v>
      </c>
      <c r="B1162" s="117" t="inlineStr">
        <is>
          <t>AMOY CENTURY</t>
        </is>
      </c>
      <c r="C1162" s="118" t="n">
        <v>46091</v>
      </c>
      <c r="E1162" s="116" t="n">
        <v>1</v>
      </c>
      <c r="F1162" s="119" t="n">
        <v>0</v>
      </c>
      <c r="G1162" s="120" t="n">
        <v>5</v>
      </c>
      <c r="H1162" s="117" t="inlineStr">
        <is>
          <t>SARL TIZLAOUIN SERVICES</t>
        </is>
      </c>
      <c r="I1162" s="117" t="inlineStr">
        <is>
          <t>COLIS</t>
        </is>
      </c>
      <c r="J1162" s="117" t="inlineStr">
        <is>
          <t>COLIS</t>
        </is>
      </c>
      <c r="K1162" s="48">
        <f>D1162+8</f>
        <v/>
      </c>
      <c r="L1162" s="48">
        <f>K1162+60</f>
        <v/>
      </c>
      <c r="N1162" s="72">
        <f>E1162</f>
        <v/>
      </c>
      <c r="O1162" s="50">
        <f>F1162/E1162*N1162</f>
        <v/>
      </c>
      <c r="P1162" s="273">
        <f>G1162/E1162*N1162</f>
        <v/>
      </c>
      <c r="S1162" s="200" t="inlineStr">
        <is>
          <t>AC26004LDJD013</t>
        </is>
      </c>
      <c r="T1162" s="201" t="n">
        <v>16</v>
      </c>
      <c r="U1162" s="58" t="n"/>
      <c r="V1162" s="67" t="n"/>
      <c r="W1162" s="67" t="n"/>
      <c r="X1162" s="62" t="inlineStr">
        <is>
          <t>N-OP</t>
        </is>
      </c>
      <c r="Y1162" s="116">
        <f>F1162/E1162</f>
        <v/>
      </c>
      <c r="Z1162" s="64">
        <f>E1162-N1162</f>
        <v/>
      </c>
    </row>
    <row r="1163" ht="15.75" customHeight="1" s="202">
      <c r="A1163" s="116" t="n">
        <v>20260075</v>
      </c>
      <c r="B1163" s="117" t="inlineStr">
        <is>
          <t>AMOY CENTURY</t>
        </is>
      </c>
      <c r="C1163" s="118" t="n">
        <v>46091</v>
      </c>
      <c r="E1163" s="116" t="n">
        <v>1</v>
      </c>
      <c r="F1163" s="119" t="n">
        <v>18.875</v>
      </c>
      <c r="G1163" s="120" t="n">
        <v>24</v>
      </c>
      <c r="H1163" s="117" t="inlineStr">
        <is>
          <t>SARL LEADING BRIDGES SERVICES</t>
        </is>
      </c>
      <c r="I1163" s="117" t="inlineStr">
        <is>
          <t>CHARGEURS</t>
        </is>
      </c>
      <c r="J1163" s="117" t="inlineStr">
        <is>
          <t>ENGINS</t>
        </is>
      </c>
      <c r="K1163" s="48">
        <f>D1163+8</f>
        <v/>
      </c>
      <c r="L1163" s="48">
        <f>K1163+60</f>
        <v/>
      </c>
      <c r="N1163" s="72">
        <f>E1163</f>
        <v/>
      </c>
      <c r="O1163" s="50">
        <f>F1163/E1163*N1163</f>
        <v/>
      </c>
      <c r="P1163" s="273">
        <f>G1163/E1163*N1163</f>
        <v/>
      </c>
      <c r="S1163" s="200" t="inlineStr">
        <is>
          <t>AC26004LDJD015</t>
        </is>
      </c>
      <c r="T1163" s="201" t="n">
        <v>17</v>
      </c>
      <c r="U1163" s="58" t="inlineStr">
        <is>
          <t>01 UNIT XCMG ZL50GN WHEEL LOADER ( VOIR BL)</t>
        </is>
      </c>
      <c r="V1163" s="67" t="n"/>
      <c r="W1163" s="67" t="n"/>
      <c r="X1163" s="62" t="inlineStr">
        <is>
          <t>N-OP</t>
        </is>
      </c>
      <c r="Y1163" s="116">
        <f>F1163/E1163</f>
        <v/>
      </c>
      <c r="Z1163" s="64">
        <f>E1163-N1163</f>
        <v/>
      </c>
    </row>
    <row r="1164" ht="15.75" customHeight="1" s="202">
      <c r="A1164" s="116" t="n">
        <v>20260075</v>
      </c>
      <c r="B1164" s="117" t="inlineStr">
        <is>
          <t>AMOY CENTURY</t>
        </is>
      </c>
      <c r="C1164" s="118" t="n">
        <v>46091</v>
      </c>
      <c r="E1164" s="116" t="n">
        <v>2</v>
      </c>
      <c r="F1164" s="119" t="n">
        <v>0</v>
      </c>
      <c r="G1164" s="120" t="n">
        <v>10</v>
      </c>
      <c r="H1164" s="117" t="inlineStr">
        <is>
          <t>SARL LEADING BRIDGES SERVICES</t>
        </is>
      </c>
      <c r="I1164" s="117" t="inlineStr">
        <is>
          <t>COLIS</t>
        </is>
      </c>
      <c r="J1164" s="117" t="inlineStr">
        <is>
          <t>COLIS</t>
        </is>
      </c>
      <c r="K1164" s="48">
        <f>D1164+8</f>
        <v/>
      </c>
      <c r="L1164" s="48">
        <f>K1164+60</f>
        <v/>
      </c>
      <c r="N1164" s="72">
        <f>E1164</f>
        <v/>
      </c>
      <c r="O1164" s="50">
        <f>F1164/E1164*N1164</f>
        <v/>
      </c>
      <c r="P1164" s="273">
        <f>G1164/E1164*N1164</f>
        <v/>
      </c>
      <c r="S1164" s="200" t="inlineStr">
        <is>
          <t>AC26004LDJD015</t>
        </is>
      </c>
      <c r="T1164" s="201" t="n">
        <v>17</v>
      </c>
      <c r="U1164" s="58" t="n"/>
      <c r="V1164" s="67" t="n"/>
      <c r="W1164" s="67" t="n"/>
      <c r="X1164" s="62" t="inlineStr">
        <is>
          <t>N-OP</t>
        </is>
      </c>
      <c r="Y1164" s="116">
        <f>F1164/E1164</f>
        <v/>
      </c>
      <c r="Z1164" s="64">
        <f>E1164-N1164</f>
        <v/>
      </c>
    </row>
    <row r="1165" ht="15.75" customHeight="1" s="202">
      <c r="A1165" s="116" t="n">
        <v>20260075</v>
      </c>
      <c r="B1165" s="117" t="inlineStr">
        <is>
          <t>AMOY CENTURY</t>
        </is>
      </c>
      <c r="C1165" s="118" t="n">
        <v>46091</v>
      </c>
      <c r="E1165" s="116" t="n">
        <v>1</v>
      </c>
      <c r="F1165" s="119" t="n">
        <v>27.9</v>
      </c>
      <c r="G1165" s="120" t="n">
        <v>24</v>
      </c>
      <c r="H1165" s="117" t="inlineStr">
        <is>
          <t>SARL OULED HADJ MAAMAR SERVICES</t>
        </is>
      </c>
      <c r="I1165" s="117" t="inlineStr">
        <is>
          <t>CAMION POMPE A BETON</t>
        </is>
      </c>
      <c r="J1165" s="117" t="inlineStr">
        <is>
          <t>LOURD</t>
        </is>
      </c>
      <c r="K1165" s="48">
        <f>D1165+8</f>
        <v/>
      </c>
      <c r="L1165" s="48">
        <f>K1165+60</f>
        <v/>
      </c>
      <c r="N1165" s="72">
        <f>E1165</f>
        <v/>
      </c>
      <c r="O1165" s="50">
        <f>F1165/E1165*N1165</f>
        <v/>
      </c>
      <c r="P1165" s="273">
        <f>G1165/E1165*N1165</f>
        <v/>
      </c>
      <c r="S1165" s="200" t="inlineStr">
        <is>
          <t>AC26004LDJD016</t>
        </is>
      </c>
      <c r="T1165" s="201" t="n">
        <v>18</v>
      </c>
      <c r="U1165" s="58" t="inlineStr">
        <is>
          <t>01 UNIT ZOOMLION 43M 6X4 CONCRETE PUMP TRUCK ( VOIR BL)</t>
        </is>
      </c>
      <c r="V1165" s="67" t="n"/>
      <c r="W1165" s="67" t="n"/>
      <c r="X1165" s="62" t="inlineStr">
        <is>
          <t>N-OP</t>
        </is>
      </c>
      <c r="Y1165" s="116">
        <f>F1165/E1165</f>
        <v/>
      </c>
      <c r="Z1165" s="64">
        <f>E1165-N1165</f>
        <v/>
      </c>
    </row>
    <row r="1166" ht="15.75" customHeight="1" s="202">
      <c r="A1166" s="116" t="n">
        <v>20260075</v>
      </c>
      <c r="B1166" s="117" t="inlineStr">
        <is>
          <t>AMOY CENTURY</t>
        </is>
      </c>
      <c r="C1166" s="118" t="n">
        <v>46091</v>
      </c>
      <c r="E1166" s="116" t="n">
        <v>1</v>
      </c>
      <c r="F1166" s="119" t="n">
        <v>9.4</v>
      </c>
      <c r="G1166" s="120" t="n">
        <v>24</v>
      </c>
      <c r="H1166" s="117" t="inlineStr">
        <is>
          <t>SARL EL FAHD REALISATION ET GRANDS TRAVAUX</t>
        </is>
      </c>
      <c r="I1166" s="117" t="inlineStr">
        <is>
          <t>CAMIONS</t>
        </is>
      </c>
      <c r="J1166" s="117" t="inlineStr">
        <is>
          <t>LOURD</t>
        </is>
      </c>
      <c r="K1166" s="48">
        <f>D1166+8</f>
        <v/>
      </c>
      <c r="L1166" s="48">
        <f>K1166+60</f>
        <v/>
      </c>
      <c r="N1166" s="72">
        <f>E1166</f>
        <v/>
      </c>
      <c r="O1166" s="50">
        <f>F1166/E1166*N1166</f>
        <v/>
      </c>
      <c r="P1166" s="273">
        <f>G1166/E1166*N1166</f>
        <v/>
      </c>
      <c r="S1166" s="200" t="inlineStr">
        <is>
          <t>AC26004LDJD0167A</t>
        </is>
      </c>
      <c r="T1166" s="201" t="n">
        <v>19</v>
      </c>
      <c r="U1166" s="58" t="inlineStr">
        <is>
          <t>01 UNIT SINOTRUCK SITRAK G7S 6X4 TRACTOR. AUTOMATIC GEARBOX LHD( VOIR BL)</t>
        </is>
      </c>
      <c r="V1166" s="67" t="n"/>
      <c r="W1166" s="67" t="n"/>
      <c r="X1166" s="62" t="inlineStr">
        <is>
          <t>N-OP</t>
        </is>
      </c>
      <c r="Y1166" s="116">
        <f>F1166/E1166</f>
        <v/>
      </c>
      <c r="Z1166" s="64">
        <f>E1166-N1166</f>
        <v/>
      </c>
    </row>
    <row r="1167" ht="15.75" customHeight="1" s="202">
      <c r="A1167" s="116" t="n">
        <v>20260075</v>
      </c>
      <c r="B1167" s="117" t="inlineStr">
        <is>
          <t>AMOY CENTURY</t>
        </is>
      </c>
      <c r="C1167" s="118" t="n">
        <v>46091</v>
      </c>
      <c r="E1167" s="116" t="n">
        <v>1</v>
      </c>
      <c r="F1167" s="119" t="n">
        <v>8.5</v>
      </c>
      <c r="G1167" s="120" t="n">
        <v>24</v>
      </c>
      <c r="H1167" s="117" t="inlineStr">
        <is>
          <t>EURL EL DMATRA</t>
        </is>
      </c>
      <c r="I1167" s="117" t="inlineStr">
        <is>
          <t>CAMIONS</t>
        </is>
      </c>
      <c r="J1167" s="117" t="inlineStr">
        <is>
          <t>LOURD</t>
        </is>
      </c>
      <c r="K1167" s="48">
        <f>D1167+8</f>
        <v/>
      </c>
      <c r="L1167" s="48">
        <f>K1167+60</f>
        <v/>
      </c>
      <c r="N1167" s="72">
        <f>E1167</f>
        <v/>
      </c>
      <c r="O1167" s="50">
        <f>F1167/E1167*N1167</f>
        <v/>
      </c>
      <c r="P1167" s="273">
        <f>G1167/E1167*N1167</f>
        <v/>
      </c>
      <c r="S1167" s="200" t="inlineStr">
        <is>
          <t>AC26004LDJD018</t>
        </is>
      </c>
      <c r="T1167" s="201" t="n">
        <v>20</v>
      </c>
      <c r="U1167" s="58" t="inlineStr">
        <is>
          <t>01 UNIT SITRAK 6X4 TRACTOR TRUCK ( VOIR BL)</t>
        </is>
      </c>
      <c r="V1167" s="67" t="n"/>
      <c r="W1167" s="67" t="n"/>
      <c r="X1167" s="62" t="inlineStr">
        <is>
          <t>N-OP</t>
        </is>
      </c>
      <c r="Y1167" s="116">
        <f>F1167/E1167</f>
        <v/>
      </c>
      <c r="Z1167" s="64">
        <f>E1167-N1167</f>
        <v/>
      </c>
    </row>
    <row r="1168" ht="15.75" customHeight="1" s="202">
      <c r="A1168" s="116" t="n">
        <v>20260075</v>
      </c>
      <c r="B1168" s="117" t="inlineStr">
        <is>
          <t>AMOY CENTURY</t>
        </is>
      </c>
      <c r="C1168" s="118" t="n">
        <v>46091</v>
      </c>
      <c r="E1168" s="116" t="n">
        <v>1</v>
      </c>
      <c r="F1168" s="119" t="n">
        <v>34.11</v>
      </c>
      <c r="G1168" s="120" t="n">
        <v>24</v>
      </c>
      <c r="H1168" s="117" t="inlineStr">
        <is>
          <t>EURL LE PANIER DE FRUITS IMPEX</t>
        </is>
      </c>
      <c r="I1168" s="117" t="inlineStr">
        <is>
          <t>EXCAVATEURS</t>
        </is>
      </c>
      <c r="J1168" s="117" t="inlineStr">
        <is>
          <t>ENGINS</t>
        </is>
      </c>
      <c r="K1168" s="48">
        <f>D1168+8</f>
        <v/>
      </c>
      <c r="L1168" s="48">
        <f>K1168+60</f>
        <v/>
      </c>
      <c r="N1168" s="72">
        <f>E1168</f>
        <v/>
      </c>
      <c r="O1168" s="50">
        <f>F1168/E1168*N1168</f>
        <v/>
      </c>
      <c r="P1168" s="273">
        <f>G1168/E1168*N1168</f>
        <v/>
      </c>
      <c r="S1168" s="200" t="inlineStr">
        <is>
          <t>AC26004LDJD019</t>
        </is>
      </c>
      <c r="T1168" s="201" t="n">
        <v>21</v>
      </c>
      <c r="U1168" s="58" t="inlineStr">
        <is>
          <t>01 UNIT HYUNDAI CRAWLER EXCAVATOR HX340HD (VOIR BL)</t>
        </is>
      </c>
      <c r="V1168" s="67" t="n"/>
      <c r="W1168" s="67" t="n"/>
      <c r="X1168" s="62" t="inlineStr">
        <is>
          <t>N-OP</t>
        </is>
      </c>
      <c r="Y1168" s="116">
        <f>F1168/E1168</f>
        <v/>
      </c>
      <c r="Z1168" s="64">
        <f>E1168-N1168</f>
        <v/>
      </c>
    </row>
    <row r="1169" ht="15.75" customHeight="1" s="202">
      <c r="A1169" s="116" t="n">
        <v>20260075</v>
      </c>
      <c r="B1169" s="117" t="inlineStr">
        <is>
          <t>AMOY CENTURY</t>
        </is>
      </c>
      <c r="C1169" s="118" t="n">
        <v>46091</v>
      </c>
      <c r="E1169" s="116" t="n">
        <v>1</v>
      </c>
      <c r="F1169" s="119" t="n">
        <v>0</v>
      </c>
      <c r="G1169" s="120" t="n">
        <v>5</v>
      </c>
      <c r="H1169" s="117" t="inlineStr">
        <is>
          <t>EURL LE PANIER DE FRUITS IMPEX</t>
        </is>
      </c>
      <c r="I1169" s="117" t="inlineStr">
        <is>
          <t>COLIS</t>
        </is>
      </c>
      <c r="J1169" s="117" t="inlineStr">
        <is>
          <t>COLIS</t>
        </is>
      </c>
      <c r="K1169" s="48">
        <f>D1169+8</f>
        <v/>
      </c>
      <c r="L1169" s="48">
        <f>K1169+60</f>
        <v/>
      </c>
      <c r="N1169" s="72">
        <f>E1169</f>
        <v/>
      </c>
      <c r="O1169" s="50">
        <f>F1169/E1169*N1169</f>
        <v/>
      </c>
      <c r="P1169" s="273">
        <f>G1169/E1169*N1169</f>
        <v/>
      </c>
      <c r="S1169" s="200" t="inlineStr">
        <is>
          <t>AC26004LDJD019</t>
        </is>
      </c>
      <c r="T1169" s="201" t="n">
        <v>21</v>
      </c>
      <c r="U1169" s="58" t="n"/>
      <c r="V1169" s="67" t="n"/>
      <c r="W1169" s="67" t="n"/>
      <c r="X1169" s="62" t="inlineStr">
        <is>
          <t>N-OP</t>
        </is>
      </c>
      <c r="Y1169" s="116">
        <f>F1169/E1169</f>
        <v/>
      </c>
      <c r="Z1169" s="64">
        <f>E1169-N1169</f>
        <v/>
      </c>
    </row>
    <row r="1170" ht="15.75" customHeight="1" s="202">
      <c r="A1170" s="116" t="n">
        <v>20260075</v>
      </c>
      <c r="B1170" s="117" t="inlineStr">
        <is>
          <t>AMOY CENTURY</t>
        </is>
      </c>
      <c r="C1170" s="118" t="n">
        <v>46091</v>
      </c>
      <c r="E1170" s="116" t="n">
        <v>1</v>
      </c>
      <c r="F1170" s="119" t="n">
        <v>23.76</v>
      </c>
      <c r="G1170" s="120" t="n">
        <v>24</v>
      </c>
      <c r="H1170" s="117" t="inlineStr">
        <is>
          <t>BOUHADMA ALI</t>
        </is>
      </c>
      <c r="I1170" s="117" t="inlineStr">
        <is>
          <t>EXCAVATEURS</t>
        </is>
      </c>
      <c r="J1170" s="117" t="inlineStr">
        <is>
          <t>ENGINS</t>
        </is>
      </c>
      <c r="K1170" s="48">
        <f>D1170+8</f>
        <v/>
      </c>
      <c r="L1170" s="48">
        <f>K1170+60</f>
        <v/>
      </c>
      <c r="N1170" s="72">
        <f>E1170</f>
        <v/>
      </c>
      <c r="O1170" s="50">
        <f>F1170/E1170*N1170</f>
        <v/>
      </c>
      <c r="P1170" s="273">
        <f>G1170/E1170*N1170</f>
        <v/>
      </c>
      <c r="S1170" s="200" t="inlineStr">
        <is>
          <t>AC26004LDJD020</t>
        </is>
      </c>
      <c r="T1170" s="201" t="n">
        <v>22</v>
      </c>
      <c r="U1170" s="58" t="inlineStr">
        <is>
          <t>01 UNIT CRAWLER EXCAVATOR HYUNDAI HX220HD WITH HAMMER ( VOIR BL)</t>
        </is>
      </c>
      <c r="V1170" s="67" t="n"/>
      <c r="W1170" s="67" t="n"/>
      <c r="X1170" s="62" t="inlineStr">
        <is>
          <t>N-OP</t>
        </is>
      </c>
      <c r="Y1170" s="116">
        <f>F1170/E1170</f>
        <v/>
      </c>
      <c r="Z1170" s="64">
        <f>E1170-N1170</f>
        <v/>
      </c>
    </row>
    <row r="1171" ht="15.75" customHeight="1" s="202">
      <c r="A1171" s="116" t="n">
        <v>20260075</v>
      </c>
      <c r="B1171" s="117" t="inlineStr">
        <is>
          <t>AMOY CENTURY</t>
        </is>
      </c>
      <c r="C1171" s="118" t="n">
        <v>46091</v>
      </c>
      <c r="E1171" s="116" t="n">
        <v>1</v>
      </c>
      <c r="F1171" s="119" t="n">
        <v>0</v>
      </c>
      <c r="G1171" s="120" t="n">
        <v>5</v>
      </c>
      <c r="H1171" s="117" t="inlineStr">
        <is>
          <t>BOUHADMA ALI</t>
        </is>
      </c>
      <c r="I1171" s="117" t="inlineStr">
        <is>
          <t>COLIS</t>
        </is>
      </c>
      <c r="J1171" s="117" t="inlineStr">
        <is>
          <t>COLIS</t>
        </is>
      </c>
      <c r="K1171" s="48">
        <f>D1171+8</f>
        <v/>
      </c>
      <c r="L1171" s="48">
        <f>K1171+60</f>
        <v/>
      </c>
      <c r="N1171" s="72">
        <f>E1171</f>
        <v/>
      </c>
      <c r="O1171" s="50">
        <f>F1171/E1171*N1171</f>
        <v/>
      </c>
      <c r="P1171" s="273">
        <f>G1171/E1171*N1171</f>
        <v/>
      </c>
      <c r="S1171" s="200" t="inlineStr">
        <is>
          <t>AC26004LDJD020</t>
        </is>
      </c>
      <c r="T1171" s="201" t="n">
        <v>22</v>
      </c>
      <c r="U1171" s="58" t="n"/>
      <c r="V1171" s="67" t="n"/>
      <c r="W1171" s="67" t="n"/>
      <c r="X1171" s="62" t="inlineStr">
        <is>
          <t>N-OP</t>
        </is>
      </c>
      <c r="Y1171" s="116">
        <f>F1171/E1171</f>
        <v/>
      </c>
      <c r="Z1171" s="64">
        <f>E1171-N1171</f>
        <v/>
      </c>
    </row>
    <row r="1172" ht="15.75" customHeight="1" s="202">
      <c r="A1172" s="116" t="n">
        <v>20260075</v>
      </c>
      <c r="B1172" s="117" t="inlineStr">
        <is>
          <t>AMOY CENTURY</t>
        </is>
      </c>
      <c r="C1172" s="118" t="n">
        <v>46091</v>
      </c>
      <c r="E1172" s="116" t="n">
        <v>1</v>
      </c>
      <c r="F1172" s="119" t="n">
        <v>23</v>
      </c>
      <c r="G1172" s="120" t="n">
        <v>24</v>
      </c>
      <c r="H1172" s="117" t="inlineStr">
        <is>
          <t>EURL ENTREPRISE MESBAHI UNIPERSONNELLE</t>
        </is>
      </c>
      <c r="I1172" s="117" t="inlineStr">
        <is>
          <t>CAMION POMPE A BETON</t>
        </is>
      </c>
      <c r="J1172" s="117" t="inlineStr">
        <is>
          <t>LOURD</t>
        </is>
      </c>
      <c r="K1172" s="48">
        <f>D1172+8</f>
        <v/>
      </c>
      <c r="L1172" s="48">
        <f>K1172+60</f>
        <v/>
      </c>
      <c r="N1172" s="72">
        <f>E1172</f>
        <v/>
      </c>
      <c r="O1172" s="50">
        <f>F1172/E1172*N1172</f>
        <v/>
      </c>
      <c r="P1172" s="273">
        <f>G1172/E1172*N1172</f>
        <v/>
      </c>
      <c r="S1172" s="200" t="inlineStr">
        <is>
          <t>AC26004LDJD022</t>
        </is>
      </c>
      <c r="T1172" s="201" t="n">
        <v>23</v>
      </c>
      <c r="U1172" s="58" t="inlineStr">
        <is>
          <t>01 UNIT ZOOMLION CONCRETE PUMP TRUCK ( VOIR BL )</t>
        </is>
      </c>
      <c r="V1172" s="67" t="n"/>
      <c r="W1172" s="67" t="n"/>
      <c r="X1172" s="62" t="inlineStr">
        <is>
          <t>N-OP</t>
        </is>
      </c>
      <c r="Y1172" s="116">
        <f>F1172/E1172</f>
        <v/>
      </c>
      <c r="Z1172" s="64">
        <f>E1172-N1172</f>
        <v/>
      </c>
    </row>
    <row r="1173" ht="15.75" customHeight="1" s="202">
      <c r="A1173" s="116" t="n">
        <v>20260075</v>
      </c>
      <c r="B1173" s="117" t="inlineStr">
        <is>
          <t>AMOY CENTURY</t>
        </is>
      </c>
      <c r="C1173" s="118" t="n">
        <v>46091</v>
      </c>
      <c r="E1173" s="116" t="n">
        <v>1</v>
      </c>
      <c r="F1173" s="119" t="n">
        <v>17.4</v>
      </c>
      <c r="G1173" s="120" t="n">
        <v>24</v>
      </c>
      <c r="H1173" s="117" t="inlineStr">
        <is>
          <t>BEN ALI LAKEHAL</t>
        </is>
      </c>
      <c r="I1173" s="117" t="inlineStr">
        <is>
          <t>CHARGEURS</t>
        </is>
      </c>
      <c r="J1173" s="117" t="inlineStr">
        <is>
          <t>ENGINS</t>
        </is>
      </c>
      <c r="K1173" s="48">
        <f>D1173+8</f>
        <v/>
      </c>
      <c r="L1173" s="48">
        <f>K1173+60</f>
        <v/>
      </c>
      <c r="N1173" s="72">
        <f>E1173</f>
        <v/>
      </c>
      <c r="O1173" s="50">
        <f>F1173/E1173*N1173</f>
        <v/>
      </c>
      <c r="P1173" s="273">
        <f>G1173/E1173*N1173</f>
        <v/>
      </c>
      <c r="S1173" s="200" t="inlineStr">
        <is>
          <t>AC26004LDJD023</t>
        </is>
      </c>
      <c r="T1173" s="201" t="n">
        <v>24</v>
      </c>
      <c r="U1173" s="58" t="inlineStr">
        <is>
          <t>01 UNIT XCMG WHEEL LOADER ZL50GN ( VOIR BL)</t>
        </is>
      </c>
      <c r="V1173" s="67" t="n"/>
      <c r="W1173" s="67" t="n"/>
      <c r="X1173" s="62" t="inlineStr">
        <is>
          <t>N-OP</t>
        </is>
      </c>
      <c r="Y1173" s="116">
        <f>F1173/E1173</f>
        <v/>
      </c>
      <c r="Z1173" s="64">
        <f>E1173-N1173</f>
        <v/>
      </c>
    </row>
    <row r="1174" ht="15.75" customHeight="1" s="202">
      <c r="A1174" s="116" t="n">
        <v>20260075</v>
      </c>
      <c r="B1174" s="117" t="inlineStr">
        <is>
          <t>AMOY CENTURY</t>
        </is>
      </c>
      <c r="C1174" s="118" t="n">
        <v>46091</v>
      </c>
      <c r="E1174" s="116" t="n">
        <v>1</v>
      </c>
      <c r="F1174" s="119" t="n">
        <v>15.1</v>
      </c>
      <c r="G1174" s="120" t="n">
        <v>24</v>
      </c>
      <c r="H1174" s="117" t="inlineStr">
        <is>
          <t>HAMMADI AHMED</t>
        </is>
      </c>
      <c r="I1174" s="117" t="inlineStr">
        <is>
          <t>CAMIONS</t>
        </is>
      </c>
      <c r="J1174" s="117" t="inlineStr">
        <is>
          <t>LOURD</t>
        </is>
      </c>
      <c r="K1174" s="48">
        <f>D1174+8</f>
        <v/>
      </c>
      <c r="L1174" s="48">
        <f>K1174+60</f>
        <v/>
      </c>
      <c r="N1174" s="72">
        <f>E1174</f>
        <v/>
      </c>
      <c r="O1174" s="50">
        <f>F1174/E1174*N1174</f>
        <v/>
      </c>
      <c r="P1174" s="273">
        <f>G1174/E1174*N1174</f>
        <v/>
      </c>
      <c r="S1174" s="200" t="inlineStr">
        <is>
          <t>AC26004LDJD024</t>
        </is>
      </c>
      <c r="T1174" s="201" t="n">
        <v>25</v>
      </c>
      <c r="U1174" s="58" t="inlineStr">
        <is>
          <t>01 UNIT SINOTRUK CARGO TRUCK CHASSIS ( VOIR BL)</t>
        </is>
      </c>
      <c r="V1174" s="67" t="n"/>
      <c r="W1174" s="67" t="n"/>
      <c r="X1174" s="62" t="inlineStr">
        <is>
          <t>N-OP</t>
        </is>
      </c>
      <c r="Y1174" s="116">
        <f>F1174/E1174</f>
        <v/>
      </c>
      <c r="Z1174" s="64">
        <f>E1174-N1174</f>
        <v/>
      </c>
    </row>
    <row r="1175" ht="15.75" customHeight="1" s="202">
      <c r="A1175" s="116" t="n">
        <v>20260075</v>
      </c>
      <c r="B1175" s="117" t="inlineStr">
        <is>
          <t>AMOY CENTURY</t>
        </is>
      </c>
      <c r="C1175" s="118" t="n">
        <v>46091</v>
      </c>
      <c r="E1175" s="116" t="n">
        <v>1</v>
      </c>
      <c r="F1175" s="119" t="n">
        <v>20</v>
      </c>
      <c r="G1175" s="120" t="n">
        <v>24</v>
      </c>
      <c r="H1175" s="117" t="inlineStr">
        <is>
          <t>SARL LMIMA TRADING</t>
        </is>
      </c>
      <c r="I1175" s="117" t="inlineStr">
        <is>
          <t>COMPACTEURS</t>
        </is>
      </c>
      <c r="J1175" s="117" t="inlineStr">
        <is>
          <t>ENGINS</t>
        </is>
      </c>
      <c r="K1175" s="48">
        <f>D1175+8</f>
        <v/>
      </c>
      <c r="L1175" s="48">
        <f>K1175+60</f>
        <v/>
      </c>
      <c r="N1175" s="72">
        <f>E1175</f>
        <v/>
      </c>
      <c r="O1175" s="50">
        <f>F1175/E1175*N1175</f>
        <v/>
      </c>
      <c r="P1175" s="273">
        <f>G1175/E1175*N1175</f>
        <v/>
      </c>
      <c r="S1175" s="200" t="inlineStr">
        <is>
          <t>AC26004LDJD025</t>
        </is>
      </c>
      <c r="T1175" s="201" t="n">
        <v>26</v>
      </c>
      <c r="U1175" s="58" t="inlineStr">
        <is>
          <t>01 UNIT XCMG COMPACTOR XS203J ( VOIR BL)</t>
        </is>
      </c>
      <c r="V1175" s="67" t="n"/>
      <c r="W1175" s="67" t="n"/>
      <c r="X1175" s="62" t="inlineStr">
        <is>
          <t>N-OP</t>
        </is>
      </c>
      <c r="Y1175" s="116">
        <f>F1175/E1175</f>
        <v/>
      </c>
      <c r="Z1175" s="64">
        <f>E1175-N1175</f>
        <v/>
      </c>
    </row>
    <row r="1176" ht="15.75" customHeight="1" s="202">
      <c r="A1176" s="116" t="n">
        <v>20260075</v>
      </c>
      <c r="B1176" s="117" t="inlineStr">
        <is>
          <t>AMOY CENTURY</t>
        </is>
      </c>
      <c r="C1176" s="118" t="n">
        <v>46091</v>
      </c>
      <c r="E1176" s="116" t="n">
        <v>1</v>
      </c>
      <c r="F1176" s="119" t="n">
        <v>11.8</v>
      </c>
      <c r="G1176" s="120" t="n">
        <v>24</v>
      </c>
      <c r="H1176" s="117" t="inlineStr">
        <is>
          <t>EURL ECHANOUIA</t>
        </is>
      </c>
      <c r="I1176" s="117" t="inlineStr">
        <is>
          <t>REMORQUES</t>
        </is>
      </c>
      <c r="J1176" s="117" t="inlineStr">
        <is>
          <t>LOURD</t>
        </is>
      </c>
      <c r="K1176" s="48">
        <f>D1176+8</f>
        <v/>
      </c>
      <c r="L1176" s="48">
        <f>K1176+60</f>
        <v/>
      </c>
      <c r="N1176" s="72">
        <f>E1176</f>
        <v/>
      </c>
      <c r="O1176" s="50">
        <f>F1176/E1176*N1176</f>
        <v/>
      </c>
      <c r="P1176" s="273">
        <f>G1176/E1176*N1176</f>
        <v/>
      </c>
      <c r="S1176" s="200" t="inlineStr">
        <is>
          <t>AC26004LDJD026</t>
        </is>
      </c>
      <c r="T1176" s="201" t="n">
        <v>27</v>
      </c>
      <c r="U1176" s="58" t="inlineStr">
        <is>
          <t>01 UNIT 3 AXLE ASPHALT TRAILER ( VOIR BL)</t>
        </is>
      </c>
      <c r="V1176" s="67" t="n"/>
      <c r="W1176" s="67" t="n"/>
      <c r="X1176" s="62" t="inlineStr">
        <is>
          <t>N-OP</t>
        </is>
      </c>
      <c r="Y1176" s="116">
        <f>F1176/E1176</f>
        <v/>
      </c>
      <c r="Z1176" s="64">
        <f>E1176-N1176</f>
        <v/>
      </c>
    </row>
    <row r="1177" ht="15.75" customHeight="1" s="202">
      <c r="A1177" s="116" t="n">
        <v>20260075</v>
      </c>
      <c r="B1177" s="117" t="inlineStr">
        <is>
          <t>AMOY CENTURY</t>
        </is>
      </c>
      <c r="C1177" s="118" t="n">
        <v>46091</v>
      </c>
      <c r="E1177" s="116" t="n">
        <v>1</v>
      </c>
      <c r="F1177" s="119" t="n">
        <v>20</v>
      </c>
      <c r="G1177" s="120" t="n">
        <v>24</v>
      </c>
      <c r="H1177" s="117" t="inlineStr">
        <is>
          <t>EURL HAMED SERVICES GENERAL</t>
        </is>
      </c>
      <c r="I1177" s="117" t="inlineStr">
        <is>
          <t>COMPACTEURS</t>
        </is>
      </c>
      <c r="J1177" s="117" t="inlineStr">
        <is>
          <t>ENGINS</t>
        </is>
      </c>
      <c r="K1177" s="48">
        <f>D1177+8</f>
        <v/>
      </c>
      <c r="L1177" s="48">
        <f>K1177+60</f>
        <v/>
      </c>
      <c r="N1177" s="72">
        <f>E1177</f>
        <v/>
      </c>
      <c r="O1177" s="50">
        <f>F1177/E1177*N1177</f>
        <v/>
      </c>
      <c r="P1177" s="273">
        <f>G1177/E1177*N1177</f>
        <v/>
      </c>
      <c r="S1177" s="200" t="inlineStr">
        <is>
          <t>AC26004LDJD028</t>
        </is>
      </c>
      <c r="T1177" s="201" t="n">
        <v>28</v>
      </c>
      <c r="U1177" s="58" t="inlineStr">
        <is>
          <t>01 UNIT XCMG XP203S ROAD ROLLER ( VOIR BL)</t>
        </is>
      </c>
      <c r="V1177" s="67" t="n"/>
      <c r="W1177" s="67" t="n"/>
      <c r="X1177" s="62" t="inlineStr">
        <is>
          <t>N-OP</t>
        </is>
      </c>
      <c r="Y1177" s="116">
        <f>F1177/E1177</f>
        <v/>
      </c>
      <c r="Z1177" s="64">
        <f>E1177-N1177</f>
        <v/>
      </c>
    </row>
    <row r="1178" ht="15.75" customHeight="1" s="202">
      <c r="A1178" s="116" t="n">
        <v>20260075</v>
      </c>
      <c r="B1178" s="117" t="inlineStr">
        <is>
          <t>AMOY CENTURY</t>
        </is>
      </c>
      <c r="C1178" s="118" t="n">
        <v>46091</v>
      </c>
      <c r="E1178" s="116" t="n">
        <v>1</v>
      </c>
      <c r="F1178" s="119" t="n">
        <v>12.33</v>
      </c>
      <c r="G1178" s="120" t="n">
        <v>24</v>
      </c>
      <c r="H1178" s="117" t="inlineStr">
        <is>
          <t>SARL SOCIETE EL DORSAF TRAVAUX PUBLICS</t>
        </is>
      </c>
      <c r="I1178" s="117" t="inlineStr">
        <is>
          <t>CAMIONS</t>
        </is>
      </c>
      <c r="J1178" s="117" t="inlineStr">
        <is>
          <t>LOURD</t>
        </is>
      </c>
      <c r="K1178" s="48">
        <f>D1178+8</f>
        <v/>
      </c>
      <c r="L1178" s="48">
        <f>K1178+60</f>
        <v/>
      </c>
      <c r="N1178" s="72">
        <f>E1178</f>
        <v/>
      </c>
      <c r="O1178" s="50">
        <f>F1178/E1178*N1178</f>
        <v/>
      </c>
      <c r="P1178" s="273">
        <f>G1178/E1178*N1178</f>
        <v/>
      </c>
      <c r="S1178" s="200" t="inlineStr">
        <is>
          <t>AC26004LDJD029</t>
        </is>
      </c>
      <c r="T1178" s="201" t="n">
        <v>29</v>
      </c>
      <c r="U1178" s="58" t="inlineStr">
        <is>
          <t>01 UNIT SHACMAN F2000 6*4 DUMP TRUCK ( VOIR BNL)</t>
        </is>
      </c>
      <c r="V1178" s="67" t="n"/>
      <c r="W1178" s="67" t="n"/>
      <c r="X1178" s="62" t="inlineStr">
        <is>
          <t>N-OP</t>
        </is>
      </c>
      <c r="Y1178" s="116">
        <f>F1178/E1178</f>
        <v/>
      </c>
      <c r="Z1178" s="64">
        <f>E1178-N1178</f>
        <v/>
      </c>
    </row>
    <row r="1179" ht="15.75" customHeight="1" s="202">
      <c r="A1179" s="116" t="n">
        <v>20260075</v>
      </c>
      <c r="B1179" s="117" t="inlineStr">
        <is>
          <t>AMOY CENTURY</t>
        </is>
      </c>
      <c r="C1179" s="118" t="n">
        <v>46091</v>
      </c>
      <c r="E1179" s="116" t="n">
        <v>2</v>
      </c>
      <c r="F1179" s="119" t="n">
        <v>4.93</v>
      </c>
      <c r="G1179" s="120" t="n">
        <v>48</v>
      </c>
      <c r="H1179" s="117" t="inlineStr">
        <is>
          <t>SARL AL BEN ALI TRAVAUX PUBLICS ET ROUTES</t>
        </is>
      </c>
      <c r="I1179" s="117" t="inlineStr">
        <is>
          <t>CAMIONS</t>
        </is>
      </c>
      <c r="J1179" s="117" t="inlineStr">
        <is>
          <t>LOURD</t>
        </is>
      </c>
      <c r="K1179" s="48">
        <f>D1179+8</f>
        <v/>
      </c>
      <c r="L1179" s="48">
        <f>K1179+60</f>
        <v/>
      </c>
      <c r="N1179" s="72">
        <f>E1179</f>
        <v/>
      </c>
      <c r="O1179" s="50">
        <f>F1179/E1179*N1179</f>
        <v/>
      </c>
      <c r="P1179" s="273">
        <f>G1179/E1179*N1179</f>
        <v/>
      </c>
      <c r="S1179" s="200" t="inlineStr">
        <is>
          <t>AC26004LDJD030A</t>
        </is>
      </c>
      <c r="T1179" s="201" t="n">
        <v>30</v>
      </c>
      <c r="U1179" s="58" t="inlineStr">
        <is>
          <t>01 UNIT JAC 4*2 MINI DUMP TRUCK 01 UNIT JAC 4*2 MINI CARGO TRUCK ( VOIR BL)</t>
        </is>
      </c>
      <c r="V1179" s="67" t="n"/>
      <c r="W1179" s="67" t="n"/>
      <c r="X1179" s="62" t="inlineStr">
        <is>
          <t>N-OP</t>
        </is>
      </c>
      <c r="Y1179" s="116">
        <f>F1179/E1179</f>
        <v/>
      </c>
      <c r="Z1179" s="64">
        <f>E1179-N1179</f>
        <v/>
      </c>
    </row>
    <row r="1180" ht="15.75" customHeight="1" s="202">
      <c r="A1180" s="116" t="n">
        <v>20260075</v>
      </c>
      <c r="B1180" s="117" t="inlineStr">
        <is>
          <t>AMOY CENTURY</t>
        </is>
      </c>
      <c r="C1180" s="118" t="n">
        <v>46091</v>
      </c>
      <c r="E1180" s="116" t="n">
        <v>1</v>
      </c>
      <c r="F1180" s="119" t="n">
        <v>2.565</v>
      </c>
      <c r="G1180" s="120" t="n">
        <v>24</v>
      </c>
      <c r="H1180" s="117" t="inlineStr">
        <is>
          <t>SARL EL RADI SERVICES</t>
        </is>
      </c>
      <c r="I1180" s="117" t="inlineStr">
        <is>
          <t>CAMIONS</t>
        </is>
      </c>
      <c r="J1180" s="117" t="inlineStr">
        <is>
          <t>LOURD</t>
        </is>
      </c>
      <c r="K1180" s="48">
        <f>D1180+8</f>
        <v/>
      </c>
      <c r="L1180" s="48">
        <f>K1180+60</f>
        <v/>
      </c>
      <c r="N1180" s="72">
        <f>E1180</f>
        <v/>
      </c>
      <c r="O1180" s="50">
        <f>F1180/E1180*N1180</f>
        <v/>
      </c>
      <c r="P1180" s="273">
        <f>G1180/E1180*N1180</f>
        <v/>
      </c>
      <c r="S1180" s="200" t="inlineStr">
        <is>
          <t>AC26004LDJD030B</t>
        </is>
      </c>
      <c r="T1180" s="201" t="n">
        <v>31</v>
      </c>
      <c r="U1180" s="58" t="inlineStr">
        <is>
          <t>01 UNIT JAC 4*2 MINI DUMP TRUCK ( VOIR BL)</t>
        </is>
      </c>
      <c r="V1180" s="67" t="n"/>
      <c r="W1180" s="67" t="n"/>
      <c r="X1180" s="62" t="inlineStr">
        <is>
          <t>N-OP</t>
        </is>
      </c>
      <c r="Y1180" s="116">
        <f>F1180/E1180</f>
        <v/>
      </c>
      <c r="Z1180" s="64">
        <f>E1180-N1180</f>
        <v/>
      </c>
    </row>
    <row r="1181" ht="15.75" customHeight="1" s="202">
      <c r="A1181" s="116" t="n">
        <v>20260075</v>
      </c>
      <c r="B1181" s="117" t="inlineStr">
        <is>
          <t>AMOY CENTURY</t>
        </is>
      </c>
      <c r="C1181" s="118" t="n">
        <v>46091</v>
      </c>
      <c r="E1181" s="116" t="n">
        <v>1</v>
      </c>
      <c r="F1181" s="119" t="n">
        <v>20</v>
      </c>
      <c r="G1181" s="120" t="n">
        <v>24</v>
      </c>
      <c r="H1181" s="117" t="inlineStr">
        <is>
          <t>SARL EL AZIMA TRAV</t>
        </is>
      </c>
      <c r="I1181" s="117" t="inlineStr">
        <is>
          <t>COMPACTEURS</t>
        </is>
      </c>
      <c r="J1181" s="117" t="inlineStr">
        <is>
          <t>ENGINS</t>
        </is>
      </c>
      <c r="K1181" s="48">
        <f>D1181+8</f>
        <v/>
      </c>
      <c r="L1181" s="48">
        <f>K1181+60</f>
        <v/>
      </c>
      <c r="N1181" s="72">
        <f>E1181</f>
        <v/>
      </c>
      <c r="O1181" s="50">
        <f>F1181/E1181*N1181</f>
        <v/>
      </c>
      <c r="P1181" s="273">
        <f>G1181/E1181*N1181</f>
        <v/>
      </c>
      <c r="S1181" s="200" t="inlineStr">
        <is>
          <t>AC26004LDJD031</t>
        </is>
      </c>
      <c r="T1181" s="201" t="n">
        <v>32</v>
      </c>
      <c r="U1181" s="58" t="inlineStr">
        <is>
          <t>01 UNIT MACHINE XP263 PNEUMATIC TIRE ROLLER 01 UNIT MACHINE XCMG RP603 CRAWLER ASPHALT PAVER ( VOIR BL)</t>
        </is>
      </c>
      <c r="V1181" s="67" t="n"/>
      <c r="W1181" s="67" t="n"/>
      <c r="X1181" s="62" t="inlineStr">
        <is>
          <t>N-OP</t>
        </is>
      </c>
      <c r="Y1181" s="116">
        <f>F1181/E1181</f>
        <v/>
      </c>
      <c r="Z1181" s="64">
        <f>E1181-N1181</f>
        <v/>
      </c>
    </row>
    <row r="1182" ht="15.75" customHeight="1" s="202">
      <c r="A1182" s="116" t="n">
        <v>20260075</v>
      </c>
      <c r="B1182" s="117" t="inlineStr">
        <is>
          <t>AMOY CENTURY</t>
        </is>
      </c>
      <c r="C1182" s="118" t="n">
        <v>46091</v>
      </c>
      <c r="E1182" s="116" t="n">
        <v>1</v>
      </c>
      <c r="F1182" s="119" t="n">
        <v>26.5</v>
      </c>
      <c r="G1182" s="120" t="n">
        <v>24</v>
      </c>
      <c r="H1182" s="117" t="inlineStr">
        <is>
          <t>SARL EL AZIMA TRAV</t>
        </is>
      </c>
      <c r="I1182" s="117" t="inlineStr">
        <is>
          <t>FINISSEUR</t>
        </is>
      </c>
      <c r="J1182" s="117" t="inlineStr">
        <is>
          <t>ENGINS</t>
        </is>
      </c>
      <c r="K1182" s="48">
        <f>D1182+8</f>
        <v/>
      </c>
      <c r="L1182" s="48">
        <f>K1182+60</f>
        <v/>
      </c>
      <c r="N1182" s="72">
        <f>E1182</f>
        <v/>
      </c>
      <c r="O1182" s="50">
        <f>F1182/E1182*N1182</f>
        <v/>
      </c>
      <c r="P1182" s="273">
        <f>G1182/E1182*N1182</f>
        <v/>
      </c>
      <c r="S1182" s="200" t="inlineStr">
        <is>
          <t>AC26004LDJD031</t>
        </is>
      </c>
      <c r="T1182" s="201" t="n">
        <v>32</v>
      </c>
      <c r="U1182" s="58" t="n"/>
      <c r="V1182" s="67" t="n"/>
      <c r="W1182" s="67" t="n"/>
      <c r="X1182" s="62" t="inlineStr">
        <is>
          <t>N-OP</t>
        </is>
      </c>
      <c r="Y1182" s="116">
        <f>F1182/E1182</f>
        <v/>
      </c>
      <c r="Z1182" s="64">
        <f>E1182-N1182</f>
        <v/>
      </c>
    </row>
    <row r="1183" ht="15.75" customHeight="1" s="202">
      <c r="A1183" s="116" t="n">
        <v>20260075</v>
      </c>
      <c r="B1183" s="117" t="inlineStr">
        <is>
          <t>AMOY CENTURY</t>
        </is>
      </c>
      <c r="C1183" s="118" t="n">
        <v>46091</v>
      </c>
      <c r="E1183" s="116" t="n">
        <v>2</v>
      </c>
      <c r="F1183" s="119" t="n">
        <v>0</v>
      </c>
      <c r="G1183" s="120" t="n">
        <v>10</v>
      </c>
      <c r="H1183" s="117" t="inlineStr">
        <is>
          <t>SARL EL AZIMA TRAV</t>
        </is>
      </c>
      <c r="I1183" s="117" t="inlineStr">
        <is>
          <t>COLIS</t>
        </is>
      </c>
      <c r="J1183" s="117" t="inlineStr">
        <is>
          <t>COLIS</t>
        </is>
      </c>
      <c r="K1183" s="48">
        <f>D1183+8</f>
        <v/>
      </c>
      <c r="L1183" s="48">
        <f>K1183+60</f>
        <v/>
      </c>
      <c r="N1183" s="72">
        <f>E1183</f>
        <v/>
      </c>
      <c r="O1183" s="50">
        <f>F1183/E1183*N1183</f>
        <v/>
      </c>
      <c r="P1183" s="273">
        <f>G1183/E1183*N1183</f>
        <v/>
      </c>
      <c r="S1183" s="200" t="inlineStr">
        <is>
          <t>AC26004LDJD031</t>
        </is>
      </c>
      <c r="T1183" s="201" t="n">
        <v>32</v>
      </c>
      <c r="U1183" s="58" t="n"/>
      <c r="V1183" s="67" t="n"/>
      <c r="W1183" s="67" t="n"/>
      <c r="X1183" s="62" t="inlineStr">
        <is>
          <t>N-OP</t>
        </is>
      </c>
      <c r="Y1183" s="116">
        <f>F1183/E1183</f>
        <v/>
      </c>
      <c r="Z1183" s="64">
        <f>E1183-N1183</f>
        <v/>
      </c>
    </row>
    <row r="1184" ht="15.75" customHeight="1" s="202">
      <c r="A1184" s="116" t="n">
        <v>20260075</v>
      </c>
      <c r="B1184" s="117" t="inlineStr">
        <is>
          <t>AMOY CENTURY</t>
        </is>
      </c>
      <c r="C1184" s="118" t="n">
        <v>46091</v>
      </c>
      <c r="E1184" s="116" t="n">
        <v>1</v>
      </c>
      <c r="F1184" s="119" t="n">
        <v>22</v>
      </c>
      <c r="G1184" s="120" t="n">
        <v>24</v>
      </c>
      <c r="H1184" s="117" t="inlineStr">
        <is>
          <t>EURL CRISTAL IMPORT EXPORT</t>
        </is>
      </c>
      <c r="I1184" s="117" t="inlineStr">
        <is>
          <t>CHARIOT ELEVATEUR</t>
        </is>
      </c>
      <c r="J1184" s="117" t="inlineStr">
        <is>
          <t>ENGINS</t>
        </is>
      </c>
      <c r="K1184" s="48">
        <f>D1184+8</f>
        <v/>
      </c>
      <c r="L1184" s="48">
        <f>K1184+60</f>
        <v/>
      </c>
      <c r="N1184" s="72">
        <f>E1184</f>
        <v/>
      </c>
      <c r="O1184" s="50">
        <f>F1184/E1184*N1184</f>
        <v/>
      </c>
      <c r="P1184" s="273">
        <f>G1184/E1184*N1184</f>
        <v/>
      </c>
      <c r="S1184" s="200" t="inlineStr">
        <is>
          <t>AC26004LDJD032</t>
        </is>
      </c>
      <c r="T1184" s="201" t="n">
        <v>33</v>
      </c>
      <c r="U1184" s="58" t="inlineStr">
        <is>
          <t>01 UNIT DIESEL FORKLIFT ( VOIR BL)</t>
        </is>
      </c>
      <c r="V1184" s="67" t="n"/>
      <c r="W1184" s="67" t="n"/>
      <c r="X1184" s="62" t="inlineStr">
        <is>
          <t>N-OP</t>
        </is>
      </c>
      <c r="Y1184" s="116">
        <f>F1184/E1184</f>
        <v/>
      </c>
      <c r="Z1184" s="64">
        <f>E1184-N1184</f>
        <v/>
      </c>
    </row>
    <row r="1185" ht="15.75" customHeight="1" s="202">
      <c r="A1185" s="116" t="n">
        <v>20260075</v>
      </c>
      <c r="B1185" s="117" t="inlineStr">
        <is>
          <t>AMOY CENTURY</t>
        </is>
      </c>
      <c r="C1185" s="118" t="n">
        <v>46091</v>
      </c>
      <c r="E1185" s="116" t="n">
        <v>1</v>
      </c>
      <c r="F1185" s="119" t="n">
        <v>17.5</v>
      </c>
      <c r="G1185" s="120" t="n">
        <v>24</v>
      </c>
      <c r="H1185" s="117" t="inlineStr">
        <is>
          <t>SARL EL IKHLAS REALISATION</t>
        </is>
      </c>
      <c r="I1185" s="117" t="inlineStr">
        <is>
          <t>CHARGEURS</t>
        </is>
      </c>
      <c r="J1185" s="117" t="inlineStr">
        <is>
          <t>ENGINS</t>
        </is>
      </c>
      <c r="K1185" s="48">
        <f>D1185+8</f>
        <v/>
      </c>
      <c r="L1185" s="48">
        <f>K1185+60</f>
        <v/>
      </c>
      <c r="N1185" s="72">
        <f>E1185</f>
        <v/>
      </c>
      <c r="O1185" s="50">
        <f>F1185/E1185*N1185</f>
        <v/>
      </c>
      <c r="P1185" s="273">
        <f>G1185/E1185*N1185</f>
        <v/>
      </c>
      <c r="S1185" s="200" t="inlineStr">
        <is>
          <t>AC26004LDJD033</t>
        </is>
      </c>
      <c r="T1185" s="201" t="n">
        <v>34</v>
      </c>
      <c r="U1185" s="58" t="inlineStr">
        <is>
          <t>01 UNIT XCMG ZL50GN WHEEL LOADER ( VOIR BL)</t>
        </is>
      </c>
      <c r="V1185" s="67" t="n"/>
      <c r="W1185" s="67" t="n"/>
      <c r="X1185" s="62" t="inlineStr">
        <is>
          <t>N-OP</t>
        </is>
      </c>
      <c r="Y1185" s="116">
        <f>F1185/E1185</f>
        <v/>
      </c>
      <c r="Z1185" s="64">
        <f>E1185-N1185</f>
        <v/>
      </c>
    </row>
    <row r="1186" ht="15.75" customHeight="1" s="202">
      <c r="A1186" s="116" t="n">
        <v>20260075</v>
      </c>
      <c r="B1186" s="117" t="inlineStr">
        <is>
          <t>AMOY CENTURY</t>
        </is>
      </c>
      <c r="C1186" s="118" t="n">
        <v>46091</v>
      </c>
      <c r="E1186" s="116" t="n">
        <v>1</v>
      </c>
      <c r="F1186" s="119" t="n">
        <v>16</v>
      </c>
      <c r="G1186" s="120" t="n">
        <v>24</v>
      </c>
      <c r="H1186" s="117" t="inlineStr">
        <is>
          <t>ZORGANI SIDALI</t>
        </is>
      </c>
      <c r="I1186" s="117" t="inlineStr">
        <is>
          <t>CAMIONS</t>
        </is>
      </c>
      <c r="J1186" s="117" t="inlineStr">
        <is>
          <t>LOURD</t>
        </is>
      </c>
      <c r="K1186" s="48">
        <f>D1186+8</f>
        <v/>
      </c>
      <c r="L1186" s="48">
        <f>K1186+60</f>
        <v/>
      </c>
      <c r="N1186" s="72">
        <f>E1186</f>
        <v/>
      </c>
      <c r="O1186" s="50">
        <f>F1186/E1186*N1186</f>
        <v/>
      </c>
      <c r="P1186" s="273">
        <f>G1186/E1186*N1186</f>
        <v/>
      </c>
      <c r="S1186" s="200" t="inlineStr">
        <is>
          <t>AC26004LDJD034</t>
        </is>
      </c>
      <c r="T1186" s="201" t="n">
        <v>35</v>
      </c>
      <c r="U1186" s="58" t="inlineStr">
        <is>
          <t>1 UNIT SHACMAN F2000 6X4 DUMP TRUCK ( VOIR BL)</t>
        </is>
      </c>
      <c r="V1186" s="67" t="n"/>
      <c r="W1186" s="67" t="n"/>
      <c r="X1186" s="62" t="inlineStr">
        <is>
          <t>N-OP</t>
        </is>
      </c>
      <c r="Y1186" s="116">
        <f>F1186/E1186</f>
        <v/>
      </c>
      <c r="Z1186" s="64">
        <f>E1186-N1186</f>
        <v/>
      </c>
    </row>
    <row r="1187" ht="15.75" customHeight="1" s="202">
      <c r="A1187" s="116" t="n">
        <v>20260075</v>
      </c>
      <c r="B1187" s="117" t="inlineStr">
        <is>
          <t>AMOY CENTURY</t>
        </is>
      </c>
      <c r="C1187" s="118" t="n">
        <v>46091</v>
      </c>
      <c r="E1187" s="116" t="n">
        <v>1</v>
      </c>
      <c r="F1187" s="119" t="n">
        <v>37.8</v>
      </c>
      <c r="G1187" s="120" t="n">
        <v>24</v>
      </c>
      <c r="H1187" s="117" t="inlineStr">
        <is>
          <t>EL BEKAIE YASSER</t>
        </is>
      </c>
      <c r="I1187" s="117" t="inlineStr">
        <is>
          <t>EXCAVATEURS</t>
        </is>
      </c>
      <c r="J1187" s="117" t="inlineStr">
        <is>
          <t>ENGINS</t>
        </is>
      </c>
      <c r="K1187" s="48">
        <f>D1187+8</f>
        <v/>
      </c>
      <c r="L1187" s="48">
        <f>K1187+60</f>
        <v/>
      </c>
      <c r="N1187" s="72">
        <f>E1187</f>
        <v/>
      </c>
      <c r="O1187" s="50">
        <f>F1187/E1187*N1187</f>
        <v/>
      </c>
      <c r="P1187" s="273">
        <f>G1187/E1187*N1187</f>
        <v/>
      </c>
      <c r="S1187" s="200" t="inlineStr">
        <is>
          <t>AC26004LDJD037</t>
        </is>
      </c>
      <c r="T1187" s="201" t="n">
        <v>36</v>
      </c>
      <c r="U1187" s="58" t="inlineStr">
        <is>
          <t>01 UNIT HYUNDAI HX340 EXCAVOTOR 01 UNIT QUICK COUPLER (Mechanic) 01 UNIT HYDRAULIC BREAKER BOX TYPE ( VOIR BL)</t>
        </is>
      </c>
      <c r="V1187" s="67" t="n"/>
      <c r="W1187" s="67" t="n"/>
      <c r="X1187" s="62" t="inlineStr">
        <is>
          <t>N-OP</t>
        </is>
      </c>
      <c r="Y1187" s="116">
        <f>F1187/E1187</f>
        <v/>
      </c>
      <c r="Z1187" s="64">
        <f>E1187-N1187</f>
        <v/>
      </c>
    </row>
    <row r="1188" ht="15.75" customHeight="1" s="202">
      <c r="A1188" s="116" t="n">
        <v>20260075</v>
      </c>
      <c r="B1188" s="117" t="inlineStr">
        <is>
          <t>AMOY CENTURY</t>
        </is>
      </c>
      <c r="C1188" s="118" t="n">
        <v>46091</v>
      </c>
      <c r="E1188" s="116" t="n">
        <v>2</v>
      </c>
      <c r="F1188" s="119" t="n">
        <v>0</v>
      </c>
      <c r="G1188" s="120" t="n">
        <v>10</v>
      </c>
      <c r="H1188" s="117" t="inlineStr">
        <is>
          <t>EL BEKAIE YASSER</t>
        </is>
      </c>
      <c r="I1188" s="117" t="inlineStr">
        <is>
          <t>COLIS</t>
        </is>
      </c>
      <c r="J1188" s="117" t="inlineStr">
        <is>
          <t>COLIS</t>
        </is>
      </c>
      <c r="K1188" s="48">
        <f>D1188+8</f>
        <v/>
      </c>
      <c r="L1188" s="48">
        <f>K1188+60</f>
        <v/>
      </c>
      <c r="N1188" s="72">
        <f>E1188</f>
        <v/>
      </c>
      <c r="O1188" s="50">
        <f>F1188/E1188*N1188</f>
        <v/>
      </c>
      <c r="P1188" s="273">
        <f>G1188/E1188*N1188</f>
        <v/>
      </c>
      <c r="S1188" s="200" t="inlineStr">
        <is>
          <t>AC26004LDJD037</t>
        </is>
      </c>
      <c r="T1188" s="201" t="n">
        <v>36</v>
      </c>
      <c r="U1188" s="58" t="n"/>
      <c r="V1188" s="67" t="n"/>
      <c r="W1188" s="67" t="n"/>
      <c r="X1188" s="62" t="inlineStr">
        <is>
          <t>N-OP</t>
        </is>
      </c>
      <c r="Y1188" s="116">
        <f>F1188/E1188</f>
        <v/>
      </c>
      <c r="Z1188" s="64">
        <f>E1188-N1188</f>
        <v/>
      </c>
    </row>
    <row r="1189" ht="15.75" customHeight="1" s="202">
      <c r="A1189" s="116" t="n">
        <v>20260075</v>
      </c>
      <c r="B1189" s="117" t="inlineStr">
        <is>
          <t>AMOY CENTURY</t>
        </is>
      </c>
      <c r="C1189" s="118" t="n">
        <v>46091</v>
      </c>
      <c r="E1189" s="116" t="n">
        <v>1</v>
      </c>
      <c r="F1189" s="119" t="n">
        <v>37.135</v>
      </c>
      <c r="G1189" s="120" t="n">
        <v>24</v>
      </c>
      <c r="H1189" s="117" t="inlineStr">
        <is>
          <t>EURL RUBIS AGREGATS</t>
        </is>
      </c>
      <c r="I1189" s="117" t="inlineStr">
        <is>
          <t>EXCAVATEURS</t>
        </is>
      </c>
      <c r="J1189" s="117" t="inlineStr">
        <is>
          <t>ENGINS</t>
        </is>
      </c>
      <c r="K1189" s="48">
        <f>D1189+8</f>
        <v/>
      </c>
      <c r="L1189" s="48">
        <f>K1189+60</f>
        <v/>
      </c>
      <c r="N1189" s="72">
        <f>E1189</f>
        <v/>
      </c>
      <c r="O1189" s="50">
        <f>F1189/E1189*N1189</f>
        <v/>
      </c>
      <c r="P1189" s="273">
        <f>G1189/E1189*N1189</f>
        <v/>
      </c>
      <c r="S1189" s="200" t="inlineStr">
        <is>
          <t>AC26004LDJD038</t>
        </is>
      </c>
      <c r="T1189" s="201" t="n">
        <v>37</v>
      </c>
      <c r="U1189" s="58" t="inlineStr">
        <is>
          <t>01 UNIT MACHINE HX 340 HD HYUNDAI EXCAVATOR ( VOIR BL)</t>
        </is>
      </c>
      <c r="V1189" s="67" t="n"/>
      <c r="W1189" s="67" t="n"/>
      <c r="X1189" s="62" t="inlineStr">
        <is>
          <t>N-OP</t>
        </is>
      </c>
      <c r="Y1189" s="116">
        <f>F1189/E1189</f>
        <v/>
      </c>
      <c r="Z1189" s="64">
        <f>E1189-N1189</f>
        <v/>
      </c>
    </row>
    <row r="1190" ht="15.75" customHeight="1" s="202">
      <c r="A1190" s="116" t="n">
        <v>20260075</v>
      </c>
      <c r="B1190" s="117" t="inlineStr">
        <is>
          <t>AMOY CENTURY</t>
        </is>
      </c>
      <c r="C1190" s="118" t="n">
        <v>46091</v>
      </c>
      <c r="E1190" s="116" t="n">
        <v>4</v>
      </c>
      <c r="F1190" s="119" t="n">
        <v>0</v>
      </c>
      <c r="G1190" s="120" t="n">
        <v>20</v>
      </c>
      <c r="H1190" s="117" t="inlineStr">
        <is>
          <t>EURL RUBIS AGREGATS</t>
        </is>
      </c>
      <c r="I1190" s="117" t="inlineStr">
        <is>
          <t>COLIS</t>
        </is>
      </c>
      <c r="J1190" s="117" t="inlineStr">
        <is>
          <t>COLIS</t>
        </is>
      </c>
      <c r="K1190" s="48">
        <f>D1190+8</f>
        <v/>
      </c>
      <c r="L1190" s="48">
        <f>K1190+60</f>
        <v/>
      </c>
      <c r="N1190" s="72">
        <f>E1190</f>
        <v/>
      </c>
      <c r="O1190" s="50">
        <f>F1190/E1190*N1190</f>
        <v/>
      </c>
      <c r="P1190" s="273">
        <f>G1190/E1190*N1190</f>
        <v/>
      </c>
      <c r="S1190" s="200" t="inlineStr">
        <is>
          <t>AC26004LDJD038</t>
        </is>
      </c>
      <c r="T1190" s="201" t="n">
        <v>37</v>
      </c>
      <c r="U1190" s="58" t="n"/>
      <c r="V1190" s="67" t="n"/>
      <c r="W1190" s="67" t="n"/>
      <c r="X1190" s="62" t="inlineStr">
        <is>
          <t>N-OP</t>
        </is>
      </c>
      <c r="Y1190" s="116">
        <f>F1190/E1190</f>
        <v/>
      </c>
      <c r="Z1190" s="64">
        <f>E1190-N1190</f>
        <v/>
      </c>
    </row>
    <row r="1191" ht="15.75" customHeight="1" s="202">
      <c r="A1191" s="116" t="n">
        <v>20260075</v>
      </c>
      <c r="B1191" s="117" t="inlineStr">
        <is>
          <t>AMOY CENTURY</t>
        </is>
      </c>
      <c r="C1191" s="118" t="n">
        <v>46091</v>
      </c>
      <c r="E1191" s="116" t="n">
        <v>1</v>
      </c>
      <c r="F1191" s="119" t="n">
        <v>37.1</v>
      </c>
      <c r="G1191" s="120" t="n">
        <v>24</v>
      </c>
      <c r="H1191" s="117" t="inlineStr">
        <is>
          <t>SARL EL AZIMA TRA</t>
        </is>
      </c>
      <c r="I1191" s="117" t="inlineStr">
        <is>
          <t>EXCAVATEURS</t>
        </is>
      </c>
      <c r="J1191" s="117" t="inlineStr">
        <is>
          <t>ENGINS</t>
        </is>
      </c>
      <c r="K1191" s="48">
        <f>D1191+8</f>
        <v/>
      </c>
      <c r="L1191" s="48">
        <f>K1191+60</f>
        <v/>
      </c>
      <c r="N1191" s="72">
        <f>E1191</f>
        <v/>
      </c>
      <c r="O1191" s="50">
        <f>F1191/E1191*N1191</f>
        <v/>
      </c>
      <c r="P1191" s="273">
        <f>G1191/E1191*N1191</f>
        <v/>
      </c>
      <c r="S1191" s="200" t="inlineStr">
        <is>
          <t>AC26004LDJD039</t>
        </is>
      </c>
      <c r="T1191" s="201" t="n">
        <v>38</v>
      </c>
      <c r="U1191" s="58" t="inlineStr">
        <is>
          <t>01 UNIT HYUNDAI EXCAVATOR HX 340HD 01 UNIT MACHINE HYUNDAI ROCK BREAKER EXCAVATOR HX340HD ( VOIR BL)</t>
        </is>
      </c>
      <c r="V1191" s="67" t="n"/>
      <c r="W1191" s="67" t="n"/>
      <c r="X1191" s="62" t="inlineStr">
        <is>
          <t>N-OP</t>
        </is>
      </c>
      <c r="Y1191" s="116">
        <f>F1191/E1191</f>
        <v/>
      </c>
      <c r="Z1191" s="64">
        <f>E1191-N1191</f>
        <v/>
      </c>
    </row>
    <row r="1192" ht="15.75" customHeight="1" s="202">
      <c r="A1192" s="116" t="n">
        <v>20260075</v>
      </c>
      <c r="B1192" s="117" t="inlineStr">
        <is>
          <t>AMOY CENTURY</t>
        </is>
      </c>
      <c r="C1192" s="118" t="n">
        <v>46091</v>
      </c>
      <c r="E1192" s="116" t="n">
        <v>2</v>
      </c>
      <c r="F1192" s="119" t="n">
        <v>0</v>
      </c>
      <c r="G1192" s="120" t="n">
        <v>10</v>
      </c>
      <c r="H1192" s="117" t="inlineStr">
        <is>
          <t>SARL EL AZIMA TRA</t>
        </is>
      </c>
      <c r="I1192" s="117" t="inlineStr">
        <is>
          <t>COLIS</t>
        </is>
      </c>
      <c r="J1192" s="117" t="inlineStr">
        <is>
          <t>COLIS</t>
        </is>
      </c>
      <c r="K1192" s="48">
        <f>D1192+8</f>
        <v/>
      </c>
      <c r="L1192" s="48">
        <f>K1192+60</f>
        <v/>
      </c>
      <c r="N1192" s="72">
        <f>E1192</f>
        <v/>
      </c>
      <c r="O1192" s="50">
        <f>F1192/E1192*N1192</f>
        <v/>
      </c>
      <c r="P1192" s="273">
        <f>G1192/E1192*N1192</f>
        <v/>
      </c>
      <c r="S1192" s="200" t="inlineStr">
        <is>
          <t>AC26004LDJD039</t>
        </is>
      </c>
      <c r="T1192" s="201" t="n">
        <v>38</v>
      </c>
      <c r="U1192" s="58" t="n"/>
      <c r="V1192" s="67" t="n"/>
      <c r="W1192" s="67" t="n"/>
      <c r="X1192" s="62" t="inlineStr">
        <is>
          <t>N-OP</t>
        </is>
      </c>
      <c r="Y1192" s="116">
        <f>F1192/E1192</f>
        <v/>
      </c>
      <c r="Z1192" s="64">
        <f>E1192-N1192</f>
        <v/>
      </c>
    </row>
    <row r="1193" ht="15.75" customHeight="1" s="202">
      <c r="A1193" s="116" t="n">
        <v>20260075</v>
      </c>
      <c r="B1193" s="117" t="inlineStr">
        <is>
          <t>AMOY CENTURY</t>
        </is>
      </c>
      <c r="C1193" s="118" t="n">
        <v>46091</v>
      </c>
      <c r="E1193" s="116" t="n">
        <v>2</v>
      </c>
      <c r="F1193" s="119" t="n">
        <v>6.61</v>
      </c>
      <c r="G1193" s="120" t="n">
        <v>48</v>
      </c>
      <c r="H1193" s="117" t="inlineStr">
        <is>
          <t>SARL KD ELEK</t>
        </is>
      </c>
      <c r="I1193" s="117" t="inlineStr">
        <is>
          <t>CAMIONS</t>
        </is>
      </c>
      <c r="J1193" s="117" t="inlineStr">
        <is>
          <t>LOURD</t>
        </is>
      </c>
      <c r="K1193" s="48">
        <f>D1193+8</f>
        <v/>
      </c>
      <c r="L1193" s="48">
        <f>K1193+60</f>
        <v/>
      </c>
      <c r="N1193" s="72">
        <f>E1193</f>
        <v/>
      </c>
      <c r="O1193" s="50">
        <f>F1193/E1193*N1193</f>
        <v/>
      </c>
      <c r="P1193" s="273">
        <f>G1193/E1193*N1193</f>
        <v/>
      </c>
      <c r="S1193" s="200" t="inlineStr">
        <is>
          <t>AC26004LDJD040</t>
        </is>
      </c>
      <c r="T1193" s="201" t="n">
        <v>39</v>
      </c>
      <c r="U1193" s="58" t="inlineStr">
        <is>
          <t>02 UNITS CARGO TRUCKS ( VOIR BL)</t>
        </is>
      </c>
      <c r="V1193" s="67" t="n"/>
      <c r="W1193" s="67" t="n"/>
      <c r="X1193" s="62" t="inlineStr">
        <is>
          <t>N-OP</t>
        </is>
      </c>
      <c r="Y1193" s="116">
        <f>F1193/E1193</f>
        <v/>
      </c>
      <c r="Z1193" s="64">
        <f>E1193-N1193</f>
        <v/>
      </c>
    </row>
    <row r="1194" ht="15.75" customHeight="1" s="202">
      <c r="A1194" s="116" t="n">
        <v>20260075</v>
      </c>
      <c r="B1194" s="117" t="inlineStr">
        <is>
          <t>AMOY CENTURY</t>
        </is>
      </c>
      <c r="C1194" s="118" t="n">
        <v>46091</v>
      </c>
      <c r="E1194" s="116" t="n">
        <v>1</v>
      </c>
      <c r="F1194" s="119" t="n">
        <v>9.5</v>
      </c>
      <c r="G1194" s="120" t="n">
        <v>48</v>
      </c>
      <c r="H1194" s="117" t="inlineStr">
        <is>
          <t>SARL SELKH SERVICE</t>
        </is>
      </c>
      <c r="I1194" s="117" t="inlineStr">
        <is>
          <t>CAMIONS</t>
        </is>
      </c>
      <c r="J1194" s="117" t="inlineStr">
        <is>
          <t>LOURD</t>
        </is>
      </c>
      <c r="K1194" s="48">
        <f>D1194+8</f>
        <v/>
      </c>
      <c r="L1194" s="48">
        <f>K1194+60</f>
        <v/>
      </c>
      <c r="N1194" s="72">
        <f>E1194</f>
        <v/>
      </c>
      <c r="O1194" s="50">
        <f>F1194/E1194*N1194</f>
        <v/>
      </c>
      <c r="P1194" s="273">
        <f>G1194/E1194*N1194</f>
        <v/>
      </c>
      <c r="S1194" s="200" t="inlineStr">
        <is>
          <t>AC26004LDJD042</t>
        </is>
      </c>
      <c r="T1194" s="201" t="n">
        <v>40</v>
      </c>
      <c r="U1194" s="58" t="inlineStr">
        <is>
          <t>01 UNIT SINOTRUK HOWO TX6*4 TRACTOR TRUCK LHD + 01 UNIT DUMP TRUCK LHD ( VOIR BL)</t>
        </is>
      </c>
      <c r="V1194" s="67" t="n"/>
      <c r="W1194" s="67" t="n"/>
      <c r="X1194" s="62" t="inlineStr">
        <is>
          <t>N-OP</t>
        </is>
      </c>
      <c r="Y1194" s="116">
        <f>F1194/E1194</f>
        <v/>
      </c>
      <c r="Z1194" s="64">
        <f>E1194-N1194</f>
        <v/>
      </c>
    </row>
    <row r="1195" ht="15.75" customHeight="1" s="202">
      <c r="A1195" s="116" t="n">
        <v>20260075</v>
      </c>
      <c r="B1195" s="117" t="inlineStr">
        <is>
          <t>AMOY CENTURY</t>
        </is>
      </c>
      <c r="C1195" s="118" t="n">
        <v>46091</v>
      </c>
      <c r="E1195" s="116" t="n">
        <v>1</v>
      </c>
      <c r="F1195" s="119" t="n">
        <v>17.65</v>
      </c>
      <c r="G1195" s="120" t="n">
        <v>24</v>
      </c>
      <c r="H1195" s="117" t="inlineStr">
        <is>
          <t>GUIRA ABDERRAHMAN</t>
        </is>
      </c>
      <c r="I1195" s="117" t="inlineStr">
        <is>
          <t>CHARGEURS</t>
        </is>
      </c>
      <c r="J1195" s="117" t="inlineStr">
        <is>
          <t>ENGINS</t>
        </is>
      </c>
      <c r="K1195" s="48">
        <f>D1195+8</f>
        <v/>
      </c>
      <c r="L1195" s="48">
        <f>K1195+60</f>
        <v/>
      </c>
      <c r="N1195" s="72">
        <f>E1195</f>
        <v/>
      </c>
      <c r="O1195" s="50">
        <f>F1195/E1195*N1195</f>
        <v/>
      </c>
      <c r="P1195" s="273">
        <f>G1195/E1195*N1195</f>
        <v/>
      </c>
      <c r="S1195" s="200" t="inlineStr">
        <is>
          <t>AC26004LDJD044</t>
        </is>
      </c>
      <c r="T1195" s="201" t="n">
        <v>41</v>
      </c>
      <c r="U1195" s="58" t="inlineStr">
        <is>
          <t>01 UNIT XCMG XC958 WHEEL LOADER ( VOIR BL)</t>
        </is>
      </c>
      <c r="V1195" s="67" t="n"/>
      <c r="W1195" s="67" t="n"/>
      <c r="X1195" s="62" t="inlineStr">
        <is>
          <t>N-OP</t>
        </is>
      </c>
      <c r="Y1195" s="116">
        <f>F1195/E1195</f>
        <v/>
      </c>
      <c r="Z1195" s="64">
        <f>E1195-N1195</f>
        <v/>
      </c>
    </row>
    <row r="1196" ht="15.75" customHeight="1" s="202">
      <c r="A1196" s="116" t="n">
        <v>20260075</v>
      </c>
      <c r="B1196" s="117" t="inlineStr">
        <is>
          <t>AMOY CENTURY</t>
        </is>
      </c>
      <c r="C1196" s="118" t="n">
        <v>46091</v>
      </c>
      <c r="E1196" s="116" t="n">
        <v>1</v>
      </c>
      <c r="F1196" s="119" t="n">
        <v>0</v>
      </c>
      <c r="G1196" s="120" t="n">
        <v>5</v>
      </c>
      <c r="H1196" s="117" t="inlineStr">
        <is>
          <t>GUIRA ABDERRAHMAN</t>
        </is>
      </c>
      <c r="I1196" s="117" t="inlineStr">
        <is>
          <t>COLIS</t>
        </is>
      </c>
      <c r="J1196" s="117" t="inlineStr">
        <is>
          <t>COLIS</t>
        </is>
      </c>
      <c r="K1196" s="48">
        <f>D1196+8</f>
        <v/>
      </c>
      <c r="L1196" s="48">
        <f>K1196+60</f>
        <v/>
      </c>
      <c r="N1196" s="72">
        <f>E1196</f>
        <v/>
      </c>
      <c r="O1196" s="50">
        <f>F1196/E1196*N1196</f>
        <v/>
      </c>
      <c r="P1196" s="273">
        <f>G1196/E1196*N1196</f>
        <v/>
      </c>
      <c r="S1196" s="200" t="inlineStr">
        <is>
          <t>AC26004LDJD044</t>
        </is>
      </c>
      <c r="T1196" s="201" t="n">
        <v>41</v>
      </c>
      <c r="U1196" s="58" t="n"/>
      <c r="V1196" s="67" t="n"/>
      <c r="W1196" s="67" t="n"/>
      <c r="X1196" s="62" t="inlineStr">
        <is>
          <t>N-OP</t>
        </is>
      </c>
      <c r="Y1196" s="116">
        <f>F1196/E1196</f>
        <v/>
      </c>
      <c r="Z1196" s="64">
        <f>E1196-N1196</f>
        <v/>
      </c>
    </row>
    <row r="1197" ht="15.75" customHeight="1" s="202">
      <c r="A1197" s="116" t="n">
        <v>20260075</v>
      </c>
      <c r="B1197" s="117" t="inlineStr">
        <is>
          <t>AMOY CENTURY</t>
        </is>
      </c>
      <c r="C1197" s="118" t="n">
        <v>46091</v>
      </c>
      <c r="E1197" s="116" t="n">
        <v>1</v>
      </c>
      <c r="F1197" s="119" t="n">
        <v>42.2</v>
      </c>
      <c r="G1197" s="120" t="n">
        <v>60</v>
      </c>
      <c r="H1197" s="117" t="inlineStr">
        <is>
          <t>SARL ASSINATE DJAZAIR MULTI SERVICES</t>
        </is>
      </c>
      <c r="I1197" s="117" t="inlineStr">
        <is>
          <t>CAMION GRUE</t>
        </is>
      </c>
      <c r="J1197" s="117" t="inlineStr">
        <is>
          <t>ENGINS</t>
        </is>
      </c>
      <c r="K1197" s="48">
        <f>D1197+8</f>
        <v/>
      </c>
      <c r="L1197" s="48">
        <f>K1197+60</f>
        <v/>
      </c>
      <c r="N1197" s="72">
        <f>E1197</f>
        <v/>
      </c>
      <c r="O1197" s="50">
        <f>F1197/E1197*N1197</f>
        <v/>
      </c>
      <c r="P1197" s="273">
        <f>G1197/E1197*N1197</f>
        <v/>
      </c>
      <c r="S1197" s="200" t="inlineStr">
        <is>
          <t>AC26004LDJD045</t>
        </is>
      </c>
      <c r="T1197" s="201" t="n">
        <v>42</v>
      </c>
      <c r="U1197" s="58" t="inlineStr">
        <is>
          <t>01 UNIT XCMG QY50KD CRANE ( VOIR BL)</t>
        </is>
      </c>
      <c r="V1197" s="67" t="n"/>
      <c r="W1197" s="67" t="n"/>
      <c r="X1197" s="62" t="inlineStr">
        <is>
          <t>N-OP</t>
        </is>
      </c>
      <c r="Y1197" s="116">
        <f>F1197/E1197</f>
        <v/>
      </c>
      <c r="Z1197" s="64">
        <f>E1197-N1197</f>
        <v/>
      </c>
    </row>
    <row r="1198" ht="15.75" customHeight="1" s="202">
      <c r="A1198" s="116" t="n">
        <v>20260075</v>
      </c>
      <c r="B1198" s="117" t="inlineStr">
        <is>
          <t>AMOY CENTURY</t>
        </is>
      </c>
      <c r="C1198" s="118" t="n">
        <v>46091</v>
      </c>
      <c r="E1198" s="116" t="n">
        <v>1</v>
      </c>
      <c r="F1198" s="119" t="n">
        <v>47.1</v>
      </c>
      <c r="G1198" s="120" t="n">
        <v>60</v>
      </c>
      <c r="H1198" s="117" t="inlineStr">
        <is>
          <t>MEHDA AMOR</t>
        </is>
      </c>
      <c r="I1198" s="117" t="inlineStr">
        <is>
          <t>CAMION GRUE</t>
        </is>
      </c>
      <c r="J1198" s="117" t="inlineStr">
        <is>
          <t>ENGINS</t>
        </is>
      </c>
      <c r="K1198" s="48">
        <f>D1198+8</f>
        <v/>
      </c>
      <c r="L1198" s="48">
        <f>K1198+60</f>
        <v/>
      </c>
      <c r="N1198" s="72">
        <f>E1198</f>
        <v/>
      </c>
      <c r="O1198" s="50">
        <f>F1198/E1198*N1198</f>
        <v/>
      </c>
      <c r="P1198" s="273">
        <f>G1198/E1198*N1198</f>
        <v/>
      </c>
      <c r="S1198" s="200" t="inlineStr">
        <is>
          <t>AC26004LDJD046</t>
        </is>
      </c>
      <c r="T1198" s="201" t="n">
        <v>43</v>
      </c>
      <c r="U1198" s="58" t="inlineStr">
        <is>
          <t>01 UNIT XCMG QY60KH CRANE MAXLIFTING ( VOIR BL)</t>
        </is>
      </c>
      <c r="V1198" s="67" t="n"/>
      <c r="W1198" s="67" t="n"/>
      <c r="X1198" s="62" t="inlineStr">
        <is>
          <t>N-OP</t>
        </is>
      </c>
      <c r="Y1198" s="116">
        <f>F1198/E1198</f>
        <v/>
      </c>
      <c r="Z1198" s="64">
        <f>E1198-N1198</f>
        <v/>
      </c>
    </row>
    <row r="1199" ht="15.75" customHeight="1" s="202">
      <c r="A1199" s="116" t="n">
        <v>20260075</v>
      </c>
      <c r="B1199" s="117" t="inlineStr">
        <is>
          <t>AMOY CENTURY</t>
        </is>
      </c>
      <c r="C1199" s="118" t="n">
        <v>46091</v>
      </c>
      <c r="E1199" s="116" t="n">
        <v>1</v>
      </c>
      <c r="F1199" s="119" t="n">
        <v>0</v>
      </c>
      <c r="G1199" s="120" t="n">
        <v>5</v>
      </c>
      <c r="H1199" s="117" t="inlineStr">
        <is>
          <t>MEHDA AMOR</t>
        </is>
      </c>
      <c r="I1199" s="117" t="inlineStr">
        <is>
          <t>COLIS</t>
        </is>
      </c>
      <c r="J1199" s="117" t="inlineStr">
        <is>
          <t>COLIS</t>
        </is>
      </c>
      <c r="K1199" s="48">
        <f>D1199+8</f>
        <v/>
      </c>
      <c r="L1199" s="48">
        <f>K1199+60</f>
        <v/>
      </c>
      <c r="N1199" s="72">
        <f>E1199</f>
        <v/>
      </c>
      <c r="O1199" s="50">
        <f>F1199/E1199*N1199</f>
        <v/>
      </c>
      <c r="P1199" s="273">
        <f>G1199/E1199*N1199</f>
        <v/>
      </c>
      <c r="S1199" s="200" t="inlineStr">
        <is>
          <t>AC26004LDJD046</t>
        </is>
      </c>
      <c r="T1199" s="201" t="n">
        <v>43</v>
      </c>
      <c r="U1199" s="58" t="n"/>
      <c r="V1199" s="67" t="n"/>
      <c r="W1199" s="67" t="n"/>
      <c r="X1199" s="62" t="inlineStr">
        <is>
          <t>N-OP</t>
        </is>
      </c>
      <c r="Y1199" s="116">
        <f>F1199/E1199</f>
        <v/>
      </c>
      <c r="Z1199" s="64">
        <f>E1199-N1199</f>
        <v/>
      </c>
    </row>
    <row r="1200" ht="15.75" customHeight="1" s="202">
      <c r="A1200" s="116" t="n">
        <v>20260075</v>
      </c>
      <c r="B1200" s="117" t="inlineStr">
        <is>
          <t>AMOY CENTURY</t>
        </is>
      </c>
      <c r="C1200" s="118" t="n">
        <v>46091</v>
      </c>
      <c r="E1200" s="116" t="n">
        <v>1</v>
      </c>
      <c r="F1200" s="119" t="n">
        <v>51.8</v>
      </c>
      <c r="G1200" s="120" t="n">
        <v>60</v>
      </c>
      <c r="H1200" s="117" t="inlineStr">
        <is>
          <t>SARL TOP GTP</t>
        </is>
      </c>
      <c r="I1200" s="117" t="inlineStr">
        <is>
          <t>CAMION GRUE</t>
        </is>
      </c>
      <c r="J1200" s="117" t="inlineStr">
        <is>
          <t>ENGINS</t>
        </is>
      </c>
      <c r="K1200" s="48">
        <f>D1200+8</f>
        <v/>
      </c>
      <c r="L1200" s="48">
        <f>K1200+60</f>
        <v/>
      </c>
      <c r="N1200" s="72">
        <f>E1200</f>
        <v/>
      </c>
      <c r="O1200" s="50">
        <f>F1200/E1200*N1200</f>
        <v/>
      </c>
      <c r="P1200" s="273">
        <f>G1200/E1200*N1200</f>
        <v/>
      </c>
      <c r="S1200" s="200" t="inlineStr">
        <is>
          <t>AC26004LDJD047</t>
        </is>
      </c>
      <c r="T1200" s="201" t="n">
        <v>44</v>
      </c>
      <c r="U1200" s="58" t="inlineStr">
        <is>
          <t>01 UNIT XCMG QY70KH CRANE ( VOIR BL)</t>
        </is>
      </c>
      <c r="V1200" s="67" t="n"/>
      <c r="W1200" s="67" t="n"/>
      <c r="X1200" s="62" t="inlineStr">
        <is>
          <t>N-OP</t>
        </is>
      </c>
      <c r="Y1200" s="116">
        <f>F1200/E1200</f>
        <v/>
      </c>
      <c r="Z1200" s="64">
        <f>E1200-N1200</f>
        <v/>
      </c>
    </row>
    <row r="1201" ht="15.75" customHeight="1" s="202">
      <c r="A1201" s="116" t="n">
        <v>20260075</v>
      </c>
      <c r="B1201" s="117" t="inlineStr">
        <is>
          <t>AMOY CENTURY</t>
        </is>
      </c>
      <c r="C1201" s="118" t="n">
        <v>46091</v>
      </c>
      <c r="E1201" s="116" t="n">
        <v>3</v>
      </c>
      <c r="F1201" s="119" t="n">
        <v>0</v>
      </c>
      <c r="G1201" s="120" t="n">
        <v>15</v>
      </c>
      <c r="H1201" s="117" t="inlineStr">
        <is>
          <t>SARL TOP GTP</t>
        </is>
      </c>
      <c r="I1201" s="117" t="inlineStr">
        <is>
          <t>COLIS</t>
        </is>
      </c>
      <c r="J1201" s="117" t="inlineStr">
        <is>
          <t>COLIS</t>
        </is>
      </c>
      <c r="K1201" s="48">
        <f>D1201+8</f>
        <v/>
      </c>
      <c r="L1201" s="48">
        <f>K1201+60</f>
        <v/>
      </c>
      <c r="N1201" s="72">
        <f>E1201</f>
        <v/>
      </c>
      <c r="O1201" s="50">
        <f>F1201/E1201*N1201</f>
        <v/>
      </c>
      <c r="P1201" s="273">
        <f>G1201/E1201*N1201</f>
        <v/>
      </c>
      <c r="S1201" s="200" t="inlineStr">
        <is>
          <t>AC26004LDJD047</t>
        </is>
      </c>
      <c r="T1201" s="201" t="n">
        <v>44</v>
      </c>
      <c r="U1201" s="58" t="n"/>
      <c r="V1201" s="67" t="n"/>
      <c r="W1201" s="67" t="n"/>
      <c r="X1201" s="62" t="inlineStr">
        <is>
          <t>N-OP</t>
        </is>
      </c>
      <c r="Y1201" s="116">
        <f>F1201/E1201</f>
        <v/>
      </c>
      <c r="Z1201" s="64">
        <f>E1201-N1201</f>
        <v/>
      </c>
    </row>
    <row r="1202" ht="15.75" customHeight="1" s="202">
      <c r="A1202" s="116" t="n">
        <v>20260075</v>
      </c>
      <c r="B1202" s="117" t="inlineStr">
        <is>
          <t>AMOY CENTURY</t>
        </is>
      </c>
      <c r="C1202" s="118" t="n">
        <v>46091</v>
      </c>
      <c r="E1202" s="116" t="n">
        <v>2</v>
      </c>
      <c r="F1202" s="119" t="n">
        <v>44</v>
      </c>
      <c r="G1202" s="120" t="n">
        <v>48</v>
      </c>
      <c r="H1202" s="117" t="inlineStr">
        <is>
          <t>SARL QUATRO TP</t>
        </is>
      </c>
      <c r="I1202" s="117" t="inlineStr">
        <is>
          <t>FINISSEUR</t>
        </is>
      </c>
      <c r="J1202" s="117" t="inlineStr">
        <is>
          <t>ENGINS</t>
        </is>
      </c>
      <c r="K1202" s="48">
        <f>D1202+8</f>
        <v/>
      </c>
      <c r="L1202" s="48">
        <f>K1202+60</f>
        <v/>
      </c>
      <c r="N1202" s="72">
        <f>E1202</f>
        <v/>
      </c>
      <c r="O1202" s="50">
        <f>F1202/E1202*N1202</f>
        <v/>
      </c>
      <c r="P1202" s="273">
        <f>G1202/E1202*N1202</f>
        <v/>
      </c>
      <c r="S1202" s="200" t="inlineStr">
        <is>
          <t>AC26004LDJD048</t>
        </is>
      </c>
      <c r="T1202" s="201" t="n">
        <v>45</v>
      </c>
      <c r="U1202" s="58" t="inlineStr">
        <is>
          <t>02 UNITS XCMG RP603 PAVER ( VOIR BL)</t>
        </is>
      </c>
      <c r="V1202" s="67" t="n"/>
      <c r="W1202" s="67" t="n"/>
      <c r="X1202" s="62" t="inlineStr">
        <is>
          <t>N-OP</t>
        </is>
      </c>
      <c r="Y1202" s="116">
        <f>F1202/E1202</f>
        <v/>
      </c>
      <c r="Z1202" s="64">
        <f>E1202-N1202</f>
        <v/>
      </c>
    </row>
    <row r="1203" ht="15.75" customHeight="1" s="202">
      <c r="A1203" s="116" t="n">
        <v>20260075</v>
      </c>
      <c r="B1203" s="117" t="inlineStr">
        <is>
          <t>AMOY CENTURY</t>
        </is>
      </c>
      <c r="C1203" s="118" t="n">
        <v>46091</v>
      </c>
      <c r="E1203" s="116" t="n">
        <v>4</v>
      </c>
      <c r="F1203" s="119" t="n">
        <v>0</v>
      </c>
      <c r="G1203" s="120" t="n">
        <v>20</v>
      </c>
      <c r="H1203" s="117" t="inlineStr">
        <is>
          <t>SARL QUATRO TP</t>
        </is>
      </c>
      <c r="I1203" s="117" t="inlineStr">
        <is>
          <t>COLIS</t>
        </is>
      </c>
      <c r="J1203" s="117" t="inlineStr">
        <is>
          <t>COLIS</t>
        </is>
      </c>
      <c r="K1203" s="48">
        <f>D1203+8</f>
        <v/>
      </c>
      <c r="L1203" s="48">
        <f>K1203+60</f>
        <v/>
      </c>
      <c r="N1203" s="72">
        <f>E1203</f>
        <v/>
      </c>
      <c r="O1203" s="50">
        <f>F1203/E1203*N1203</f>
        <v/>
      </c>
      <c r="P1203" s="273">
        <f>G1203/E1203*N1203</f>
        <v/>
      </c>
      <c r="S1203" s="200" t="inlineStr">
        <is>
          <t>AC26004LDJD048</t>
        </is>
      </c>
      <c r="T1203" s="201" t="n">
        <v>45</v>
      </c>
      <c r="U1203" s="58" t="n"/>
      <c r="V1203" s="67" t="n"/>
      <c r="W1203" s="67" t="n"/>
      <c r="X1203" s="62" t="inlineStr">
        <is>
          <t>N-OP</t>
        </is>
      </c>
      <c r="Y1203" s="116">
        <f>F1203/E1203</f>
        <v/>
      </c>
      <c r="Z1203" s="64">
        <f>E1203-N1203</f>
        <v/>
      </c>
    </row>
    <row r="1204" ht="15.75" customHeight="1" s="202">
      <c r="A1204" s="116" t="n">
        <v>20260075</v>
      </c>
      <c r="B1204" s="117" t="inlineStr">
        <is>
          <t>AMOY CENTURY</t>
        </is>
      </c>
      <c r="C1204" s="118" t="n">
        <v>46091</v>
      </c>
      <c r="E1204" s="116" t="n">
        <v>1</v>
      </c>
      <c r="F1204" s="119" t="n">
        <v>10.65</v>
      </c>
      <c r="G1204" s="120" t="n">
        <v>24</v>
      </c>
      <c r="H1204" s="117" t="inlineStr">
        <is>
          <t>SARL BORDJ BETON</t>
        </is>
      </c>
      <c r="I1204" s="117" t="inlineStr">
        <is>
          <t>CHARIOT ELEVATEUR</t>
        </is>
      </c>
      <c r="J1204" s="117" t="inlineStr">
        <is>
          <t>ENGINS</t>
        </is>
      </c>
      <c r="K1204" s="48">
        <f>D1204+8</f>
        <v/>
      </c>
      <c r="L1204" s="48">
        <f>K1204+60</f>
        <v/>
      </c>
      <c r="N1204" s="72">
        <f>E1204</f>
        <v/>
      </c>
      <c r="O1204" s="50">
        <f>F1204/E1204*N1204</f>
        <v/>
      </c>
      <c r="P1204" s="273">
        <f>G1204/E1204*N1204</f>
        <v/>
      </c>
      <c r="S1204" s="200" t="inlineStr">
        <is>
          <t>AC26004LDJD049</t>
        </is>
      </c>
      <c r="T1204" s="201" t="n">
        <v>46</v>
      </c>
      <c r="U1204" s="58" t="inlineStr">
        <is>
          <t>01 UNIT CHL FORKLIFT CPCD70-W2K2 ( VOIR BL)</t>
        </is>
      </c>
      <c r="V1204" s="67" t="n"/>
      <c r="W1204" s="67" t="n"/>
      <c r="X1204" s="62" t="inlineStr">
        <is>
          <t>N-OP</t>
        </is>
      </c>
      <c r="Y1204" s="116">
        <f>F1204/E1204</f>
        <v/>
      </c>
      <c r="Z1204" s="64">
        <f>E1204-N1204</f>
        <v/>
      </c>
    </row>
    <row r="1205" ht="15.75" customHeight="1" s="202">
      <c r="A1205" s="116" t="n">
        <v>20260075</v>
      </c>
      <c r="B1205" s="117" t="inlineStr">
        <is>
          <t>AMOY CENTURY</t>
        </is>
      </c>
      <c r="C1205" s="118" t="n">
        <v>46091</v>
      </c>
      <c r="E1205" s="116" t="n">
        <v>1</v>
      </c>
      <c r="F1205" s="119" t="n">
        <v>25.6</v>
      </c>
      <c r="G1205" s="120" t="n">
        <v>24</v>
      </c>
      <c r="H1205" s="117" t="inlineStr">
        <is>
          <t>SARL ETBPH ALLOUCHE</t>
        </is>
      </c>
      <c r="I1205" s="117" t="inlineStr">
        <is>
          <t>COMPACTEURS</t>
        </is>
      </c>
      <c r="J1205" s="117" t="inlineStr">
        <is>
          <t>ENGINS</t>
        </is>
      </c>
      <c r="K1205" s="48">
        <f>D1205+8</f>
        <v/>
      </c>
      <c r="L1205" s="48">
        <f>K1205+60</f>
        <v/>
      </c>
      <c r="N1205" s="72">
        <f>E1205</f>
        <v/>
      </c>
      <c r="O1205" s="50">
        <f>F1205/E1205*N1205</f>
        <v/>
      </c>
      <c r="P1205" s="273">
        <f>G1205/E1205*N1205</f>
        <v/>
      </c>
      <c r="S1205" s="200" t="inlineStr">
        <is>
          <t>AC26004LDJD050</t>
        </is>
      </c>
      <c r="T1205" s="201" t="n">
        <v>47</v>
      </c>
      <c r="U1205" s="58" t="inlineStr">
        <is>
          <t>01 UNIT XCMG PNEUMATIC ROLLER XP263S ( VOIR BL)</t>
        </is>
      </c>
      <c r="V1205" s="67" t="n"/>
      <c r="W1205" s="67" t="n"/>
      <c r="X1205" s="62" t="inlineStr">
        <is>
          <t>N-OP</t>
        </is>
      </c>
      <c r="Y1205" s="116">
        <f>F1205/E1205</f>
        <v/>
      </c>
      <c r="Z1205" s="64">
        <f>E1205-N1205</f>
        <v/>
      </c>
    </row>
    <row r="1206" ht="15.75" customHeight="1" s="202">
      <c r="A1206" s="116" t="n">
        <v>20260075</v>
      </c>
      <c r="B1206" s="117" t="inlineStr">
        <is>
          <t>AMOY CENTURY</t>
        </is>
      </c>
      <c r="C1206" s="118" t="n">
        <v>46091</v>
      </c>
      <c r="E1206" s="116" t="n">
        <v>1</v>
      </c>
      <c r="F1206" s="119" t="n">
        <v>34</v>
      </c>
      <c r="G1206" s="120" t="n">
        <v>24</v>
      </c>
      <c r="H1206" s="117" t="inlineStr">
        <is>
          <t>EURL BOUGHEZALA ENTERPRISES GENERAUX ET LOCATION M</t>
        </is>
      </c>
      <c r="I1206" s="117" t="inlineStr">
        <is>
          <t>EXCAVATEURS</t>
        </is>
      </c>
      <c r="J1206" s="117" t="inlineStr">
        <is>
          <t>ENGINS</t>
        </is>
      </c>
      <c r="K1206" s="48">
        <f>D1206+8</f>
        <v/>
      </c>
      <c r="L1206" s="48">
        <f>K1206+60</f>
        <v/>
      </c>
      <c r="N1206" s="72">
        <f>E1206</f>
        <v/>
      </c>
      <c r="O1206" s="50">
        <f>F1206/E1206*N1206</f>
        <v/>
      </c>
      <c r="P1206" s="273">
        <f>G1206/E1206*N1206</f>
        <v/>
      </c>
      <c r="S1206" s="200" t="inlineStr">
        <is>
          <t>AC26004LDJD051</t>
        </is>
      </c>
      <c r="T1206" s="201" t="n">
        <v>48</v>
      </c>
      <c r="U1206" s="58" t="inlineStr">
        <is>
          <t>01 UNIT HYUNDAI EXCAVATOR HX340HD ( VOIR BL)</t>
        </is>
      </c>
      <c r="V1206" s="67" t="n"/>
      <c r="W1206" s="67" t="n"/>
      <c r="X1206" s="62" t="inlineStr">
        <is>
          <t>N-OP</t>
        </is>
      </c>
      <c r="Y1206" s="116">
        <f>F1206/E1206</f>
        <v/>
      </c>
      <c r="Z1206" s="64">
        <f>E1206-N1206</f>
        <v/>
      </c>
    </row>
    <row r="1207" ht="15.75" customHeight="1" s="202">
      <c r="A1207" s="116" t="n">
        <v>20260075</v>
      </c>
      <c r="B1207" s="117" t="inlineStr">
        <is>
          <t>AMOY CENTURY</t>
        </is>
      </c>
      <c r="C1207" s="118" t="n">
        <v>46091</v>
      </c>
      <c r="E1207" s="116" t="n">
        <v>1</v>
      </c>
      <c r="F1207" s="119" t="n">
        <v>0</v>
      </c>
      <c r="G1207" s="120" t="n">
        <v>5</v>
      </c>
      <c r="H1207" s="117" t="inlineStr">
        <is>
          <t>EURL BOUGHEZALA ENTERPRISES GENERAUX ET LOCATION M</t>
        </is>
      </c>
      <c r="I1207" s="117" t="inlineStr">
        <is>
          <t>COLIS</t>
        </is>
      </c>
      <c r="J1207" s="117" t="inlineStr">
        <is>
          <t>COLIS</t>
        </is>
      </c>
      <c r="K1207" s="48">
        <f>D1207+8</f>
        <v/>
      </c>
      <c r="L1207" s="48">
        <f>K1207+60</f>
        <v/>
      </c>
      <c r="N1207" s="72">
        <f>E1207</f>
        <v/>
      </c>
      <c r="O1207" s="50">
        <f>F1207/E1207*N1207</f>
        <v/>
      </c>
      <c r="P1207" s="273">
        <f>G1207/E1207*N1207</f>
        <v/>
      </c>
      <c r="S1207" s="200" t="inlineStr">
        <is>
          <t>AC26004LDJD051</t>
        </is>
      </c>
      <c r="T1207" s="201" t="n">
        <v>48</v>
      </c>
      <c r="U1207" s="58" t="n"/>
      <c r="V1207" s="67" t="n"/>
      <c r="W1207" s="67" t="n"/>
      <c r="X1207" s="62" t="inlineStr">
        <is>
          <t>N-OP</t>
        </is>
      </c>
      <c r="Y1207" s="116">
        <f>F1207/E1207</f>
        <v/>
      </c>
      <c r="Z1207" s="64">
        <f>E1207-N1207</f>
        <v/>
      </c>
    </row>
    <row r="1208" ht="15.75" customHeight="1" s="202">
      <c r="A1208" s="116" t="n">
        <v>20260075</v>
      </c>
      <c r="B1208" s="117" t="inlineStr">
        <is>
          <t>AMOY CENTURY</t>
        </is>
      </c>
      <c r="C1208" s="118" t="n">
        <v>46091</v>
      </c>
      <c r="E1208" s="116" t="n">
        <v>1</v>
      </c>
      <c r="F1208" s="119" t="n">
        <v>34</v>
      </c>
      <c r="G1208" s="120" t="n">
        <v>24</v>
      </c>
      <c r="H1208" s="117" t="inlineStr">
        <is>
          <t>SARL GETL TRAVAUX</t>
        </is>
      </c>
      <c r="I1208" s="117" t="inlineStr">
        <is>
          <t>EXCAVATEURS</t>
        </is>
      </c>
      <c r="J1208" s="117" t="inlineStr">
        <is>
          <t>ENGINS</t>
        </is>
      </c>
      <c r="K1208" s="48">
        <f>D1208+8</f>
        <v/>
      </c>
      <c r="L1208" s="48">
        <f>K1208+60</f>
        <v/>
      </c>
      <c r="N1208" s="72">
        <f>E1208</f>
        <v/>
      </c>
      <c r="O1208" s="50">
        <f>F1208/E1208*N1208</f>
        <v/>
      </c>
      <c r="P1208" s="273">
        <f>G1208/E1208*N1208</f>
        <v/>
      </c>
      <c r="S1208" s="200" t="inlineStr">
        <is>
          <t>AC26004LDJD052</t>
        </is>
      </c>
      <c r="T1208" s="201" t="n">
        <v>49</v>
      </c>
      <c r="U1208" s="58" t="inlineStr">
        <is>
          <t>01 UNIT HYUNDAI EXCAVATOR HX340HD ( VOIR BL)</t>
        </is>
      </c>
      <c r="V1208" s="67" t="n"/>
      <c r="W1208" s="67" t="n"/>
      <c r="X1208" s="62" t="inlineStr">
        <is>
          <t>N-OP</t>
        </is>
      </c>
      <c r="Y1208" s="116">
        <f>F1208/E1208</f>
        <v/>
      </c>
      <c r="Z1208" s="64">
        <f>E1208-N1208</f>
        <v/>
      </c>
    </row>
    <row r="1209" ht="15.75" customHeight="1" s="202">
      <c r="A1209" s="116" t="n">
        <v>20260075</v>
      </c>
      <c r="B1209" s="117" t="inlineStr">
        <is>
          <t>AMOY CENTURY</t>
        </is>
      </c>
      <c r="C1209" s="118" t="n">
        <v>46091</v>
      </c>
      <c r="E1209" s="116" t="n">
        <v>1</v>
      </c>
      <c r="F1209" s="119" t="n">
        <v>0</v>
      </c>
      <c r="G1209" s="120" t="n">
        <v>5</v>
      </c>
      <c r="H1209" s="117" t="inlineStr">
        <is>
          <t>SARL GETL TRAVAUX</t>
        </is>
      </c>
      <c r="I1209" s="117" t="inlineStr">
        <is>
          <t>COLIS</t>
        </is>
      </c>
      <c r="J1209" s="117" t="inlineStr">
        <is>
          <t>COLIS</t>
        </is>
      </c>
      <c r="K1209" s="48">
        <f>D1209+8</f>
        <v/>
      </c>
      <c r="L1209" s="48">
        <f>K1209+60</f>
        <v/>
      </c>
      <c r="N1209" s="72">
        <f>E1209</f>
        <v/>
      </c>
      <c r="O1209" s="50">
        <f>F1209/E1209*N1209</f>
        <v/>
      </c>
      <c r="P1209" s="273">
        <f>G1209/E1209*N1209</f>
        <v/>
      </c>
      <c r="S1209" s="200" t="inlineStr">
        <is>
          <t>AC26004LDJD052</t>
        </is>
      </c>
      <c r="T1209" s="201" t="n">
        <v>49</v>
      </c>
      <c r="U1209" s="58" t="n"/>
      <c r="V1209" s="67" t="n"/>
      <c r="W1209" s="67" t="n"/>
      <c r="X1209" s="62" t="inlineStr">
        <is>
          <t>N-OP</t>
        </is>
      </c>
      <c r="Y1209" s="116">
        <f>F1209/E1209</f>
        <v/>
      </c>
      <c r="Z1209" s="64">
        <f>E1209-N1209</f>
        <v/>
      </c>
    </row>
    <row r="1210" ht="15.75" customHeight="1" s="202">
      <c r="A1210" s="116" t="n">
        <v>20260075</v>
      </c>
      <c r="B1210" s="117" t="inlineStr">
        <is>
          <t>AMOY CENTURY</t>
        </is>
      </c>
      <c r="C1210" s="118" t="n">
        <v>46091</v>
      </c>
      <c r="E1210" s="116" t="n">
        <v>1</v>
      </c>
      <c r="F1210" s="119" t="n">
        <v>40.3</v>
      </c>
      <c r="G1210" s="120" t="n">
        <v>24</v>
      </c>
      <c r="H1210" s="117" t="inlineStr">
        <is>
          <t>CHERGUI FAOUZI</t>
        </is>
      </c>
      <c r="I1210" s="117" t="inlineStr">
        <is>
          <t>EXCAVATEURS</t>
        </is>
      </c>
      <c r="J1210" s="117" t="inlineStr">
        <is>
          <t>ENGINS</t>
        </is>
      </c>
      <c r="K1210" s="48">
        <f>D1210+8</f>
        <v/>
      </c>
      <c r="L1210" s="48">
        <f>K1210+60</f>
        <v/>
      </c>
      <c r="N1210" s="72">
        <f>E1210</f>
        <v/>
      </c>
      <c r="O1210" s="50">
        <f>F1210/E1210*N1210</f>
        <v/>
      </c>
      <c r="P1210" s="273">
        <f>G1210/E1210*N1210</f>
        <v/>
      </c>
      <c r="S1210" s="200" t="inlineStr">
        <is>
          <t>AC26004LDJD053</t>
        </is>
      </c>
      <c r="T1210" s="201" t="n">
        <v>50</v>
      </c>
      <c r="U1210" s="58" t="inlineStr">
        <is>
          <t>01 UNIT HYUNDAI EXCAVATOR 34T HX340HD WITH HYUNDAI HAMMER HDBB-165Z ( VOIR BL)</t>
        </is>
      </c>
      <c r="V1210" s="67" t="n"/>
      <c r="W1210" s="67" t="n"/>
      <c r="X1210" s="62" t="inlineStr">
        <is>
          <t>N-OP</t>
        </is>
      </c>
      <c r="Y1210" s="116">
        <f>F1210/E1210</f>
        <v/>
      </c>
      <c r="Z1210" s="64">
        <f>E1210-N1210</f>
        <v/>
      </c>
    </row>
    <row r="1211" ht="15.75" customHeight="1" s="202">
      <c r="A1211" s="116" t="n">
        <v>20260075</v>
      </c>
      <c r="B1211" s="117" t="inlineStr">
        <is>
          <t>AMOY CENTURY</t>
        </is>
      </c>
      <c r="C1211" s="118" t="n">
        <v>46091</v>
      </c>
      <c r="E1211" s="116" t="n">
        <v>2</v>
      </c>
      <c r="F1211" s="119" t="n">
        <v>0</v>
      </c>
      <c r="G1211" s="120" t="n">
        <v>10</v>
      </c>
      <c r="H1211" s="117" t="inlineStr">
        <is>
          <t>CHERGUI FAOUZI</t>
        </is>
      </c>
      <c r="I1211" s="117" t="inlineStr">
        <is>
          <t>COLIS</t>
        </is>
      </c>
      <c r="J1211" s="117" t="inlineStr">
        <is>
          <t>COLIS</t>
        </is>
      </c>
      <c r="K1211" s="48">
        <f>D1211+8</f>
        <v/>
      </c>
      <c r="L1211" s="48">
        <f>K1211+60</f>
        <v/>
      </c>
      <c r="N1211" s="72">
        <f>E1211</f>
        <v/>
      </c>
      <c r="O1211" s="50">
        <f>F1211/E1211*N1211</f>
        <v/>
      </c>
      <c r="P1211" s="273">
        <f>G1211/E1211*N1211</f>
        <v/>
      </c>
      <c r="S1211" s="200" t="inlineStr">
        <is>
          <t>AC26004LDJD053</t>
        </is>
      </c>
      <c r="T1211" s="201" t="n">
        <v>50</v>
      </c>
      <c r="U1211" s="58" t="n"/>
      <c r="V1211" s="67" t="n"/>
      <c r="W1211" s="67" t="n"/>
      <c r="X1211" s="62" t="inlineStr">
        <is>
          <t>N-OP</t>
        </is>
      </c>
      <c r="Y1211" s="116">
        <f>F1211/E1211</f>
        <v/>
      </c>
      <c r="Z1211" s="64">
        <f>E1211-N1211</f>
        <v/>
      </c>
    </row>
    <row r="1212" ht="15.75" customHeight="1" s="202">
      <c r="A1212" s="116" t="n">
        <v>20260075</v>
      </c>
      <c r="B1212" s="117" t="inlineStr">
        <is>
          <t>AMOY CENTURY</t>
        </is>
      </c>
      <c r="C1212" s="118" t="n">
        <v>46091</v>
      </c>
      <c r="E1212" s="116" t="n">
        <v>1</v>
      </c>
      <c r="F1212" s="119" t="n">
        <v>13.3</v>
      </c>
      <c r="G1212" s="120" t="n">
        <v>24</v>
      </c>
      <c r="H1212" s="117" t="inlineStr">
        <is>
          <t>EURL TRAVAZ TRAVAUX GENERAL</t>
        </is>
      </c>
      <c r="I1212" s="117" t="inlineStr">
        <is>
          <t>CAMIONS</t>
        </is>
      </c>
      <c r="J1212" s="117" t="inlineStr">
        <is>
          <t>LOURD</t>
        </is>
      </c>
      <c r="K1212" s="48">
        <f>D1212+8</f>
        <v/>
      </c>
      <c r="L1212" s="48">
        <f>K1212+60</f>
        <v/>
      </c>
      <c r="N1212" s="72">
        <f>E1212</f>
        <v/>
      </c>
      <c r="O1212" s="50">
        <f>F1212/E1212*N1212</f>
        <v/>
      </c>
      <c r="P1212" s="273">
        <f>G1212/E1212*N1212</f>
        <v/>
      </c>
      <c r="S1212" s="200" t="inlineStr">
        <is>
          <t>AC26004LDJD054</t>
        </is>
      </c>
      <c r="T1212" s="201" t="n">
        <v>51</v>
      </c>
      <c r="U1212" s="58" t="inlineStr">
        <is>
          <t>01 UNIT SINOTRUK HOWO 6X4 MIXER TRUCK LHD-10 CBM ( VOIR BL)</t>
        </is>
      </c>
      <c r="V1212" s="67" t="n"/>
      <c r="W1212" s="67" t="n"/>
      <c r="X1212" s="62" t="inlineStr">
        <is>
          <t>N-OP</t>
        </is>
      </c>
      <c r="Y1212" s="116">
        <f>F1212/E1212</f>
        <v/>
      </c>
      <c r="Z1212" s="64">
        <f>E1212-N1212</f>
        <v/>
      </c>
    </row>
    <row r="1213" ht="15.75" customHeight="1" s="202">
      <c r="A1213" s="116" t="n">
        <v>20260075</v>
      </c>
      <c r="B1213" s="117" t="inlineStr">
        <is>
          <t>AMOY CENTURY</t>
        </is>
      </c>
      <c r="C1213" s="118" t="n">
        <v>46091</v>
      </c>
      <c r="E1213" s="116" t="n">
        <v>1</v>
      </c>
      <c r="F1213" s="119" t="n">
        <v>34</v>
      </c>
      <c r="G1213" s="120" t="n">
        <v>24</v>
      </c>
      <c r="H1213" s="117" t="inlineStr">
        <is>
          <t>SARL AL BEN ALI TRAVAUX PUBLICS ET ROUTES</t>
        </is>
      </c>
      <c r="I1213" s="117" t="inlineStr">
        <is>
          <t>EXCAVATEURS</t>
        </is>
      </c>
      <c r="J1213" s="117" t="inlineStr">
        <is>
          <t>ENGINS</t>
        </is>
      </c>
      <c r="K1213" s="48">
        <f>D1213+8</f>
        <v/>
      </c>
      <c r="L1213" s="48">
        <f>K1213+60</f>
        <v/>
      </c>
      <c r="N1213" s="72">
        <f>E1213</f>
        <v/>
      </c>
      <c r="O1213" s="50">
        <f>F1213/E1213*N1213</f>
        <v/>
      </c>
      <c r="P1213" s="273">
        <f>G1213/E1213*N1213</f>
        <v/>
      </c>
      <c r="S1213" s="200" t="inlineStr">
        <is>
          <t>AC26004LDJD055</t>
        </is>
      </c>
      <c r="T1213" s="201" t="n">
        <v>52</v>
      </c>
      <c r="U1213" s="58" t="inlineStr">
        <is>
          <t>01 UNIT HYUNDAI EXCAVATOR HX340HD ( VOIR BL)</t>
        </is>
      </c>
      <c r="V1213" s="67" t="n"/>
      <c r="W1213" s="67" t="n"/>
      <c r="X1213" s="62" t="inlineStr">
        <is>
          <t>N-OP</t>
        </is>
      </c>
      <c r="Y1213" s="116">
        <f>F1213/E1213</f>
        <v/>
      </c>
      <c r="Z1213" s="64">
        <f>E1213-N1213</f>
        <v/>
      </c>
    </row>
    <row r="1214" ht="15.75" customHeight="1" s="202">
      <c r="A1214" s="116" t="n">
        <v>20260075</v>
      </c>
      <c r="B1214" s="117" t="inlineStr">
        <is>
          <t>AMOY CENTURY</t>
        </is>
      </c>
      <c r="C1214" s="118" t="n">
        <v>46091</v>
      </c>
      <c r="E1214" s="116" t="n">
        <v>1</v>
      </c>
      <c r="F1214" s="119" t="n">
        <v>0</v>
      </c>
      <c r="G1214" s="120" t="n">
        <v>5</v>
      </c>
      <c r="H1214" s="117" t="inlineStr">
        <is>
          <t>SARL AL BEN ALI TRAVAUX PUBLICS ET ROUTES</t>
        </is>
      </c>
      <c r="I1214" s="117" t="inlineStr">
        <is>
          <t>COLIS</t>
        </is>
      </c>
      <c r="J1214" s="117" t="inlineStr">
        <is>
          <t>COLIS</t>
        </is>
      </c>
      <c r="K1214" s="48">
        <f>D1214+8</f>
        <v/>
      </c>
      <c r="L1214" s="48">
        <f>K1214+60</f>
        <v/>
      </c>
      <c r="N1214" s="72">
        <f>E1214</f>
        <v/>
      </c>
      <c r="O1214" s="50">
        <f>F1214/E1214*N1214</f>
        <v/>
      </c>
      <c r="P1214" s="273">
        <f>G1214/E1214*N1214</f>
        <v/>
      </c>
      <c r="S1214" s="200" t="inlineStr">
        <is>
          <t>AC26004LDJD055</t>
        </is>
      </c>
      <c r="T1214" s="201" t="n">
        <v>52</v>
      </c>
      <c r="U1214" s="58" t="n"/>
      <c r="V1214" s="67" t="n"/>
      <c r="W1214" s="67" t="n"/>
      <c r="X1214" s="62" t="inlineStr">
        <is>
          <t>N-OP</t>
        </is>
      </c>
      <c r="Y1214" s="116">
        <f>F1214/E1214</f>
        <v/>
      </c>
      <c r="Z1214" s="64">
        <f>E1214-N1214</f>
        <v/>
      </c>
    </row>
    <row r="1215" ht="15.75" customHeight="1" s="202">
      <c r="A1215" s="116" t="n">
        <v>20260075</v>
      </c>
      <c r="B1215" s="117" t="inlineStr">
        <is>
          <t>AMOY CENTURY</t>
        </is>
      </c>
      <c r="C1215" s="118" t="n">
        <v>46091</v>
      </c>
      <c r="E1215" s="116" t="n">
        <v>1</v>
      </c>
      <c r="F1215" s="119" t="n">
        <v>19.1</v>
      </c>
      <c r="G1215" s="120" t="n">
        <v>24</v>
      </c>
      <c r="H1215" s="117" t="inlineStr">
        <is>
          <t>CHAIBEDDRA KARIM</t>
        </is>
      </c>
      <c r="I1215" s="117" t="inlineStr">
        <is>
          <t>REMORQUES</t>
        </is>
      </c>
      <c r="J1215" s="117" t="inlineStr">
        <is>
          <t>LOURD</t>
        </is>
      </c>
      <c r="K1215" s="48">
        <f>D1215+8</f>
        <v/>
      </c>
      <c r="L1215" s="48">
        <f>K1215+60</f>
        <v/>
      </c>
      <c r="N1215" s="72">
        <f>E1215</f>
        <v/>
      </c>
      <c r="O1215" s="50">
        <f>F1215/E1215*N1215</f>
        <v/>
      </c>
      <c r="P1215" s="273">
        <f>G1215/E1215*N1215</f>
        <v/>
      </c>
      <c r="S1215" s="200" t="inlineStr">
        <is>
          <t>AC26004LDJD056</t>
        </is>
      </c>
      <c r="T1215" s="201" t="n">
        <v>53</v>
      </c>
      <c r="U1215" s="58" t="inlineStr">
        <is>
          <t>01 UNIT CIMC 3 AXLE LOW BED TRAILER ( VOIR BL)</t>
        </is>
      </c>
      <c r="V1215" s="67" t="n"/>
      <c r="W1215" s="67" t="n"/>
      <c r="X1215" s="62" t="inlineStr">
        <is>
          <t>N-OP</t>
        </is>
      </c>
      <c r="Y1215" s="116">
        <f>F1215/E1215</f>
        <v/>
      </c>
      <c r="Z1215" s="64">
        <f>E1215-N1215</f>
        <v/>
      </c>
    </row>
    <row r="1216" ht="15.75" customHeight="1" s="202">
      <c r="A1216" s="116" t="n">
        <v>20260075</v>
      </c>
      <c r="B1216" s="117" t="inlineStr">
        <is>
          <t>AMOY CENTURY</t>
        </is>
      </c>
      <c r="C1216" s="118" t="n">
        <v>46091</v>
      </c>
      <c r="E1216" s="116" t="n">
        <v>1</v>
      </c>
      <c r="F1216" s="119" t="n">
        <v>36.3</v>
      </c>
      <c r="G1216" s="120" t="n">
        <v>24</v>
      </c>
      <c r="H1216" s="117" t="inlineStr">
        <is>
          <t>GUEMAOUN SADOK</t>
        </is>
      </c>
      <c r="I1216" s="117" t="inlineStr">
        <is>
          <t>EXCAVATEURS</t>
        </is>
      </c>
      <c r="J1216" s="117" t="inlineStr">
        <is>
          <t>ENGINS</t>
        </is>
      </c>
      <c r="K1216" s="48">
        <f>D1216+8</f>
        <v/>
      </c>
      <c r="L1216" s="48">
        <f>K1216+60</f>
        <v/>
      </c>
      <c r="N1216" s="72">
        <f>E1216</f>
        <v/>
      </c>
      <c r="O1216" s="50">
        <f>F1216/E1216*N1216</f>
        <v/>
      </c>
      <c r="P1216" s="273">
        <f>G1216/E1216*N1216</f>
        <v/>
      </c>
      <c r="S1216" s="200" t="inlineStr">
        <is>
          <t>AC26004LDJD057</t>
        </is>
      </c>
      <c r="T1216" s="201" t="n">
        <v>54</v>
      </c>
      <c r="U1216" s="58" t="inlineStr">
        <is>
          <t>01 UNIT DEVELON CRAWLER EXCAVATOR DX360LCA-7B ( VOIR BL)</t>
        </is>
      </c>
      <c r="V1216" s="67" t="n"/>
      <c r="W1216" s="67" t="n"/>
      <c r="X1216" s="62" t="inlineStr">
        <is>
          <t>N-OP</t>
        </is>
      </c>
      <c r="Y1216" s="116">
        <f>F1216/E1216</f>
        <v/>
      </c>
      <c r="Z1216" s="64">
        <f>E1216-N1216</f>
        <v/>
      </c>
    </row>
    <row r="1217" ht="15.75" customHeight="1" s="202">
      <c r="A1217" s="116" t="n">
        <v>20260075</v>
      </c>
      <c r="B1217" s="117" t="inlineStr">
        <is>
          <t>AMOY CENTURY</t>
        </is>
      </c>
      <c r="C1217" s="118" t="n">
        <v>46091</v>
      </c>
      <c r="E1217" s="116" t="n">
        <v>2</v>
      </c>
      <c r="F1217" s="119" t="n">
        <v>0</v>
      </c>
      <c r="G1217" s="120" t="n">
        <v>10</v>
      </c>
      <c r="H1217" s="117" t="inlineStr">
        <is>
          <t>GUEMAOUN SADOK</t>
        </is>
      </c>
      <c r="I1217" s="117" t="inlineStr">
        <is>
          <t>COLIS</t>
        </is>
      </c>
      <c r="J1217" s="117" t="inlineStr">
        <is>
          <t>COLIS</t>
        </is>
      </c>
      <c r="K1217" s="48">
        <f>D1217+8</f>
        <v/>
      </c>
      <c r="L1217" s="48">
        <f>K1217+60</f>
        <v/>
      </c>
      <c r="N1217" s="72">
        <f>E1217</f>
        <v/>
      </c>
      <c r="O1217" s="50">
        <f>F1217/E1217*N1217</f>
        <v/>
      </c>
      <c r="P1217" s="273">
        <f>G1217/E1217*N1217</f>
        <v/>
      </c>
      <c r="S1217" s="200" t="inlineStr">
        <is>
          <t>AC26004LDJD057</t>
        </is>
      </c>
      <c r="T1217" s="201" t="n">
        <v>54</v>
      </c>
      <c r="U1217" s="58" t="n"/>
      <c r="V1217" s="67" t="n"/>
      <c r="W1217" s="67" t="n"/>
      <c r="X1217" s="62" t="inlineStr">
        <is>
          <t>N-OP</t>
        </is>
      </c>
      <c r="Y1217" s="116">
        <f>F1217/E1217</f>
        <v/>
      </c>
      <c r="Z1217" s="64">
        <f>E1217-N1217</f>
        <v/>
      </c>
    </row>
    <row r="1218" ht="15.75" customHeight="1" s="202">
      <c r="A1218" s="116" t="n">
        <v>20260075</v>
      </c>
      <c r="B1218" s="117" t="inlineStr">
        <is>
          <t>AMOY CENTURY</t>
        </is>
      </c>
      <c r="C1218" s="118" t="n">
        <v>46091</v>
      </c>
      <c r="E1218" s="116" t="n">
        <v>1</v>
      </c>
      <c r="F1218" s="119" t="n">
        <v>13.74</v>
      </c>
      <c r="G1218" s="120" t="n">
        <v>24</v>
      </c>
      <c r="H1218" s="117" t="inlineStr">
        <is>
          <t>SARL MEGRES IDEAL CB</t>
        </is>
      </c>
      <c r="I1218" s="117" t="inlineStr">
        <is>
          <t>CAMIONS</t>
        </is>
      </c>
      <c r="J1218" s="117" t="inlineStr">
        <is>
          <t>LOURD</t>
        </is>
      </c>
      <c r="K1218" s="48">
        <f>D1218+8</f>
        <v/>
      </c>
      <c r="L1218" s="48">
        <f>K1218+60</f>
        <v/>
      </c>
      <c r="N1218" s="72">
        <f>E1218</f>
        <v/>
      </c>
      <c r="O1218" s="50">
        <f>F1218/E1218*N1218</f>
        <v/>
      </c>
      <c r="P1218" s="273">
        <f>G1218/E1218*N1218</f>
        <v/>
      </c>
      <c r="S1218" s="200" t="inlineStr">
        <is>
          <t>AC26004LDJD058</t>
        </is>
      </c>
      <c r="T1218" s="201" t="n">
        <v>55</v>
      </c>
      <c r="U1218" s="58" t="inlineStr">
        <is>
          <t>01 UNIT CONCRETE TRUCK MIXER ZOOMLION 10JBH ( VOIR BL)</t>
        </is>
      </c>
      <c r="V1218" s="67" t="n"/>
      <c r="W1218" s="67" t="n"/>
      <c r="X1218" s="62" t="inlineStr">
        <is>
          <t>N-OP</t>
        </is>
      </c>
      <c r="Y1218" s="116">
        <f>F1218/E1218</f>
        <v/>
      </c>
      <c r="Z1218" s="64">
        <f>E1218-N1218</f>
        <v/>
      </c>
    </row>
    <row r="1219" ht="15.75" customHeight="1" s="202">
      <c r="A1219" s="116" t="n">
        <v>20260075</v>
      </c>
      <c r="B1219" s="117" t="inlineStr">
        <is>
          <t>AMOY CENTURY</t>
        </is>
      </c>
      <c r="C1219" s="118" t="n">
        <v>46091</v>
      </c>
      <c r="E1219" s="116" t="n">
        <v>1</v>
      </c>
      <c r="F1219" s="119" t="n">
        <v>37.15</v>
      </c>
      <c r="G1219" s="120" t="n">
        <v>24</v>
      </c>
      <c r="H1219" s="117" t="inlineStr">
        <is>
          <t>BENMERIOUL MOUNIR</t>
        </is>
      </c>
      <c r="I1219" s="117" t="inlineStr">
        <is>
          <t>EXCAVATEURS</t>
        </is>
      </c>
      <c r="J1219" s="117" t="inlineStr">
        <is>
          <t>ENGINS</t>
        </is>
      </c>
      <c r="K1219" s="48">
        <f>D1219+8</f>
        <v/>
      </c>
      <c r="L1219" s="48">
        <f>K1219+60</f>
        <v/>
      </c>
      <c r="N1219" s="72">
        <f>E1219</f>
        <v/>
      </c>
      <c r="O1219" s="50">
        <f>F1219/E1219*N1219</f>
        <v/>
      </c>
      <c r="P1219" s="273">
        <f>G1219/E1219*N1219</f>
        <v/>
      </c>
      <c r="S1219" s="200" t="inlineStr">
        <is>
          <t>AC26004LDJD059</t>
        </is>
      </c>
      <c r="T1219" s="201" t="n">
        <v>56</v>
      </c>
      <c r="U1219" s="58" t="inlineStr">
        <is>
          <t>01 UNIT HYUNDAI HX340HD EXCAVATOR 01 UNIT HYUNDAI BREAKER HDBB- 165Z ( VOIR BL)</t>
        </is>
      </c>
      <c r="V1219" s="67" t="n"/>
      <c r="W1219" s="67" t="n"/>
      <c r="X1219" s="62" t="inlineStr">
        <is>
          <t>N-OP</t>
        </is>
      </c>
      <c r="Y1219" s="116">
        <f>F1219/E1219</f>
        <v/>
      </c>
      <c r="Z1219" s="64">
        <f>E1219-N1219</f>
        <v/>
      </c>
    </row>
    <row r="1220" ht="15.75" customHeight="1" s="202">
      <c r="A1220" s="116" t="n">
        <v>20260075</v>
      </c>
      <c r="B1220" s="117" t="inlineStr">
        <is>
          <t>AMOY CENTURY</t>
        </is>
      </c>
      <c r="C1220" s="118" t="n">
        <v>46091</v>
      </c>
      <c r="E1220" s="116" t="n">
        <v>2</v>
      </c>
      <c r="F1220" s="119" t="n">
        <v>0</v>
      </c>
      <c r="G1220" s="120" t="n">
        <v>10</v>
      </c>
      <c r="H1220" s="117" t="inlineStr">
        <is>
          <t>BENMERIOUL MOUNIR</t>
        </is>
      </c>
      <c r="I1220" s="117" t="inlineStr">
        <is>
          <t>COLIS</t>
        </is>
      </c>
      <c r="J1220" s="117" t="inlineStr">
        <is>
          <t>COLIS</t>
        </is>
      </c>
      <c r="K1220" s="48">
        <f>D1220+8</f>
        <v/>
      </c>
      <c r="L1220" s="48">
        <f>K1220+60</f>
        <v/>
      </c>
      <c r="N1220" s="72">
        <f>E1220</f>
        <v/>
      </c>
      <c r="O1220" s="50">
        <f>F1220/E1220*N1220</f>
        <v/>
      </c>
      <c r="P1220" s="273">
        <f>G1220/E1220*N1220</f>
        <v/>
      </c>
      <c r="S1220" s="200" t="inlineStr">
        <is>
          <t>AC26004LDJD059</t>
        </is>
      </c>
      <c r="T1220" s="201" t="n">
        <v>56</v>
      </c>
      <c r="U1220" s="58" t="n"/>
      <c r="V1220" s="67" t="n"/>
      <c r="W1220" s="67" t="n"/>
      <c r="X1220" s="62" t="inlineStr">
        <is>
          <t>N-OP</t>
        </is>
      </c>
      <c r="Y1220" s="116">
        <f>F1220/E1220</f>
        <v/>
      </c>
      <c r="Z1220" s="64">
        <f>E1220-N1220</f>
        <v/>
      </c>
    </row>
    <row r="1221" ht="15.75" customHeight="1" s="202">
      <c r="A1221" s="116" t="n">
        <v>20260075</v>
      </c>
      <c r="B1221" s="117" t="inlineStr">
        <is>
          <t>AMOY CENTURY</t>
        </is>
      </c>
      <c r="C1221" s="118" t="n">
        <v>46091</v>
      </c>
      <c r="E1221" s="116" t="n">
        <v>1</v>
      </c>
      <c r="F1221" s="119" t="n">
        <v>34</v>
      </c>
      <c r="G1221" s="120" t="n">
        <v>24</v>
      </c>
      <c r="H1221" s="117" t="inlineStr">
        <is>
          <t>BANAHED MOHAMMED</t>
        </is>
      </c>
      <c r="I1221" s="117" t="inlineStr">
        <is>
          <t>EXCAVATEURS</t>
        </is>
      </c>
      <c r="J1221" s="117" t="inlineStr">
        <is>
          <t>ENGINS</t>
        </is>
      </c>
      <c r="K1221" s="48">
        <f>D1221+8</f>
        <v/>
      </c>
      <c r="L1221" s="48">
        <f>K1221+60</f>
        <v/>
      </c>
      <c r="N1221" s="72">
        <f>E1221</f>
        <v/>
      </c>
      <c r="O1221" s="50">
        <f>F1221/E1221*N1221</f>
        <v/>
      </c>
      <c r="P1221" s="273">
        <f>G1221/E1221*N1221</f>
        <v/>
      </c>
      <c r="S1221" s="200" t="inlineStr">
        <is>
          <t>AC26004LDJD060</t>
        </is>
      </c>
      <c r="T1221" s="201" t="n">
        <v>57</v>
      </c>
      <c r="U1221" s="58" t="inlineStr">
        <is>
          <t>01 UNIT HYUNDAI HX340HD EXCAVATOR ( VOIR BL)</t>
        </is>
      </c>
      <c r="V1221" s="67" t="n"/>
      <c r="W1221" s="67" t="n"/>
      <c r="X1221" s="62" t="inlineStr">
        <is>
          <t>N-OP</t>
        </is>
      </c>
      <c r="Y1221" s="116">
        <f>F1221/E1221</f>
        <v/>
      </c>
      <c r="Z1221" s="64">
        <f>E1221-N1221</f>
        <v/>
      </c>
    </row>
    <row r="1222" ht="15.75" customHeight="1" s="202">
      <c r="A1222" s="116" t="n">
        <v>20260075</v>
      </c>
      <c r="B1222" s="117" t="inlineStr">
        <is>
          <t>AMOY CENTURY</t>
        </is>
      </c>
      <c r="C1222" s="118" t="n">
        <v>46091</v>
      </c>
      <c r="E1222" s="116" t="n">
        <v>1</v>
      </c>
      <c r="F1222" s="119" t="n">
        <v>0</v>
      </c>
      <c r="G1222" s="120" t="n">
        <v>5</v>
      </c>
      <c r="H1222" s="117" t="inlineStr">
        <is>
          <t>BANAHED MOHAMMED</t>
        </is>
      </c>
      <c r="I1222" s="117" t="inlineStr">
        <is>
          <t>COLIS</t>
        </is>
      </c>
      <c r="J1222" s="117" t="inlineStr">
        <is>
          <t>COLIS</t>
        </is>
      </c>
      <c r="K1222" s="48">
        <f>D1222+8</f>
        <v/>
      </c>
      <c r="L1222" s="48">
        <f>K1222+60</f>
        <v/>
      </c>
      <c r="N1222" s="72">
        <f>E1222</f>
        <v/>
      </c>
      <c r="O1222" s="50">
        <f>F1222/E1222*N1222</f>
        <v/>
      </c>
      <c r="P1222" s="273">
        <f>G1222/E1222*N1222</f>
        <v/>
      </c>
      <c r="S1222" s="200" t="inlineStr">
        <is>
          <t>AC26004LDJD060</t>
        </is>
      </c>
      <c r="T1222" s="201" t="n">
        <v>57</v>
      </c>
      <c r="U1222" s="58" t="n"/>
      <c r="V1222" s="67" t="n"/>
      <c r="W1222" s="67" t="n"/>
      <c r="X1222" s="62" t="inlineStr">
        <is>
          <t>N-OP</t>
        </is>
      </c>
      <c r="Y1222" s="116">
        <f>F1222/E1222</f>
        <v/>
      </c>
      <c r="Z1222" s="64">
        <f>E1222-N1222</f>
        <v/>
      </c>
    </row>
    <row r="1223" ht="15.75" customHeight="1" s="202">
      <c r="A1223" s="116" t="n">
        <v>20260075</v>
      </c>
      <c r="B1223" s="117" t="inlineStr">
        <is>
          <t>AMOY CENTURY</t>
        </is>
      </c>
      <c r="C1223" s="118" t="n">
        <v>46091</v>
      </c>
      <c r="E1223" s="116" t="n">
        <v>1</v>
      </c>
      <c r="F1223" s="119" t="n">
        <v>24.38</v>
      </c>
      <c r="G1223" s="120" t="n">
        <v>24</v>
      </c>
      <c r="H1223" s="117" t="inlineStr">
        <is>
          <t>KANTOUR KAMAL</t>
        </is>
      </c>
      <c r="I1223" s="117" t="inlineStr">
        <is>
          <t>EXCAVATEURS</t>
        </is>
      </c>
      <c r="J1223" s="117" t="inlineStr">
        <is>
          <t>ENGINS</t>
        </is>
      </c>
      <c r="K1223" s="48">
        <f>D1223+8</f>
        <v/>
      </c>
      <c r="L1223" s="48">
        <f>K1223+60</f>
        <v/>
      </c>
      <c r="N1223" s="72">
        <f>E1223</f>
        <v/>
      </c>
      <c r="O1223" s="50">
        <f>F1223/E1223*N1223</f>
        <v/>
      </c>
      <c r="P1223" s="273">
        <f>G1223/E1223*N1223</f>
        <v/>
      </c>
      <c r="S1223" s="200" t="inlineStr">
        <is>
          <t>AC26004LDJD061</t>
        </is>
      </c>
      <c r="T1223" s="201" t="n">
        <v>58</v>
      </c>
      <c r="U1223" s="58" t="inlineStr">
        <is>
          <t>01 UNIT HYUNDAI HX220HD EXCAVATOR 01 UNIT HYUNDAI HDBB-140Z80 (VOIR BL)</t>
        </is>
      </c>
      <c r="V1223" s="67" t="n"/>
      <c r="W1223" s="67" t="n"/>
      <c r="X1223" s="62" t="inlineStr">
        <is>
          <t>N-OP</t>
        </is>
      </c>
      <c r="Y1223" s="116">
        <f>F1223/E1223</f>
        <v/>
      </c>
      <c r="Z1223" s="64">
        <f>E1223-N1223</f>
        <v/>
      </c>
    </row>
    <row r="1224" ht="15.75" customHeight="1" s="202">
      <c r="A1224" s="116" t="n">
        <v>20260075</v>
      </c>
      <c r="B1224" s="117" t="inlineStr">
        <is>
          <t>AMOY CENTURY</t>
        </is>
      </c>
      <c r="C1224" s="118" t="n">
        <v>46091</v>
      </c>
      <c r="E1224" s="116" t="n">
        <v>1</v>
      </c>
      <c r="F1224" s="119" t="n">
        <v>0</v>
      </c>
      <c r="G1224" s="120" t="n">
        <v>5</v>
      </c>
      <c r="H1224" s="117" t="inlineStr">
        <is>
          <t>KANTOUR KAMAL</t>
        </is>
      </c>
      <c r="I1224" s="117" t="inlineStr">
        <is>
          <t>COLIS</t>
        </is>
      </c>
      <c r="J1224" s="117" t="inlineStr">
        <is>
          <t>COLIS</t>
        </is>
      </c>
      <c r="K1224" s="48">
        <f>D1224+8</f>
        <v/>
      </c>
      <c r="L1224" s="48">
        <f>K1224+60</f>
        <v/>
      </c>
      <c r="N1224" s="72">
        <f>E1224</f>
        <v/>
      </c>
      <c r="O1224" s="50">
        <f>F1224/E1224*N1224</f>
        <v/>
      </c>
      <c r="P1224" s="273">
        <f>G1224/E1224*N1224</f>
        <v/>
      </c>
      <c r="S1224" s="200" t="inlineStr">
        <is>
          <t>AC26004LDJD061</t>
        </is>
      </c>
      <c r="T1224" s="201" t="n">
        <v>58</v>
      </c>
      <c r="U1224" s="58" t="n"/>
      <c r="V1224" s="67" t="n"/>
      <c r="W1224" s="67" t="n"/>
      <c r="X1224" s="62" t="inlineStr">
        <is>
          <t>N-OP</t>
        </is>
      </c>
      <c r="Y1224" s="116">
        <f>F1224/E1224</f>
        <v/>
      </c>
      <c r="Z1224" s="64">
        <f>E1224-N1224</f>
        <v/>
      </c>
    </row>
    <row r="1225" ht="15.75" customHeight="1" s="202">
      <c r="A1225" s="116" t="n">
        <v>20260075</v>
      </c>
      <c r="B1225" s="117" t="inlineStr">
        <is>
          <t>AMOY CENTURY</t>
        </is>
      </c>
      <c r="C1225" s="118" t="n">
        <v>46091</v>
      </c>
      <c r="E1225" s="116" t="n">
        <v>1</v>
      </c>
      <c r="F1225" s="119" t="n">
        <v>24.38</v>
      </c>
      <c r="G1225" s="120" t="n">
        <v>24</v>
      </c>
      <c r="H1225" s="117" t="inlineStr">
        <is>
          <t>MAHFOUDI ABDELDJALIL</t>
        </is>
      </c>
      <c r="I1225" s="117" t="inlineStr">
        <is>
          <t>EXCAVATEURS</t>
        </is>
      </c>
      <c r="J1225" s="117" t="inlineStr">
        <is>
          <t>ENGINS</t>
        </is>
      </c>
      <c r="K1225" s="48">
        <f>D1225+8</f>
        <v/>
      </c>
      <c r="L1225" s="48">
        <f>K1225+60</f>
        <v/>
      </c>
      <c r="N1225" s="72">
        <f>E1225</f>
        <v/>
      </c>
      <c r="O1225" s="50">
        <f>F1225/E1225*N1225</f>
        <v/>
      </c>
      <c r="P1225" s="273">
        <f>G1225/E1225*N1225</f>
        <v/>
      </c>
      <c r="S1225" s="200" t="inlineStr">
        <is>
          <t>AC26004LDJD062</t>
        </is>
      </c>
      <c r="T1225" s="201" t="n">
        <v>59</v>
      </c>
      <c r="U1225" s="58" t="inlineStr">
        <is>
          <t>01 UNIT HYUNDAI HX220 HD EXCAVATOR 01 UNIT HYUNDAI BREAKER HDBB-140Z ( VOIR BL)</t>
        </is>
      </c>
      <c r="V1225" s="67" t="n"/>
      <c r="W1225" s="67" t="n"/>
      <c r="X1225" s="62" t="inlineStr">
        <is>
          <t>N-OP</t>
        </is>
      </c>
      <c r="Y1225" s="116">
        <f>F1225/E1225</f>
        <v/>
      </c>
      <c r="Z1225" s="64">
        <f>E1225-N1225</f>
        <v/>
      </c>
    </row>
    <row r="1226" ht="15.75" customHeight="1" s="202">
      <c r="A1226" s="116" t="n">
        <v>20260075</v>
      </c>
      <c r="B1226" s="117" t="inlineStr">
        <is>
          <t>AMOY CENTURY</t>
        </is>
      </c>
      <c r="C1226" s="118" t="n">
        <v>46091</v>
      </c>
      <c r="E1226" s="116" t="n">
        <v>1</v>
      </c>
      <c r="F1226" s="119" t="n">
        <v>0</v>
      </c>
      <c r="G1226" s="120" t="n">
        <v>5</v>
      </c>
      <c r="H1226" s="117" t="inlineStr">
        <is>
          <t>MAHFOUDI ABDELDJALIL</t>
        </is>
      </c>
      <c r="I1226" s="117" t="inlineStr">
        <is>
          <t>COLIS</t>
        </is>
      </c>
      <c r="J1226" s="117" t="inlineStr">
        <is>
          <t>COLIS</t>
        </is>
      </c>
      <c r="K1226" s="48">
        <f>D1226+8</f>
        <v/>
      </c>
      <c r="L1226" s="48">
        <f>K1226+60</f>
        <v/>
      </c>
      <c r="N1226" s="72">
        <f>E1226</f>
        <v/>
      </c>
      <c r="O1226" s="50">
        <f>F1226/E1226*N1226</f>
        <v/>
      </c>
      <c r="P1226" s="273">
        <f>G1226/E1226*N1226</f>
        <v/>
      </c>
      <c r="S1226" s="200" t="inlineStr">
        <is>
          <t>AC26004LDJD062</t>
        </is>
      </c>
      <c r="T1226" s="201" t="n">
        <v>59</v>
      </c>
      <c r="U1226" s="58" t="n"/>
      <c r="V1226" s="67" t="n"/>
      <c r="W1226" s="67" t="n"/>
      <c r="X1226" s="62" t="inlineStr">
        <is>
          <t>N-OP</t>
        </is>
      </c>
      <c r="Y1226" s="116">
        <f>F1226/E1226</f>
        <v/>
      </c>
      <c r="Z1226" s="64">
        <f>E1226-N1226</f>
        <v/>
      </c>
    </row>
    <row r="1227" ht="15.75" customHeight="1" s="202">
      <c r="A1227" s="116" t="n">
        <v>20260075</v>
      </c>
      <c r="B1227" s="117" t="inlineStr">
        <is>
          <t>AMOY CENTURY</t>
        </is>
      </c>
      <c r="C1227" s="118" t="n">
        <v>46091</v>
      </c>
      <c r="E1227" s="116" t="n">
        <v>3</v>
      </c>
      <c r="F1227" s="119" t="n">
        <v>111.45</v>
      </c>
      <c r="G1227" s="120" t="n">
        <v>72</v>
      </c>
      <c r="H1227" s="117" t="inlineStr">
        <is>
          <t>AZIZI SEYFEDDINE</t>
        </is>
      </c>
      <c r="I1227" s="117" t="inlineStr">
        <is>
          <t>EXCAVATEURS</t>
        </is>
      </c>
      <c r="J1227" s="117" t="inlineStr">
        <is>
          <t>ENGINS</t>
        </is>
      </c>
      <c r="K1227" s="48">
        <f>D1227+8</f>
        <v/>
      </c>
      <c r="L1227" s="48">
        <f>K1227+60</f>
        <v/>
      </c>
      <c r="N1227" s="72">
        <f>E1227</f>
        <v/>
      </c>
      <c r="O1227" s="50">
        <f>F1227/E1227*N1227</f>
        <v/>
      </c>
      <c r="P1227" s="273">
        <f>G1227/E1227*N1227</f>
        <v/>
      </c>
      <c r="S1227" s="200" t="inlineStr">
        <is>
          <t>AC26004LDJD063</t>
        </is>
      </c>
      <c r="T1227" s="201" t="n">
        <v>60</v>
      </c>
      <c r="U1227" s="58" t="inlineStr">
        <is>
          <t>03 UNITS HYUNDAI HX340HD EXCAVATOR 03 UNITS HYUNDAI BREAKER (VOIR BL)</t>
        </is>
      </c>
      <c r="V1227" s="67" t="n"/>
      <c r="W1227" s="67" t="n"/>
      <c r="X1227" s="62" t="inlineStr">
        <is>
          <t>N-OP</t>
        </is>
      </c>
      <c r="Y1227" s="116">
        <f>F1227/E1227</f>
        <v/>
      </c>
      <c r="Z1227" s="64">
        <f>E1227-N1227</f>
        <v/>
      </c>
    </row>
    <row r="1228" ht="15.75" customHeight="1" s="202">
      <c r="A1228" s="116" t="n">
        <v>20260075</v>
      </c>
      <c r="B1228" s="117" t="inlineStr">
        <is>
          <t>AMOY CENTURY</t>
        </is>
      </c>
      <c r="C1228" s="118" t="n">
        <v>46091</v>
      </c>
      <c r="E1228" s="116" t="n">
        <v>6</v>
      </c>
      <c r="F1228" s="119" t="n">
        <v>0</v>
      </c>
      <c r="G1228" s="120" t="n">
        <v>30</v>
      </c>
      <c r="H1228" s="117" t="inlineStr">
        <is>
          <t>AZIZI SEYFEDDINE</t>
        </is>
      </c>
      <c r="I1228" s="117" t="inlineStr">
        <is>
          <t>COLIS</t>
        </is>
      </c>
      <c r="J1228" s="117" t="inlineStr">
        <is>
          <t>COLIS</t>
        </is>
      </c>
      <c r="K1228" s="48">
        <f>D1228+8</f>
        <v/>
      </c>
      <c r="L1228" s="48">
        <f>K1228+60</f>
        <v/>
      </c>
      <c r="N1228" s="72">
        <f>E1228</f>
        <v/>
      </c>
      <c r="O1228" s="50">
        <f>F1228/E1228*N1228</f>
        <v/>
      </c>
      <c r="P1228" s="273">
        <f>G1228/E1228*N1228</f>
        <v/>
      </c>
      <c r="S1228" s="200" t="inlineStr">
        <is>
          <t>AC26004LDJD063</t>
        </is>
      </c>
      <c r="T1228" s="201" t="n">
        <v>60</v>
      </c>
      <c r="U1228" s="58" t="n"/>
      <c r="V1228" s="67" t="n"/>
      <c r="W1228" s="67" t="n"/>
      <c r="X1228" s="62" t="inlineStr">
        <is>
          <t>N-OP</t>
        </is>
      </c>
      <c r="Y1228" s="116">
        <f>F1228/E1228</f>
        <v/>
      </c>
      <c r="Z1228" s="64">
        <f>E1228-N1228</f>
        <v/>
      </c>
    </row>
    <row r="1229" ht="15.75" customHeight="1" s="202">
      <c r="A1229" s="116" t="n">
        <v>20260075</v>
      </c>
      <c r="B1229" s="117" t="inlineStr">
        <is>
          <t>AMOY CENTURY</t>
        </is>
      </c>
      <c r="C1229" s="118" t="n">
        <v>46091</v>
      </c>
      <c r="E1229" s="116" t="n">
        <v>22</v>
      </c>
      <c r="F1229" s="119" t="n">
        <v>286</v>
      </c>
      <c r="G1229" s="120" t="n">
        <v>528</v>
      </c>
      <c r="H1229" s="117" t="inlineStr">
        <is>
          <t>SARL SHANGLIN ALGERIE</t>
        </is>
      </c>
      <c r="I1229" s="117" t="inlineStr">
        <is>
          <t>CAMIONS</t>
        </is>
      </c>
      <c r="J1229" s="117" t="inlineStr">
        <is>
          <t>LOURD</t>
        </is>
      </c>
      <c r="K1229" s="48">
        <f>D1229+8</f>
        <v/>
      </c>
      <c r="L1229" s="48">
        <f>K1229+60</f>
        <v/>
      </c>
      <c r="N1229" s="72">
        <f>E1229</f>
        <v/>
      </c>
      <c r="O1229" s="50">
        <f>F1229/E1229*N1229</f>
        <v/>
      </c>
      <c r="P1229" s="273">
        <f>G1229/E1229*N1229</f>
        <v/>
      </c>
      <c r="S1229" s="200" t="inlineStr">
        <is>
          <t>AC26004LDJD064</t>
        </is>
      </c>
      <c r="T1229" s="201" t="n">
        <v>61</v>
      </c>
      <c r="U1229" s="58" t="inlineStr">
        <is>
          <t>22 UNITS POWERPLUS PGC480L-II GARBAGE TRUCK / SPARE PARTS TOOL BOX (VOIR BL)</t>
        </is>
      </c>
      <c r="V1229" s="67" t="n"/>
      <c r="W1229" s="67" t="n"/>
      <c r="X1229" s="62" t="inlineStr">
        <is>
          <t>N-OP</t>
        </is>
      </c>
      <c r="Y1229" s="116">
        <f>F1229/E1229</f>
        <v/>
      </c>
      <c r="Z1229" s="64">
        <f>E1229-N1229</f>
        <v/>
      </c>
    </row>
    <row r="1230" ht="15.75" customHeight="1" s="202">
      <c r="A1230" s="116" t="n">
        <v>20260075</v>
      </c>
      <c r="B1230" s="117" t="inlineStr">
        <is>
          <t>AMOY CENTURY</t>
        </is>
      </c>
      <c r="C1230" s="118" t="n">
        <v>46091</v>
      </c>
      <c r="E1230" s="116" t="n">
        <v>19</v>
      </c>
      <c r="F1230" s="119" t="n">
        <v>253.27</v>
      </c>
      <c r="G1230" s="120" t="n">
        <v>456</v>
      </c>
      <c r="H1230" s="117" t="inlineStr">
        <is>
          <t>SARL SHANGLIN ALGERIE</t>
        </is>
      </c>
      <c r="I1230" s="117" t="inlineStr">
        <is>
          <t>CAMIONS</t>
        </is>
      </c>
      <c r="J1230" s="117" t="inlineStr">
        <is>
          <t>LOURD</t>
        </is>
      </c>
      <c r="K1230" s="48">
        <f>D1230+8</f>
        <v/>
      </c>
      <c r="L1230" s="48">
        <f>K1230+60</f>
        <v/>
      </c>
      <c r="N1230" s="72">
        <f>E1230-19</f>
        <v/>
      </c>
      <c r="O1230" s="50">
        <f>F1230/E1230*N1230</f>
        <v/>
      </c>
      <c r="P1230" s="273">
        <f>G1230/E1230*N1230</f>
        <v/>
      </c>
      <c r="S1230" s="200" t="inlineStr">
        <is>
          <t>AC26004LDJD065</t>
        </is>
      </c>
      <c r="T1230" s="201" t="n">
        <v>62</v>
      </c>
      <c r="U1230" s="58" t="inlineStr">
        <is>
          <t>19 UNITS PM680Z-II MIXER TRUCK ( VOIR BL)</t>
        </is>
      </c>
      <c r="V1230" s="67" t="n"/>
      <c r="W1230" s="67" t="n"/>
      <c r="X1230" s="62" t="inlineStr">
        <is>
          <t>SOLDEE</t>
        </is>
      </c>
      <c r="Y1230" s="116">
        <f>F1230/E1230</f>
        <v/>
      </c>
      <c r="Z1230" s="64">
        <f>E1230-N1230</f>
        <v/>
      </c>
    </row>
    <row r="1231" ht="15.75" customHeight="1" s="202">
      <c r="A1231" s="116" t="n">
        <v>20260075</v>
      </c>
      <c r="B1231" s="117" t="inlineStr">
        <is>
          <t>AMOY CENTURY</t>
        </is>
      </c>
      <c r="C1231" s="118" t="n">
        <v>46091</v>
      </c>
      <c r="E1231" s="116" t="n">
        <v>25</v>
      </c>
      <c r="F1231" s="119" t="n">
        <v>393</v>
      </c>
      <c r="G1231" s="120" t="n">
        <v>600</v>
      </c>
      <c r="H1231" s="117" t="inlineStr">
        <is>
          <t>SARL SHANGLIN ALGERIE</t>
        </is>
      </c>
      <c r="I1231" s="117" t="inlineStr">
        <is>
          <t>CAMIONS</t>
        </is>
      </c>
      <c r="J1231" s="117" t="inlineStr">
        <is>
          <t>LOURD</t>
        </is>
      </c>
      <c r="K1231" s="48">
        <f>D1231+8</f>
        <v/>
      </c>
      <c r="L1231" s="48">
        <f>K1231+60</f>
        <v/>
      </c>
      <c r="N1231" s="72">
        <f>E1231-25</f>
        <v/>
      </c>
      <c r="O1231" s="50">
        <f>F1231/E1231*N1231</f>
        <v/>
      </c>
      <c r="P1231" s="273">
        <f>G1231/E1231*N1231</f>
        <v/>
      </c>
      <c r="S1231" s="200" t="inlineStr">
        <is>
          <t>AC26004LDJD066</t>
        </is>
      </c>
      <c r="T1231" s="201" t="n">
        <v>63</v>
      </c>
      <c r="U1231" s="58" t="inlineStr">
        <is>
          <t>25 UNITS PD680Z-II DUMP TRUCK ( VOIR BL)</t>
        </is>
      </c>
      <c r="V1231" s="67" t="n"/>
      <c r="W1231" s="67" t="n"/>
      <c r="X1231" s="62" t="inlineStr">
        <is>
          <t>SOLDEE</t>
        </is>
      </c>
      <c r="Y1231" s="116">
        <f>F1231/E1231</f>
        <v/>
      </c>
      <c r="Z1231" s="64">
        <f>E1231-N1231</f>
        <v/>
      </c>
    </row>
    <row r="1232" ht="15.75" customHeight="1" s="202">
      <c r="A1232" s="116" t="n">
        <v>20260075</v>
      </c>
      <c r="B1232" s="117" t="inlineStr">
        <is>
          <t>AMOY CENTURY</t>
        </is>
      </c>
      <c r="C1232" s="118" t="n">
        <v>46091</v>
      </c>
      <c r="E1232" s="116" t="n">
        <v>1</v>
      </c>
      <c r="F1232" s="119" t="n">
        <v>15.72</v>
      </c>
      <c r="G1232" s="120" t="n">
        <v>24</v>
      </c>
      <c r="H1232" s="117" t="inlineStr">
        <is>
          <t>SARL SHANGLIN ALGERIE</t>
        </is>
      </c>
      <c r="I1232" s="117" t="inlineStr">
        <is>
          <t>CAMIONS</t>
        </is>
      </c>
      <c r="J1232" s="117" t="inlineStr">
        <is>
          <t>LOURD</t>
        </is>
      </c>
      <c r="K1232" s="48">
        <f>D1232+8</f>
        <v/>
      </c>
      <c r="L1232" s="48">
        <f>K1232+60</f>
        <v/>
      </c>
      <c r="N1232" s="72">
        <f>E1232</f>
        <v/>
      </c>
      <c r="O1232" s="50">
        <f>F1232/E1232*N1232</f>
        <v/>
      </c>
      <c r="P1232" s="273">
        <f>G1232/E1232*N1232</f>
        <v/>
      </c>
      <c r="S1232" s="200" t="inlineStr">
        <is>
          <t>AC26004LDJD161</t>
        </is>
      </c>
      <c r="T1232" s="201" t="n">
        <v>144</v>
      </c>
      <c r="U1232" s="58" t="inlineStr">
        <is>
          <t>01 UNIT PD680Z-II DUMP TRUCK ( VOIR BL)</t>
        </is>
      </c>
      <c r="V1232" s="67" t="n"/>
      <c r="W1232" s="67" t="n"/>
      <c r="X1232" s="62" t="inlineStr">
        <is>
          <t>N-OP</t>
        </is>
      </c>
      <c r="Y1232" s="116">
        <f>F1232/E1232</f>
        <v/>
      </c>
      <c r="Z1232" s="64">
        <f>E1232-N1232</f>
        <v/>
      </c>
    </row>
    <row r="1233" ht="15.75" customHeight="1" s="202">
      <c r="A1233" s="116" t="n">
        <v>20260075</v>
      </c>
      <c r="B1233" s="117" t="inlineStr">
        <is>
          <t>AMOY CENTURY</t>
        </is>
      </c>
      <c r="C1233" s="118" t="n">
        <v>46091</v>
      </c>
      <c r="E1233" s="116" t="n">
        <v>1</v>
      </c>
      <c r="F1233" s="119" t="n">
        <v>6</v>
      </c>
      <c r="G1233" s="120" t="n">
        <v>24</v>
      </c>
      <c r="H1233" s="117" t="inlineStr">
        <is>
          <t>SARL SHANGLIN ALGERIE</t>
        </is>
      </c>
      <c r="I1233" s="117" t="inlineStr">
        <is>
          <t>CAMIONS</t>
        </is>
      </c>
      <c r="J1233" s="117" t="inlineStr">
        <is>
          <t>LOURD</t>
        </is>
      </c>
      <c r="K1233" s="48">
        <f>D1233+8</f>
        <v/>
      </c>
      <c r="L1233" s="48">
        <f>K1233+60</f>
        <v/>
      </c>
      <c r="N1233" s="72">
        <f>E1233</f>
        <v/>
      </c>
      <c r="O1233" s="50">
        <f>F1233/E1233*N1233</f>
        <v/>
      </c>
      <c r="P1233" s="273">
        <f>G1233/E1233*N1233</f>
        <v/>
      </c>
      <c r="S1233" s="200" t="inlineStr">
        <is>
          <t>AC26004LDJD162A</t>
        </is>
      </c>
      <c r="T1233" s="201" t="n">
        <v>145</v>
      </c>
      <c r="U1233" s="58" t="inlineStr">
        <is>
          <t>01 UNIT PC480Z-II CARGO TRUCK ( VOIR BL)</t>
        </is>
      </c>
      <c r="V1233" s="67" t="n"/>
      <c r="W1233" s="67" t="n"/>
      <c r="X1233" s="62" t="inlineStr">
        <is>
          <t>N-OP</t>
        </is>
      </c>
      <c r="Y1233" s="116">
        <f>F1233/E1233</f>
        <v/>
      </c>
      <c r="Z1233" s="64">
        <f>E1233-N1233</f>
        <v/>
      </c>
    </row>
    <row r="1234" ht="15.75" customHeight="1" s="202">
      <c r="A1234" s="116" t="n">
        <v>20260075</v>
      </c>
      <c r="B1234" s="117" t="inlineStr">
        <is>
          <t>AMOY CENTURY</t>
        </is>
      </c>
      <c r="C1234" s="118" t="n">
        <v>46091</v>
      </c>
      <c r="E1234" s="116" t="n">
        <v>1</v>
      </c>
      <c r="F1234" s="119" t="n">
        <v>6</v>
      </c>
      <c r="G1234" s="120" t="n">
        <v>24</v>
      </c>
      <c r="H1234" s="117" t="inlineStr">
        <is>
          <t>SARL SHANGLIN ALGERIE</t>
        </is>
      </c>
      <c r="I1234" s="117" t="inlineStr">
        <is>
          <t>CAMIONS</t>
        </is>
      </c>
      <c r="J1234" s="117" t="inlineStr">
        <is>
          <t>LOURD</t>
        </is>
      </c>
      <c r="K1234" s="48">
        <f>D1234+8</f>
        <v/>
      </c>
      <c r="L1234" s="48">
        <f>K1234+60</f>
        <v/>
      </c>
      <c r="N1234" s="72">
        <f>E1234</f>
        <v/>
      </c>
      <c r="O1234" s="50">
        <f>F1234/E1234*N1234</f>
        <v/>
      </c>
      <c r="P1234" s="273">
        <f>G1234/E1234*N1234</f>
        <v/>
      </c>
      <c r="S1234" s="200" t="inlineStr">
        <is>
          <t>AC26004LDJD162B</t>
        </is>
      </c>
      <c r="T1234" s="201" t="n">
        <v>146</v>
      </c>
      <c r="U1234" s="58" t="inlineStr">
        <is>
          <t>01 UNIT PC480Z-II CARGO TRUCK ( VOIR BL)</t>
        </is>
      </c>
      <c r="V1234" s="67" t="n"/>
      <c r="W1234" s="67" t="n"/>
      <c r="X1234" s="62" t="inlineStr">
        <is>
          <t>N-OP</t>
        </is>
      </c>
      <c r="Y1234" s="116">
        <f>F1234/E1234</f>
        <v/>
      </c>
      <c r="Z1234" s="64">
        <f>E1234-N1234</f>
        <v/>
      </c>
    </row>
    <row r="1235" ht="15.75" customHeight="1" s="202">
      <c r="A1235" s="116" t="n">
        <v>20260075</v>
      </c>
      <c r="B1235" s="117" t="inlineStr">
        <is>
          <t>AMOY CENTURY</t>
        </is>
      </c>
      <c r="C1235" s="118" t="n">
        <v>46091</v>
      </c>
      <c r="E1235" s="116" t="n">
        <v>1</v>
      </c>
      <c r="F1235" s="119" t="n">
        <v>3</v>
      </c>
      <c r="G1235" s="120" t="n">
        <v>24</v>
      </c>
      <c r="H1235" s="117" t="inlineStr">
        <is>
          <t>SARL SHANGLIN ALGERIE</t>
        </is>
      </c>
      <c r="I1235" s="117" t="inlineStr">
        <is>
          <t>CAMIONS</t>
        </is>
      </c>
      <c r="J1235" s="117" t="inlineStr">
        <is>
          <t>LOURD</t>
        </is>
      </c>
      <c r="K1235" s="48">
        <f>D1235+8</f>
        <v/>
      </c>
      <c r="L1235" s="48">
        <f>K1235+60</f>
        <v/>
      </c>
      <c r="N1235" s="72">
        <f>E1235</f>
        <v/>
      </c>
      <c r="O1235" s="50">
        <f>F1235/E1235*N1235</f>
        <v/>
      </c>
      <c r="P1235" s="273">
        <f>G1235/E1235*N1235</f>
        <v/>
      </c>
      <c r="S1235" s="200" t="inlineStr">
        <is>
          <t>AC26004LDJD163</t>
        </is>
      </c>
      <c r="T1235" s="201" t="n">
        <v>147</v>
      </c>
      <c r="U1235" s="58" t="inlineStr">
        <is>
          <t>01 UNIT PC480S-II CARGO TRUCK ( VOIR BL)</t>
        </is>
      </c>
      <c r="V1235" s="67" t="n"/>
      <c r="W1235" s="67" t="n"/>
      <c r="X1235" s="62" t="inlineStr">
        <is>
          <t>N-OP</t>
        </is>
      </c>
      <c r="Y1235" s="116">
        <f>F1235/E1235</f>
        <v/>
      </c>
      <c r="Z1235" s="64">
        <f>E1235-N1235</f>
        <v/>
      </c>
    </row>
    <row r="1236" ht="15.75" customHeight="1" s="202">
      <c r="A1236" s="116" t="n">
        <v>20260075</v>
      </c>
      <c r="B1236" s="117" t="inlineStr">
        <is>
          <t>AMOY CENTURY</t>
        </is>
      </c>
      <c r="C1236" s="118" t="n">
        <v>46091</v>
      </c>
      <c r="E1236" s="116" t="n">
        <v>1</v>
      </c>
      <c r="F1236" s="119" t="n">
        <v>3.53</v>
      </c>
      <c r="G1236" s="120" t="n">
        <v>24</v>
      </c>
      <c r="H1236" s="117" t="inlineStr">
        <is>
          <t>SARL SHANGLIN ALGERIE</t>
        </is>
      </c>
      <c r="I1236" s="117" t="inlineStr">
        <is>
          <t>CAMIONS</t>
        </is>
      </c>
      <c r="J1236" s="117" t="inlineStr">
        <is>
          <t>LOURD</t>
        </is>
      </c>
      <c r="K1236" s="48">
        <f>D1236+8</f>
        <v/>
      </c>
      <c r="L1236" s="48">
        <f>K1236+60</f>
        <v/>
      </c>
      <c r="N1236" s="72">
        <f>E1236-1</f>
        <v/>
      </c>
      <c r="O1236" s="50">
        <f>F1236/E1236*N1236</f>
        <v/>
      </c>
      <c r="P1236" s="273">
        <f>G1236/E1236*N1236</f>
        <v/>
      </c>
      <c r="S1236" s="200" t="inlineStr">
        <is>
          <t>AC26004LDJD164</t>
        </is>
      </c>
      <c r="T1236" s="201" t="n">
        <v>148</v>
      </c>
      <c r="U1236" s="58" t="inlineStr">
        <is>
          <t>01 UNIT PC480XS-II CARGO TRUCK ( VOIR BL)</t>
        </is>
      </c>
      <c r="V1236" s="67" t="n"/>
      <c r="W1236" s="67" t="n"/>
      <c r="X1236" s="62" t="inlineStr">
        <is>
          <t>SOLDEE</t>
        </is>
      </c>
      <c r="Y1236" s="116">
        <f>F1236/E1236</f>
        <v/>
      </c>
      <c r="Z1236" s="64">
        <f>E1236-N1236</f>
        <v/>
      </c>
    </row>
    <row r="1237" ht="15.75" customHeight="1" s="202">
      <c r="A1237" s="116" t="n">
        <v>20260075</v>
      </c>
      <c r="B1237" s="117" t="inlineStr">
        <is>
          <t>AMOY CENTURY</t>
        </is>
      </c>
      <c r="C1237" s="118" t="n">
        <v>46091</v>
      </c>
      <c r="E1237" s="116" t="n">
        <v>1</v>
      </c>
      <c r="F1237" s="119" t="n">
        <v>28.87</v>
      </c>
      <c r="G1237" s="120" t="n">
        <v>24</v>
      </c>
      <c r="H1237" s="117" t="inlineStr">
        <is>
          <t>BENZADI MOHAMED TAYEB</t>
        </is>
      </c>
      <c r="I1237" s="117" t="inlineStr">
        <is>
          <t>CAMION POMPE A BETON</t>
        </is>
      </c>
      <c r="J1237" s="117" t="inlineStr">
        <is>
          <t>LOURD</t>
        </is>
      </c>
      <c r="K1237" s="48">
        <f>D1237+8</f>
        <v/>
      </c>
      <c r="L1237" s="48">
        <f>K1237+60</f>
        <v/>
      </c>
      <c r="N1237" s="72">
        <f>E1237</f>
        <v/>
      </c>
      <c r="O1237" s="50">
        <f>F1237/E1237*N1237</f>
        <v/>
      </c>
      <c r="P1237" s="273">
        <f>G1237/E1237*N1237</f>
        <v/>
      </c>
      <c r="S1237" s="200" t="inlineStr">
        <is>
          <t>AC26004LDJD067</t>
        </is>
      </c>
      <c r="T1237" s="201" t="n">
        <v>64</v>
      </c>
      <c r="U1237" s="58" t="inlineStr">
        <is>
          <t>01 UNIT ZOOMLION STRIAK 43M CONCRETE PUMP TRUCK ( VOIR BL )</t>
        </is>
      </c>
      <c r="V1237" s="67" t="n"/>
      <c r="W1237" s="67" t="n"/>
      <c r="X1237" s="62" t="inlineStr">
        <is>
          <t>N-OP</t>
        </is>
      </c>
      <c r="Y1237" s="116">
        <f>F1237/E1237</f>
        <v/>
      </c>
      <c r="Z1237" s="64">
        <f>E1237-N1237</f>
        <v/>
      </c>
    </row>
    <row r="1238" ht="15.75" customHeight="1" s="202">
      <c r="A1238" s="116" t="n">
        <v>20260075</v>
      </c>
      <c r="B1238" s="117" t="inlineStr">
        <is>
          <t>AMOY CENTURY</t>
        </is>
      </c>
      <c r="C1238" s="118" t="n">
        <v>46091</v>
      </c>
      <c r="E1238" s="116" t="n">
        <v>1</v>
      </c>
      <c r="F1238" s="119" t="n">
        <v>28.87</v>
      </c>
      <c r="G1238" s="120" t="n">
        <v>24</v>
      </c>
      <c r="H1238" s="117" t="inlineStr">
        <is>
          <t>SARL ETHB BELHADJ AHMED</t>
        </is>
      </c>
      <c r="I1238" s="117" t="inlineStr">
        <is>
          <t>CAMION POMPE A BETON</t>
        </is>
      </c>
      <c r="J1238" s="117" t="inlineStr">
        <is>
          <t>LOURD</t>
        </is>
      </c>
      <c r="K1238" s="48">
        <f>D1238+8</f>
        <v/>
      </c>
      <c r="L1238" s="48">
        <f>K1238+60</f>
        <v/>
      </c>
      <c r="N1238" s="72">
        <f>E1238</f>
        <v/>
      </c>
      <c r="O1238" s="50">
        <f>F1238/E1238*N1238</f>
        <v/>
      </c>
      <c r="P1238" s="273">
        <f>G1238/E1238*N1238</f>
        <v/>
      </c>
      <c r="S1238" s="200" t="inlineStr">
        <is>
          <t>AC26004LDJD068</t>
        </is>
      </c>
      <c r="T1238" s="201" t="n">
        <v>65</v>
      </c>
      <c r="U1238" s="58" t="inlineStr">
        <is>
          <t>01 UNIT ZOOMLION STRIAK 43M CONCRETE PUMP TRUCK (VOIR BL)</t>
        </is>
      </c>
      <c r="V1238" s="67" t="n"/>
      <c r="W1238" s="67" t="n"/>
      <c r="X1238" s="62" t="inlineStr">
        <is>
          <t>N-OP</t>
        </is>
      </c>
      <c r="Y1238" s="116">
        <f>F1238/E1238</f>
        <v/>
      </c>
      <c r="Z1238" s="64">
        <f>E1238-N1238</f>
        <v/>
      </c>
    </row>
    <row r="1239" ht="15.75" customHeight="1" s="202">
      <c r="A1239" s="116" t="n">
        <v>20260075</v>
      </c>
      <c r="B1239" s="117" t="inlineStr">
        <is>
          <t>AMOY CENTURY</t>
        </is>
      </c>
      <c r="C1239" s="118" t="n">
        <v>46091</v>
      </c>
      <c r="E1239" s="116" t="n">
        <v>4</v>
      </c>
      <c r="F1239" s="119" t="n">
        <v>54</v>
      </c>
      <c r="G1239" s="120" t="n">
        <v>96</v>
      </c>
      <c r="H1239" s="117" t="inlineStr">
        <is>
          <t>EURL EL ITIHAD FLG</t>
        </is>
      </c>
      <c r="I1239" s="117" t="inlineStr">
        <is>
          <t>CAMIONS</t>
        </is>
      </c>
      <c r="J1239" s="117" t="inlineStr">
        <is>
          <t>LOURD</t>
        </is>
      </c>
      <c r="K1239" s="48">
        <f>D1239+8</f>
        <v/>
      </c>
      <c r="L1239" s="48">
        <f>K1239+60</f>
        <v/>
      </c>
      <c r="N1239" s="72">
        <f>E1239</f>
        <v/>
      </c>
      <c r="O1239" s="50">
        <f>F1239/E1239*N1239</f>
        <v/>
      </c>
      <c r="P1239" s="273">
        <f>G1239/E1239*N1239</f>
        <v/>
      </c>
      <c r="S1239" s="200" t="inlineStr">
        <is>
          <t>AC26004LDJD079</t>
        </is>
      </c>
      <c r="T1239" s="201" t="n">
        <v>68</v>
      </c>
      <c r="U1239" s="58" t="inlineStr">
        <is>
          <t>04 UNITS SINOTRUK 6X4 DUMP TRUCK (VOIR BL)</t>
        </is>
      </c>
      <c r="V1239" s="67" t="n"/>
      <c r="W1239" s="67" t="n"/>
      <c r="X1239" s="62" t="inlineStr">
        <is>
          <t>N-OP</t>
        </is>
      </c>
      <c r="Y1239" s="116">
        <f>F1239/E1239</f>
        <v/>
      </c>
      <c r="Z1239" s="64">
        <f>E1239-N1239</f>
        <v/>
      </c>
    </row>
    <row r="1240" ht="15.75" customHeight="1" s="202">
      <c r="A1240" s="116" t="n">
        <v>20260075</v>
      </c>
      <c r="B1240" s="117" t="inlineStr">
        <is>
          <t>AMOY CENTURY</t>
        </is>
      </c>
      <c r="C1240" s="118" t="n">
        <v>46091</v>
      </c>
      <c r="E1240" s="116" t="n">
        <v>1</v>
      </c>
      <c r="F1240" s="119" t="n">
        <v>37</v>
      </c>
      <c r="G1240" s="120" t="n">
        <v>24</v>
      </c>
      <c r="H1240" s="117" t="inlineStr">
        <is>
          <t>SARL LES FRERS ZAHEM ET MOBARKI COMMERCE</t>
        </is>
      </c>
      <c r="I1240" s="117" t="inlineStr">
        <is>
          <t>EXCAVATEURS</t>
        </is>
      </c>
      <c r="J1240" s="117" t="inlineStr">
        <is>
          <t>ENGINS</t>
        </is>
      </c>
      <c r="K1240" s="48">
        <f>D1240+8</f>
        <v/>
      </c>
      <c r="L1240" s="48">
        <f>K1240+60</f>
        <v/>
      </c>
      <c r="N1240" s="72">
        <f>E1240</f>
        <v/>
      </c>
      <c r="O1240" s="50">
        <f>F1240/E1240*N1240</f>
        <v/>
      </c>
      <c r="P1240" s="273">
        <f>G1240/E1240*N1240</f>
        <v/>
      </c>
      <c r="S1240" s="200" t="inlineStr">
        <is>
          <t>AC26004LDJD080</t>
        </is>
      </c>
      <c r="T1240" s="201" t="n">
        <v>69</v>
      </c>
      <c r="U1240" s="58" t="inlineStr">
        <is>
          <t>01 UNIT HYUNDAI EXCAVATOR HX340HD ( VOIR BL)</t>
        </is>
      </c>
      <c r="V1240" s="67" t="n"/>
      <c r="W1240" s="67" t="n"/>
      <c r="X1240" s="62" t="inlineStr">
        <is>
          <t>N-OP</t>
        </is>
      </c>
      <c r="Y1240" s="116">
        <f>F1240/E1240</f>
        <v/>
      </c>
      <c r="Z1240" s="64">
        <f>E1240-N1240</f>
        <v/>
      </c>
    </row>
    <row r="1241" ht="15.75" customHeight="1" s="202">
      <c r="A1241" s="116" t="n">
        <v>20260075</v>
      </c>
      <c r="B1241" s="117" t="inlineStr">
        <is>
          <t>AMOY CENTURY</t>
        </is>
      </c>
      <c r="C1241" s="118" t="n">
        <v>46091</v>
      </c>
      <c r="E1241" s="116" t="n">
        <v>2</v>
      </c>
      <c r="F1241" s="119" t="n">
        <v>0</v>
      </c>
      <c r="G1241" s="120" t="n">
        <v>10</v>
      </c>
      <c r="H1241" s="117" t="inlineStr">
        <is>
          <t>SARL LES FRERS ZAHEM ET MOBARKI COMMERCE</t>
        </is>
      </c>
      <c r="I1241" s="117" t="inlineStr">
        <is>
          <t>COLIS</t>
        </is>
      </c>
      <c r="J1241" s="117" t="inlineStr">
        <is>
          <t>COLIS</t>
        </is>
      </c>
      <c r="K1241" s="48">
        <f>D1241+8</f>
        <v/>
      </c>
      <c r="L1241" s="48">
        <f>K1241+60</f>
        <v/>
      </c>
      <c r="N1241" s="72">
        <f>E1241</f>
        <v/>
      </c>
      <c r="O1241" s="50">
        <f>F1241/E1241*N1241</f>
        <v/>
      </c>
      <c r="P1241" s="273">
        <f>G1241/E1241*N1241</f>
        <v/>
      </c>
      <c r="S1241" s="200" t="inlineStr">
        <is>
          <t>AC26004LDJD080</t>
        </is>
      </c>
      <c r="T1241" s="201" t="n">
        <v>69</v>
      </c>
      <c r="U1241" s="58" t="n"/>
      <c r="V1241" s="67" t="n"/>
      <c r="W1241" s="67" t="n"/>
      <c r="X1241" s="62" t="inlineStr">
        <is>
          <t>N-OP</t>
        </is>
      </c>
      <c r="Y1241" s="116">
        <f>F1241/E1241</f>
        <v/>
      </c>
      <c r="Z1241" s="64">
        <f>E1241-N1241</f>
        <v/>
      </c>
    </row>
    <row r="1242" ht="15.75" customHeight="1" s="202">
      <c r="A1242" s="116" t="n">
        <v>20260075</v>
      </c>
      <c r="B1242" s="117" t="inlineStr">
        <is>
          <t>AMOY CENTURY</t>
        </is>
      </c>
      <c r="C1242" s="118" t="n">
        <v>46091</v>
      </c>
      <c r="E1242" s="116" t="n">
        <v>1</v>
      </c>
      <c r="F1242" s="119" t="n">
        <v>36.9</v>
      </c>
      <c r="G1242" s="120" t="n">
        <v>24</v>
      </c>
      <c r="H1242" s="117" t="inlineStr">
        <is>
          <t>SARL PNEUMATIQUE KHECHIN MADI</t>
        </is>
      </c>
      <c r="I1242" s="117" t="inlineStr">
        <is>
          <t>EXCAVATEURS</t>
        </is>
      </c>
      <c r="J1242" s="117" t="inlineStr">
        <is>
          <t>ENGINS</t>
        </is>
      </c>
      <c r="K1242" s="48">
        <f>D1242+8</f>
        <v/>
      </c>
      <c r="L1242" s="48">
        <f>K1242+60</f>
        <v/>
      </c>
      <c r="N1242" s="72">
        <f>E1242</f>
        <v/>
      </c>
      <c r="O1242" s="50">
        <f>F1242/E1242*N1242</f>
        <v/>
      </c>
      <c r="P1242" s="273">
        <f>G1242/E1242*N1242</f>
        <v/>
      </c>
      <c r="S1242" s="200" t="inlineStr">
        <is>
          <t>AC26004LDJD081</t>
        </is>
      </c>
      <c r="T1242" s="201" t="n">
        <v>70</v>
      </c>
      <c r="U1242" s="58" t="inlineStr">
        <is>
          <t>01 UNIT HYUNDAI EXCAVATOR 01 UNIT HYUNDAI BREAKER HAMMER HDBB165Z ( VOIR BL)</t>
        </is>
      </c>
      <c r="V1242" s="67" t="n"/>
      <c r="W1242" s="67" t="n"/>
      <c r="X1242" s="62" t="inlineStr">
        <is>
          <t>N-OP</t>
        </is>
      </c>
      <c r="Y1242" s="116">
        <f>F1242/E1242</f>
        <v/>
      </c>
      <c r="Z1242" s="64">
        <f>E1242-N1242</f>
        <v/>
      </c>
    </row>
    <row r="1243" ht="15.75" customHeight="1" s="202">
      <c r="A1243" s="116" t="n">
        <v>20260075</v>
      </c>
      <c r="B1243" s="117" t="inlineStr">
        <is>
          <t>AMOY CENTURY</t>
        </is>
      </c>
      <c r="C1243" s="118" t="n">
        <v>46091</v>
      </c>
      <c r="E1243" s="116" t="n">
        <v>2</v>
      </c>
      <c r="F1243" s="119" t="n">
        <v>0</v>
      </c>
      <c r="G1243" s="120" t="n">
        <v>10</v>
      </c>
      <c r="H1243" s="117" t="inlineStr">
        <is>
          <t>SARL PNEUMATIQUE KHECHIN MADI</t>
        </is>
      </c>
      <c r="I1243" s="117" t="inlineStr">
        <is>
          <t>COLIS</t>
        </is>
      </c>
      <c r="J1243" s="117" t="inlineStr">
        <is>
          <t>COLIS</t>
        </is>
      </c>
      <c r="K1243" s="48">
        <f>D1243+8</f>
        <v/>
      </c>
      <c r="L1243" s="48">
        <f>K1243+60</f>
        <v/>
      </c>
      <c r="N1243" s="72">
        <f>E1243</f>
        <v/>
      </c>
      <c r="O1243" s="50">
        <f>F1243/E1243*N1243</f>
        <v/>
      </c>
      <c r="P1243" s="273">
        <f>G1243/E1243*N1243</f>
        <v/>
      </c>
      <c r="S1243" s="200" t="inlineStr">
        <is>
          <t>AC26004LDJD081</t>
        </is>
      </c>
      <c r="T1243" s="201" t="n">
        <v>70</v>
      </c>
      <c r="U1243" s="58" t="n"/>
      <c r="V1243" s="67" t="n"/>
      <c r="W1243" s="67" t="n"/>
      <c r="X1243" s="62" t="inlineStr">
        <is>
          <t>N-OP</t>
        </is>
      </c>
      <c r="Y1243" s="116">
        <f>F1243/E1243</f>
        <v/>
      </c>
      <c r="Z1243" s="64">
        <f>E1243-N1243</f>
        <v/>
      </c>
    </row>
    <row r="1244" ht="15.75" customHeight="1" s="202">
      <c r="A1244" s="116" t="n">
        <v>20260075</v>
      </c>
      <c r="B1244" s="117" t="inlineStr">
        <is>
          <t>AMOY CENTURY</t>
        </is>
      </c>
      <c r="C1244" s="118" t="n">
        <v>46091</v>
      </c>
      <c r="E1244" s="116" t="n">
        <v>4</v>
      </c>
      <c r="F1244" s="119" t="n">
        <v>136</v>
      </c>
      <c r="G1244" s="120" t="n">
        <v>96</v>
      </c>
      <c r="H1244" s="117" t="inlineStr">
        <is>
          <t>SARL ABBASSI G.T.P.H</t>
        </is>
      </c>
      <c r="I1244" s="117" t="inlineStr">
        <is>
          <t>EXCAVATEURS</t>
        </is>
      </c>
      <c r="J1244" s="117" t="inlineStr">
        <is>
          <t>ENGINS</t>
        </is>
      </c>
      <c r="K1244" s="48">
        <f>D1244+8</f>
        <v/>
      </c>
      <c r="L1244" s="48">
        <f>K1244+60</f>
        <v/>
      </c>
      <c r="N1244" s="72">
        <f>E1244</f>
        <v/>
      </c>
      <c r="O1244" s="50">
        <f>F1244/E1244*N1244</f>
        <v/>
      </c>
      <c r="P1244" s="273">
        <f>G1244/E1244*N1244</f>
        <v/>
      </c>
      <c r="S1244" s="200" t="inlineStr">
        <is>
          <t>AC26004LDJD082</t>
        </is>
      </c>
      <c r="T1244" s="201" t="n">
        <v>71</v>
      </c>
      <c r="U1244" s="58" t="inlineStr">
        <is>
          <t>04 UNITS HYUNDAI CRAWLER EXCAVATOR HX340HD WITH ACCESSORIES ( VOIR BL)</t>
        </is>
      </c>
      <c r="V1244" s="67" t="n"/>
      <c r="W1244" s="67" t="n"/>
      <c r="X1244" s="62" t="inlineStr">
        <is>
          <t>N-OP</t>
        </is>
      </c>
      <c r="Y1244" s="116">
        <f>F1244/E1244</f>
        <v/>
      </c>
      <c r="Z1244" s="64">
        <f>E1244-N1244</f>
        <v/>
      </c>
    </row>
    <row r="1245" ht="15.75" customHeight="1" s="202">
      <c r="A1245" s="116" t="n">
        <v>20260075</v>
      </c>
      <c r="B1245" s="117" t="inlineStr">
        <is>
          <t>AMOY CENTURY</t>
        </is>
      </c>
      <c r="C1245" s="118" t="n">
        <v>46091</v>
      </c>
      <c r="E1245" s="116" t="n">
        <v>4</v>
      </c>
      <c r="F1245" s="119" t="n">
        <v>0</v>
      </c>
      <c r="G1245" s="120" t="n">
        <v>20</v>
      </c>
      <c r="H1245" s="117" t="inlineStr">
        <is>
          <t>SARL ABBASSI G.T.P.H</t>
        </is>
      </c>
      <c r="I1245" s="117" t="inlineStr">
        <is>
          <t>COLIS</t>
        </is>
      </c>
      <c r="J1245" s="117" t="inlineStr">
        <is>
          <t>COLIS</t>
        </is>
      </c>
      <c r="K1245" s="48">
        <f>D1245+8</f>
        <v/>
      </c>
      <c r="L1245" s="48">
        <f>K1245+60</f>
        <v/>
      </c>
      <c r="N1245" s="72">
        <f>E1245</f>
        <v/>
      </c>
      <c r="O1245" s="50">
        <f>F1245/E1245*N1245</f>
        <v/>
      </c>
      <c r="P1245" s="273">
        <f>G1245/E1245*N1245</f>
        <v/>
      </c>
      <c r="S1245" s="200" t="inlineStr">
        <is>
          <t>AC26004LDJD082</t>
        </is>
      </c>
      <c r="T1245" s="201" t="n">
        <v>71</v>
      </c>
      <c r="U1245" s="58" t="n"/>
      <c r="V1245" s="67" t="n"/>
      <c r="W1245" s="67" t="n"/>
      <c r="X1245" s="62" t="inlineStr">
        <is>
          <t>N-OP</t>
        </is>
      </c>
      <c r="Y1245" s="116">
        <f>F1245/E1245</f>
        <v/>
      </c>
      <c r="Z1245" s="64">
        <f>E1245-N1245</f>
        <v/>
      </c>
    </row>
    <row r="1246" ht="15.75" customHeight="1" s="202">
      <c r="A1246" s="116" t="n">
        <v>20260075</v>
      </c>
      <c r="B1246" s="117" t="inlineStr">
        <is>
          <t>AMOY CENTURY</t>
        </is>
      </c>
      <c r="C1246" s="118" t="n">
        <v>46091</v>
      </c>
      <c r="E1246" s="116" t="n">
        <v>1</v>
      </c>
      <c r="F1246" s="119" t="n">
        <v>8.1</v>
      </c>
      <c r="G1246" s="120" t="n">
        <v>24</v>
      </c>
      <c r="H1246" s="117" t="inlineStr">
        <is>
          <t>KOURDOURLI ELHAJD</t>
        </is>
      </c>
      <c r="I1246" s="117" t="inlineStr">
        <is>
          <t>CAMIONS</t>
        </is>
      </c>
      <c r="J1246" s="117" t="inlineStr">
        <is>
          <t>LOURD</t>
        </is>
      </c>
      <c r="K1246" s="48">
        <f>D1246+8</f>
        <v/>
      </c>
      <c r="L1246" s="48">
        <f>K1246+60</f>
        <v/>
      </c>
      <c r="N1246" s="72">
        <f>E1246</f>
        <v/>
      </c>
      <c r="O1246" s="50">
        <f>F1246/E1246*N1246</f>
        <v/>
      </c>
      <c r="P1246" s="273">
        <f>G1246/E1246*N1246</f>
        <v/>
      </c>
      <c r="S1246" s="200" t="inlineStr">
        <is>
          <t>AC26004LDJD083</t>
        </is>
      </c>
      <c r="T1246" s="201" t="n">
        <v>72</v>
      </c>
      <c r="U1246" s="58" t="inlineStr">
        <is>
          <t>01 UNIT HY-3500 SELF LOADING CONCRETE MIXER ( VOIR VOIR )</t>
        </is>
      </c>
      <c r="V1246" s="67" t="n"/>
      <c r="W1246" s="67" t="n"/>
      <c r="X1246" s="62" t="inlineStr">
        <is>
          <t>N-OP</t>
        </is>
      </c>
      <c r="Y1246" s="116">
        <f>F1246/E1246</f>
        <v/>
      </c>
      <c r="Z1246" s="64">
        <f>E1246-N1246</f>
        <v/>
      </c>
    </row>
    <row r="1247" ht="15.75" customHeight="1" s="202">
      <c r="A1247" s="116" t="n">
        <v>20260075</v>
      </c>
      <c r="B1247" s="117" t="inlineStr">
        <is>
          <t>AMOY CENTURY</t>
        </is>
      </c>
      <c r="C1247" s="118" t="n">
        <v>46091</v>
      </c>
      <c r="E1247" s="116" t="n">
        <v>1</v>
      </c>
      <c r="F1247" s="119" t="n">
        <v>12.47</v>
      </c>
      <c r="G1247" s="120" t="n">
        <v>24</v>
      </c>
      <c r="H1247" s="117" t="inlineStr">
        <is>
          <t>SARL RB GLOBAL SERVICES</t>
        </is>
      </c>
      <c r="I1247" s="117" t="inlineStr">
        <is>
          <t>CAMIONS</t>
        </is>
      </c>
      <c r="J1247" s="117" t="inlineStr">
        <is>
          <t>LOURD</t>
        </is>
      </c>
      <c r="K1247" s="48">
        <f>D1247+8</f>
        <v/>
      </c>
      <c r="L1247" s="48">
        <f>K1247+60</f>
        <v/>
      </c>
      <c r="N1247" s="72">
        <f>E1247</f>
        <v/>
      </c>
      <c r="O1247" s="50">
        <f>F1247/E1247*N1247</f>
        <v/>
      </c>
      <c r="P1247" s="273">
        <f>G1247/E1247*N1247</f>
        <v/>
      </c>
      <c r="S1247" s="200" t="inlineStr">
        <is>
          <t>AC26004LDJD085</t>
        </is>
      </c>
      <c r="T1247" s="201" t="n">
        <v>73</v>
      </c>
      <c r="U1247" s="58" t="inlineStr">
        <is>
          <t>01 UNIT SHACMAN 6X4 F2000 WATER TANK TRUCK ( VOIR BL)</t>
        </is>
      </c>
      <c r="V1247" s="67" t="n"/>
      <c r="W1247" s="67" t="n"/>
      <c r="X1247" s="62" t="inlineStr">
        <is>
          <t>N-OP</t>
        </is>
      </c>
      <c r="Y1247" s="116">
        <f>F1247/E1247</f>
        <v/>
      </c>
      <c r="Z1247" s="64">
        <f>E1247-N1247</f>
        <v/>
      </c>
    </row>
    <row r="1248" ht="15.75" customHeight="1" s="202">
      <c r="A1248" s="116" t="n">
        <v>20260075</v>
      </c>
      <c r="B1248" s="117" t="inlineStr">
        <is>
          <t>AMOY CENTURY</t>
        </is>
      </c>
      <c r="C1248" s="118" t="n">
        <v>46091</v>
      </c>
      <c r="E1248" s="116" t="n">
        <v>1</v>
      </c>
      <c r="F1248" s="119" t="n">
        <v>10</v>
      </c>
      <c r="G1248" s="120" t="n">
        <v>24</v>
      </c>
      <c r="H1248" s="117" t="inlineStr">
        <is>
          <t>SARL GRANDS TRAVAUX DU SUD</t>
        </is>
      </c>
      <c r="I1248" s="117" t="inlineStr">
        <is>
          <t>CAMIONS</t>
        </is>
      </c>
      <c r="J1248" s="117" t="inlineStr">
        <is>
          <t>LOURD</t>
        </is>
      </c>
      <c r="K1248" s="48">
        <f>D1248+8</f>
        <v/>
      </c>
      <c r="L1248" s="48">
        <f>K1248+60</f>
        <v/>
      </c>
      <c r="N1248" s="72">
        <f>E1248</f>
        <v/>
      </c>
      <c r="O1248" s="50">
        <f>F1248/E1248*N1248</f>
        <v/>
      </c>
      <c r="P1248" s="273">
        <f>G1248/E1248*N1248</f>
        <v/>
      </c>
      <c r="S1248" s="200" t="inlineStr">
        <is>
          <t>AC26004LDJD086/152</t>
        </is>
      </c>
      <c r="T1248" s="201" t="n">
        <v>74</v>
      </c>
      <c r="U1248" s="58" t="inlineStr">
        <is>
          <t>01 UNIT SHACMAN F2000 6*4 DUMP TRUCK 01 UNIT DEVELON CRAWLER EXCAVATOR XD360LCA-7B ( VOIR BL)</t>
        </is>
      </c>
      <c r="V1248" s="67" t="n"/>
      <c r="W1248" s="67" t="n"/>
      <c r="X1248" s="62" t="inlineStr">
        <is>
          <t>N-OP</t>
        </is>
      </c>
      <c r="Y1248" s="116">
        <f>F1248/E1248</f>
        <v/>
      </c>
      <c r="Z1248" s="64">
        <f>E1248-N1248</f>
        <v/>
      </c>
    </row>
    <row r="1249" ht="15.75" customHeight="1" s="202">
      <c r="A1249" s="116" t="n">
        <v>20260075</v>
      </c>
      <c r="B1249" s="117" t="inlineStr">
        <is>
          <t>AMOY CENTURY</t>
        </is>
      </c>
      <c r="C1249" s="118" t="n">
        <v>46091</v>
      </c>
      <c r="E1249" s="116" t="n">
        <v>1</v>
      </c>
      <c r="F1249" s="119" t="n">
        <v>38.63</v>
      </c>
      <c r="G1249" s="120" t="n">
        <v>24</v>
      </c>
      <c r="H1249" s="117" t="inlineStr">
        <is>
          <t>SARL GRANDS TRAVAUX DU SUD</t>
        </is>
      </c>
      <c r="I1249" s="117" t="inlineStr">
        <is>
          <t>EXCAVATEURS</t>
        </is>
      </c>
      <c r="J1249" s="117" t="inlineStr">
        <is>
          <t>ENGINS</t>
        </is>
      </c>
      <c r="K1249" s="48">
        <f>D1249+8</f>
        <v/>
      </c>
      <c r="L1249" s="48">
        <f>K1249+60</f>
        <v/>
      </c>
      <c r="N1249" s="72">
        <f>E1249</f>
        <v/>
      </c>
      <c r="O1249" s="50">
        <f>F1249/E1249*N1249</f>
        <v/>
      </c>
      <c r="P1249" s="273">
        <f>G1249/E1249*N1249</f>
        <v/>
      </c>
      <c r="S1249" s="200" t="inlineStr">
        <is>
          <t>AC26004LDJD086/152</t>
        </is>
      </c>
      <c r="T1249" s="201" t="n">
        <v>74</v>
      </c>
      <c r="U1249" s="58" t="n"/>
      <c r="V1249" s="67" t="n"/>
      <c r="W1249" s="67" t="n"/>
      <c r="X1249" s="62" t="inlineStr">
        <is>
          <t>N-OP</t>
        </is>
      </c>
      <c r="Y1249" s="116">
        <f>F1249/E1249</f>
        <v/>
      </c>
      <c r="Z1249" s="64">
        <f>E1249-N1249</f>
        <v/>
      </c>
    </row>
    <row r="1250" ht="15.75" customHeight="1" s="202">
      <c r="A1250" s="116" t="n">
        <v>20260075</v>
      </c>
      <c r="B1250" s="117" t="inlineStr">
        <is>
          <t>AMOY CENTURY</t>
        </is>
      </c>
      <c r="C1250" s="118" t="n">
        <v>46091</v>
      </c>
      <c r="E1250" s="116" t="n">
        <v>2</v>
      </c>
      <c r="F1250" s="119" t="n">
        <v>0</v>
      </c>
      <c r="G1250" s="120" t="n">
        <v>10</v>
      </c>
      <c r="H1250" s="117" t="inlineStr">
        <is>
          <t>SARL GRANDS TRAVAUX DU SUD</t>
        </is>
      </c>
      <c r="I1250" s="117" t="inlineStr">
        <is>
          <t>COLIS</t>
        </is>
      </c>
      <c r="J1250" s="117" t="inlineStr">
        <is>
          <t>COLIS</t>
        </is>
      </c>
      <c r="K1250" s="48">
        <f>D1250+8</f>
        <v/>
      </c>
      <c r="L1250" s="48">
        <f>K1250+60</f>
        <v/>
      </c>
      <c r="N1250" s="72">
        <f>E1250</f>
        <v/>
      </c>
      <c r="O1250" s="50">
        <f>F1250/E1250*N1250</f>
        <v/>
      </c>
      <c r="P1250" s="273">
        <f>G1250/E1250*N1250</f>
        <v/>
      </c>
      <c r="S1250" s="200" t="inlineStr">
        <is>
          <t>AC26004LDJD086/152</t>
        </is>
      </c>
      <c r="T1250" s="201" t="n">
        <v>74</v>
      </c>
      <c r="U1250" s="58" t="n"/>
      <c r="V1250" s="67" t="n"/>
      <c r="W1250" s="67" t="n"/>
      <c r="X1250" s="62" t="inlineStr">
        <is>
          <t>N-OP</t>
        </is>
      </c>
      <c r="Y1250" s="116">
        <f>F1250/E1250</f>
        <v/>
      </c>
      <c r="Z1250" s="64">
        <f>E1250-N1250</f>
        <v/>
      </c>
    </row>
    <row r="1251" ht="15.75" customHeight="1" s="202">
      <c r="A1251" s="116" t="n">
        <v>20260075</v>
      </c>
      <c r="B1251" s="117" t="inlineStr">
        <is>
          <t>AMOY CENTURY</t>
        </is>
      </c>
      <c r="C1251" s="118" t="n">
        <v>46091</v>
      </c>
      <c r="E1251" s="116" t="n">
        <v>1</v>
      </c>
      <c r="F1251" s="119" t="n">
        <v>17.75</v>
      </c>
      <c r="G1251" s="120" t="n">
        <v>24</v>
      </c>
      <c r="H1251" s="117" t="inlineStr">
        <is>
          <t>SARL HOUARA GRANDS ENTREPRISES T</t>
        </is>
      </c>
      <c r="I1251" s="117" t="inlineStr">
        <is>
          <t>CHARGEURS</t>
        </is>
      </c>
      <c r="J1251" s="117" t="inlineStr">
        <is>
          <t>ENGINS</t>
        </is>
      </c>
      <c r="K1251" s="48">
        <f>D1251+8</f>
        <v/>
      </c>
      <c r="L1251" s="48">
        <f>K1251+60</f>
        <v/>
      </c>
      <c r="N1251" s="72">
        <f>E1251</f>
        <v/>
      </c>
      <c r="O1251" s="50">
        <f>F1251/E1251*N1251</f>
        <v/>
      </c>
      <c r="P1251" s="273">
        <f>G1251/E1251*N1251</f>
        <v/>
      </c>
      <c r="S1251" s="200" t="inlineStr">
        <is>
          <t>AC26004LDJD088</t>
        </is>
      </c>
      <c r="T1251" s="201" t="n">
        <v>75</v>
      </c>
      <c r="U1251" s="58" t="inlineStr">
        <is>
          <t>01 UNIT XCMG ZL50GN WHEEL LOADER ( VOIR BL)</t>
        </is>
      </c>
      <c r="V1251" s="67" t="n"/>
      <c r="W1251" s="67" t="n"/>
      <c r="X1251" s="62" t="inlineStr">
        <is>
          <t>N-OP</t>
        </is>
      </c>
      <c r="Y1251" s="116">
        <f>F1251/E1251</f>
        <v/>
      </c>
      <c r="Z1251" s="64">
        <f>E1251-N1251</f>
        <v/>
      </c>
    </row>
    <row r="1252" ht="15.75" customHeight="1" s="202">
      <c r="A1252" s="116" t="n">
        <v>20260075</v>
      </c>
      <c r="B1252" s="117" t="inlineStr">
        <is>
          <t>AMOY CENTURY</t>
        </is>
      </c>
      <c r="C1252" s="118" t="n">
        <v>46091</v>
      </c>
      <c r="E1252" s="116" t="n">
        <v>1</v>
      </c>
      <c r="F1252" s="119" t="n">
        <v>0</v>
      </c>
      <c r="G1252" s="120" t="n">
        <v>5</v>
      </c>
      <c r="H1252" s="117" t="inlineStr">
        <is>
          <t>SARL HOUARA GRANDS ENTREPRISES T</t>
        </is>
      </c>
      <c r="I1252" s="117" t="inlineStr">
        <is>
          <t>COLIS</t>
        </is>
      </c>
      <c r="J1252" s="117" t="inlineStr">
        <is>
          <t>COLIS</t>
        </is>
      </c>
      <c r="K1252" s="48">
        <f>D1252+8</f>
        <v/>
      </c>
      <c r="L1252" s="48">
        <f>K1252+60</f>
        <v/>
      </c>
      <c r="N1252" s="72">
        <f>E1252</f>
        <v/>
      </c>
      <c r="O1252" s="50">
        <f>F1252/E1252*N1252</f>
        <v/>
      </c>
      <c r="P1252" s="273">
        <f>G1252/E1252*N1252</f>
        <v/>
      </c>
      <c r="S1252" s="200" t="inlineStr">
        <is>
          <t>AC26004LDJD088</t>
        </is>
      </c>
      <c r="T1252" s="201" t="n">
        <v>75</v>
      </c>
      <c r="U1252" s="58" t="n"/>
      <c r="V1252" s="67" t="n"/>
      <c r="W1252" s="67" t="n"/>
      <c r="X1252" s="62" t="inlineStr">
        <is>
          <t>N-OP</t>
        </is>
      </c>
      <c r="Y1252" s="116">
        <f>F1252/E1252</f>
        <v/>
      </c>
      <c r="Z1252" s="64">
        <f>E1252-N1252</f>
        <v/>
      </c>
    </row>
    <row r="1253" ht="15.75" customHeight="1" s="202">
      <c r="A1253" s="106" t="n">
        <v>20260075</v>
      </c>
      <c r="B1253" s="107" t="inlineStr">
        <is>
          <t>AMOY CENTURY</t>
        </is>
      </c>
      <c r="C1253" s="108" t="n">
        <v>46091</v>
      </c>
      <c r="D1253" s="108" t="n"/>
      <c r="E1253" s="106" t="n">
        <v>1</v>
      </c>
      <c r="F1253" s="106" t="n">
        <v>12.33</v>
      </c>
      <c r="G1253" s="106" t="n">
        <v>24</v>
      </c>
      <c r="H1253" s="107" t="inlineStr">
        <is>
          <t>GUERRACHE ABDELHAFID</t>
        </is>
      </c>
      <c r="I1253" s="107" t="inlineStr">
        <is>
          <t>CAMIONS</t>
        </is>
      </c>
      <c r="J1253" s="107" t="inlineStr">
        <is>
          <t>LOURD</t>
        </is>
      </c>
      <c r="K1253" s="108">
        <f>D1253+8</f>
        <v/>
      </c>
      <c r="L1253" s="108">
        <f>K1253+60</f>
        <v/>
      </c>
      <c r="M1253" s="107" t="n"/>
      <c r="N1253" s="112">
        <f>E1253-1</f>
        <v/>
      </c>
      <c r="O1253" s="113">
        <f>F1253/E1253*N1253</f>
        <v/>
      </c>
      <c r="P1253" s="112">
        <f>G1253/E1253*N1253</f>
        <v/>
      </c>
      <c r="Q1253" s="109" t="n"/>
      <c r="R1253" s="107" t="n"/>
      <c r="S1253" s="109" t="inlineStr">
        <is>
          <t>AC26004LDJD090</t>
        </is>
      </c>
      <c r="T1253" s="114" t="n">
        <v>76</v>
      </c>
      <c r="U1253" s="109" t="inlineStr">
        <is>
          <t>01 UNIT SHACMAN F2000 6X4 DUMP TRUCK ( VOIR BL)</t>
        </is>
      </c>
      <c r="V1253" s="106" t="n"/>
      <c r="W1253" s="106" t="n"/>
      <c r="X1253" s="106" t="inlineStr">
        <is>
          <t>SOLDEE</t>
        </is>
      </c>
      <c r="Y1253" s="116">
        <f>F1253/E1253</f>
        <v/>
      </c>
      <c r="Z1253" s="64">
        <f>E1253-N1253</f>
        <v/>
      </c>
    </row>
    <row r="1254" ht="15.75" customHeight="1" s="202">
      <c r="A1254" s="116" t="n">
        <v>20260075</v>
      </c>
      <c r="B1254" s="117" t="inlineStr">
        <is>
          <t>AMOY CENTURY</t>
        </is>
      </c>
      <c r="C1254" s="118" t="n">
        <v>46091</v>
      </c>
      <c r="E1254" s="116" t="n">
        <v>1</v>
      </c>
      <c r="F1254" s="119" t="n">
        <v>12.33</v>
      </c>
      <c r="G1254" s="120" t="n">
        <v>24</v>
      </c>
      <c r="H1254" s="117" t="inlineStr">
        <is>
          <t>ETPHB KADDOURI BACHIR</t>
        </is>
      </c>
      <c r="I1254" s="117" t="inlineStr">
        <is>
          <t>CAMIONS</t>
        </is>
      </c>
      <c r="J1254" s="117" t="inlineStr">
        <is>
          <t>LOURD</t>
        </is>
      </c>
      <c r="K1254" s="48">
        <f>D1254+8</f>
        <v/>
      </c>
      <c r="L1254" s="48">
        <f>K1254+60</f>
        <v/>
      </c>
      <c r="N1254" s="72">
        <f>E1254</f>
        <v/>
      </c>
      <c r="O1254" s="50">
        <f>F1254/E1254*N1254</f>
        <v/>
      </c>
      <c r="P1254" s="273">
        <f>G1254/E1254*N1254</f>
        <v/>
      </c>
      <c r="S1254" s="200" t="inlineStr">
        <is>
          <t>AC26004LDJD091</t>
        </is>
      </c>
      <c r="T1254" s="201" t="n">
        <v>77</v>
      </c>
      <c r="U1254" s="58" t="inlineStr">
        <is>
          <t>01 UNIT F2000 DUMP TRUCK ( VOIR BL)</t>
        </is>
      </c>
      <c r="V1254" s="67" t="n"/>
      <c r="W1254" s="67" t="n"/>
      <c r="X1254" s="62" t="inlineStr">
        <is>
          <t>N-OP</t>
        </is>
      </c>
      <c r="Y1254" s="116">
        <f>F1254/E1254</f>
        <v/>
      </c>
      <c r="Z1254" s="64">
        <f>E1254-N1254</f>
        <v/>
      </c>
    </row>
    <row r="1255" ht="15.75" customHeight="1" s="202">
      <c r="A1255" s="116" t="n">
        <v>20260075</v>
      </c>
      <c r="B1255" s="117" t="inlineStr">
        <is>
          <t>AMOY CENTURY</t>
        </is>
      </c>
      <c r="C1255" s="118" t="n">
        <v>46091</v>
      </c>
      <c r="E1255" s="116" t="n">
        <v>1</v>
      </c>
      <c r="F1255" s="119" t="n">
        <v>34</v>
      </c>
      <c r="G1255" s="120" t="n">
        <v>24</v>
      </c>
      <c r="H1255" s="117" t="inlineStr">
        <is>
          <t>SARL ENTREPRISE L</t>
        </is>
      </c>
      <c r="I1255" s="117" t="inlineStr">
        <is>
          <t>CAMION POMPE A BETON</t>
        </is>
      </c>
      <c r="J1255" s="117" t="inlineStr">
        <is>
          <t>LOURD</t>
        </is>
      </c>
      <c r="K1255" s="48">
        <f>D1255+8</f>
        <v/>
      </c>
      <c r="L1255" s="48">
        <f>K1255+60</f>
        <v/>
      </c>
      <c r="N1255" s="72">
        <f>E1255</f>
        <v/>
      </c>
      <c r="O1255" s="50">
        <f>F1255/E1255*N1255</f>
        <v/>
      </c>
      <c r="P1255" s="273">
        <f>G1255/E1255*N1255</f>
        <v/>
      </c>
      <c r="S1255" s="200" t="inlineStr">
        <is>
          <t>AC26004LDJD092</t>
        </is>
      </c>
      <c r="T1255" s="201" t="n">
        <v>78</v>
      </c>
      <c r="U1255" s="58" t="inlineStr">
        <is>
          <t>01 UNIT XCMG CONCRETE PUMP TRUCK XS47 ( VOIR BL)</t>
        </is>
      </c>
      <c r="V1255" s="67" t="n"/>
      <c r="W1255" s="67" t="n"/>
      <c r="X1255" s="62" t="inlineStr">
        <is>
          <t>N-OP</t>
        </is>
      </c>
      <c r="Y1255" s="116">
        <f>F1255/E1255</f>
        <v/>
      </c>
      <c r="Z1255" s="64">
        <f>E1255-N1255</f>
        <v/>
      </c>
    </row>
    <row r="1256" ht="15.75" customHeight="1" s="202">
      <c r="A1256" s="116" t="n">
        <v>20260075</v>
      </c>
      <c r="B1256" s="117" t="inlineStr">
        <is>
          <t>AMOY CENTURY</t>
        </is>
      </c>
      <c r="C1256" s="118" t="n">
        <v>46091</v>
      </c>
      <c r="E1256" s="116" t="n">
        <v>1</v>
      </c>
      <c r="F1256" s="119" t="n">
        <v>21.02</v>
      </c>
      <c r="G1256" s="120" t="n">
        <v>24</v>
      </c>
      <c r="H1256" s="117" t="inlineStr">
        <is>
          <t>SARL HADJ ALI HYDRAULIQUE ET ROUTE</t>
        </is>
      </c>
      <c r="I1256" s="117" t="inlineStr">
        <is>
          <t>FINISSEUR</t>
        </is>
      </c>
      <c r="J1256" s="117" t="inlineStr">
        <is>
          <t>ENGINS</t>
        </is>
      </c>
      <c r="K1256" s="48">
        <f>D1256+8</f>
        <v/>
      </c>
      <c r="L1256" s="48">
        <f>K1256+60</f>
        <v/>
      </c>
      <c r="N1256" s="72">
        <f>E1256</f>
        <v/>
      </c>
      <c r="O1256" s="50">
        <f>F1256/E1256*N1256</f>
        <v/>
      </c>
      <c r="P1256" s="273">
        <f>G1256/E1256*N1256</f>
        <v/>
      </c>
      <c r="S1256" s="200" t="inlineStr">
        <is>
          <t>AC26004LDJD093</t>
        </is>
      </c>
      <c r="T1256" s="201" t="n">
        <v>79</v>
      </c>
      <c r="U1256" s="58" t="inlineStr">
        <is>
          <t>01 UNIT XCMG PAVER RP603 01 UNIT XCMG ASPHALT DISTRIBUTOR XLS705A ( VOIR BL)</t>
        </is>
      </c>
      <c r="V1256" s="67" t="n"/>
      <c r="W1256" s="67" t="n"/>
      <c r="X1256" s="62" t="inlineStr">
        <is>
          <t>N-OP</t>
        </is>
      </c>
      <c r="Y1256" s="116">
        <f>F1256/E1256</f>
        <v/>
      </c>
      <c r="Z1256" s="64">
        <f>E1256-N1256</f>
        <v/>
      </c>
    </row>
    <row r="1257" ht="15.75" customHeight="1" s="202">
      <c r="A1257" s="116" t="n">
        <v>20260075</v>
      </c>
      <c r="B1257" s="117" t="inlineStr">
        <is>
          <t>AMOY CENTURY</t>
        </is>
      </c>
      <c r="C1257" s="118" t="n">
        <v>46091</v>
      </c>
      <c r="E1257" s="116" t="n">
        <v>1</v>
      </c>
      <c r="F1257" s="119" t="n">
        <v>10</v>
      </c>
      <c r="G1257" s="120" t="n">
        <v>24</v>
      </c>
      <c r="H1257" s="117" t="inlineStr">
        <is>
          <t>SARL HADJ ALI HYDRAULIQUE ET ROUTE</t>
        </is>
      </c>
      <c r="I1257" s="117" t="inlineStr">
        <is>
          <t>CAMIONS</t>
        </is>
      </c>
      <c r="J1257" s="117" t="inlineStr">
        <is>
          <t>LOURD</t>
        </is>
      </c>
      <c r="K1257" s="48">
        <f>D1257+8</f>
        <v/>
      </c>
      <c r="L1257" s="48">
        <f>K1257+60</f>
        <v/>
      </c>
      <c r="N1257" s="72">
        <f>E1257</f>
        <v/>
      </c>
      <c r="O1257" s="50">
        <f>F1257/E1257*N1257</f>
        <v/>
      </c>
      <c r="P1257" s="273">
        <f>G1257/E1257*N1257</f>
        <v/>
      </c>
      <c r="S1257" s="200" t="inlineStr">
        <is>
          <t>AC26004LDJD093</t>
        </is>
      </c>
      <c r="T1257" s="201" t="n">
        <v>79</v>
      </c>
      <c r="U1257" s="58" t="n"/>
      <c r="V1257" s="67" t="n"/>
      <c r="W1257" s="67" t="n"/>
      <c r="X1257" s="62" t="inlineStr">
        <is>
          <t>N-OP</t>
        </is>
      </c>
      <c r="Y1257" s="116">
        <f>F1257/E1257</f>
        <v/>
      </c>
      <c r="Z1257" s="64">
        <f>E1257-N1257</f>
        <v/>
      </c>
    </row>
    <row r="1258" ht="15.75" customHeight="1" s="202">
      <c r="A1258" s="116" t="n">
        <v>20260075</v>
      </c>
      <c r="B1258" s="117" t="inlineStr">
        <is>
          <t>AMOY CENTURY</t>
        </is>
      </c>
      <c r="C1258" s="118" t="n">
        <v>46091</v>
      </c>
      <c r="E1258" s="116" t="n">
        <v>2</v>
      </c>
      <c r="F1258" s="119" t="n">
        <v>0</v>
      </c>
      <c r="G1258" s="120" t="n">
        <v>10</v>
      </c>
      <c r="H1258" s="117" t="inlineStr">
        <is>
          <t>SARL HADJ ALI HYDRAULIQUE ET ROUTE</t>
        </is>
      </c>
      <c r="I1258" s="117" t="inlineStr">
        <is>
          <t>COLIS</t>
        </is>
      </c>
      <c r="J1258" s="117" t="inlineStr">
        <is>
          <t>COLIS</t>
        </is>
      </c>
      <c r="K1258" s="48">
        <f>D1258+8</f>
        <v/>
      </c>
      <c r="L1258" s="48">
        <f>K1258+60</f>
        <v/>
      </c>
      <c r="N1258" s="72">
        <f>E1258</f>
        <v/>
      </c>
      <c r="O1258" s="50">
        <f>F1258/E1258*N1258</f>
        <v/>
      </c>
      <c r="P1258" s="273">
        <f>G1258/E1258*N1258</f>
        <v/>
      </c>
      <c r="S1258" s="200" t="inlineStr">
        <is>
          <t>AC26004LDJD093</t>
        </is>
      </c>
      <c r="T1258" s="201" t="n">
        <v>79</v>
      </c>
      <c r="U1258" s="58" t="n"/>
      <c r="V1258" s="67" t="n"/>
      <c r="W1258" s="67" t="n"/>
      <c r="X1258" s="62" t="inlineStr">
        <is>
          <t>N-OP</t>
        </is>
      </c>
      <c r="Y1258" s="116">
        <f>F1258/E1258</f>
        <v/>
      </c>
      <c r="Z1258" s="64">
        <f>E1258-N1258</f>
        <v/>
      </c>
    </row>
    <row r="1259" ht="15.75" customHeight="1" s="202">
      <c r="A1259" s="116" t="n">
        <v>20260075</v>
      </c>
      <c r="B1259" s="117" t="inlineStr">
        <is>
          <t>AMOY CENTURY</t>
        </is>
      </c>
      <c r="C1259" s="118" t="n">
        <v>46091</v>
      </c>
      <c r="E1259" s="116" t="n">
        <v>1</v>
      </c>
      <c r="F1259" s="119" t="n">
        <v>34.1</v>
      </c>
      <c r="G1259" s="120" t="n">
        <v>24</v>
      </c>
      <c r="H1259" s="117" t="inlineStr">
        <is>
          <t>BANQUE DE L'AGRICULTURE ET DU DEVELOPPEMENT RURAL</t>
        </is>
      </c>
      <c r="I1259" s="117" t="inlineStr">
        <is>
          <t>EXCAVATEURS</t>
        </is>
      </c>
      <c r="J1259" s="117" t="inlineStr">
        <is>
          <t>ENGINS</t>
        </is>
      </c>
      <c r="K1259" s="48">
        <f>D1259+8</f>
        <v/>
      </c>
      <c r="L1259" s="48">
        <f>K1259+60</f>
        <v/>
      </c>
      <c r="N1259" s="72">
        <f>E1259</f>
        <v/>
      </c>
      <c r="O1259" s="50">
        <f>F1259/E1259*N1259</f>
        <v/>
      </c>
      <c r="P1259" s="273">
        <f>G1259/E1259*N1259</f>
        <v/>
      </c>
      <c r="S1259" s="200" t="inlineStr">
        <is>
          <t>AC26004LDJD095A</t>
        </is>
      </c>
      <c r="T1259" s="201" t="n">
        <v>80</v>
      </c>
      <c r="U1259" s="58" t="inlineStr">
        <is>
          <t>01 UNIT HYUNDAI EXCAVATOR HX340HD ( VOIR BL)</t>
        </is>
      </c>
      <c r="V1259" s="67" t="n"/>
      <c r="W1259" s="67" t="n"/>
      <c r="X1259" s="62" t="inlineStr">
        <is>
          <t>N-OP</t>
        </is>
      </c>
      <c r="Y1259" s="116">
        <f>F1259/E1259</f>
        <v/>
      </c>
      <c r="Z1259" s="64">
        <f>E1259-N1259</f>
        <v/>
      </c>
    </row>
    <row r="1260" ht="15.75" customHeight="1" s="202">
      <c r="A1260" s="116" t="n">
        <v>20260075</v>
      </c>
      <c r="B1260" s="117" t="inlineStr">
        <is>
          <t>AMOY CENTURY</t>
        </is>
      </c>
      <c r="C1260" s="118" t="n">
        <v>46091</v>
      </c>
      <c r="E1260" s="116" t="n">
        <v>1</v>
      </c>
      <c r="F1260" s="119" t="n">
        <v>0</v>
      </c>
      <c r="G1260" s="120" t="n">
        <v>5</v>
      </c>
      <c r="H1260" s="117" t="inlineStr">
        <is>
          <t>BANQUE DE L'AGRICULTURE ET DU DEVELOPPEMENT RURAL</t>
        </is>
      </c>
      <c r="I1260" s="117" t="inlineStr">
        <is>
          <t>COLIS</t>
        </is>
      </c>
      <c r="J1260" s="117" t="inlineStr">
        <is>
          <t>COLIS</t>
        </is>
      </c>
      <c r="K1260" s="48">
        <f>D1260+8</f>
        <v/>
      </c>
      <c r="L1260" s="48">
        <f>K1260+60</f>
        <v/>
      </c>
      <c r="N1260" s="72">
        <f>E1260</f>
        <v/>
      </c>
      <c r="O1260" s="50">
        <f>F1260/E1260*N1260</f>
        <v/>
      </c>
      <c r="P1260" s="273">
        <f>G1260/E1260*N1260</f>
        <v/>
      </c>
      <c r="S1260" s="200" t="inlineStr">
        <is>
          <t>AC26004LDJD095A</t>
        </is>
      </c>
      <c r="T1260" s="201" t="n">
        <v>80</v>
      </c>
      <c r="U1260" s="58" t="n"/>
      <c r="V1260" s="67" t="n"/>
      <c r="W1260" s="67" t="n"/>
      <c r="X1260" s="62" t="inlineStr">
        <is>
          <t>N-OP</t>
        </is>
      </c>
      <c r="Y1260" s="116">
        <f>F1260/E1260</f>
        <v/>
      </c>
      <c r="Z1260" s="64">
        <f>E1260-N1260</f>
        <v/>
      </c>
    </row>
    <row r="1261" ht="15.75" customHeight="1" s="202">
      <c r="A1261" s="116" t="n">
        <v>20260075</v>
      </c>
      <c r="B1261" s="117" t="inlineStr">
        <is>
          <t>AMOY CENTURY</t>
        </is>
      </c>
      <c r="C1261" s="118" t="n">
        <v>46091</v>
      </c>
      <c r="E1261" s="116" t="n">
        <v>2</v>
      </c>
      <c r="F1261" s="119" t="n">
        <v>6</v>
      </c>
      <c r="G1261" s="120" t="n">
        <v>48</v>
      </c>
      <c r="H1261" s="117" t="inlineStr">
        <is>
          <t>BANQUE DE L'AGRICULTURE ET DU DEVELOPPEMENT RURAL</t>
        </is>
      </c>
      <c r="I1261" s="117" t="inlineStr">
        <is>
          <t>EXCAVATEURS</t>
        </is>
      </c>
      <c r="J1261" s="117" t="inlineStr">
        <is>
          <t>ENGINS</t>
        </is>
      </c>
      <c r="K1261" s="48">
        <f>D1261+8</f>
        <v/>
      </c>
      <c r="L1261" s="48">
        <f>K1261+60</f>
        <v/>
      </c>
      <c r="N1261" s="72">
        <f>E1261</f>
        <v/>
      </c>
      <c r="O1261" s="50">
        <f>F1261/E1261*N1261</f>
        <v/>
      </c>
      <c r="P1261" s="273">
        <f>G1261/E1261*N1261</f>
        <v/>
      </c>
      <c r="S1261" s="200" t="inlineStr">
        <is>
          <t>AC26004LDJD095B</t>
        </is>
      </c>
      <c r="T1261" s="201" t="n">
        <v>81</v>
      </c>
      <c r="U1261" s="58" t="inlineStr">
        <is>
          <t>02 UNITS HYUNDAI ROCK BREAKER FOR EXCAVATER HX340HD (VOIR BL)</t>
        </is>
      </c>
      <c r="V1261" s="67" t="n"/>
      <c r="W1261" s="67" t="n"/>
      <c r="X1261" s="62" t="inlineStr">
        <is>
          <t>N-OP</t>
        </is>
      </c>
      <c r="Y1261" s="116">
        <f>F1261/E1261</f>
        <v/>
      </c>
      <c r="Z1261" s="64">
        <f>E1261-N1261</f>
        <v/>
      </c>
    </row>
    <row r="1262" ht="15.75" customHeight="1" s="202">
      <c r="A1262" s="116" t="n">
        <v>20260075</v>
      </c>
      <c r="B1262" s="117" t="inlineStr">
        <is>
          <t>AMOY CENTURY</t>
        </is>
      </c>
      <c r="C1262" s="118" t="n">
        <v>46091</v>
      </c>
      <c r="E1262" s="116" t="n">
        <v>1</v>
      </c>
      <c r="F1262" s="119" t="n">
        <v>37.1</v>
      </c>
      <c r="G1262" s="120" t="n">
        <v>24</v>
      </c>
      <c r="H1262" s="117" t="inlineStr">
        <is>
          <t>EURL KIOUS INVESTISSEMENT</t>
        </is>
      </c>
      <c r="I1262" s="117" t="inlineStr">
        <is>
          <t>EXCAVATEURS</t>
        </is>
      </c>
      <c r="J1262" s="117" t="inlineStr">
        <is>
          <t>ENGINS</t>
        </is>
      </c>
      <c r="K1262" s="48">
        <f>D1262+8</f>
        <v/>
      </c>
      <c r="L1262" s="48">
        <f>K1262+60</f>
        <v/>
      </c>
      <c r="N1262" s="72">
        <f>E1262</f>
        <v/>
      </c>
      <c r="O1262" s="50">
        <f>F1262/E1262*N1262</f>
        <v/>
      </c>
      <c r="P1262" s="273">
        <f>G1262/E1262*N1262</f>
        <v/>
      </c>
      <c r="S1262" s="200" t="inlineStr">
        <is>
          <t>AC26004LDJD096</t>
        </is>
      </c>
      <c r="T1262" s="201" t="n">
        <v>82</v>
      </c>
      <c r="U1262" s="58" t="inlineStr">
        <is>
          <t>01 UNIT HYUNDAI EXCAVATOR HX340HD ( VOIR BL)</t>
        </is>
      </c>
      <c r="V1262" s="67" t="n"/>
      <c r="W1262" s="67" t="n"/>
      <c r="X1262" s="62" t="inlineStr">
        <is>
          <t>N-OP</t>
        </is>
      </c>
      <c r="Y1262" s="116">
        <f>F1262/E1262</f>
        <v/>
      </c>
      <c r="Z1262" s="64">
        <f>E1262-N1262</f>
        <v/>
      </c>
    </row>
    <row r="1263" ht="15.75" customHeight="1" s="202">
      <c r="A1263" s="116" t="n">
        <v>20260075</v>
      </c>
      <c r="B1263" s="117" t="inlineStr">
        <is>
          <t>AMOY CENTURY</t>
        </is>
      </c>
      <c r="C1263" s="118" t="n">
        <v>46091</v>
      </c>
      <c r="E1263" s="116" t="n">
        <v>2</v>
      </c>
      <c r="F1263" s="119" t="n">
        <v>0</v>
      </c>
      <c r="G1263" s="120" t="n">
        <v>10</v>
      </c>
      <c r="H1263" s="117" t="inlineStr">
        <is>
          <t>EURL KIOUS INVESTISSEMENT</t>
        </is>
      </c>
      <c r="I1263" s="117" t="inlineStr">
        <is>
          <t>COLIS</t>
        </is>
      </c>
      <c r="J1263" s="117" t="inlineStr">
        <is>
          <t>COLIS</t>
        </is>
      </c>
      <c r="K1263" s="48">
        <f>D1263+8</f>
        <v/>
      </c>
      <c r="L1263" s="48">
        <f>K1263+60</f>
        <v/>
      </c>
      <c r="N1263" s="72">
        <f>E1263</f>
        <v/>
      </c>
      <c r="O1263" s="50">
        <f>F1263/E1263*N1263</f>
        <v/>
      </c>
      <c r="P1263" s="273">
        <f>G1263/E1263*N1263</f>
        <v/>
      </c>
      <c r="S1263" s="200" t="inlineStr">
        <is>
          <t>AC26004LDJD096</t>
        </is>
      </c>
      <c r="T1263" s="201" t="n">
        <v>82</v>
      </c>
      <c r="U1263" s="58" t="n"/>
      <c r="V1263" s="67" t="n"/>
      <c r="W1263" s="67" t="n"/>
      <c r="X1263" s="62" t="inlineStr">
        <is>
          <t>N-OP</t>
        </is>
      </c>
      <c r="Y1263" s="116">
        <f>F1263/E1263</f>
        <v/>
      </c>
      <c r="Z1263" s="64">
        <f>E1263-N1263</f>
        <v/>
      </c>
    </row>
    <row r="1264" ht="15.75" customHeight="1" s="202">
      <c r="A1264" s="116" t="n">
        <v>20260075</v>
      </c>
      <c r="B1264" s="117" t="inlineStr">
        <is>
          <t>AMOY CENTURY</t>
        </is>
      </c>
      <c r="C1264" s="118" t="n">
        <v>46091</v>
      </c>
      <c r="E1264" s="116" t="n">
        <v>1</v>
      </c>
      <c r="F1264" s="119" t="n">
        <v>14</v>
      </c>
      <c r="G1264" s="120" t="n">
        <v>24</v>
      </c>
      <c r="H1264" s="117" t="inlineStr">
        <is>
          <t>ASSAS TAREK</t>
        </is>
      </c>
      <c r="I1264" s="117" t="inlineStr">
        <is>
          <t>CAMIONS</t>
        </is>
      </c>
      <c r="J1264" s="117" t="inlineStr">
        <is>
          <t>LOURD</t>
        </is>
      </c>
      <c r="K1264" s="48">
        <f>D1264+8</f>
        <v/>
      </c>
      <c r="L1264" s="48">
        <f>K1264+60</f>
        <v/>
      </c>
      <c r="N1264" s="72">
        <f>E1264</f>
        <v/>
      </c>
      <c r="O1264" s="50">
        <f>F1264/E1264*N1264</f>
        <v/>
      </c>
      <c r="P1264" s="273">
        <f>G1264/E1264*N1264</f>
        <v/>
      </c>
      <c r="S1264" s="200" t="inlineStr">
        <is>
          <t>AC26004LDJD098</t>
        </is>
      </c>
      <c r="T1264" s="201" t="n">
        <v>83</v>
      </c>
      <c r="U1264" s="58" t="inlineStr">
        <is>
          <t>01 UNIT SINOTRUK HOWO TX 6X4 TIPPER TRUCK LHD-16 CBM SEMI REMORQUE (VOIR BL)</t>
        </is>
      </c>
      <c r="V1264" s="67" t="n"/>
      <c r="W1264" s="67" t="n"/>
      <c r="X1264" s="62" t="inlineStr">
        <is>
          <t>N-OP</t>
        </is>
      </c>
      <c r="Y1264" s="116">
        <f>F1264/E1264</f>
        <v/>
      </c>
      <c r="Z1264" s="64">
        <f>E1264-N1264</f>
        <v/>
      </c>
    </row>
    <row r="1265" ht="15.75" customHeight="1" s="202">
      <c r="A1265" s="116" t="n">
        <v>20260075</v>
      </c>
      <c r="B1265" s="117" t="inlineStr">
        <is>
          <t>AMOY CENTURY</t>
        </is>
      </c>
      <c r="C1265" s="118" t="n">
        <v>46091</v>
      </c>
      <c r="E1265" s="116" t="n">
        <v>1</v>
      </c>
      <c r="F1265" s="119" t="n">
        <v>12</v>
      </c>
      <c r="G1265" s="120" t="n">
        <v>60</v>
      </c>
      <c r="H1265" s="117" t="inlineStr">
        <is>
          <t>SARL RED MAO SERVICES</t>
        </is>
      </c>
      <c r="I1265" s="117" t="inlineStr">
        <is>
          <t>CAMION GRUE</t>
        </is>
      </c>
      <c r="J1265" s="117" t="inlineStr">
        <is>
          <t>ENGINS</t>
        </is>
      </c>
      <c r="K1265" s="48">
        <f>D1265+8</f>
        <v/>
      </c>
      <c r="L1265" s="48">
        <f>K1265+60</f>
        <v/>
      </c>
      <c r="N1265" s="72">
        <f>E1265</f>
        <v/>
      </c>
      <c r="O1265" s="50">
        <f>F1265/E1265*N1265</f>
        <v/>
      </c>
      <c r="P1265" s="273">
        <f>G1265/E1265*N1265</f>
        <v/>
      </c>
      <c r="S1265" s="200" t="inlineStr">
        <is>
          <t>AC26004LDJD099</t>
        </is>
      </c>
      <c r="T1265" s="201" t="n">
        <v>84</v>
      </c>
      <c r="U1265" s="58" t="inlineStr">
        <is>
          <t>01 UNIT TRUCK MOUNTED CRANE CAMION PLATEAU AND GRUE ( VOIR BL)</t>
        </is>
      </c>
      <c r="V1265" s="67" t="n"/>
      <c r="W1265" s="67" t="n"/>
      <c r="X1265" s="62" t="inlineStr">
        <is>
          <t>N-OP</t>
        </is>
      </c>
      <c r="Y1265" s="116">
        <f>F1265/E1265</f>
        <v/>
      </c>
      <c r="Z1265" s="64">
        <f>E1265-N1265</f>
        <v/>
      </c>
    </row>
    <row r="1266" ht="15.75" customHeight="1" s="202">
      <c r="A1266" s="116" t="n">
        <v>20260075</v>
      </c>
      <c r="B1266" s="117" t="inlineStr">
        <is>
          <t>AMOY CENTURY</t>
        </is>
      </c>
      <c r="C1266" s="118" t="n">
        <v>46091</v>
      </c>
      <c r="E1266" s="116" t="n">
        <v>1</v>
      </c>
      <c r="F1266" s="119" t="n">
        <v>41.34</v>
      </c>
      <c r="G1266" s="120" t="n">
        <v>24</v>
      </c>
      <c r="H1266" s="117" t="inlineStr">
        <is>
          <t>SARL TIZLAOUIN SERVICES</t>
        </is>
      </c>
      <c r="I1266" s="117" t="inlineStr">
        <is>
          <t>BULLDOZERS</t>
        </is>
      </c>
      <c r="J1266" s="117" t="inlineStr">
        <is>
          <t>ENGINS</t>
        </is>
      </c>
      <c r="K1266" s="48">
        <f>D1266+8</f>
        <v/>
      </c>
      <c r="L1266" s="48">
        <f>K1266+60</f>
        <v/>
      </c>
      <c r="N1266" s="72">
        <f>E1266</f>
        <v/>
      </c>
      <c r="O1266" s="50">
        <f>F1266/E1266*N1266</f>
        <v/>
      </c>
      <c r="P1266" s="273">
        <f>G1266/E1266*N1266</f>
        <v/>
      </c>
      <c r="S1266" s="200" t="inlineStr">
        <is>
          <t>AC26004LDJD100</t>
        </is>
      </c>
      <c r="T1266" s="201" t="n">
        <v>85</v>
      </c>
      <c r="U1266" s="58" t="inlineStr">
        <is>
          <t>01 UNIT HAITUI BULLDOZER HD32 ( VOIR BL)</t>
        </is>
      </c>
      <c r="V1266" s="67" t="n"/>
      <c r="W1266" s="67" t="n"/>
      <c r="X1266" s="62" t="inlineStr">
        <is>
          <t>N-OP</t>
        </is>
      </c>
      <c r="Y1266" s="116">
        <f>F1266/E1266</f>
        <v/>
      </c>
      <c r="Z1266" s="64">
        <f>E1266-N1266</f>
        <v/>
      </c>
    </row>
    <row r="1267" ht="15.75" customHeight="1" s="202">
      <c r="A1267" s="116" t="n">
        <v>20260075</v>
      </c>
      <c r="B1267" s="117" t="inlineStr">
        <is>
          <t>AMOY CENTURY</t>
        </is>
      </c>
      <c r="C1267" s="118" t="n">
        <v>46091</v>
      </c>
      <c r="E1267" s="116" t="n">
        <v>3</v>
      </c>
      <c r="F1267" s="119" t="n">
        <v>0</v>
      </c>
      <c r="G1267" s="120" t="n">
        <v>15</v>
      </c>
      <c r="H1267" s="117" t="inlineStr">
        <is>
          <t>SARL TIZLAOUIN SERVICES</t>
        </is>
      </c>
      <c r="I1267" s="117" t="inlineStr">
        <is>
          <t>COLIS</t>
        </is>
      </c>
      <c r="J1267" s="117" t="inlineStr">
        <is>
          <t>COLIS</t>
        </is>
      </c>
      <c r="K1267" s="48">
        <f>D1267+8</f>
        <v/>
      </c>
      <c r="L1267" s="48">
        <f>K1267+60</f>
        <v/>
      </c>
      <c r="N1267" s="72">
        <f>E1267</f>
        <v/>
      </c>
      <c r="O1267" s="50">
        <f>F1267/E1267*N1267</f>
        <v/>
      </c>
      <c r="P1267" s="273">
        <f>G1267/E1267*N1267</f>
        <v/>
      </c>
      <c r="S1267" s="200" t="inlineStr">
        <is>
          <t>AC26004LDJD100</t>
        </is>
      </c>
      <c r="T1267" s="201" t="n">
        <v>85</v>
      </c>
      <c r="U1267" s="58" t="n"/>
      <c r="V1267" s="67" t="n"/>
      <c r="W1267" s="67" t="n"/>
      <c r="X1267" s="62" t="inlineStr">
        <is>
          <t>N-OP</t>
        </is>
      </c>
      <c r="Y1267" s="116">
        <f>F1267/E1267</f>
        <v/>
      </c>
      <c r="Z1267" s="64">
        <f>E1267-N1267</f>
        <v/>
      </c>
    </row>
    <row r="1268" ht="15.75" customHeight="1" s="202">
      <c r="A1268" s="116" t="n">
        <v>20260075</v>
      </c>
      <c r="B1268" s="117" t="inlineStr">
        <is>
          <t>AMOY CENTURY</t>
        </is>
      </c>
      <c r="C1268" s="118" t="n">
        <v>46091</v>
      </c>
      <c r="E1268" s="116" t="n">
        <v>1</v>
      </c>
      <c r="F1268" s="119" t="n">
        <v>22</v>
      </c>
      <c r="G1268" s="120" t="n">
        <v>24</v>
      </c>
      <c r="H1268" s="117" t="inlineStr">
        <is>
          <t>EURL EL TAHOURE GRANDS TRAVAUX PUBLICS HYDRAULIQUE</t>
        </is>
      </c>
      <c r="I1268" s="117" t="inlineStr">
        <is>
          <t>EXCAVATEURS</t>
        </is>
      </c>
      <c r="J1268" s="117" t="inlineStr">
        <is>
          <t>ENGINS</t>
        </is>
      </c>
      <c r="K1268" s="48">
        <f>D1268+8</f>
        <v/>
      </c>
      <c r="L1268" s="48">
        <f>K1268+60</f>
        <v/>
      </c>
      <c r="N1268" s="72">
        <f>E1268</f>
        <v/>
      </c>
      <c r="O1268" s="50">
        <f>F1268/E1268*N1268</f>
        <v/>
      </c>
      <c r="P1268" s="273">
        <f>G1268/E1268*N1268</f>
        <v/>
      </c>
      <c r="S1268" s="200" t="inlineStr">
        <is>
          <t>AC26004LDJD101</t>
        </is>
      </c>
      <c r="T1268" s="201" t="n">
        <v>86</v>
      </c>
      <c r="U1268" s="58" t="inlineStr">
        <is>
          <t>01 UNIT EXCAVATOR HYUNDAI HX220HD ( VOIR BL)</t>
        </is>
      </c>
      <c r="V1268" s="67" t="n"/>
      <c r="W1268" s="67" t="n"/>
      <c r="X1268" s="62" t="inlineStr">
        <is>
          <t>N-OP</t>
        </is>
      </c>
      <c r="Y1268" s="116">
        <f>F1268/E1268</f>
        <v/>
      </c>
      <c r="Z1268" s="64">
        <f>E1268-N1268</f>
        <v/>
      </c>
    </row>
    <row r="1269" ht="15.75" customHeight="1" s="202">
      <c r="A1269" s="116" t="n">
        <v>20260075</v>
      </c>
      <c r="B1269" s="117" t="inlineStr">
        <is>
          <t>AMOY CENTURY</t>
        </is>
      </c>
      <c r="C1269" s="118" t="n">
        <v>46091</v>
      </c>
      <c r="E1269" s="116" t="n">
        <v>1</v>
      </c>
      <c r="F1269" s="119" t="n">
        <v>37.3</v>
      </c>
      <c r="G1269" s="120" t="n">
        <v>24</v>
      </c>
      <c r="H1269" s="117" t="inlineStr">
        <is>
          <t>EURL HYPRO MAX</t>
        </is>
      </c>
      <c r="I1269" s="117" t="inlineStr">
        <is>
          <t>EXCAVATEURS</t>
        </is>
      </c>
      <c r="J1269" s="117" t="inlineStr">
        <is>
          <t>ENGINS</t>
        </is>
      </c>
      <c r="K1269" s="48">
        <f>D1269+8</f>
        <v/>
      </c>
      <c r="L1269" s="48">
        <f>K1269+60</f>
        <v/>
      </c>
      <c r="N1269" s="72">
        <f>E1269</f>
        <v/>
      </c>
      <c r="O1269" s="50">
        <f>F1269/E1269*N1269</f>
        <v/>
      </c>
      <c r="P1269" s="273">
        <f>G1269/E1269*N1269</f>
        <v/>
      </c>
      <c r="S1269" s="200" t="inlineStr">
        <is>
          <t>AC26004LDJD102</t>
        </is>
      </c>
      <c r="T1269" s="201" t="n">
        <v>87</v>
      </c>
      <c r="U1269" s="58" t="inlineStr">
        <is>
          <t>01 UNIT HYUNDAI EXCAVATOR HX340HD ( VOIR BL)</t>
        </is>
      </c>
      <c r="V1269" s="67" t="n"/>
      <c r="W1269" s="67" t="n"/>
      <c r="X1269" s="62" t="inlineStr">
        <is>
          <t>N-OP</t>
        </is>
      </c>
      <c r="Y1269" s="116">
        <f>F1269/E1269</f>
        <v/>
      </c>
      <c r="Z1269" s="64">
        <f>E1269-N1269</f>
        <v/>
      </c>
    </row>
    <row r="1270" ht="15.75" customHeight="1" s="202">
      <c r="A1270" s="116" t="n">
        <v>20260075</v>
      </c>
      <c r="B1270" s="117" t="inlineStr">
        <is>
          <t>AMOY CENTURY</t>
        </is>
      </c>
      <c r="C1270" s="118" t="n">
        <v>46091</v>
      </c>
      <c r="E1270" s="116" t="n">
        <v>2</v>
      </c>
      <c r="F1270" s="119" t="n">
        <v>0</v>
      </c>
      <c r="G1270" s="120" t="n">
        <v>10</v>
      </c>
      <c r="H1270" s="117" t="inlineStr">
        <is>
          <t>EURL HYPRO MAX</t>
        </is>
      </c>
      <c r="I1270" s="117" t="inlineStr">
        <is>
          <t>COLIS</t>
        </is>
      </c>
      <c r="J1270" s="117" t="inlineStr">
        <is>
          <t>COLIS</t>
        </is>
      </c>
      <c r="K1270" s="48">
        <f>D1270+8</f>
        <v/>
      </c>
      <c r="L1270" s="48">
        <f>K1270+60</f>
        <v/>
      </c>
      <c r="N1270" s="72">
        <f>E1270</f>
        <v/>
      </c>
      <c r="O1270" s="50">
        <f>F1270/E1270*N1270</f>
        <v/>
      </c>
      <c r="P1270" s="273">
        <f>G1270/E1270*N1270</f>
        <v/>
      </c>
      <c r="S1270" s="200" t="inlineStr">
        <is>
          <t>AC26004LDJD102</t>
        </is>
      </c>
      <c r="T1270" s="201" t="n">
        <v>87</v>
      </c>
      <c r="U1270" s="58" t="n"/>
      <c r="V1270" s="67" t="n"/>
      <c r="W1270" s="67" t="n"/>
      <c r="X1270" s="62" t="inlineStr">
        <is>
          <t>N-OP</t>
        </is>
      </c>
      <c r="Y1270" s="116">
        <f>F1270/E1270</f>
        <v/>
      </c>
      <c r="Z1270" s="64">
        <f>E1270-N1270</f>
        <v/>
      </c>
    </row>
    <row r="1271" ht="15.75" customHeight="1" s="202">
      <c r="A1271" s="116" t="n">
        <v>20260075</v>
      </c>
      <c r="B1271" s="117" t="inlineStr">
        <is>
          <t>AMOY CENTURY</t>
        </is>
      </c>
      <c r="C1271" s="118" t="n">
        <v>46091</v>
      </c>
      <c r="E1271" s="116" t="n">
        <v>1</v>
      </c>
      <c r="F1271" s="119" t="n">
        <v>26.3</v>
      </c>
      <c r="G1271" s="120" t="n">
        <v>24</v>
      </c>
      <c r="H1271" s="117" t="inlineStr">
        <is>
          <t>SARL ZINE</t>
        </is>
      </c>
      <c r="I1271" s="117" t="inlineStr">
        <is>
          <t>COMPACTEURS</t>
        </is>
      </c>
      <c r="J1271" s="117" t="inlineStr">
        <is>
          <t>ENGINS</t>
        </is>
      </c>
      <c r="K1271" s="48">
        <f>D1271+8</f>
        <v/>
      </c>
      <c r="L1271" s="48">
        <f>K1271+60</f>
        <v/>
      </c>
      <c r="N1271" s="72">
        <f>E1271</f>
        <v/>
      </c>
      <c r="O1271" s="50">
        <f>F1271/E1271*N1271</f>
        <v/>
      </c>
      <c r="P1271" s="273">
        <f>G1271/E1271*N1271</f>
        <v/>
      </c>
      <c r="S1271" s="200" t="inlineStr">
        <is>
          <t>AC26004LDJD103</t>
        </is>
      </c>
      <c r="T1271" s="201" t="n">
        <v>88</v>
      </c>
      <c r="U1271" s="58" t="inlineStr">
        <is>
          <t>01 UNIT XCMG ROAD ROLLER XP263S ( VOIR BL)</t>
        </is>
      </c>
      <c r="V1271" s="67" t="n"/>
      <c r="W1271" s="67" t="n"/>
      <c r="X1271" s="62" t="inlineStr">
        <is>
          <t>N-OP</t>
        </is>
      </c>
      <c r="Y1271" s="116">
        <f>F1271/E1271</f>
        <v/>
      </c>
      <c r="Z1271" s="64">
        <f>E1271-N1271</f>
        <v/>
      </c>
    </row>
    <row r="1272" ht="15.75" customHeight="1" s="202">
      <c r="A1272" s="116" t="n">
        <v>20260075</v>
      </c>
      <c r="B1272" s="117" t="inlineStr">
        <is>
          <t>AMOY CENTURY</t>
        </is>
      </c>
      <c r="C1272" s="118" t="n">
        <v>46091</v>
      </c>
      <c r="E1272" s="116" t="n">
        <v>2</v>
      </c>
      <c r="F1272" s="119" t="n">
        <v>74.59999999999999</v>
      </c>
      <c r="G1272" s="120" t="n">
        <v>48</v>
      </c>
      <c r="H1272" s="117" t="inlineStr">
        <is>
          <t>SADOUKI CHAABANE</t>
        </is>
      </c>
      <c r="I1272" s="117" t="inlineStr">
        <is>
          <t>EXCAVATEURS</t>
        </is>
      </c>
      <c r="J1272" s="117" t="inlineStr">
        <is>
          <t>ENGINS</t>
        </is>
      </c>
      <c r="K1272" s="48">
        <f>D1272+8</f>
        <v/>
      </c>
      <c r="L1272" s="48">
        <f>K1272+60</f>
        <v/>
      </c>
      <c r="N1272" s="72">
        <f>E1272</f>
        <v/>
      </c>
      <c r="O1272" s="50">
        <f>F1272/E1272*N1272</f>
        <v/>
      </c>
      <c r="P1272" s="273">
        <f>G1272/E1272*N1272</f>
        <v/>
      </c>
      <c r="S1272" s="200" t="inlineStr">
        <is>
          <t>AC26004LDJD104</t>
        </is>
      </c>
      <c r="T1272" s="201" t="n">
        <v>89</v>
      </c>
      <c r="U1272" s="58" t="inlineStr">
        <is>
          <t>02 UNITS HX340HD HYUNDAI EXCAVATOR 02 UNITS HDBB-165 MODERN CRUSHER HYDRAULIC ( VOIR BL )</t>
        </is>
      </c>
      <c r="V1272" s="67" t="n"/>
      <c r="W1272" s="67" t="n"/>
      <c r="X1272" s="62" t="inlineStr">
        <is>
          <t>N-OP</t>
        </is>
      </c>
      <c r="Y1272" s="116">
        <f>F1272/E1272</f>
        <v/>
      </c>
      <c r="Z1272" s="64">
        <f>E1272-N1272</f>
        <v/>
      </c>
    </row>
    <row r="1273" ht="15.75" customHeight="1" s="202">
      <c r="A1273" s="116" t="n">
        <v>20260075</v>
      </c>
      <c r="B1273" s="117" t="inlineStr">
        <is>
          <t>AMOY CENTURY</t>
        </is>
      </c>
      <c r="C1273" s="118" t="n">
        <v>46091</v>
      </c>
      <c r="E1273" s="116" t="n">
        <v>4</v>
      </c>
      <c r="F1273" s="119" t="n">
        <v>0</v>
      </c>
      <c r="G1273" s="120" t="n">
        <v>20</v>
      </c>
      <c r="H1273" s="117" t="inlineStr">
        <is>
          <t>SADOUKI CHAABANE</t>
        </is>
      </c>
      <c r="I1273" s="117" t="inlineStr">
        <is>
          <t>COLIS</t>
        </is>
      </c>
      <c r="J1273" s="117" t="inlineStr">
        <is>
          <t>COLIS</t>
        </is>
      </c>
      <c r="K1273" s="48">
        <f>D1273+8</f>
        <v/>
      </c>
      <c r="L1273" s="48">
        <f>K1273+60</f>
        <v/>
      </c>
      <c r="N1273" s="72">
        <f>E1273</f>
        <v/>
      </c>
      <c r="O1273" s="50">
        <f>F1273/E1273*N1273</f>
        <v/>
      </c>
      <c r="P1273" s="273">
        <f>G1273/E1273*N1273</f>
        <v/>
      </c>
      <c r="S1273" s="200" t="inlineStr">
        <is>
          <t>AC26004LDJD104</t>
        </is>
      </c>
      <c r="T1273" s="201" t="n">
        <v>89</v>
      </c>
      <c r="U1273" s="58" t="n"/>
      <c r="V1273" s="67" t="n"/>
      <c r="W1273" s="67" t="n"/>
      <c r="X1273" s="62" t="inlineStr">
        <is>
          <t>N-OP</t>
        </is>
      </c>
      <c r="Y1273" s="116">
        <f>F1273/E1273</f>
        <v/>
      </c>
      <c r="Z1273" s="64">
        <f>E1273-N1273</f>
        <v/>
      </c>
    </row>
    <row r="1274" ht="15.75" customHeight="1" s="202">
      <c r="A1274" s="116" t="n">
        <v>20260075</v>
      </c>
      <c r="B1274" s="117" t="inlineStr">
        <is>
          <t>AMOY CENTURY</t>
        </is>
      </c>
      <c r="C1274" s="118" t="n">
        <v>46091</v>
      </c>
      <c r="E1274" s="116" t="n">
        <v>10</v>
      </c>
      <c r="F1274" s="119" t="n">
        <v>93</v>
      </c>
      <c r="G1274" s="120" t="n">
        <v>240</v>
      </c>
      <c r="H1274" s="117" t="inlineStr">
        <is>
          <t>SARL WIHDA TRUCKING COMPANY</t>
        </is>
      </c>
      <c r="I1274" s="117" t="inlineStr">
        <is>
          <t>CAMIONS</t>
        </is>
      </c>
      <c r="J1274" s="117" t="inlineStr">
        <is>
          <t>LOURD</t>
        </is>
      </c>
      <c r="K1274" s="48">
        <f>D1274+8</f>
        <v/>
      </c>
      <c r="L1274" s="48">
        <f>K1274+60</f>
        <v/>
      </c>
      <c r="N1274" s="72">
        <f>E1274</f>
        <v/>
      </c>
      <c r="O1274" s="50">
        <f>F1274/E1274*N1274</f>
        <v/>
      </c>
      <c r="P1274" s="273">
        <f>G1274/E1274*N1274</f>
        <v/>
      </c>
      <c r="S1274" s="200" t="inlineStr">
        <is>
          <t>AC26004LDJD106A</t>
        </is>
      </c>
      <c r="T1274" s="201" t="n">
        <v>90</v>
      </c>
      <c r="U1274" s="58" t="inlineStr">
        <is>
          <t>10 UNITS LEFT HAND DRIVE 6*4 HOWO TRACTOR ( VOIR BL)</t>
        </is>
      </c>
      <c r="V1274" s="67" t="n"/>
      <c r="W1274" s="67" t="n"/>
      <c r="X1274" s="62" t="inlineStr">
        <is>
          <t>N-OP</t>
        </is>
      </c>
      <c r="Y1274" s="116">
        <f>F1274/E1274</f>
        <v/>
      </c>
      <c r="Z1274" s="64">
        <f>E1274-N1274</f>
        <v/>
      </c>
    </row>
    <row r="1275" ht="15.75" customHeight="1" s="202">
      <c r="A1275" s="116" t="n">
        <v>20260075</v>
      </c>
      <c r="B1275" s="117" t="inlineStr">
        <is>
          <t>AMOY CENTURY</t>
        </is>
      </c>
      <c r="C1275" s="118" t="n">
        <v>46091</v>
      </c>
      <c r="E1275" s="116" t="n">
        <v>2</v>
      </c>
      <c r="F1275" s="119" t="n">
        <v>18.6</v>
      </c>
      <c r="G1275" s="120" t="n">
        <v>48</v>
      </c>
      <c r="H1275" s="117" t="inlineStr">
        <is>
          <t>SARL FAST ROAD</t>
        </is>
      </c>
      <c r="I1275" s="117" t="inlineStr">
        <is>
          <t>CAMIONS</t>
        </is>
      </c>
      <c r="J1275" s="117" t="inlineStr">
        <is>
          <t>LOURD</t>
        </is>
      </c>
      <c r="K1275" s="48">
        <f>D1275+8</f>
        <v/>
      </c>
      <c r="L1275" s="48">
        <f>K1275+60</f>
        <v/>
      </c>
      <c r="N1275" s="72">
        <f>E1275</f>
        <v/>
      </c>
      <c r="O1275" s="50">
        <f>F1275/E1275*N1275</f>
        <v/>
      </c>
      <c r="P1275" s="273">
        <f>G1275/E1275*N1275</f>
        <v/>
      </c>
      <c r="S1275" s="200" t="inlineStr">
        <is>
          <t>AC26004LDJD106B</t>
        </is>
      </c>
      <c r="T1275" s="201" t="n">
        <v>91</v>
      </c>
      <c r="U1275" s="58" t="inlineStr">
        <is>
          <t>02 UNITS LEFT HAND DRIVE 6*4 HOWO TRACTOR ( VOIR BL)</t>
        </is>
      </c>
      <c r="V1275" s="67" t="n"/>
      <c r="W1275" s="67" t="n"/>
      <c r="X1275" s="62" t="inlineStr">
        <is>
          <t>N-OP</t>
        </is>
      </c>
      <c r="Y1275" s="116">
        <f>F1275/E1275</f>
        <v/>
      </c>
      <c r="Z1275" s="64">
        <f>E1275-N1275</f>
        <v/>
      </c>
    </row>
    <row r="1276" ht="15.75" customHeight="1" s="202">
      <c r="A1276" s="116" t="n">
        <v>20260075</v>
      </c>
      <c r="B1276" s="117" t="inlineStr">
        <is>
          <t>AMOY CENTURY</t>
        </is>
      </c>
      <c r="C1276" s="118" t="n">
        <v>46091</v>
      </c>
      <c r="E1276" s="116" t="n">
        <v>1</v>
      </c>
      <c r="F1276" s="119" t="n">
        <v>21.9</v>
      </c>
      <c r="G1276" s="120" t="n">
        <v>24</v>
      </c>
      <c r="H1276" s="117" t="inlineStr">
        <is>
          <t>KHENTOUCHE BELKACEM</t>
        </is>
      </c>
      <c r="I1276" s="117" t="inlineStr">
        <is>
          <t>EXCAVATEURS</t>
        </is>
      </c>
      <c r="J1276" s="117" t="inlineStr">
        <is>
          <t>ENGINS</t>
        </is>
      </c>
      <c r="K1276" s="48">
        <f>D1276+8</f>
        <v/>
      </c>
      <c r="L1276" s="48">
        <f>K1276+60</f>
        <v/>
      </c>
      <c r="N1276" s="72">
        <f>E1276</f>
        <v/>
      </c>
      <c r="O1276" s="50">
        <f>F1276/E1276*N1276</f>
        <v/>
      </c>
      <c r="P1276" s="273">
        <f>G1276/E1276*N1276</f>
        <v/>
      </c>
      <c r="S1276" s="200" t="inlineStr">
        <is>
          <t>AC26004LDJD107</t>
        </is>
      </c>
      <c r="T1276" s="201" t="n">
        <v>92</v>
      </c>
      <c r="U1276" s="58" t="inlineStr">
        <is>
          <t>01 UNIT SANY NEW 2025 EXCAVATOR SY215C ( VOIR BL)</t>
        </is>
      </c>
      <c r="V1276" s="67" t="n"/>
      <c r="W1276" s="67" t="n"/>
      <c r="X1276" s="62" t="inlineStr">
        <is>
          <t>N-OP</t>
        </is>
      </c>
      <c r="Y1276" s="116">
        <f>F1276/E1276</f>
        <v/>
      </c>
      <c r="Z1276" s="64">
        <f>E1276-N1276</f>
        <v/>
      </c>
    </row>
    <row r="1277" ht="15.75" customHeight="1" s="202">
      <c r="A1277" s="116" t="n">
        <v>20260075</v>
      </c>
      <c r="B1277" s="117" t="inlineStr">
        <is>
          <t>AMOY CENTURY</t>
        </is>
      </c>
      <c r="C1277" s="118" t="n">
        <v>46091</v>
      </c>
      <c r="E1277" s="116" t="n">
        <v>1</v>
      </c>
      <c r="F1277" s="119" t="n">
        <v>8</v>
      </c>
      <c r="G1277" s="120" t="n">
        <v>24</v>
      </c>
      <c r="H1277" s="117" t="inlineStr">
        <is>
          <t>EURL AL MAHMOUD SERVICES</t>
        </is>
      </c>
      <c r="I1277" s="117" t="inlineStr">
        <is>
          <t>CAMIONS</t>
        </is>
      </c>
      <c r="J1277" s="117" t="inlineStr">
        <is>
          <t>LOURD</t>
        </is>
      </c>
      <c r="K1277" s="48">
        <f>D1277+8</f>
        <v/>
      </c>
      <c r="L1277" s="48">
        <f>K1277+60</f>
        <v/>
      </c>
      <c r="N1277" s="72">
        <f>E1277</f>
        <v/>
      </c>
      <c r="O1277" s="50">
        <f>F1277/E1277*N1277</f>
        <v/>
      </c>
      <c r="P1277" s="273">
        <f>G1277/E1277*N1277</f>
        <v/>
      </c>
      <c r="S1277" s="200" t="inlineStr">
        <is>
          <t>AC26004LDJD130</t>
        </is>
      </c>
      <c r="T1277" s="201" t="n">
        <v>115</v>
      </c>
      <c r="U1277" s="58" t="inlineStr">
        <is>
          <t>01 UNIT SINOTRUK SITRAK G7S 6X4 TRACTOR TRUCK-AUTOMATIC GEARBOX ( VOIR BL)</t>
        </is>
      </c>
      <c r="V1277" s="67" t="n"/>
      <c r="W1277" s="67" t="n"/>
      <c r="X1277" s="62" t="inlineStr">
        <is>
          <t>N-OP</t>
        </is>
      </c>
      <c r="Y1277" s="116">
        <f>F1277/E1277</f>
        <v/>
      </c>
      <c r="Z1277" s="64">
        <f>E1277-N1277</f>
        <v/>
      </c>
    </row>
    <row r="1278" ht="15.75" customHeight="1" s="202">
      <c r="A1278" s="116" t="n">
        <v>20260075</v>
      </c>
      <c r="B1278" s="117" t="inlineStr">
        <is>
          <t>AMOY CENTURY</t>
        </is>
      </c>
      <c r="C1278" s="118" t="n">
        <v>46091</v>
      </c>
      <c r="E1278" s="116" t="n">
        <v>1</v>
      </c>
      <c r="F1278" s="119" t="n">
        <v>8</v>
      </c>
      <c r="G1278" s="120" t="n">
        <v>24</v>
      </c>
      <c r="H1278" s="117" t="inlineStr">
        <is>
          <t>RAMDANI ABDELHAMID</t>
        </is>
      </c>
      <c r="I1278" s="117" t="inlineStr">
        <is>
          <t>CAMIONS</t>
        </is>
      </c>
      <c r="J1278" s="117" t="inlineStr">
        <is>
          <t>LOURD</t>
        </is>
      </c>
      <c r="K1278" s="48">
        <f>D1278+8</f>
        <v/>
      </c>
      <c r="L1278" s="48">
        <f>K1278+60</f>
        <v/>
      </c>
      <c r="N1278" s="72">
        <f>E1278</f>
        <v/>
      </c>
      <c r="O1278" s="50">
        <f>F1278/E1278*N1278</f>
        <v/>
      </c>
      <c r="P1278" s="273">
        <f>G1278/E1278*N1278</f>
        <v/>
      </c>
      <c r="S1278" s="200" t="inlineStr">
        <is>
          <t>AC26004LDJD131</t>
        </is>
      </c>
      <c r="T1278" s="201" t="n">
        <v>116</v>
      </c>
      <c r="U1278" s="58" t="inlineStr">
        <is>
          <t>1 UNIT SINOTRUK SITRAK 6x4 TRACTOR-MANUAL GEARBOX LHD ( VOIR BL)</t>
        </is>
      </c>
      <c r="V1278" s="67" t="n"/>
      <c r="W1278" s="67" t="n"/>
      <c r="X1278" s="62" t="inlineStr">
        <is>
          <t>N-OP</t>
        </is>
      </c>
      <c r="Y1278" s="116">
        <f>F1278/E1278</f>
        <v/>
      </c>
      <c r="Z1278" s="64">
        <f>E1278-N1278</f>
        <v/>
      </c>
    </row>
    <row r="1279" ht="15.75" customHeight="1" s="202">
      <c r="A1279" s="116" t="n">
        <v>20260075</v>
      </c>
      <c r="B1279" s="117" t="inlineStr">
        <is>
          <t>AMOY CENTURY</t>
        </is>
      </c>
      <c r="C1279" s="118" t="n">
        <v>46091</v>
      </c>
      <c r="E1279" s="116" t="n">
        <v>1</v>
      </c>
      <c r="F1279" s="119" t="n">
        <v>9.199999999999999</v>
      </c>
      <c r="G1279" s="120" t="n">
        <v>24</v>
      </c>
      <c r="H1279" s="117" t="inlineStr">
        <is>
          <t>BANAHED MOHAMMED</t>
        </is>
      </c>
      <c r="I1279" s="117" t="inlineStr">
        <is>
          <t>CAMIONS</t>
        </is>
      </c>
      <c r="J1279" s="117" t="inlineStr">
        <is>
          <t>LOURD</t>
        </is>
      </c>
      <c r="K1279" s="48">
        <f>D1279+8</f>
        <v/>
      </c>
      <c r="L1279" s="48">
        <f>K1279+60</f>
        <v/>
      </c>
      <c r="N1279" s="72">
        <f>E1279</f>
        <v/>
      </c>
      <c r="O1279" s="50">
        <f>F1279/E1279*N1279</f>
        <v/>
      </c>
      <c r="P1279" s="273">
        <f>G1279/E1279*N1279</f>
        <v/>
      </c>
      <c r="S1279" s="200" t="inlineStr">
        <is>
          <t>AC26004LDJD133</t>
        </is>
      </c>
      <c r="T1279" s="201" t="n">
        <v>117</v>
      </c>
      <c r="U1279" s="58" t="inlineStr">
        <is>
          <t>01 UNIT SINOTRUK HOWO TX 6X4 TIPPER TRUCK LHD CHASSIS ( VOIR BL)</t>
        </is>
      </c>
      <c r="V1279" s="67" t="n"/>
      <c r="W1279" s="67" t="n"/>
      <c r="X1279" s="62" t="inlineStr">
        <is>
          <t>N-OP</t>
        </is>
      </c>
      <c r="Y1279" s="116">
        <f>F1279/E1279</f>
        <v/>
      </c>
      <c r="Z1279" s="64">
        <f>E1279-N1279</f>
        <v/>
      </c>
    </row>
    <row r="1280" ht="15.75" customHeight="1" s="202">
      <c r="A1280" s="116" t="n">
        <v>20260075</v>
      </c>
      <c r="B1280" s="117" t="inlineStr">
        <is>
          <t>AMOY CENTURY</t>
        </is>
      </c>
      <c r="C1280" s="118" t="n">
        <v>46091</v>
      </c>
      <c r="E1280" s="116" t="n">
        <v>1</v>
      </c>
      <c r="F1280" s="119" t="n">
        <v>17.15</v>
      </c>
      <c r="G1280" s="120" t="n">
        <v>24</v>
      </c>
      <c r="H1280" s="117" t="inlineStr">
        <is>
          <t>DAHEUR GUESMIA</t>
        </is>
      </c>
      <c r="I1280" s="117" t="inlineStr">
        <is>
          <t>CHARGEURS</t>
        </is>
      </c>
      <c r="J1280" s="117" t="inlineStr">
        <is>
          <t>ENGINS</t>
        </is>
      </c>
      <c r="K1280" s="48">
        <f>D1280+8</f>
        <v/>
      </c>
      <c r="L1280" s="48">
        <f>K1280+60</f>
        <v/>
      </c>
      <c r="N1280" s="72">
        <f>E1280</f>
        <v/>
      </c>
      <c r="O1280" s="50">
        <f>F1280/E1280*N1280</f>
        <v/>
      </c>
      <c r="P1280" s="273">
        <f>G1280/E1280*N1280</f>
        <v/>
      </c>
      <c r="S1280" s="200" t="inlineStr">
        <is>
          <t>AC26004LDJD134</t>
        </is>
      </c>
      <c r="T1280" s="201" t="n">
        <v>118</v>
      </c>
      <c r="U1280" s="58" t="inlineStr">
        <is>
          <t>01 UNIT XCMG ZL50GN WHEEL LOADER (VOIR BL)</t>
        </is>
      </c>
      <c r="V1280" s="67" t="n"/>
      <c r="W1280" s="67" t="n"/>
      <c r="X1280" s="62" t="inlineStr">
        <is>
          <t>N-OP</t>
        </is>
      </c>
      <c r="Y1280" s="116">
        <f>F1280/E1280</f>
        <v/>
      </c>
      <c r="Z1280" s="64">
        <f>E1280-N1280</f>
        <v/>
      </c>
    </row>
    <row r="1281" ht="15.75" customHeight="1" s="202">
      <c r="A1281" s="116" t="n">
        <v>20260075</v>
      </c>
      <c r="B1281" s="117" t="inlineStr">
        <is>
          <t>AMOY CENTURY</t>
        </is>
      </c>
      <c r="C1281" s="118" t="n">
        <v>46091</v>
      </c>
      <c r="E1281" s="116" t="n">
        <v>1</v>
      </c>
      <c r="F1281" s="119" t="n">
        <v>9.5</v>
      </c>
      <c r="G1281" s="120" t="n">
        <v>24</v>
      </c>
      <c r="H1281" s="117" t="inlineStr">
        <is>
          <t>ABED HAMMOU ABDELKADER</t>
        </is>
      </c>
      <c r="I1281" s="117" t="inlineStr">
        <is>
          <t>CAMIONS</t>
        </is>
      </c>
      <c r="J1281" s="117" t="inlineStr">
        <is>
          <t>LOURD</t>
        </is>
      </c>
      <c r="K1281" s="48">
        <f>D1281+8</f>
        <v/>
      </c>
      <c r="L1281" s="48">
        <f>K1281+60</f>
        <v/>
      </c>
      <c r="N1281" s="72">
        <f>E1281</f>
        <v/>
      </c>
      <c r="O1281" s="50">
        <f>F1281/E1281*N1281</f>
        <v/>
      </c>
      <c r="P1281" s="273">
        <f>G1281/E1281*N1281</f>
        <v/>
      </c>
      <c r="S1281" s="200" t="inlineStr">
        <is>
          <t>AC26004LDJD135/136</t>
        </is>
      </c>
      <c r="T1281" s="201" t="n">
        <v>119</v>
      </c>
      <c r="U1281" s="58" t="inlineStr">
        <is>
          <t>01 UNIT SINOTRUK HOWO-T7H 6X4 TRACTOR TRUCK LHD 01 UNIT THREE-AXLE 60-TON LOW-BED SEMI-TRAILER ( VOIR BL)</t>
        </is>
      </c>
      <c r="V1281" s="67" t="n"/>
      <c r="W1281" s="67" t="n"/>
      <c r="X1281" s="62" t="inlineStr">
        <is>
          <t>N-OP</t>
        </is>
      </c>
      <c r="Y1281" s="116">
        <f>F1281/E1281</f>
        <v/>
      </c>
      <c r="Z1281" s="64">
        <f>E1281-N1281</f>
        <v/>
      </c>
    </row>
    <row r="1282" ht="15.75" customHeight="1" s="202">
      <c r="A1282" s="116" t="n">
        <v>20260075</v>
      </c>
      <c r="B1282" s="117" t="inlineStr">
        <is>
          <t>AMOY CENTURY</t>
        </is>
      </c>
      <c r="C1282" s="118" t="n">
        <v>46091</v>
      </c>
      <c r="E1282" s="116" t="n">
        <v>1</v>
      </c>
      <c r="F1282" s="119" t="n">
        <v>10</v>
      </c>
      <c r="G1282" s="120" t="n">
        <v>24</v>
      </c>
      <c r="H1282" s="117" t="inlineStr">
        <is>
          <t>ABED HAMMOU ABDELKADER</t>
        </is>
      </c>
      <c r="I1282" s="117" t="inlineStr">
        <is>
          <t>REMORQUES</t>
        </is>
      </c>
      <c r="J1282" s="117" t="inlineStr">
        <is>
          <t>LOURD</t>
        </is>
      </c>
      <c r="K1282" s="48">
        <f>D1282+8</f>
        <v/>
      </c>
      <c r="L1282" s="48">
        <f>K1282+60</f>
        <v/>
      </c>
      <c r="N1282" s="72">
        <f>E1282</f>
        <v/>
      </c>
      <c r="O1282" s="50">
        <f>F1282/E1282*N1282</f>
        <v/>
      </c>
      <c r="P1282" s="273">
        <f>G1282/E1282*N1282</f>
        <v/>
      </c>
      <c r="S1282" s="200" t="inlineStr">
        <is>
          <t>AC26004LDJD135/136</t>
        </is>
      </c>
      <c r="T1282" s="201" t="n">
        <v>119</v>
      </c>
      <c r="U1282" s="58" t="n"/>
      <c r="V1282" s="67" t="n"/>
      <c r="W1282" s="67" t="n"/>
      <c r="X1282" s="62" t="inlineStr">
        <is>
          <t>N-OP</t>
        </is>
      </c>
      <c r="Y1282" s="116">
        <f>F1282/E1282</f>
        <v/>
      </c>
      <c r="Z1282" s="64">
        <f>E1282-N1282</f>
        <v/>
      </c>
    </row>
    <row r="1283" ht="15.75" customHeight="1" s="202">
      <c r="A1283" s="116" t="n">
        <v>20260075</v>
      </c>
      <c r="B1283" s="117" t="inlineStr">
        <is>
          <t>AMOY CENTURY</t>
        </is>
      </c>
      <c r="C1283" s="118" t="n">
        <v>46091</v>
      </c>
      <c r="E1283" s="116" t="n">
        <v>1</v>
      </c>
      <c r="F1283" s="119" t="n">
        <v>10</v>
      </c>
      <c r="G1283" s="120" t="n">
        <v>24</v>
      </c>
      <c r="H1283" s="117" t="inlineStr">
        <is>
          <t>ETP ACHI SALIM</t>
        </is>
      </c>
      <c r="I1283" s="117" t="inlineStr">
        <is>
          <t>CHARGEURS</t>
        </is>
      </c>
      <c r="J1283" s="117" t="inlineStr">
        <is>
          <t>ENGINS</t>
        </is>
      </c>
      <c r="K1283" s="48">
        <f>D1283+8</f>
        <v/>
      </c>
      <c r="L1283" s="48">
        <f>K1283+60</f>
        <v/>
      </c>
      <c r="N1283" s="72">
        <f>E1283</f>
        <v/>
      </c>
      <c r="O1283" s="50">
        <f>F1283/E1283*N1283</f>
        <v/>
      </c>
      <c r="P1283" s="273">
        <f>G1283/E1283*N1283</f>
        <v/>
      </c>
      <c r="S1283" s="200" t="inlineStr">
        <is>
          <t>AC26004LDJD137</t>
        </is>
      </c>
      <c r="T1283" s="201" t="n">
        <v>120</v>
      </c>
      <c r="U1283" s="58" t="inlineStr">
        <is>
          <t>01 UNIT XCMG 3T WHEEL LOADER LW300KN 01 UNIT XCMG 25T MOBILE CRANE QY25K5D ( VOIR BL)</t>
        </is>
      </c>
      <c r="V1283" s="67" t="n"/>
      <c r="W1283" s="67" t="n"/>
      <c r="X1283" s="62" t="inlineStr">
        <is>
          <t>N-OP</t>
        </is>
      </c>
      <c r="Y1283" s="116">
        <f>F1283/E1283</f>
        <v/>
      </c>
      <c r="Z1283" s="64">
        <f>E1283-N1283</f>
        <v/>
      </c>
    </row>
    <row r="1284" ht="15.75" customHeight="1" s="202">
      <c r="A1284" s="116" t="n">
        <v>20260075</v>
      </c>
      <c r="B1284" s="117" t="inlineStr">
        <is>
          <t>AMOY CENTURY</t>
        </is>
      </c>
      <c r="C1284" s="118" t="n">
        <v>46091</v>
      </c>
      <c r="E1284" s="116" t="n">
        <v>1</v>
      </c>
      <c r="F1284" s="119" t="n">
        <v>32.47</v>
      </c>
      <c r="G1284" s="120" t="n">
        <v>60</v>
      </c>
      <c r="H1284" s="117" t="inlineStr">
        <is>
          <t>ETP ACHI SALIM</t>
        </is>
      </c>
      <c r="I1284" s="117" t="inlineStr">
        <is>
          <t>CAMION GRUE</t>
        </is>
      </c>
      <c r="J1284" s="117" t="inlineStr">
        <is>
          <t>ENGINS</t>
        </is>
      </c>
      <c r="K1284" s="48">
        <f>D1284+8</f>
        <v/>
      </c>
      <c r="L1284" s="48">
        <f>K1284+60</f>
        <v/>
      </c>
      <c r="N1284" s="72">
        <f>E1284</f>
        <v/>
      </c>
      <c r="O1284" s="50">
        <f>F1284/E1284*N1284</f>
        <v/>
      </c>
      <c r="P1284" s="273">
        <f>G1284/E1284*N1284</f>
        <v/>
      </c>
      <c r="S1284" s="200" t="inlineStr">
        <is>
          <t>AC26004LDJD137</t>
        </is>
      </c>
      <c r="T1284" s="201" t="n">
        <v>120</v>
      </c>
      <c r="U1284" s="58" t="n"/>
      <c r="V1284" s="67" t="n"/>
      <c r="W1284" s="67" t="n"/>
      <c r="X1284" s="62" t="inlineStr">
        <is>
          <t>N-OP</t>
        </is>
      </c>
      <c r="Y1284" s="116">
        <f>F1284/E1284</f>
        <v/>
      </c>
      <c r="Z1284" s="64">
        <f>E1284-N1284</f>
        <v/>
      </c>
    </row>
    <row r="1285" ht="15.75" customHeight="1" s="202">
      <c r="A1285" s="116" t="n">
        <v>20260075</v>
      </c>
      <c r="B1285" s="117" t="inlineStr">
        <is>
          <t>AMOY CENTURY</t>
        </is>
      </c>
      <c r="C1285" s="118" t="n">
        <v>46091</v>
      </c>
      <c r="E1285" s="116" t="n">
        <v>1</v>
      </c>
      <c r="F1285" s="119" t="n">
        <v>0</v>
      </c>
      <c r="G1285" s="120" t="n">
        <v>5</v>
      </c>
      <c r="H1285" s="117" t="inlineStr">
        <is>
          <t>ETP ACHI SALIM</t>
        </is>
      </c>
      <c r="I1285" s="117" t="inlineStr">
        <is>
          <t>COLIS</t>
        </is>
      </c>
      <c r="J1285" s="117" t="inlineStr">
        <is>
          <t>COLIS</t>
        </is>
      </c>
      <c r="K1285" s="48">
        <f>D1285+8</f>
        <v/>
      </c>
      <c r="L1285" s="48">
        <f>K1285+60</f>
        <v/>
      </c>
      <c r="N1285" s="72">
        <f>E1285</f>
        <v/>
      </c>
      <c r="O1285" s="50">
        <f>F1285/E1285*N1285</f>
        <v/>
      </c>
      <c r="P1285" s="273">
        <f>G1285/E1285*N1285</f>
        <v/>
      </c>
      <c r="S1285" s="200" t="inlineStr">
        <is>
          <t>AC26004LDJD137</t>
        </is>
      </c>
      <c r="T1285" s="201" t="n">
        <v>120</v>
      </c>
      <c r="U1285" s="58" t="n"/>
      <c r="V1285" s="67" t="n"/>
      <c r="W1285" s="67" t="n"/>
      <c r="X1285" s="62" t="inlineStr">
        <is>
          <t>N-OP</t>
        </is>
      </c>
      <c r="Y1285" s="116">
        <f>F1285/E1285</f>
        <v/>
      </c>
      <c r="Z1285" s="64">
        <f>E1285-N1285</f>
        <v/>
      </c>
    </row>
    <row r="1286" ht="15.75" customHeight="1" s="202">
      <c r="A1286" s="116" t="n">
        <v>20260075</v>
      </c>
      <c r="B1286" s="117" t="inlineStr">
        <is>
          <t>AMOY CENTURY</t>
        </is>
      </c>
      <c r="C1286" s="118" t="n">
        <v>46091</v>
      </c>
      <c r="E1286" s="116" t="n">
        <v>1</v>
      </c>
      <c r="F1286" s="119" t="n">
        <v>10</v>
      </c>
      <c r="G1286" s="120" t="n">
        <v>24</v>
      </c>
      <c r="H1286" s="117" t="inlineStr">
        <is>
          <t>ACHI CHEMSEDDINE</t>
        </is>
      </c>
      <c r="I1286" s="117" t="inlineStr">
        <is>
          <t>CHARGEURS</t>
        </is>
      </c>
      <c r="J1286" s="117" t="inlineStr">
        <is>
          <t>ENGINS</t>
        </is>
      </c>
      <c r="K1286" s="48">
        <f>D1286+8</f>
        <v/>
      </c>
      <c r="L1286" s="48">
        <f>K1286+60</f>
        <v/>
      </c>
      <c r="N1286" s="72">
        <f>E1286</f>
        <v/>
      </c>
      <c r="O1286" s="50">
        <f>F1286/E1286*N1286</f>
        <v/>
      </c>
      <c r="P1286" s="273">
        <f>G1286/E1286*N1286</f>
        <v/>
      </c>
      <c r="S1286" s="200" t="inlineStr">
        <is>
          <t>AC26004LDJD138</t>
        </is>
      </c>
      <c r="T1286" s="201" t="n">
        <v>121</v>
      </c>
      <c r="U1286" s="58" t="inlineStr">
        <is>
          <t>01 UNIT XCMG 3T WHEEL LOADER 01 UNIT XCMG 25T MOBILE CRANE ( VOIR BL)</t>
        </is>
      </c>
      <c r="V1286" s="67" t="n"/>
      <c r="W1286" s="67" t="n"/>
      <c r="X1286" s="62" t="inlineStr">
        <is>
          <t>N-OP</t>
        </is>
      </c>
      <c r="Y1286" s="116">
        <f>F1286/E1286</f>
        <v/>
      </c>
      <c r="Z1286" s="64">
        <f>E1286-N1286</f>
        <v/>
      </c>
    </row>
    <row r="1287" ht="15.75" customHeight="1" s="202">
      <c r="A1287" s="116" t="n">
        <v>20260075</v>
      </c>
      <c r="B1287" s="117" t="inlineStr">
        <is>
          <t>AMOY CENTURY</t>
        </is>
      </c>
      <c r="C1287" s="118" t="n">
        <v>46091</v>
      </c>
      <c r="E1287" s="116" t="n">
        <v>1</v>
      </c>
      <c r="F1287" s="119" t="n">
        <v>32.47</v>
      </c>
      <c r="G1287" s="120" t="n">
        <v>60</v>
      </c>
      <c r="H1287" s="117" t="inlineStr">
        <is>
          <t>ACHI CHEMSEDDINE</t>
        </is>
      </c>
      <c r="I1287" s="117" t="inlineStr">
        <is>
          <t>CAMION GRUE</t>
        </is>
      </c>
      <c r="J1287" s="117" t="inlineStr">
        <is>
          <t>ENGINS</t>
        </is>
      </c>
      <c r="K1287" s="48">
        <f>D1287+8</f>
        <v/>
      </c>
      <c r="L1287" s="48">
        <f>K1287+60</f>
        <v/>
      </c>
      <c r="N1287" s="72">
        <f>E1287</f>
        <v/>
      </c>
      <c r="O1287" s="50">
        <f>F1287/E1287*N1287</f>
        <v/>
      </c>
      <c r="P1287" s="273">
        <f>G1287/E1287*N1287</f>
        <v/>
      </c>
      <c r="S1287" s="200" t="inlineStr">
        <is>
          <t>AC26004LDJD138</t>
        </is>
      </c>
      <c r="T1287" s="201" t="n"/>
      <c r="U1287" s="58" t="n"/>
      <c r="V1287" s="67" t="n"/>
      <c r="W1287" s="67" t="n"/>
      <c r="X1287" s="62" t="inlineStr">
        <is>
          <t>N-OP</t>
        </is>
      </c>
      <c r="Y1287" s="116">
        <f>F1287/E1287</f>
        <v/>
      </c>
      <c r="Z1287" s="64">
        <f>E1287-N1287</f>
        <v/>
      </c>
    </row>
    <row r="1288" ht="15.75" customHeight="1" s="202">
      <c r="A1288" s="116" t="n">
        <v>20260075</v>
      </c>
      <c r="B1288" s="117" t="inlineStr">
        <is>
          <t>AMOY CENTURY</t>
        </is>
      </c>
      <c r="C1288" s="118" t="n">
        <v>46091</v>
      </c>
      <c r="E1288" s="116" t="n">
        <v>1</v>
      </c>
      <c r="F1288" s="119" t="n">
        <v>0</v>
      </c>
      <c r="G1288" s="120" t="n">
        <v>5</v>
      </c>
      <c r="H1288" s="117" t="inlineStr">
        <is>
          <t>ACHI CHEMSEDDINE</t>
        </is>
      </c>
      <c r="I1288" s="117" t="inlineStr">
        <is>
          <t>COLIS</t>
        </is>
      </c>
      <c r="J1288" s="117" t="inlineStr">
        <is>
          <t>COLIS</t>
        </is>
      </c>
      <c r="K1288" s="48">
        <f>D1288+8</f>
        <v/>
      </c>
      <c r="L1288" s="48">
        <f>K1288+60</f>
        <v/>
      </c>
      <c r="N1288" s="72">
        <f>E1288</f>
        <v/>
      </c>
      <c r="O1288" s="50">
        <f>F1288/E1288*N1288</f>
        <v/>
      </c>
      <c r="P1288" s="273">
        <f>G1288/E1288*N1288</f>
        <v/>
      </c>
      <c r="S1288" s="200" t="inlineStr">
        <is>
          <t>AC26004LDJD138</t>
        </is>
      </c>
      <c r="T1288" s="201" t="n">
        <v>121</v>
      </c>
      <c r="U1288" s="58" t="n"/>
      <c r="V1288" s="67" t="n"/>
      <c r="W1288" s="67" t="n"/>
      <c r="X1288" s="62" t="inlineStr">
        <is>
          <t>N-OP</t>
        </is>
      </c>
      <c r="Y1288" s="116">
        <f>F1288/E1288</f>
        <v/>
      </c>
      <c r="Z1288" s="64">
        <f>E1288-N1288</f>
        <v/>
      </c>
    </row>
    <row r="1289" ht="15.75" customHeight="1" s="202">
      <c r="A1289" s="116" t="n">
        <v>20260075</v>
      </c>
      <c r="B1289" s="117" t="inlineStr">
        <is>
          <t>AMOY CENTURY</t>
        </is>
      </c>
      <c r="C1289" s="118" t="n">
        <v>46091</v>
      </c>
      <c r="E1289" s="116" t="n">
        <v>1</v>
      </c>
      <c r="F1289" s="119" t="n">
        <v>17.5</v>
      </c>
      <c r="G1289" s="120" t="n">
        <v>24</v>
      </c>
      <c r="H1289" s="117" t="inlineStr">
        <is>
          <t>SARL RESSAL AGLO BITON</t>
        </is>
      </c>
      <c r="I1289" s="117" t="inlineStr">
        <is>
          <t>CAMIONS</t>
        </is>
      </c>
      <c r="J1289" s="117" t="inlineStr">
        <is>
          <t>LOURD</t>
        </is>
      </c>
      <c r="K1289" s="48">
        <f>D1289+8</f>
        <v/>
      </c>
      <c r="L1289" s="48">
        <f>K1289+60</f>
        <v/>
      </c>
      <c r="N1289" s="72">
        <f>E1289</f>
        <v/>
      </c>
      <c r="O1289" s="50">
        <f>F1289/E1289*N1289</f>
        <v/>
      </c>
      <c r="P1289" s="273">
        <f>G1289/E1289*N1289</f>
        <v/>
      </c>
      <c r="S1289" s="200" t="inlineStr">
        <is>
          <t>AC26004LDJD139</t>
        </is>
      </c>
      <c r="T1289" s="201" t="n">
        <v>122</v>
      </c>
      <c r="U1289" s="58" t="inlineStr">
        <is>
          <t>01 UNIT CAMION SINOTRUCK 8X4 TIPPER LHD ( VOIR BL )</t>
        </is>
      </c>
      <c r="V1289" s="67" t="n"/>
      <c r="W1289" s="67" t="n"/>
      <c r="X1289" s="62" t="inlineStr">
        <is>
          <t>N-OP</t>
        </is>
      </c>
      <c r="Y1289" s="116">
        <f>F1289/E1289</f>
        <v/>
      </c>
      <c r="Z1289" s="64">
        <f>E1289-N1289</f>
        <v/>
      </c>
    </row>
    <row r="1290" ht="15.75" customHeight="1" s="202">
      <c r="A1290" s="116" t="n">
        <v>20260075</v>
      </c>
      <c r="B1290" s="117" t="inlineStr">
        <is>
          <t>AMOY CENTURY</t>
        </is>
      </c>
      <c r="C1290" s="118" t="n">
        <v>46091</v>
      </c>
      <c r="E1290" s="116" t="n">
        <v>1</v>
      </c>
      <c r="F1290" s="119" t="n">
        <v>18.75</v>
      </c>
      <c r="G1290" s="120" t="n">
        <v>24</v>
      </c>
      <c r="H1290" s="117" t="inlineStr">
        <is>
          <t>EURL HOMA IMMO TRAVAUX</t>
        </is>
      </c>
      <c r="I1290" s="117" t="inlineStr">
        <is>
          <t>CHARGEURS</t>
        </is>
      </c>
      <c r="J1290" s="117" t="inlineStr">
        <is>
          <t>ENGINS</t>
        </is>
      </c>
      <c r="K1290" s="48">
        <f>D1290+8</f>
        <v/>
      </c>
      <c r="L1290" s="48">
        <f>K1290+60</f>
        <v/>
      </c>
      <c r="N1290" s="72">
        <f>E1290</f>
        <v/>
      </c>
      <c r="O1290" s="50">
        <f>F1290/E1290*N1290</f>
        <v/>
      </c>
      <c r="P1290" s="273">
        <f>G1290/E1290*N1290</f>
        <v/>
      </c>
      <c r="S1290" s="200" t="inlineStr">
        <is>
          <t>AC26004LDJD140</t>
        </is>
      </c>
      <c r="T1290" s="201" t="n">
        <v>123</v>
      </c>
      <c r="U1290" s="58" t="inlineStr">
        <is>
          <t>01 UNIT XCMG WHEEL LOADER ZL50GN 01 UNIT XCMG ROAD ROLLER XS203J (VOIR BL)</t>
        </is>
      </c>
      <c r="V1290" s="67" t="n"/>
      <c r="W1290" s="67" t="n"/>
      <c r="X1290" s="62" t="inlineStr">
        <is>
          <t>N-OP</t>
        </is>
      </c>
      <c r="Y1290" s="116">
        <f>F1290/E1290</f>
        <v/>
      </c>
      <c r="Z1290" s="64">
        <f>E1290-N1290</f>
        <v/>
      </c>
    </row>
    <row r="1291" ht="15.75" customHeight="1" s="202">
      <c r="A1291" s="116" t="n">
        <v>20260075</v>
      </c>
      <c r="B1291" s="117" t="inlineStr">
        <is>
          <t>AMOY CENTURY</t>
        </is>
      </c>
      <c r="C1291" s="118" t="n">
        <v>46091</v>
      </c>
      <c r="E1291" s="116" t="n">
        <v>1</v>
      </c>
      <c r="F1291" s="119" t="n">
        <v>18.75</v>
      </c>
      <c r="G1291" s="120" t="n">
        <v>24</v>
      </c>
      <c r="H1291" s="117" t="inlineStr">
        <is>
          <t>EURL HOMA IMMO TRAVAUX</t>
        </is>
      </c>
      <c r="I1291" s="117" t="inlineStr">
        <is>
          <t>COMPACTEURS</t>
        </is>
      </c>
      <c r="J1291" s="117" t="inlineStr">
        <is>
          <t>ENGINS</t>
        </is>
      </c>
      <c r="K1291" s="48">
        <f>D1291+8</f>
        <v/>
      </c>
      <c r="L1291" s="48">
        <f>K1291+60</f>
        <v/>
      </c>
      <c r="N1291" s="72">
        <f>E1291</f>
        <v/>
      </c>
      <c r="O1291" s="50">
        <f>F1291/E1291*N1291</f>
        <v/>
      </c>
      <c r="P1291" s="273">
        <f>G1291/E1291*N1291</f>
        <v/>
      </c>
      <c r="S1291" s="200" t="inlineStr">
        <is>
          <t>AC26004LDJD140</t>
        </is>
      </c>
      <c r="T1291" s="201" t="n">
        <v>123</v>
      </c>
      <c r="U1291" s="58" t="n"/>
      <c r="V1291" s="67" t="n"/>
      <c r="W1291" s="67" t="n"/>
      <c r="X1291" s="62" t="inlineStr">
        <is>
          <t>N-OP</t>
        </is>
      </c>
      <c r="Y1291" s="116">
        <f>F1291/E1291</f>
        <v/>
      </c>
      <c r="Z1291" s="64">
        <f>E1291-N1291</f>
        <v/>
      </c>
    </row>
    <row r="1292" ht="15.75" customHeight="1" s="202">
      <c r="A1292" s="116" t="n">
        <v>20260075</v>
      </c>
      <c r="B1292" s="117" t="inlineStr">
        <is>
          <t>AMOY CENTURY</t>
        </is>
      </c>
      <c r="C1292" s="118" t="n">
        <v>46091</v>
      </c>
      <c r="E1292" s="116" t="n">
        <v>1</v>
      </c>
      <c r="F1292" s="119" t="n">
        <v>0</v>
      </c>
      <c r="G1292" s="120" t="n">
        <v>5</v>
      </c>
      <c r="H1292" s="117" t="inlineStr">
        <is>
          <t>EURL HOMA IMMO TRAVAUX</t>
        </is>
      </c>
      <c r="I1292" s="117" t="inlineStr">
        <is>
          <t>COLIS</t>
        </is>
      </c>
      <c r="J1292" s="117" t="inlineStr">
        <is>
          <t>COLIS</t>
        </is>
      </c>
      <c r="K1292" s="48">
        <f>D1292+8</f>
        <v/>
      </c>
      <c r="L1292" s="48">
        <f>K1292+60</f>
        <v/>
      </c>
      <c r="N1292" s="72">
        <f>E1292</f>
        <v/>
      </c>
      <c r="O1292" s="50">
        <f>F1292/E1292*N1292</f>
        <v/>
      </c>
      <c r="P1292" s="273">
        <f>G1292/E1292*N1292</f>
        <v/>
      </c>
      <c r="S1292" s="200" t="inlineStr">
        <is>
          <t>AC26004LDJD140</t>
        </is>
      </c>
      <c r="T1292" s="201" t="n">
        <v>123</v>
      </c>
      <c r="U1292" s="58" t="n"/>
      <c r="V1292" s="67" t="n"/>
      <c r="W1292" s="67" t="n"/>
      <c r="X1292" s="62" t="inlineStr">
        <is>
          <t>N-OP</t>
        </is>
      </c>
      <c r="Y1292" s="116">
        <f>F1292/E1292</f>
        <v/>
      </c>
      <c r="Z1292" s="64">
        <f>E1292-N1292</f>
        <v/>
      </c>
    </row>
    <row r="1293" ht="15.75" customHeight="1" s="202">
      <c r="A1293" s="116" t="n">
        <v>20260075</v>
      </c>
      <c r="B1293" s="117" t="inlineStr">
        <is>
          <t>AMOY CENTURY</t>
        </is>
      </c>
      <c r="C1293" s="118" t="n">
        <v>46091</v>
      </c>
      <c r="E1293" s="116" t="n">
        <v>1</v>
      </c>
      <c r="F1293" s="119" t="n">
        <v>22</v>
      </c>
      <c r="G1293" s="120" t="n">
        <v>24</v>
      </c>
      <c r="H1293" s="117" t="inlineStr">
        <is>
          <t>AMMI KHEIREDDINE</t>
        </is>
      </c>
      <c r="I1293" s="117" t="inlineStr">
        <is>
          <t>EXCAVATEURS</t>
        </is>
      </c>
      <c r="J1293" s="117" t="inlineStr">
        <is>
          <t>ENGINS</t>
        </is>
      </c>
      <c r="K1293" s="48">
        <f>D1293+8</f>
        <v/>
      </c>
      <c r="L1293" s="48">
        <f>K1293+60</f>
        <v/>
      </c>
      <c r="N1293" s="72">
        <f>E1293</f>
        <v/>
      </c>
      <c r="O1293" s="50">
        <f>F1293/E1293*N1293</f>
        <v/>
      </c>
      <c r="P1293" s="273">
        <f>G1293/E1293*N1293</f>
        <v/>
      </c>
      <c r="S1293" s="200" t="inlineStr">
        <is>
          <t>AC26004LDJD141</t>
        </is>
      </c>
      <c r="T1293" s="201" t="n">
        <v>124</v>
      </c>
      <c r="U1293" s="58" t="inlineStr">
        <is>
          <t>01 UNIT HYUNDAI EXCAVATOR ( VOIR BL )</t>
        </is>
      </c>
      <c r="V1293" s="67" t="n"/>
      <c r="W1293" s="67" t="n"/>
      <c r="X1293" s="62" t="inlineStr">
        <is>
          <t>N-OP</t>
        </is>
      </c>
      <c r="Y1293" s="116">
        <f>F1293/E1293</f>
        <v/>
      </c>
      <c r="Z1293" s="64">
        <f>E1293-N1293</f>
        <v/>
      </c>
    </row>
    <row r="1294" ht="15.75" customHeight="1" s="202">
      <c r="A1294" s="116" t="n">
        <v>20260075</v>
      </c>
      <c r="B1294" s="117" t="inlineStr">
        <is>
          <t>AMOY CENTURY</t>
        </is>
      </c>
      <c r="C1294" s="118" t="n">
        <v>46091</v>
      </c>
      <c r="E1294" s="116" t="n">
        <v>1</v>
      </c>
      <c r="F1294" s="119" t="n">
        <v>34.1</v>
      </c>
      <c r="G1294" s="120" t="n">
        <v>24</v>
      </c>
      <c r="H1294" s="117" t="inlineStr">
        <is>
          <t>SARL NIC ENTREPRISES</t>
        </is>
      </c>
      <c r="I1294" s="117" t="inlineStr">
        <is>
          <t>EXCAVATEURS</t>
        </is>
      </c>
      <c r="J1294" s="117" t="inlineStr">
        <is>
          <t>ENGINS</t>
        </is>
      </c>
      <c r="K1294" s="48">
        <f>D1294+8</f>
        <v/>
      </c>
      <c r="L1294" s="48">
        <f>K1294+60</f>
        <v/>
      </c>
      <c r="N1294" s="72">
        <f>E1294</f>
        <v/>
      </c>
      <c r="O1294" s="50">
        <f>F1294/E1294*N1294</f>
        <v/>
      </c>
      <c r="P1294" s="273">
        <f>G1294/E1294*N1294</f>
        <v/>
      </c>
      <c r="S1294" s="200" t="inlineStr">
        <is>
          <t>AC26004LDJD142</t>
        </is>
      </c>
      <c r="T1294" s="201" t="n">
        <v>125</v>
      </c>
      <c r="U1294" s="58" t="inlineStr">
        <is>
          <t>01 UNIT HYUNDAI CRAWLER EXCAVATOR HX340HD（VOIR BL）</t>
        </is>
      </c>
      <c r="V1294" s="67" t="n"/>
      <c r="W1294" s="67" t="n"/>
      <c r="X1294" s="62" t="inlineStr">
        <is>
          <t>N-OP</t>
        </is>
      </c>
      <c r="Y1294" s="116">
        <f>F1294/E1294</f>
        <v/>
      </c>
      <c r="Z1294" s="64">
        <f>E1294-N1294</f>
        <v/>
      </c>
    </row>
    <row r="1295" ht="15.75" customHeight="1" s="202">
      <c r="A1295" s="116" t="n">
        <v>20260075</v>
      </c>
      <c r="B1295" s="117" t="inlineStr">
        <is>
          <t>AMOY CENTURY</t>
        </is>
      </c>
      <c r="C1295" s="118" t="n">
        <v>46091</v>
      </c>
      <c r="E1295" s="116" t="n">
        <v>1</v>
      </c>
      <c r="F1295" s="119" t="n">
        <v>0</v>
      </c>
      <c r="G1295" s="120" t="n">
        <v>5</v>
      </c>
      <c r="H1295" s="117" t="inlineStr">
        <is>
          <t>SARL NIC ENTREPRISES</t>
        </is>
      </c>
      <c r="I1295" s="117" t="inlineStr">
        <is>
          <t>COLIS</t>
        </is>
      </c>
      <c r="J1295" s="117" t="inlineStr">
        <is>
          <t>COLIS</t>
        </is>
      </c>
      <c r="K1295" s="48">
        <f>D1295+8</f>
        <v/>
      </c>
      <c r="L1295" s="48">
        <f>K1295+60</f>
        <v/>
      </c>
      <c r="N1295" s="72">
        <f>E1295</f>
        <v/>
      </c>
      <c r="O1295" s="50">
        <f>F1295/E1295*N1295</f>
        <v/>
      </c>
      <c r="P1295" s="273">
        <f>G1295/E1295*N1295</f>
        <v/>
      </c>
      <c r="S1295" s="200" t="inlineStr">
        <is>
          <t>AC26004LDJD142</t>
        </is>
      </c>
      <c r="T1295" s="201" t="n">
        <v>125</v>
      </c>
      <c r="U1295" s="58" t="n"/>
      <c r="V1295" s="67" t="n"/>
      <c r="W1295" s="67" t="n"/>
      <c r="X1295" s="62" t="inlineStr">
        <is>
          <t>N-OP</t>
        </is>
      </c>
      <c r="Y1295" s="116">
        <f>F1295/E1295</f>
        <v/>
      </c>
      <c r="Z1295" s="64">
        <f>E1295-N1295</f>
        <v/>
      </c>
    </row>
    <row r="1296" ht="15.75" customHeight="1" s="202">
      <c r="A1296" s="116" t="n">
        <v>20260075</v>
      </c>
      <c r="B1296" s="117" t="inlineStr">
        <is>
          <t>AMOY CENTURY</t>
        </is>
      </c>
      <c r="C1296" s="118" t="n">
        <v>46091</v>
      </c>
      <c r="E1296" s="116" t="n">
        <v>1</v>
      </c>
      <c r="F1296" s="119" t="n">
        <v>34.1</v>
      </c>
      <c r="G1296" s="120" t="n">
        <v>24</v>
      </c>
      <c r="H1296" s="117" t="inlineStr">
        <is>
          <t>SARL ZINE</t>
        </is>
      </c>
      <c r="I1296" s="117" t="inlineStr">
        <is>
          <t>EXCAVATEURS</t>
        </is>
      </c>
      <c r="J1296" s="117" t="inlineStr">
        <is>
          <t>ENGINS</t>
        </is>
      </c>
      <c r="K1296" s="48">
        <f>D1296+8</f>
        <v/>
      </c>
      <c r="L1296" s="48">
        <f>K1296+60</f>
        <v/>
      </c>
      <c r="N1296" s="72">
        <f>E1296</f>
        <v/>
      </c>
      <c r="O1296" s="50">
        <f>F1296/E1296*N1296</f>
        <v/>
      </c>
      <c r="P1296" s="273">
        <f>G1296/E1296*N1296</f>
        <v/>
      </c>
      <c r="S1296" s="200" t="inlineStr">
        <is>
          <t>AC26004LDJD143</t>
        </is>
      </c>
      <c r="T1296" s="201" t="n">
        <v>126</v>
      </c>
      <c r="U1296" s="58" t="inlineStr">
        <is>
          <t>01 UNIT HYUNDAI CRAWLER EXCAVATOR HX340HD ( VOIR BL)</t>
        </is>
      </c>
      <c r="V1296" s="67" t="n"/>
      <c r="W1296" s="67" t="n"/>
      <c r="X1296" s="62" t="inlineStr">
        <is>
          <t>N-OP</t>
        </is>
      </c>
      <c r="Y1296" s="116">
        <f>F1296/E1296</f>
        <v/>
      </c>
      <c r="Z1296" s="64">
        <f>E1296-N1296</f>
        <v/>
      </c>
    </row>
    <row r="1297" ht="15.75" customHeight="1" s="202">
      <c r="A1297" s="116" t="n">
        <v>20260075</v>
      </c>
      <c r="B1297" s="117" t="inlineStr">
        <is>
          <t>AMOY CENTURY</t>
        </is>
      </c>
      <c r="C1297" s="118" t="n">
        <v>46091</v>
      </c>
      <c r="E1297" s="116" t="n">
        <v>1</v>
      </c>
      <c r="F1297" s="119" t="n">
        <v>0</v>
      </c>
      <c r="G1297" s="120" t="n">
        <v>5</v>
      </c>
      <c r="H1297" s="117" t="inlineStr">
        <is>
          <t>SARL ZINE</t>
        </is>
      </c>
      <c r="I1297" s="117" t="inlineStr">
        <is>
          <t>COLIS</t>
        </is>
      </c>
      <c r="J1297" s="117" t="inlineStr">
        <is>
          <t>COLIS</t>
        </is>
      </c>
      <c r="K1297" s="48">
        <f>D1297+8</f>
        <v/>
      </c>
      <c r="L1297" s="48">
        <f>K1297+60</f>
        <v/>
      </c>
      <c r="N1297" s="72">
        <f>E1297</f>
        <v/>
      </c>
      <c r="O1297" s="50">
        <f>F1297/E1297*N1297</f>
        <v/>
      </c>
      <c r="P1297" s="273">
        <f>G1297/E1297*N1297</f>
        <v/>
      </c>
      <c r="S1297" s="200" t="inlineStr">
        <is>
          <t>AC26004LDJD143</t>
        </is>
      </c>
      <c r="T1297" s="201" t="n">
        <v>126</v>
      </c>
      <c r="U1297" s="58" t="n"/>
      <c r="V1297" s="67" t="n"/>
      <c r="W1297" s="67" t="n"/>
      <c r="X1297" s="62" t="inlineStr">
        <is>
          <t>N-OP</t>
        </is>
      </c>
      <c r="Y1297" s="116">
        <f>F1297/E1297</f>
        <v/>
      </c>
      <c r="Z1297" s="64">
        <f>E1297-N1297</f>
        <v/>
      </c>
    </row>
    <row r="1298" ht="15.75" customHeight="1" s="202">
      <c r="A1298" s="116" t="n">
        <v>20260075</v>
      </c>
      <c r="B1298" s="117" t="inlineStr">
        <is>
          <t>AMOY CENTURY</t>
        </is>
      </c>
      <c r="C1298" s="118" t="n">
        <v>46091</v>
      </c>
      <c r="E1298" s="116" t="n">
        <v>1</v>
      </c>
      <c r="F1298" s="119" t="n">
        <v>16.5</v>
      </c>
      <c r="G1298" s="120" t="n">
        <v>40</v>
      </c>
      <c r="H1298" s="117" t="inlineStr">
        <is>
          <t>FERCHA MESSAOUD</t>
        </is>
      </c>
      <c r="I1298" s="117" t="inlineStr">
        <is>
          <t>NIVELEUSES</t>
        </is>
      </c>
      <c r="J1298" s="117" t="inlineStr">
        <is>
          <t>ENGINS</t>
        </is>
      </c>
      <c r="K1298" s="48">
        <f>D1298+8</f>
        <v/>
      </c>
      <c r="L1298" s="48">
        <f>K1298+60</f>
        <v/>
      </c>
      <c r="N1298" s="72">
        <f>E1298</f>
        <v/>
      </c>
      <c r="O1298" s="50">
        <f>F1298/E1298*N1298</f>
        <v/>
      </c>
      <c r="P1298" s="273">
        <f>G1298/E1298*N1298</f>
        <v/>
      </c>
      <c r="S1298" s="200" t="inlineStr">
        <is>
          <t>AC26004LDJD144</t>
        </is>
      </c>
      <c r="T1298" s="201" t="n">
        <v>127</v>
      </c>
      <c r="U1298" s="58" t="inlineStr">
        <is>
          <t>01 UNIT XCMG MOTOR GRADER GR215( VOIR BL)</t>
        </is>
      </c>
      <c r="V1298" s="67" t="n"/>
      <c r="W1298" s="67" t="n"/>
      <c r="X1298" s="62" t="inlineStr">
        <is>
          <t>N-OP</t>
        </is>
      </c>
      <c r="Y1298" s="116">
        <f>F1298/E1298</f>
        <v/>
      </c>
      <c r="Z1298" s="64">
        <f>E1298-N1298</f>
        <v/>
      </c>
    </row>
    <row r="1299" ht="15.75" customHeight="1" s="202">
      <c r="A1299" s="116" t="n">
        <v>20260075</v>
      </c>
      <c r="B1299" s="117" t="inlineStr">
        <is>
          <t>AMOY CENTURY</t>
        </is>
      </c>
      <c r="C1299" s="118" t="n">
        <v>46091</v>
      </c>
      <c r="E1299" s="116" t="n">
        <v>1</v>
      </c>
      <c r="F1299" s="119" t="n">
        <v>34.1</v>
      </c>
      <c r="G1299" s="120" t="n">
        <v>24</v>
      </c>
      <c r="H1299" s="117" t="inlineStr">
        <is>
          <t>SARL GROUPE CMMC</t>
        </is>
      </c>
      <c r="I1299" s="117" t="inlineStr">
        <is>
          <t>EXCAVATEURS</t>
        </is>
      </c>
      <c r="J1299" s="117" t="inlineStr">
        <is>
          <t>ENGINS</t>
        </is>
      </c>
      <c r="K1299" s="48">
        <f>D1299+8</f>
        <v/>
      </c>
      <c r="L1299" s="48">
        <f>K1299+60</f>
        <v/>
      </c>
      <c r="N1299" s="72">
        <f>E1299</f>
        <v/>
      </c>
      <c r="O1299" s="50">
        <f>F1299/E1299*N1299</f>
        <v/>
      </c>
      <c r="P1299" s="273">
        <f>G1299/E1299*N1299</f>
        <v/>
      </c>
      <c r="S1299" s="200" t="inlineStr">
        <is>
          <t>AC26004LDJD145</t>
        </is>
      </c>
      <c r="T1299" s="201" t="n">
        <v>128</v>
      </c>
      <c r="U1299" s="58" t="inlineStr">
        <is>
          <t>01 UNIT HYUNDAI CRAWLER EXCAVATOR HX340HD ( VOIR BL)</t>
        </is>
      </c>
      <c r="V1299" s="67" t="n"/>
      <c r="W1299" s="67" t="n"/>
      <c r="X1299" s="62" t="inlineStr">
        <is>
          <t>N-OP</t>
        </is>
      </c>
      <c r="Y1299" s="116">
        <f>F1299/E1299</f>
        <v/>
      </c>
      <c r="Z1299" s="64">
        <f>E1299-N1299</f>
        <v/>
      </c>
    </row>
    <row r="1300" ht="15.75" customHeight="1" s="202">
      <c r="A1300" s="116" t="n">
        <v>20260075</v>
      </c>
      <c r="B1300" s="117" t="inlineStr">
        <is>
          <t>AMOY CENTURY</t>
        </is>
      </c>
      <c r="C1300" s="118" t="n">
        <v>46091</v>
      </c>
      <c r="E1300" s="116" t="n">
        <v>1</v>
      </c>
      <c r="F1300" s="119" t="n">
        <v>0</v>
      </c>
      <c r="G1300" s="120" t="n">
        <v>5</v>
      </c>
      <c r="H1300" s="117" t="inlineStr">
        <is>
          <t>SARL GROUPE CMMC</t>
        </is>
      </c>
      <c r="I1300" s="117" t="inlineStr">
        <is>
          <t>COLIS</t>
        </is>
      </c>
      <c r="J1300" s="117" t="inlineStr">
        <is>
          <t>COLIS</t>
        </is>
      </c>
      <c r="K1300" s="48">
        <f>D1300+8</f>
        <v/>
      </c>
      <c r="L1300" s="48">
        <f>K1300+60</f>
        <v/>
      </c>
      <c r="N1300" s="72">
        <f>E1300</f>
        <v/>
      </c>
      <c r="O1300" s="50">
        <f>F1300/E1300*N1300</f>
        <v/>
      </c>
      <c r="P1300" s="273">
        <f>G1300/E1300*N1300</f>
        <v/>
      </c>
      <c r="S1300" s="200" t="inlineStr">
        <is>
          <t>AC26004LDJD145</t>
        </is>
      </c>
      <c r="T1300" s="201" t="n">
        <v>128</v>
      </c>
      <c r="U1300" s="58" t="n"/>
      <c r="V1300" s="67" t="n"/>
      <c r="W1300" s="67" t="n"/>
      <c r="X1300" s="62" t="inlineStr">
        <is>
          <t>N-OP</t>
        </is>
      </c>
      <c r="Y1300" s="116">
        <f>F1300/E1300</f>
        <v/>
      </c>
      <c r="Z1300" s="64">
        <f>E1300-N1300</f>
        <v/>
      </c>
    </row>
    <row r="1301" ht="15.75" customHeight="1" s="202">
      <c r="A1301" s="116" t="n">
        <v>20260075</v>
      </c>
      <c r="B1301" s="117" t="inlineStr">
        <is>
          <t>AMOY CENTURY</t>
        </is>
      </c>
      <c r="C1301" s="118" t="n">
        <v>46091</v>
      </c>
      <c r="E1301" s="116" t="n">
        <v>1</v>
      </c>
      <c r="F1301" s="119" t="n">
        <v>8</v>
      </c>
      <c r="G1301" s="120" t="n">
        <v>24</v>
      </c>
      <c r="H1301" s="117" t="inlineStr">
        <is>
          <t>SARL MIFA F</t>
        </is>
      </c>
      <c r="I1301" s="117" t="inlineStr">
        <is>
          <t>CAMIONS</t>
        </is>
      </c>
      <c r="J1301" s="117" t="inlineStr">
        <is>
          <t>LOURD</t>
        </is>
      </c>
      <c r="K1301" s="48">
        <f>D1301+8</f>
        <v/>
      </c>
      <c r="L1301" s="48">
        <f>K1301+60</f>
        <v/>
      </c>
      <c r="N1301" s="72">
        <f>E1301</f>
        <v/>
      </c>
      <c r="O1301" s="50">
        <f>F1301/E1301*N1301</f>
        <v/>
      </c>
      <c r="P1301" s="273">
        <f>G1301/E1301*N1301</f>
        <v/>
      </c>
      <c r="S1301" s="200" t="inlineStr">
        <is>
          <t>AC26004LDJD146</t>
        </is>
      </c>
      <c r="T1301" s="201" t="n">
        <v>129</v>
      </c>
      <c r="U1301" s="58" t="inlineStr">
        <is>
          <t>01 UNIT SHACMAN L3000 4X2 CARGO TRUCK ( VOIR BL)</t>
        </is>
      </c>
      <c r="V1301" s="67" t="n"/>
      <c r="W1301" s="67" t="n"/>
      <c r="X1301" s="62" t="inlineStr">
        <is>
          <t>N-OP</t>
        </is>
      </c>
      <c r="Y1301" s="116">
        <f>F1301/E1301</f>
        <v/>
      </c>
      <c r="Z1301" s="64">
        <f>E1301-N1301</f>
        <v/>
      </c>
    </row>
    <row r="1302" ht="15.75" customHeight="1" s="202">
      <c r="A1302" s="116" t="n">
        <v>20260075</v>
      </c>
      <c r="B1302" s="117" t="inlineStr">
        <is>
          <t>AMOY CENTURY</t>
        </is>
      </c>
      <c r="C1302" s="118" t="n">
        <v>46091</v>
      </c>
      <c r="E1302" s="116" t="n">
        <v>1</v>
      </c>
      <c r="F1302" s="119" t="n">
        <v>8</v>
      </c>
      <c r="G1302" s="120" t="n">
        <v>24</v>
      </c>
      <c r="H1302" s="117" t="inlineStr">
        <is>
          <t>SARL BOSKADOR SERVICE</t>
        </is>
      </c>
      <c r="I1302" s="117" t="inlineStr">
        <is>
          <t>CAMIONS</t>
        </is>
      </c>
      <c r="J1302" s="117" t="inlineStr">
        <is>
          <t>LOURD</t>
        </is>
      </c>
      <c r="K1302" s="48">
        <f>D1302+8</f>
        <v/>
      </c>
      <c r="L1302" s="48">
        <f>K1302+60</f>
        <v/>
      </c>
      <c r="N1302" s="72">
        <f>E1302</f>
        <v/>
      </c>
      <c r="O1302" s="50">
        <f>F1302/E1302*N1302</f>
        <v/>
      </c>
      <c r="P1302" s="273">
        <f>G1302/E1302*N1302</f>
        <v/>
      </c>
      <c r="S1302" s="200" t="inlineStr">
        <is>
          <t>AC26004LDJD147</t>
        </is>
      </c>
      <c r="T1302" s="201" t="n">
        <v>130</v>
      </c>
      <c r="U1302" s="58" t="inlineStr">
        <is>
          <t>01 UNIT SINOTRUK SITRAK G7S 6X4 TRACTOR TRUCK-AUTOMATIC GEARBOX ( VOIR BL)</t>
        </is>
      </c>
      <c r="V1302" s="67" t="n"/>
      <c r="W1302" s="67" t="n"/>
      <c r="X1302" s="62" t="inlineStr">
        <is>
          <t>N-OP</t>
        </is>
      </c>
      <c r="Y1302" s="116">
        <f>F1302/E1302</f>
        <v/>
      </c>
      <c r="Z1302" s="64">
        <f>E1302-N1302</f>
        <v/>
      </c>
    </row>
    <row r="1303" ht="15.75" customHeight="1" s="202">
      <c r="A1303" s="116" t="n">
        <v>20260075</v>
      </c>
      <c r="B1303" s="117" t="inlineStr">
        <is>
          <t>AMOY CENTURY</t>
        </is>
      </c>
      <c r="C1303" s="118" t="n">
        <v>46091</v>
      </c>
      <c r="E1303" s="116" t="n">
        <v>1</v>
      </c>
      <c r="F1303" s="119" t="n">
        <v>9</v>
      </c>
      <c r="G1303" s="120" t="n">
        <v>24</v>
      </c>
      <c r="H1303" s="117" t="inlineStr">
        <is>
          <t>SARL OULED HADJ MAAMAR SERVICES</t>
        </is>
      </c>
      <c r="I1303" s="117" t="inlineStr">
        <is>
          <t>CAMIONS</t>
        </is>
      </c>
      <c r="J1303" s="117" t="inlineStr">
        <is>
          <t>LOURD</t>
        </is>
      </c>
      <c r="K1303" s="48">
        <f>D1303+8</f>
        <v/>
      </c>
      <c r="L1303" s="48">
        <f>K1303+60</f>
        <v/>
      </c>
      <c r="N1303" s="72">
        <f>E1303</f>
        <v/>
      </c>
      <c r="O1303" s="50">
        <f>F1303/E1303*N1303</f>
        <v/>
      </c>
      <c r="P1303" s="273">
        <f>G1303/E1303*N1303</f>
        <v/>
      </c>
      <c r="S1303" s="200" t="inlineStr">
        <is>
          <t>AC26004LDJD148</t>
        </is>
      </c>
      <c r="T1303" s="201" t="n">
        <v>131</v>
      </c>
      <c r="U1303" s="58" t="inlineStr">
        <is>
          <t>01 UNIT SINOTRUK SITRAK 6×4 480HP TRACTOR TRUCK ( VOIR BL)</t>
        </is>
      </c>
      <c r="V1303" s="67" t="n"/>
      <c r="W1303" s="67" t="n"/>
      <c r="X1303" s="62" t="inlineStr">
        <is>
          <t>N-OP</t>
        </is>
      </c>
      <c r="Y1303" s="116">
        <f>F1303/E1303</f>
        <v/>
      </c>
      <c r="Z1303" s="64">
        <f>E1303-N1303</f>
        <v/>
      </c>
    </row>
    <row r="1304" ht="15.75" customHeight="1" s="202">
      <c r="A1304" s="116" t="n">
        <v>20260075</v>
      </c>
      <c r="B1304" s="117" t="inlineStr">
        <is>
          <t>AMOY CENTURY</t>
        </is>
      </c>
      <c r="C1304" s="118" t="n">
        <v>46091</v>
      </c>
      <c r="E1304" s="116" t="n">
        <v>1</v>
      </c>
      <c r="F1304" s="119" t="n">
        <v>36.8</v>
      </c>
      <c r="G1304" s="120" t="n">
        <v>24</v>
      </c>
      <c r="H1304" s="117" t="inlineStr">
        <is>
          <t>BRINES ADEL</t>
        </is>
      </c>
      <c r="I1304" s="117" t="inlineStr">
        <is>
          <t>EXCAVATEURS</t>
        </is>
      </c>
      <c r="J1304" s="117" t="inlineStr">
        <is>
          <t>ENGINS</t>
        </is>
      </c>
      <c r="K1304" s="48">
        <f>D1304+8</f>
        <v/>
      </c>
      <c r="L1304" s="48">
        <f>K1304+60</f>
        <v/>
      </c>
      <c r="N1304" s="72">
        <f>E1304</f>
        <v/>
      </c>
      <c r="O1304" s="50">
        <f>F1304/E1304*N1304</f>
        <v/>
      </c>
      <c r="P1304" s="273">
        <f>G1304/E1304*N1304</f>
        <v/>
      </c>
      <c r="S1304" s="200" t="inlineStr">
        <is>
          <t>AC26004LDJD149</t>
        </is>
      </c>
      <c r="T1304" s="201" t="n">
        <v>132</v>
      </c>
      <c r="U1304" s="58" t="inlineStr">
        <is>
          <t>01 UNIT HYUNDAI EXCAVATOR HX340HD 01 UNIT DAEMO TOP HAMMER DRB300 (VOIR BL)</t>
        </is>
      </c>
      <c r="V1304" s="67" t="n"/>
      <c r="W1304" s="67" t="n"/>
      <c r="X1304" s="62" t="inlineStr">
        <is>
          <t>N-OP</t>
        </is>
      </c>
      <c r="Y1304" s="116">
        <f>F1304/E1304</f>
        <v/>
      </c>
      <c r="Z1304" s="64">
        <f>E1304-N1304</f>
        <v/>
      </c>
    </row>
    <row r="1305" ht="15.75" customHeight="1" s="202">
      <c r="A1305" s="116" t="n">
        <v>20260075</v>
      </c>
      <c r="B1305" s="117" t="inlineStr">
        <is>
          <t>AMOY CENTURY</t>
        </is>
      </c>
      <c r="C1305" s="118" t="n">
        <v>46091</v>
      </c>
      <c r="E1305" s="116" t="n">
        <v>2</v>
      </c>
      <c r="F1305" s="119" t="n">
        <v>0</v>
      </c>
      <c r="G1305" s="120" t="n">
        <v>10</v>
      </c>
      <c r="H1305" s="117" t="inlineStr">
        <is>
          <t>BRINES ADEL</t>
        </is>
      </c>
      <c r="I1305" s="117" t="inlineStr">
        <is>
          <t>COLIS</t>
        </is>
      </c>
      <c r="J1305" s="117" t="inlineStr">
        <is>
          <t>COLIS</t>
        </is>
      </c>
      <c r="K1305" s="48">
        <f>D1305+8</f>
        <v/>
      </c>
      <c r="L1305" s="48">
        <f>K1305+60</f>
        <v/>
      </c>
      <c r="N1305" s="72">
        <f>E1305</f>
        <v/>
      </c>
      <c r="O1305" s="50">
        <f>F1305/E1305*N1305</f>
        <v/>
      </c>
      <c r="P1305" s="273">
        <f>G1305/E1305*N1305</f>
        <v/>
      </c>
      <c r="S1305" s="200" t="inlineStr">
        <is>
          <t>AC26004LDJD149</t>
        </is>
      </c>
      <c r="T1305" s="201" t="n">
        <v>132</v>
      </c>
      <c r="U1305" s="58" t="n"/>
      <c r="V1305" s="67" t="n"/>
      <c r="W1305" s="67" t="n"/>
      <c r="X1305" s="62" t="inlineStr">
        <is>
          <t>N-OP</t>
        </is>
      </c>
      <c r="Y1305" s="116">
        <f>F1305/E1305</f>
        <v/>
      </c>
      <c r="Z1305" s="64">
        <f>E1305-N1305</f>
        <v/>
      </c>
    </row>
    <row r="1306" ht="15.75" customHeight="1" s="202">
      <c r="A1306" s="116" t="n">
        <v>20260075</v>
      </c>
      <c r="B1306" s="117" t="inlineStr">
        <is>
          <t>AMOY CENTURY</t>
        </is>
      </c>
      <c r="C1306" s="118" t="n">
        <v>46091</v>
      </c>
      <c r="E1306" s="116" t="n">
        <v>1</v>
      </c>
      <c r="F1306" s="119" t="n">
        <v>34</v>
      </c>
      <c r="G1306" s="120" t="n">
        <v>24</v>
      </c>
      <c r="H1306" s="117" t="inlineStr">
        <is>
          <t>SARL MINKOM TRAVAUX PUBLICS</t>
        </is>
      </c>
      <c r="I1306" s="117" t="inlineStr">
        <is>
          <t>EXCAVATEURS</t>
        </is>
      </c>
      <c r="J1306" s="117" t="inlineStr">
        <is>
          <t>ENGINS</t>
        </is>
      </c>
      <c r="K1306" s="48">
        <f>D1306+8</f>
        <v/>
      </c>
      <c r="L1306" s="48">
        <f>K1306+60</f>
        <v/>
      </c>
      <c r="N1306" s="72">
        <f>E1306</f>
        <v/>
      </c>
      <c r="O1306" s="50">
        <f>F1306/E1306*N1306</f>
        <v/>
      </c>
      <c r="P1306" s="273">
        <f>G1306/E1306*N1306</f>
        <v/>
      </c>
      <c r="S1306" s="200" t="inlineStr">
        <is>
          <t>AC26004LDJD150</t>
        </is>
      </c>
      <c r="T1306" s="201" t="n">
        <v>133</v>
      </c>
      <c r="U1306" s="58" t="inlineStr">
        <is>
          <t>01 UNIT HYUNDAI HX340HD EXCAVATOR ( VOIR BL)</t>
        </is>
      </c>
      <c r="V1306" s="67" t="n"/>
      <c r="W1306" s="67" t="n"/>
      <c r="X1306" s="62" t="inlineStr">
        <is>
          <t>N-OP</t>
        </is>
      </c>
      <c r="Y1306" s="116">
        <f>F1306/E1306</f>
        <v/>
      </c>
      <c r="Z1306" s="64">
        <f>E1306-N1306</f>
        <v/>
      </c>
    </row>
    <row r="1307" ht="15.75" customHeight="1" s="202">
      <c r="A1307" s="116" t="n">
        <v>20260075</v>
      </c>
      <c r="B1307" s="117" t="inlineStr">
        <is>
          <t>AMOY CENTURY</t>
        </is>
      </c>
      <c r="C1307" s="118" t="n">
        <v>46091</v>
      </c>
      <c r="E1307" s="116" t="n">
        <v>1</v>
      </c>
      <c r="F1307" s="119" t="n">
        <v>0</v>
      </c>
      <c r="G1307" s="120" t="n">
        <v>5</v>
      </c>
      <c r="H1307" s="117" t="inlineStr">
        <is>
          <t>SARL MINKOM TRAVAUX PUBLICS</t>
        </is>
      </c>
      <c r="I1307" s="117" t="inlineStr">
        <is>
          <t>COLIS</t>
        </is>
      </c>
      <c r="J1307" s="117" t="inlineStr">
        <is>
          <t>COLIS</t>
        </is>
      </c>
      <c r="K1307" s="48">
        <f>D1307+8</f>
        <v/>
      </c>
      <c r="L1307" s="48">
        <f>K1307+60</f>
        <v/>
      </c>
      <c r="N1307" s="72">
        <f>E1307</f>
        <v/>
      </c>
      <c r="O1307" s="50">
        <f>F1307/E1307*N1307</f>
        <v/>
      </c>
      <c r="P1307" s="273">
        <f>G1307/E1307*N1307</f>
        <v/>
      </c>
      <c r="S1307" s="200" t="inlineStr">
        <is>
          <t>AC26004LDJD150</t>
        </is>
      </c>
      <c r="T1307" s="201" t="n">
        <v>133</v>
      </c>
      <c r="U1307" s="58" t="n"/>
      <c r="V1307" s="67" t="n"/>
      <c r="W1307" s="67" t="n"/>
      <c r="X1307" s="62" t="inlineStr">
        <is>
          <t>N-OP</t>
        </is>
      </c>
      <c r="Y1307" s="116">
        <f>F1307/E1307</f>
        <v/>
      </c>
      <c r="Z1307" s="64">
        <f>E1307-N1307</f>
        <v/>
      </c>
    </row>
    <row r="1308" ht="15.75" customHeight="1" s="202">
      <c r="A1308" s="116" t="n">
        <v>20260075</v>
      </c>
      <c r="B1308" s="117" t="inlineStr">
        <is>
          <t>AMOY CENTURY</t>
        </is>
      </c>
      <c r="C1308" s="118" t="n">
        <v>46091</v>
      </c>
      <c r="E1308" s="116" t="n">
        <v>1</v>
      </c>
      <c r="F1308" s="119" t="n">
        <v>23.5</v>
      </c>
      <c r="G1308" s="120" t="n">
        <v>24</v>
      </c>
      <c r="H1308" s="117" t="inlineStr">
        <is>
          <t>MEHDA AMOR</t>
        </is>
      </c>
      <c r="I1308" s="117" t="inlineStr">
        <is>
          <t>CHARIOT ELEVATEUR</t>
        </is>
      </c>
      <c r="J1308" s="117" t="inlineStr">
        <is>
          <t>ENGINS</t>
        </is>
      </c>
      <c r="K1308" s="48">
        <f>D1308+8</f>
        <v/>
      </c>
      <c r="L1308" s="48">
        <f>K1308+60</f>
        <v/>
      </c>
      <c r="N1308" s="72">
        <f>E1308</f>
        <v/>
      </c>
      <c r="O1308" s="50">
        <f>F1308/E1308*N1308</f>
        <v/>
      </c>
      <c r="P1308" s="273">
        <f>G1308/E1308*N1308</f>
        <v/>
      </c>
      <c r="S1308" s="200" t="inlineStr">
        <is>
          <t>AC26004LDJD151A</t>
        </is>
      </c>
      <c r="T1308" s="201" t="n">
        <v>134</v>
      </c>
      <c r="U1308" s="58" t="inlineStr">
        <is>
          <t>01 UNIT LONKING 16T FORKLIFT ( VOIR BL)</t>
        </is>
      </c>
      <c r="V1308" s="67" t="n"/>
      <c r="W1308" s="67" t="n"/>
      <c r="X1308" s="62" t="inlineStr">
        <is>
          <t>N-OP</t>
        </is>
      </c>
      <c r="Y1308" s="116">
        <f>F1308/E1308</f>
        <v/>
      </c>
      <c r="Z1308" s="64">
        <f>E1308-N1308</f>
        <v/>
      </c>
    </row>
    <row r="1309" ht="15.75" customHeight="1" s="202">
      <c r="A1309" s="116" t="n">
        <v>20260075</v>
      </c>
      <c r="B1309" s="117" t="inlineStr">
        <is>
          <t>AMOY CENTURY</t>
        </is>
      </c>
      <c r="C1309" s="118" t="n">
        <v>46091</v>
      </c>
      <c r="E1309" s="116" t="n">
        <v>1</v>
      </c>
      <c r="F1309" s="119" t="n">
        <v>23.5</v>
      </c>
      <c r="G1309" s="120" t="n">
        <v>24</v>
      </c>
      <c r="H1309" s="117" t="inlineStr">
        <is>
          <t>SARL ELKANAS REALISATION GENERALES</t>
        </is>
      </c>
      <c r="I1309" s="117" t="inlineStr">
        <is>
          <t>CHARIOT ELEVATEUR</t>
        </is>
      </c>
      <c r="J1309" s="117" t="inlineStr">
        <is>
          <t>ENGINS</t>
        </is>
      </c>
      <c r="K1309" s="48">
        <f>D1309+8</f>
        <v/>
      </c>
      <c r="L1309" s="48">
        <f>K1309+60</f>
        <v/>
      </c>
      <c r="N1309" s="72">
        <f>E1309</f>
        <v/>
      </c>
      <c r="O1309" s="50">
        <f>F1309/E1309*N1309</f>
        <v/>
      </c>
      <c r="P1309" s="273">
        <f>G1309/E1309*N1309</f>
        <v/>
      </c>
      <c r="S1309" s="200" t="inlineStr">
        <is>
          <t>AC26004LDJD151B</t>
        </is>
      </c>
      <c r="T1309" s="201" t="n">
        <v>135</v>
      </c>
      <c r="U1309" s="58" t="inlineStr">
        <is>
          <t>01 UNIT LONKING 16T FORKLIFT ( VOIR BL)</t>
        </is>
      </c>
      <c r="V1309" s="67" t="n"/>
      <c r="W1309" s="67" t="n"/>
      <c r="X1309" s="62" t="inlineStr">
        <is>
          <t>N-OP</t>
        </is>
      </c>
      <c r="Y1309" s="116">
        <f>F1309/E1309</f>
        <v/>
      </c>
      <c r="Z1309" s="64">
        <f>E1309-N1309</f>
        <v/>
      </c>
    </row>
    <row r="1310" ht="15.75" customHeight="1" s="202">
      <c r="A1310" s="116" t="n">
        <v>20260075</v>
      </c>
      <c r="B1310" s="117" t="inlineStr">
        <is>
          <t>AMOY CENTURY</t>
        </is>
      </c>
      <c r="C1310" s="118" t="n">
        <v>46091</v>
      </c>
      <c r="E1310" s="116" t="n">
        <v>1</v>
      </c>
      <c r="F1310" s="119" t="n">
        <v>8.800000000000001</v>
      </c>
      <c r="G1310" s="120" t="n">
        <v>24</v>
      </c>
      <c r="H1310" s="117" t="inlineStr">
        <is>
          <t>SARL SOUMMAM SOUM</t>
        </is>
      </c>
      <c r="I1310" s="117" t="inlineStr">
        <is>
          <t>CAMIONS</t>
        </is>
      </c>
      <c r="J1310" s="117" t="inlineStr">
        <is>
          <t>LOURD</t>
        </is>
      </c>
      <c r="K1310" s="48">
        <f>D1310+8</f>
        <v/>
      </c>
      <c r="L1310" s="48">
        <f>K1310+60</f>
        <v/>
      </c>
      <c r="N1310" s="72">
        <f>E1310</f>
        <v/>
      </c>
      <c r="O1310" s="50">
        <f>F1310/E1310*N1310</f>
        <v/>
      </c>
      <c r="P1310" s="273">
        <f>G1310/E1310*N1310</f>
        <v/>
      </c>
      <c r="S1310" s="200" t="inlineStr">
        <is>
          <t>AC26004LDJD153</t>
        </is>
      </c>
      <c r="T1310" s="201" t="n">
        <v>136</v>
      </c>
      <c r="U1310" s="58" t="inlineStr">
        <is>
          <t>01 UNIT SINOTRUK SITRAK 6X4 TRACTOR-MANUAL GEARBOX LHD ( VOIR BL)</t>
        </is>
      </c>
      <c r="V1310" s="67" t="n"/>
      <c r="W1310" s="67" t="n"/>
      <c r="X1310" s="62" t="inlineStr">
        <is>
          <t>N-OP</t>
        </is>
      </c>
      <c r="Y1310" s="116">
        <f>F1310/E1310</f>
        <v/>
      </c>
      <c r="Z1310" s="64">
        <f>E1310-N1310</f>
        <v/>
      </c>
    </row>
    <row r="1311" ht="15.75" customHeight="1" s="202">
      <c r="A1311" s="116" t="n">
        <v>20260075</v>
      </c>
      <c r="B1311" s="117" t="inlineStr">
        <is>
          <t>AMOY CENTURY</t>
        </is>
      </c>
      <c r="C1311" s="118" t="n">
        <v>46091</v>
      </c>
      <c r="E1311" s="116" t="n">
        <v>1</v>
      </c>
      <c r="F1311" s="119" t="n">
        <v>34</v>
      </c>
      <c r="G1311" s="120" t="n">
        <v>24</v>
      </c>
      <c r="H1311" s="117" t="inlineStr">
        <is>
          <t>EURL BM GRAND TRAVAUX ET SERVICES</t>
        </is>
      </c>
      <c r="I1311" s="117" t="inlineStr">
        <is>
          <t>EXCAVATEURS</t>
        </is>
      </c>
      <c r="J1311" s="117" t="inlineStr">
        <is>
          <t>ENGINS</t>
        </is>
      </c>
      <c r="K1311" s="48">
        <f>D1311+8</f>
        <v/>
      </c>
      <c r="L1311" s="48">
        <f>K1311+60</f>
        <v/>
      </c>
      <c r="N1311" s="72">
        <f>E1311</f>
        <v/>
      </c>
      <c r="O1311" s="50">
        <f>F1311/E1311*N1311</f>
        <v/>
      </c>
      <c r="P1311" s="273">
        <f>G1311/E1311*N1311</f>
        <v/>
      </c>
      <c r="S1311" s="200" t="inlineStr">
        <is>
          <t>AC26004LDJD154</t>
        </is>
      </c>
      <c r="T1311" s="201" t="n">
        <v>137</v>
      </c>
      <c r="U1311" s="58" t="inlineStr">
        <is>
          <t>01 UNIT HYUNDAI EXCAVATOR HX340HD ( VOIR BL)</t>
        </is>
      </c>
      <c r="V1311" s="67" t="n"/>
      <c r="W1311" s="67" t="n"/>
      <c r="X1311" s="62" t="inlineStr">
        <is>
          <t>N-OP</t>
        </is>
      </c>
      <c r="Y1311" s="116">
        <f>F1311/E1311</f>
        <v/>
      </c>
      <c r="Z1311" s="64">
        <f>E1311-N1311</f>
        <v/>
      </c>
    </row>
    <row r="1312" ht="15.75" customHeight="1" s="202">
      <c r="A1312" s="116" t="n">
        <v>20260075</v>
      </c>
      <c r="B1312" s="117" t="inlineStr">
        <is>
          <t>AMOY CENTURY</t>
        </is>
      </c>
      <c r="C1312" s="118" t="n">
        <v>46091</v>
      </c>
      <c r="E1312" s="116" t="n">
        <v>1</v>
      </c>
      <c r="F1312" s="119" t="n">
        <v>0</v>
      </c>
      <c r="G1312" s="120" t="n">
        <v>5</v>
      </c>
      <c r="H1312" s="117" t="inlineStr">
        <is>
          <t>EURL BM GRAND TRAVAUX ET SERVICES</t>
        </is>
      </c>
      <c r="I1312" s="117" t="inlineStr">
        <is>
          <t>COLIS</t>
        </is>
      </c>
      <c r="J1312" s="117" t="inlineStr">
        <is>
          <t>COLIS</t>
        </is>
      </c>
      <c r="K1312" s="48">
        <f>D1312+8</f>
        <v/>
      </c>
      <c r="L1312" s="48">
        <f>K1312+60</f>
        <v/>
      </c>
      <c r="N1312" s="72">
        <f>E1312</f>
        <v/>
      </c>
      <c r="O1312" s="50">
        <f>F1312/E1312*N1312</f>
        <v/>
      </c>
      <c r="P1312" s="273">
        <f>G1312/E1312*N1312</f>
        <v/>
      </c>
      <c r="S1312" s="200" t="inlineStr">
        <is>
          <t>AC26004LDJD154</t>
        </is>
      </c>
      <c r="T1312" s="201" t="n">
        <v>137</v>
      </c>
      <c r="U1312" s="58" t="n"/>
      <c r="V1312" s="67" t="n"/>
      <c r="W1312" s="67" t="n"/>
      <c r="X1312" s="62" t="inlineStr">
        <is>
          <t>N-OP</t>
        </is>
      </c>
      <c r="Y1312" s="116">
        <f>F1312/E1312</f>
        <v/>
      </c>
      <c r="Z1312" s="64">
        <f>E1312-N1312</f>
        <v/>
      </c>
    </row>
    <row r="1313" ht="15.75" customHeight="1" s="202">
      <c r="A1313" s="116" t="n">
        <v>20260075</v>
      </c>
      <c r="B1313" s="117" t="inlineStr">
        <is>
          <t>AMOY CENTURY</t>
        </is>
      </c>
      <c r="C1313" s="118" t="n">
        <v>46091</v>
      </c>
      <c r="E1313" s="116" t="n">
        <v>1</v>
      </c>
      <c r="F1313" s="119" t="n">
        <v>34</v>
      </c>
      <c r="G1313" s="120" t="n">
        <v>24</v>
      </c>
      <c r="H1313" s="117" t="inlineStr">
        <is>
          <t>SARL BIG TRANSBAT</t>
        </is>
      </c>
      <c r="I1313" s="117" t="inlineStr">
        <is>
          <t>EXCAVATEURS</t>
        </is>
      </c>
      <c r="J1313" s="117" t="inlineStr">
        <is>
          <t>ENGINS</t>
        </is>
      </c>
      <c r="K1313" s="48">
        <f>D1313+8</f>
        <v/>
      </c>
      <c r="L1313" s="48">
        <f>K1313+60</f>
        <v/>
      </c>
      <c r="N1313" s="72">
        <f>E1313</f>
        <v/>
      </c>
      <c r="O1313" s="50">
        <f>F1313/E1313*N1313</f>
        <v/>
      </c>
      <c r="P1313" s="273">
        <f>G1313/E1313*N1313</f>
        <v/>
      </c>
      <c r="S1313" s="200" t="inlineStr">
        <is>
          <t>AC26004LDJD155</t>
        </is>
      </c>
      <c r="T1313" s="201" t="n">
        <v>138</v>
      </c>
      <c r="U1313" s="58" t="inlineStr">
        <is>
          <t>01 UNIT HYUNDAI EXCAVATOR HX340HD (VOIR BL)</t>
        </is>
      </c>
      <c r="V1313" s="67" t="n"/>
      <c r="W1313" s="67" t="n"/>
      <c r="X1313" s="62" t="inlineStr">
        <is>
          <t>N-OP</t>
        </is>
      </c>
      <c r="Y1313" s="116">
        <f>F1313/E1313</f>
        <v/>
      </c>
      <c r="Z1313" s="64">
        <f>E1313-N1313</f>
        <v/>
      </c>
    </row>
    <row r="1314" ht="15.75" customHeight="1" s="202">
      <c r="A1314" s="116" t="n">
        <v>20260075</v>
      </c>
      <c r="B1314" s="117" t="inlineStr">
        <is>
          <t>AMOY CENTURY</t>
        </is>
      </c>
      <c r="C1314" s="118" t="n">
        <v>46091</v>
      </c>
      <c r="E1314" s="116" t="n">
        <v>1</v>
      </c>
      <c r="F1314" s="119" t="n">
        <v>0</v>
      </c>
      <c r="G1314" s="120" t="n">
        <v>5</v>
      </c>
      <c r="H1314" s="117" t="inlineStr">
        <is>
          <t>SARL BIG TRANSBAT</t>
        </is>
      </c>
      <c r="I1314" s="117" t="inlineStr">
        <is>
          <t>COLIS</t>
        </is>
      </c>
      <c r="J1314" s="117" t="inlineStr">
        <is>
          <t>COLIS</t>
        </is>
      </c>
      <c r="K1314" s="48">
        <f>D1314+8</f>
        <v/>
      </c>
      <c r="L1314" s="48">
        <f>K1314+60</f>
        <v/>
      </c>
      <c r="N1314" s="72">
        <f>E1314</f>
        <v/>
      </c>
      <c r="O1314" s="50">
        <f>F1314/E1314*N1314</f>
        <v/>
      </c>
      <c r="P1314" s="273">
        <f>G1314/E1314*N1314</f>
        <v/>
      </c>
      <c r="S1314" s="200" t="inlineStr">
        <is>
          <t>AC26004LDJD155</t>
        </is>
      </c>
      <c r="T1314" s="201" t="n">
        <v>138</v>
      </c>
      <c r="U1314" s="58" t="n"/>
      <c r="V1314" s="67" t="n"/>
      <c r="W1314" s="67" t="n"/>
      <c r="X1314" s="62" t="inlineStr">
        <is>
          <t>N-OP</t>
        </is>
      </c>
      <c r="Y1314" s="116">
        <f>F1314/E1314</f>
        <v/>
      </c>
      <c r="Z1314" s="64">
        <f>E1314-N1314</f>
        <v/>
      </c>
    </row>
    <row r="1315" ht="15.75" customHeight="1" s="202">
      <c r="A1315" s="116" t="n">
        <v>20260075</v>
      </c>
      <c r="B1315" s="117" t="inlineStr">
        <is>
          <t>AMOY CENTURY</t>
        </is>
      </c>
      <c r="C1315" s="118" t="n">
        <v>46091</v>
      </c>
      <c r="E1315" s="116" t="n">
        <v>2</v>
      </c>
      <c r="F1315" s="119" t="n">
        <v>68</v>
      </c>
      <c r="G1315" s="120" t="n">
        <v>48</v>
      </c>
      <c r="H1315" s="117" t="inlineStr">
        <is>
          <t>SARL AMINOU MONDE</t>
        </is>
      </c>
      <c r="I1315" s="117" t="inlineStr">
        <is>
          <t>EXCAVATEURS</t>
        </is>
      </c>
      <c r="J1315" s="117" t="inlineStr">
        <is>
          <t>ENGINS</t>
        </is>
      </c>
      <c r="K1315" s="48">
        <f>D1315+8</f>
        <v/>
      </c>
      <c r="L1315" s="48">
        <f>K1315+60</f>
        <v/>
      </c>
      <c r="N1315" s="72">
        <f>E1315</f>
        <v/>
      </c>
      <c r="O1315" s="50">
        <f>F1315/E1315*N1315</f>
        <v/>
      </c>
      <c r="P1315" s="273">
        <f>G1315/E1315*N1315</f>
        <v/>
      </c>
      <c r="S1315" s="200" t="inlineStr">
        <is>
          <t>AC26004LDJD157</t>
        </is>
      </c>
      <c r="T1315" s="201" t="n">
        <v>139</v>
      </c>
      <c r="U1315" s="58" t="inlineStr">
        <is>
          <t>02 UNITS HYUNDAI EXCAVATOR HX340HD ( VOIR BL)</t>
        </is>
      </c>
      <c r="V1315" s="67" t="n"/>
      <c r="W1315" s="67" t="n"/>
      <c r="X1315" s="62" t="inlineStr">
        <is>
          <t>N-OP</t>
        </is>
      </c>
      <c r="Y1315" s="116">
        <f>F1315/E1315</f>
        <v/>
      </c>
      <c r="Z1315" s="64">
        <f>E1315-N1315</f>
        <v/>
      </c>
    </row>
    <row r="1316" ht="15.75" customHeight="1" s="202">
      <c r="A1316" s="116" t="n">
        <v>20260075</v>
      </c>
      <c r="B1316" s="117" t="inlineStr">
        <is>
          <t>AMOY CENTURY</t>
        </is>
      </c>
      <c r="C1316" s="118" t="n">
        <v>46091</v>
      </c>
      <c r="E1316" s="116" t="n">
        <v>2</v>
      </c>
      <c r="F1316" s="119" t="n">
        <v>0</v>
      </c>
      <c r="G1316" s="120" t="n">
        <v>10</v>
      </c>
      <c r="H1316" s="117" t="inlineStr">
        <is>
          <t>SARL AMINOU MONDE</t>
        </is>
      </c>
      <c r="I1316" s="117" t="inlineStr">
        <is>
          <t>COLIS</t>
        </is>
      </c>
      <c r="J1316" s="117" t="inlineStr">
        <is>
          <t>COLIS</t>
        </is>
      </c>
      <c r="K1316" s="48">
        <f>D1316+8</f>
        <v/>
      </c>
      <c r="L1316" s="48">
        <f>K1316+60</f>
        <v/>
      </c>
      <c r="N1316" s="72">
        <f>E1316</f>
        <v/>
      </c>
      <c r="O1316" s="50">
        <f>F1316/E1316*N1316</f>
        <v/>
      </c>
      <c r="P1316" s="273">
        <f>G1316/E1316*N1316</f>
        <v/>
      </c>
      <c r="S1316" s="200" t="inlineStr">
        <is>
          <t>AC26004LDJD157</t>
        </is>
      </c>
      <c r="T1316" s="201" t="n">
        <v>139</v>
      </c>
      <c r="U1316" s="58" t="n"/>
      <c r="V1316" s="67" t="n"/>
      <c r="W1316" s="67" t="n"/>
      <c r="X1316" s="62" t="inlineStr">
        <is>
          <t>N-OP</t>
        </is>
      </c>
      <c r="Y1316" s="116">
        <f>F1316/E1316</f>
        <v/>
      </c>
      <c r="Z1316" s="64">
        <f>E1316-N1316</f>
        <v/>
      </c>
    </row>
    <row r="1317" ht="15.75" customHeight="1" s="202">
      <c r="A1317" s="116" t="n">
        <v>20260075</v>
      </c>
      <c r="B1317" s="117" t="inlineStr">
        <is>
          <t>AMOY CENTURY</t>
        </is>
      </c>
      <c r="C1317" s="118" t="n">
        <v>46091</v>
      </c>
      <c r="E1317" s="116" t="n">
        <v>5</v>
      </c>
      <c r="F1317" s="119" t="n">
        <v>86.5</v>
      </c>
      <c r="G1317" s="120" t="n">
        <v>120</v>
      </c>
      <c r="H1317" s="117" t="inlineStr">
        <is>
          <t>TECHNO CERAM SARL</t>
        </is>
      </c>
      <c r="I1317" s="117" t="inlineStr">
        <is>
          <t>CAMIONS</t>
        </is>
      </c>
      <c r="J1317" s="117" t="inlineStr">
        <is>
          <t>LOURD</t>
        </is>
      </c>
      <c r="K1317" s="48">
        <f>D1317+8</f>
        <v/>
      </c>
      <c r="L1317" s="48">
        <f>K1317+60</f>
        <v/>
      </c>
      <c r="N1317" s="72">
        <f>E1317</f>
        <v/>
      </c>
      <c r="O1317" s="50">
        <f>F1317/E1317*N1317</f>
        <v/>
      </c>
      <c r="P1317" s="273">
        <f>G1317/E1317*N1317</f>
        <v/>
      </c>
      <c r="S1317" s="200" t="inlineStr">
        <is>
          <t>AC26004LDJD158A</t>
        </is>
      </c>
      <c r="T1317" s="201" t="n">
        <v>140</v>
      </c>
      <c r="U1317" s="58" t="inlineStr">
        <is>
          <t>05 UNITS SINOTRUCK SITRAK 8X4 TIPPER-AUTOMATIC GEARBOX LHD ( VOIR BL)</t>
        </is>
      </c>
      <c r="V1317" s="67" t="n"/>
      <c r="W1317" s="67" t="n"/>
      <c r="X1317" s="62" t="inlineStr">
        <is>
          <t>N-OP</t>
        </is>
      </c>
      <c r="Y1317" s="116">
        <f>F1317/E1317</f>
        <v/>
      </c>
      <c r="Z1317" s="64">
        <f>E1317-N1317</f>
        <v/>
      </c>
    </row>
    <row r="1318" ht="15.75" customHeight="1" s="202">
      <c r="A1318" s="116" t="n">
        <v>20260075</v>
      </c>
      <c r="B1318" s="117" t="inlineStr">
        <is>
          <t>AMOY CENTURY</t>
        </is>
      </c>
      <c r="C1318" s="118" t="n">
        <v>46091</v>
      </c>
      <c r="E1318" s="116" t="n">
        <v>5</v>
      </c>
      <c r="F1318" s="119" t="n">
        <v>86.5</v>
      </c>
      <c r="G1318" s="120" t="n">
        <v>120</v>
      </c>
      <c r="H1318" s="117" t="inlineStr">
        <is>
          <t>EURL LUXE TILE</t>
        </is>
      </c>
      <c r="I1318" s="117" t="inlineStr">
        <is>
          <t>CAMIONS</t>
        </is>
      </c>
      <c r="J1318" s="117" t="inlineStr">
        <is>
          <t>LOURD</t>
        </is>
      </c>
      <c r="K1318" s="48">
        <f>D1318+8</f>
        <v/>
      </c>
      <c r="L1318" s="48">
        <f>K1318+60</f>
        <v/>
      </c>
      <c r="N1318" s="72">
        <f>E1318</f>
        <v/>
      </c>
      <c r="O1318" s="50">
        <f>F1318/E1318*N1318</f>
        <v/>
      </c>
      <c r="P1318" s="273">
        <f>G1318/E1318*N1318</f>
        <v/>
      </c>
      <c r="S1318" s="200" t="inlineStr">
        <is>
          <t>AC26004LDJD158B</t>
        </is>
      </c>
      <c r="T1318" s="201" t="n">
        <v>141</v>
      </c>
      <c r="U1318" s="58" t="inlineStr">
        <is>
          <t>05 UNITS SINOTRUCK SITRAK 8X4 TIPPER-AUTOMATIC GEARBOX LHD ( VOIR BL)</t>
        </is>
      </c>
      <c r="V1318" s="67" t="n"/>
      <c r="W1318" s="67" t="n"/>
      <c r="X1318" s="62" t="inlineStr">
        <is>
          <t>N-OP</t>
        </is>
      </c>
      <c r="Y1318" s="116">
        <f>F1318/E1318</f>
        <v/>
      </c>
      <c r="Z1318" s="64">
        <f>E1318-N1318</f>
        <v/>
      </c>
    </row>
    <row r="1319" ht="15.75" customHeight="1" s="202">
      <c r="A1319" s="116" t="n">
        <v>20260075</v>
      </c>
      <c r="B1319" s="117" t="inlineStr">
        <is>
          <t>AMOY CENTURY</t>
        </is>
      </c>
      <c r="C1319" s="118" t="n">
        <v>46091</v>
      </c>
      <c r="E1319" s="116" t="n">
        <v>1</v>
      </c>
      <c r="F1319" s="119" t="n">
        <v>13.6</v>
      </c>
      <c r="G1319" s="120" t="n">
        <v>24</v>
      </c>
      <c r="H1319" s="117" t="inlineStr">
        <is>
          <t>SARL BOUZIDI MOHAMED BACHIR TRANS</t>
        </is>
      </c>
      <c r="I1319" s="117" t="inlineStr">
        <is>
          <t>CAMIONS</t>
        </is>
      </c>
      <c r="J1319" s="117" t="inlineStr">
        <is>
          <t>LOURD</t>
        </is>
      </c>
      <c r="K1319" s="48">
        <f>D1319+8</f>
        <v/>
      </c>
      <c r="L1319" s="48">
        <f>K1319+60</f>
        <v/>
      </c>
      <c r="N1319" s="72">
        <f>E1319</f>
        <v/>
      </c>
      <c r="O1319" s="50">
        <f>F1319/E1319*N1319</f>
        <v/>
      </c>
      <c r="P1319" s="273">
        <f>G1319/E1319*N1319</f>
        <v/>
      </c>
      <c r="S1319" s="200" t="inlineStr">
        <is>
          <t>AC26004LDJD159</t>
        </is>
      </c>
      <c r="T1319" s="201" t="n">
        <v>142</v>
      </c>
      <c r="U1319" s="58" t="inlineStr">
        <is>
          <t>01 UNIT SINOTRUK HOWO 6X4 MIXER TRUCK LHD-10 CBM ( VOIR BL)</t>
        </is>
      </c>
      <c r="V1319" s="67" t="n"/>
      <c r="W1319" s="67" t="n"/>
      <c r="X1319" s="62" t="inlineStr">
        <is>
          <t>N-OP</t>
        </is>
      </c>
      <c r="Y1319" s="116">
        <f>F1319/E1319</f>
        <v/>
      </c>
      <c r="Z1319" s="64">
        <f>E1319-N1319</f>
        <v/>
      </c>
    </row>
    <row r="1320" ht="15.75" customHeight="1" s="202">
      <c r="A1320" s="116" t="n">
        <v>20260075</v>
      </c>
      <c r="B1320" s="117" t="inlineStr">
        <is>
          <t>AMOY CENTURY</t>
        </is>
      </c>
      <c r="C1320" s="118" t="n">
        <v>46091</v>
      </c>
      <c r="E1320" s="116" t="n">
        <v>4</v>
      </c>
      <c r="F1320" s="119" t="n">
        <v>146.78</v>
      </c>
      <c r="G1320" s="120" t="n">
        <v>96</v>
      </c>
      <c r="H1320" s="117" t="inlineStr">
        <is>
          <t>ENTREPRISE LOUAFI FATHI</t>
        </is>
      </c>
      <c r="I1320" s="117" t="inlineStr">
        <is>
          <t>EXCAVATEURS</t>
        </is>
      </c>
      <c r="J1320" s="117" t="inlineStr">
        <is>
          <t>ENGINS</t>
        </is>
      </c>
      <c r="K1320" s="48">
        <f>D1320+8</f>
        <v/>
      </c>
      <c r="L1320" s="48">
        <f>K1320+60</f>
        <v/>
      </c>
      <c r="N1320" s="72">
        <f>E1320</f>
        <v/>
      </c>
      <c r="O1320" s="50">
        <f>F1320/E1320*N1320</f>
        <v/>
      </c>
      <c r="P1320" s="273">
        <f>G1320/E1320*N1320</f>
        <v/>
      </c>
      <c r="S1320" s="200" t="inlineStr">
        <is>
          <t>AC26004LDJD160</t>
        </is>
      </c>
      <c r="T1320" s="201" t="n">
        <v>143</v>
      </c>
      <c r="U1320" s="58" t="inlineStr">
        <is>
          <t>04 UNITS HYUNDAI EXCAVATOR HX340HD ( VOIR BL)</t>
        </is>
      </c>
      <c r="V1320" s="67" t="n"/>
      <c r="W1320" s="67" t="n"/>
      <c r="X1320" s="62" t="inlineStr">
        <is>
          <t>N-OP</t>
        </is>
      </c>
      <c r="Y1320" s="116">
        <f>F1320/E1320</f>
        <v/>
      </c>
      <c r="Z1320" s="64">
        <f>E1320-N1320</f>
        <v/>
      </c>
    </row>
    <row r="1321" ht="15.75" customHeight="1" s="202">
      <c r="A1321" s="116" t="n">
        <v>20260075</v>
      </c>
      <c r="B1321" s="117" t="inlineStr">
        <is>
          <t>AMOY CENTURY</t>
        </is>
      </c>
      <c r="C1321" s="118" t="n">
        <v>46091</v>
      </c>
      <c r="E1321" s="116" t="n">
        <v>16</v>
      </c>
      <c r="F1321" s="119" t="n">
        <v>0</v>
      </c>
      <c r="G1321" s="120" t="n">
        <v>64</v>
      </c>
      <c r="H1321" s="117" t="inlineStr">
        <is>
          <t>ENTREPRISE LOUAFI FATHI</t>
        </is>
      </c>
      <c r="I1321" s="117" t="inlineStr">
        <is>
          <t>COLIS</t>
        </is>
      </c>
      <c r="J1321" s="117" t="inlineStr">
        <is>
          <t>COLIS</t>
        </is>
      </c>
      <c r="K1321" s="48">
        <f>D1321+8</f>
        <v/>
      </c>
      <c r="L1321" s="48">
        <f>K1321+60</f>
        <v/>
      </c>
      <c r="N1321" s="72">
        <f>E1321</f>
        <v/>
      </c>
      <c r="O1321" s="50">
        <f>F1321/E1321*N1321</f>
        <v/>
      </c>
      <c r="P1321" s="273">
        <f>G1321/E1321*N1321</f>
        <v/>
      </c>
      <c r="S1321" s="200" t="inlineStr">
        <is>
          <t>AC26004LDJD160</t>
        </is>
      </c>
      <c r="T1321" s="201" t="n">
        <v>143</v>
      </c>
      <c r="U1321" s="58" t="n"/>
      <c r="V1321" s="67" t="n"/>
      <c r="W1321" s="67" t="n"/>
      <c r="X1321" s="62" t="inlineStr">
        <is>
          <t>N-OP</t>
        </is>
      </c>
      <c r="Y1321" s="116">
        <f>F1321/E1321</f>
        <v/>
      </c>
      <c r="Z1321" s="64">
        <f>E1321-N1321</f>
        <v/>
      </c>
    </row>
    <row r="1322" ht="15.75" customHeight="1" s="202">
      <c r="A1322" s="116" t="n">
        <v>20260075</v>
      </c>
      <c r="B1322" s="117" t="inlineStr">
        <is>
          <t>AMOY CENTURY</t>
        </is>
      </c>
      <c r="C1322" s="118" t="n">
        <v>46091</v>
      </c>
      <c r="E1322" s="116" t="n">
        <v>1</v>
      </c>
      <c r="F1322" s="119" t="n">
        <v>21.7</v>
      </c>
      <c r="G1322" s="120" t="n">
        <v>24</v>
      </c>
      <c r="H1322" s="117" t="inlineStr">
        <is>
          <t>EURL GHERBI MOURAD TRAVAUX ET SERVTCES</t>
        </is>
      </c>
      <c r="I1322" s="117" t="inlineStr">
        <is>
          <t>EXCAVATEURS</t>
        </is>
      </c>
      <c r="J1322" s="117" t="inlineStr">
        <is>
          <t>ENGINS</t>
        </is>
      </c>
      <c r="K1322" s="48">
        <f>D1322+8</f>
        <v/>
      </c>
      <c r="L1322" s="48">
        <f>K1322+60</f>
        <v/>
      </c>
      <c r="N1322" s="72">
        <f>E1322</f>
        <v/>
      </c>
      <c r="O1322" s="50">
        <f>F1322/E1322*N1322</f>
        <v/>
      </c>
      <c r="P1322" s="273">
        <f>G1322/E1322*N1322</f>
        <v/>
      </c>
      <c r="S1322" s="200" t="inlineStr">
        <is>
          <t>AC26004LDJD165</t>
        </is>
      </c>
      <c r="T1322" s="201" t="n">
        <v>149</v>
      </c>
      <c r="U1322" s="58" t="inlineStr">
        <is>
          <t>01 UNIT HYUNDAI EXCAVATOR ( VOIR BL )</t>
        </is>
      </c>
      <c r="V1322" s="67" t="n"/>
      <c r="W1322" s="67" t="n"/>
      <c r="X1322" s="62" t="inlineStr">
        <is>
          <t>N-OP</t>
        </is>
      </c>
      <c r="Y1322" s="116">
        <f>F1322/E1322</f>
        <v/>
      </c>
      <c r="Z1322" s="64">
        <f>E1322-N1322</f>
        <v/>
      </c>
    </row>
    <row r="1323" ht="15.75" customHeight="1" s="202">
      <c r="A1323" s="116" t="n">
        <v>20260075</v>
      </c>
      <c r="B1323" s="117" t="inlineStr">
        <is>
          <t>AMOY CENTURY</t>
        </is>
      </c>
      <c r="C1323" s="118" t="n">
        <v>46091</v>
      </c>
      <c r="E1323" s="116" t="n">
        <v>1</v>
      </c>
      <c r="F1323" s="119" t="n">
        <v>42.2</v>
      </c>
      <c r="G1323" s="120" t="n">
        <v>60</v>
      </c>
      <c r="H1323" s="117" t="inlineStr">
        <is>
          <t>SADOUKI CHAABANE</t>
        </is>
      </c>
      <c r="I1323" s="117" t="inlineStr">
        <is>
          <t>CAMION GRUE</t>
        </is>
      </c>
      <c r="J1323" s="117" t="inlineStr">
        <is>
          <t>ENGINS</t>
        </is>
      </c>
      <c r="K1323" s="48">
        <f>D1323+8</f>
        <v/>
      </c>
      <c r="L1323" s="48">
        <f>K1323+60</f>
        <v/>
      </c>
      <c r="N1323" s="72">
        <f>E1323</f>
        <v/>
      </c>
      <c r="O1323" s="50">
        <f>F1323/E1323*N1323</f>
        <v/>
      </c>
      <c r="P1323" s="273">
        <f>G1323/E1323*N1323</f>
        <v/>
      </c>
      <c r="S1323" s="200" t="inlineStr">
        <is>
          <t>AC26004LDJD166</t>
        </is>
      </c>
      <c r="T1323" s="201" t="n">
        <v>150</v>
      </c>
      <c r="U1323" s="58" t="inlineStr">
        <is>
          <t>01 UNIT XCMG TRUCK CRANE QY50KD ( VOIR BL)</t>
        </is>
      </c>
      <c r="V1323" s="67" t="n"/>
      <c r="W1323" s="67" t="n"/>
      <c r="X1323" s="62" t="inlineStr">
        <is>
          <t>N-OP</t>
        </is>
      </c>
      <c r="Y1323" s="116">
        <f>F1323/E1323</f>
        <v/>
      </c>
      <c r="Z1323" s="64">
        <f>E1323-N1323</f>
        <v/>
      </c>
    </row>
    <row r="1324" ht="15.75" customHeight="1" s="202">
      <c r="A1324" s="116" t="n">
        <v>20260075</v>
      </c>
      <c r="B1324" s="117" t="inlineStr">
        <is>
          <t>AMOY CENTURY</t>
        </is>
      </c>
      <c r="C1324" s="118" t="n">
        <v>46091</v>
      </c>
      <c r="E1324" s="116" t="n">
        <v>2</v>
      </c>
      <c r="F1324" s="119" t="n">
        <v>23.4</v>
      </c>
      <c r="G1324" s="120" t="n">
        <v>48</v>
      </c>
      <c r="H1324" s="117" t="inlineStr">
        <is>
          <t>SARL ZIMO MULTI SERVICES</t>
        </is>
      </c>
      <c r="I1324" s="117" t="inlineStr">
        <is>
          <t>CAMIONS</t>
        </is>
      </c>
      <c r="J1324" s="117" t="inlineStr">
        <is>
          <t>LOURD</t>
        </is>
      </c>
      <c r="K1324" s="48">
        <f>D1324+8</f>
        <v/>
      </c>
      <c r="L1324" s="48">
        <f>K1324+60</f>
        <v/>
      </c>
      <c r="N1324" s="72">
        <f>E1324</f>
        <v/>
      </c>
      <c r="O1324" s="50">
        <f>F1324/E1324*N1324</f>
        <v/>
      </c>
      <c r="P1324" s="273">
        <f>G1324/E1324*N1324</f>
        <v/>
      </c>
      <c r="S1324" s="200" t="inlineStr">
        <is>
          <t>AC26004LDJD167B/174</t>
        </is>
      </c>
      <c r="T1324" s="201" t="n">
        <v>151</v>
      </c>
      <c r="U1324" s="58" t="inlineStr">
        <is>
          <t>01 UNIT SINOTRUK SITRAK 6X4 TRACTOR 01 UNIT XCMG MIX COMPACTOR XS143J ( VOIR BL)</t>
        </is>
      </c>
      <c r="V1324" s="67" t="n"/>
      <c r="W1324" s="67" t="n"/>
      <c r="X1324" s="62" t="inlineStr">
        <is>
          <t>N-OP</t>
        </is>
      </c>
      <c r="Y1324" s="116">
        <f>F1324/E1324</f>
        <v/>
      </c>
      <c r="Z1324" s="64">
        <f>E1324-N1324</f>
        <v/>
      </c>
    </row>
    <row r="1325" ht="15.75" customHeight="1" s="202">
      <c r="A1325" s="116" t="n">
        <v>20260075</v>
      </c>
      <c r="B1325" s="117" t="inlineStr">
        <is>
          <t>AMOY CENTURY</t>
        </is>
      </c>
      <c r="C1325" s="118" t="n">
        <v>46091</v>
      </c>
      <c r="E1325" s="116" t="n">
        <v>1</v>
      </c>
      <c r="F1325" s="119" t="n">
        <v>20</v>
      </c>
      <c r="G1325" s="120" t="n">
        <v>24</v>
      </c>
      <c r="H1325" s="117" t="inlineStr">
        <is>
          <t>EURL ELHAMID CONSTRUCTION</t>
        </is>
      </c>
      <c r="I1325" s="117" t="inlineStr">
        <is>
          <t>CAMIONS</t>
        </is>
      </c>
      <c r="J1325" s="117" t="inlineStr">
        <is>
          <t>LOURD</t>
        </is>
      </c>
      <c r="K1325" s="48">
        <f>D1325+8</f>
        <v/>
      </c>
      <c r="L1325" s="48">
        <f>K1325+60</f>
        <v/>
      </c>
      <c r="N1325" s="72">
        <f>E1325</f>
        <v/>
      </c>
      <c r="O1325" s="50">
        <f>F1325/E1325*N1325</f>
        <v/>
      </c>
      <c r="P1325" s="273">
        <f>G1325/E1325*N1325</f>
        <v/>
      </c>
      <c r="S1325" s="200" t="inlineStr">
        <is>
          <t>AC26004LDJD168</t>
        </is>
      </c>
      <c r="T1325" s="201" t="n">
        <v>152</v>
      </c>
      <c r="U1325" s="58" t="inlineStr">
        <is>
          <t>01 UNIT XCMG XS203J SINGLE DRUM ROAD ROLLER (VOIR BL)</t>
        </is>
      </c>
      <c r="V1325" s="67" t="n"/>
      <c r="W1325" s="67" t="n"/>
      <c r="X1325" s="62" t="inlineStr">
        <is>
          <t>N-OP</t>
        </is>
      </c>
      <c r="Y1325" s="116">
        <f>F1325/E1325</f>
        <v/>
      </c>
      <c r="Z1325" s="64">
        <f>E1325-N1325</f>
        <v/>
      </c>
    </row>
    <row r="1326" ht="15.75" customHeight="1" s="202">
      <c r="A1326" s="116" t="n">
        <v>20260075</v>
      </c>
      <c r="B1326" s="117" t="inlineStr">
        <is>
          <t>AMOY CENTURY</t>
        </is>
      </c>
      <c r="C1326" s="118" t="n">
        <v>46091</v>
      </c>
      <c r="E1326" s="116" t="n">
        <v>1</v>
      </c>
      <c r="F1326" s="119" t="n">
        <v>16.6</v>
      </c>
      <c r="G1326" s="120" t="n">
        <v>24</v>
      </c>
      <c r="H1326" s="117" t="inlineStr">
        <is>
          <t>SARL ACIER BETON MOSTAGANEM (ABM)</t>
        </is>
      </c>
      <c r="I1326" s="117" t="inlineStr">
        <is>
          <t>CAMIONS</t>
        </is>
      </c>
      <c r="J1326" s="117" t="inlineStr">
        <is>
          <t>LOURD</t>
        </is>
      </c>
      <c r="K1326" s="48">
        <f>D1326+8</f>
        <v/>
      </c>
      <c r="L1326" s="48">
        <f>K1326+60</f>
        <v/>
      </c>
      <c r="N1326" s="72">
        <f>E1326</f>
        <v/>
      </c>
      <c r="O1326" s="50">
        <f>F1326/E1326*N1326</f>
        <v/>
      </c>
      <c r="P1326" s="273">
        <f>G1326/E1326*N1326</f>
        <v/>
      </c>
      <c r="S1326" s="200" t="inlineStr">
        <is>
          <t>AC26004LDJD169</t>
        </is>
      </c>
      <c r="T1326" s="201" t="n">
        <v>153</v>
      </c>
      <c r="U1326" s="58" t="inlineStr">
        <is>
          <t>01 UNIT SINOTRUCK SITRAK 8X4 TIPPER TRUCK ( VOIR BL)</t>
        </is>
      </c>
      <c r="V1326" s="67" t="n"/>
      <c r="W1326" s="67" t="n"/>
      <c r="X1326" s="62" t="inlineStr">
        <is>
          <t>N-OP</t>
        </is>
      </c>
      <c r="Y1326" s="116">
        <f>F1326/E1326</f>
        <v/>
      </c>
      <c r="Z1326" s="64">
        <f>E1326-N1326</f>
        <v/>
      </c>
    </row>
    <row r="1327" ht="15.75" customHeight="1" s="202">
      <c r="A1327" s="116" t="n">
        <v>20260075</v>
      </c>
      <c r="B1327" s="117" t="inlineStr">
        <is>
          <t>AMOY CENTURY</t>
        </is>
      </c>
      <c r="C1327" s="118" t="n">
        <v>46091</v>
      </c>
      <c r="E1327" s="116" t="n">
        <v>1</v>
      </c>
      <c r="F1327" s="119" t="n">
        <v>9</v>
      </c>
      <c r="G1327" s="120" t="n">
        <v>24</v>
      </c>
      <c r="H1327" s="117" t="inlineStr">
        <is>
          <t>SARL LES FILS D'ACIER DE CHLEF</t>
        </is>
      </c>
      <c r="I1327" s="117" t="inlineStr">
        <is>
          <t>CAMIONS</t>
        </is>
      </c>
      <c r="J1327" s="117" t="inlineStr">
        <is>
          <t>LOURD</t>
        </is>
      </c>
      <c r="K1327" s="48">
        <f>D1327+8</f>
        <v/>
      </c>
      <c r="L1327" s="48">
        <f>K1327+60</f>
        <v/>
      </c>
      <c r="N1327" s="72">
        <f>E1327</f>
        <v/>
      </c>
      <c r="O1327" s="50">
        <f>F1327/E1327*N1327</f>
        <v/>
      </c>
      <c r="P1327" s="273">
        <f>G1327/E1327*N1327</f>
        <v/>
      </c>
      <c r="S1327" s="200" t="inlineStr">
        <is>
          <t>AC26004LDJD170</t>
        </is>
      </c>
      <c r="T1327" s="201" t="n">
        <v>154</v>
      </c>
      <c r="U1327" s="58" t="inlineStr">
        <is>
          <t>01 UNIT SINOTRUCK SITRAK 6X4 TRACTOR-AUTOMATIC GEARBOX LHD ( VOIR BL)</t>
        </is>
      </c>
      <c r="V1327" s="67" t="n"/>
      <c r="W1327" s="67" t="n"/>
      <c r="X1327" s="62" t="inlineStr">
        <is>
          <t>N-OP</t>
        </is>
      </c>
      <c r="Y1327" s="116">
        <f>F1327/E1327</f>
        <v/>
      </c>
      <c r="Z1327" s="64">
        <f>E1327-N1327</f>
        <v/>
      </c>
    </row>
    <row r="1328" ht="15.75" customHeight="1" s="202">
      <c r="A1328" s="116" t="n">
        <v>20260075</v>
      </c>
      <c r="B1328" s="117" t="inlineStr">
        <is>
          <t>AMOY CENTURY</t>
        </is>
      </c>
      <c r="C1328" s="118" t="n">
        <v>46091</v>
      </c>
      <c r="E1328" s="116" t="n">
        <v>1</v>
      </c>
      <c r="F1328" s="119" t="n">
        <v>9</v>
      </c>
      <c r="G1328" s="120" t="n">
        <v>24</v>
      </c>
      <c r="H1328" s="117" t="inlineStr">
        <is>
          <t>SAHOUANE LAHCENE</t>
        </is>
      </c>
      <c r="I1328" s="117" t="inlineStr">
        <is>
          <t>CAMIONS</t>
        </is>
      </c>
      <c r="J1328" s="117" t="inlineStr">
        <is>
          <t>LOURD</t>
        </is>
      </c>
      <c r="K1328" s="48">
        <f>D1328+8</f>
        <v/>
      </c>
      <c r="L1328" s="48">
        <f>K1328+60</f>
        <v/>
      </c>
      <c r="N1328" s="72">
        <f>E1328</f>
        <v/>
      </c>
      <c r="O1328" s="50">
        <f>F1328/E1328*N1328</f>
        <v/>
      </c>
      <c r="P1328" s="273">
        <f>G1328/E1328*N1328</f>
        <v/>
      </c>
      <c r="S1328" s="200" t="inlineStr">
        <is>
          <t>AC26004LDJD171</t>
        </is>
      </c>
      <c r="T1328" s="201" t="n">
        <v>155</v>
      </c>
      <c r="U1328" s="58" t="inlineStr">
        <is>
          <t>01 UNIT SINOTRUK SITRAK 6X4 TRACTOR-MANUAL GEARBOX LHD ( VOIR BL)</t>
        </is>
      </c>
      <c r="V1328" s="67" t="n"/>
      <c r="W1328" s="67" t="n"/>
      <c r="X1328" s="62" t="inlineStr">
        <is>
          <t>N-OP</t>
        </is>
      </c>
      <c r="Y1328" s="116">
        <f>F1328/E1328</f>
        <v/>
      </c>
      <c r="Z1328" s="64">
        <f>E1328-N1328</f>
        <v/>
      </c>
    </row>
    <row r="1329" ht="15.75" customHeight="1" s="202">
      <c r="A1329" s="116" t="n">
        <v>20260075</v>
      </c>
      <c r="B1329" s="117" t="inlineStr">
        <is>
          <t>AMOY CENTURY</t>
        </is>
      </c>
      <c r="C1329" s="118" t="n">
        <v>46091</v>
      </c>
      <c r="E1329" s="116" t="n">
        <v>1</v>
      </c>
      <c r="F1329" s="119" t="n">
        <v>9</v>
      </c>
      <c r="G1329" s="120" t="n">
        <v>24</v>
      </c>
      <c r="H1329" s="117" t="inlineStr">
        <is>
          <t>ELGHANNAY JAMEL</t>
        </is>
      </c>
      <c r="I1329" s="117" t="inlineStr">
        <is>
          <t>CAMIONS</t>
        </is>
      </c>
      <c r="J1329" s="117" t="inlineStr">
        <is>
          <t>LOURD</t>
        </is>
      </c>
      <c r="K1329" s="48">
        <f>D1329+8</f>
        <v/>
      </c>
      <c r="L1329" s="48">
        <f>K1329+60</f>
        <v/>
      </c>
      <c r="N1329" s="72">
        <f>E1329</f>
        <v/>
      </c>
      <c r="O1329" s="50">
        <f>F1329/E1329*N1329</f>
        <v/>
      </c>
      <c r="P1329" s="273">
        <f>G1329/E1329*N1329</f>
        <v/>
      </c>
      <c r="S1329" s="200" t="inlineStr">
        <is>
          <t>AC26004LDJD172</t>
        </is>
      </c>
      <c r="T1329" s="201" t="n">
        <v>156</v>
      </c>
      <c r="U1329" s="58" t="inlineStr">
        <is>
          <t>01 UNIT SINOTRUK SITRAK 6X4 TRACTOR-MANUAL GEARBOX LHD ( VOIR BL)</t>
        </is>
      </c>
      <c r="V1329" s="67" t="n"/>
      <c r="W1329" s="67" t="n"/>
      <c r="X1329" s="62" t="inlineStr">
        <is>
          <t>N-OP</t>
        </is>
      </c>
      <c r="Y1329" s="116">
        <f>F1329/E1329</f>
        <v/>
      </c>
      <c r="Z1329" s="64">
        <f>E1329-N1329</f>
        <v/>
      </c>
    </row>
    <row r="1330" ht="15.75" customHeight="1" s="202">
      <c r="A1330" s="116" t="n">
        <v>20260075</v>
      </c>
      <c r="B1330" s="117" t="inlineStr">
        <is>
          <t>AMOY CENTURY</t>
        </is>
      </c>
      <c r="C1330" s="118" t="n">
        <v>46091</v>
      </c>
      <c r="E1330" s="116" t="n">
        <v>1</v>
      </c>
      <c r="F1330" s="119" t="n">
        <v>36.03</v>
      </c>
      <c r="G1330" s="120" t="n">
        <v>24</v>
      </c>
      <c r="H1330" s="117" t="inlineStr">
        <is>
          <t>SARL MAYOUF ET SOLTANI CARRIESRS</t>
        </is>
      </c>
      <c r="I1330" s="117" t="inlineStr">
        <is>
          <t>EXCAVATEURS</t>
        </is>
      </c>
      <c r="J1330" s="117" t="inlineStr">
        <is>
          <t>ENGINS</t>
        </is>
      </c>
      <c r="K1330" s="48">
        <f>D1330+8</f>
        <v/>
      </c>
      <c r="L1330" s="48">
        <f>K1330+60</f>
        <v/>
      </c>
      <c r="N1330" s="72">
        <f>E1330</f>
        <v/>
      </c>
      <c r="O1330" s="50">
        <f>F1330/E1330*N1330</f>
        <v/>
      </c>
      <c r="P1330" s="273">
        <f>G1330/E1330*N1330</f>
        <v/>
      </c>
      <c r="S1330" s="200" t="inlineStr">
        <is>
          <t>AC26004LDJD173</t>
        </is>
      </c>
      <c r="T1330" s="201" t="n">
        <v>157</v>
      </c>
      <c r="U1330" s="58" t="inlineStr">
        <is>
          <t>01 UNIT DEVELON CRAWLER EXCAVATOR ( VOIR BL)</t>
        </is>
      </c>
      <c r="V1330" s="67" t="n"/>
      <c r="W1330" s="67" t="n"/>
      <c r="X1330" s="62" t="inlineStr">
        <is>
          <t>N-OP</t>
        </is>
      </c>
      <c r="Y1330" s="116">
        <f>F1330/E1330</f>
        <v/>
      </c>
      <c r="Z1330" s="64">
        <f>E1330-N1330</f>
        <v/>
      </c>
    </row>
    <row r="1331" ht="15.75" customHeight="1" s="202">
      <c r="A1331" s="116" t="n">
        <v>20260075</v>
      </c>
      <c r="B1331" s="117" t="inlineStr">
        <is>
          <t>AMOY CENTURY</t>
        </is>
      </c>
      <c r="C1331" s="118" t="n">
        <v>46091</v>
      </c>
      <c r="E1331" s="116" t="n">
        <v>3</v>
      </c>
      <c r="F1331" s="119" t="n">
        <v>0</v>
      </c>
      <c r="G1331" s="120" t="n">
        <v>15</v>
      </c>
      <c r="H1331" s="117" t="inlineStr">
        <is>
          <t>SARL MAYOUF ET SOLTANI CARRIESRS</t>
        </is>
      </c>
      <c r="I1331" s="117" t="inlineStr">
        <is>
          <t>COLIS</t>
        </is>
      </c>
      <c r="J1331" s="117" t="inlineStr">
        <is>
          <t>COLIS</t>
        </is>
      </c>
      <c r="K1331" s="48">
        <f>D1331+8</f>
        <v/>
      </c>
      <c r="L1331" s="48">
        <f>K1331+60</f>
        <v/>
      </c>
      <c r="N1331" s="72">
        <f>E1331</f>
        <v/>
      </c>
      <c r="O1331" s="50">
        <f>F1331/E1331*N1331</f>
        <v/>
      </c>
      <c r="P1331" s="273">
        <f>G1331/E1331*N1331</f>
        <v/>
      </c>
      <c r="S1331" s="200" t="inlineStr">
        <is>
          <t>AC26004LDJD173</t>
        </is>
      </c>
      <c r="T1331" s="201" t="n">
        <v>157</v>
      </c>
      <c r="U1331" s="58" t="n"/>
      <c r="V1331" s="67" t="n"/>
      <c r="W1331" s="67" t="n"/>
      <c r="X1331" s="62" t="inlineStr">
        <is>
          <t>N-OP</t>
        </is>
      </c>
      <c r="Y1331" s="116">
        <f>F1331/E1331</f>
        <v/>
      </c>
      <c r="Z1331" s="64">
        <f>E1331-N1331</f>
        <v/>
      </c>
    </row>
    <row r="1332" ht="15.75" customHeight="1" s="202">
      <c r="A1332" s="116" t="n">
        <v>20260075</v>
      </c>
      <c r="B1332" s="117" t="inlineStr">
        <is>
          <t>AMOY CENTURY</t>
        </is>
      </c>
      <c r="C1332" s="118" t="n">
        <v>46091</v>
      </c>
      <c r="E1332" s="116" t="n">
        <v>1</v>
      </c>
      <c r="F1332" s="119" t="n">
        <v>17.5</v>
      </c>
      <c r="G1332" s="120" t="n">
        <v>24</v>
      </c>
      <c r="H1332" s="117" t="inlineStr">
        <is>
          <t>SARL MBA DJEDID</t>
        </is>
      </c>
      <c r="I1332" s="117" t="inlineStr">
        <is>
          <t>CHARGEURS</t>
        </is>
      </c>
      <c r="J1332" s="117" t="inlineStr">
        <is>
          <t>ENGINS</t>
        </is>
      </c>
      <c r="K1332" s="48">
        <f>D1332+8</f>
        <v/>
      </c>
      <c r="L1332" s="48">
        <f>K1332+60</f>
        <v/>
      </c>
      <c r="N1332" s="72">
        <f>E1332</f>
        <v/>
      </c>
      <c r="O1332" s="50">
        <f>F1332/E1332*N1332</f>
        <v/>
      </c>
      <c r="P1332" s="273">
        <f>G1332/E1332*N1332</f>
        <v/>
      </c>
      <c r="S1332" s="200" t="inlineStr">
        <is>
          <t>AC26004LDJD175</t>
        </is>
      </c>
      <c r="T1332" s="201" t="n">
        <v>158</v>
      </c>
      <c r="U1332" s="58" t="inlineStr">
        <is>
          <t>01 UNIT XCMG ZL50GN WHEEL LOADER ( VOIR BL)</t>
        </is>
      </c>
      <c r="V1332" s="67" t="n"/>
      <c r="W1332" s="67" t="n"/>
      <c r="X1332" s="62" t="inlineStr">
        <is>
          <t>N-OP</t>
        </is>
      </c>
      <c r="Y1332" s="116">
        <f>F1332/E1332</f>
        <v/>
      </c>
      <c r="Z1332" s="64">
        <f>E1332-N1332</f>
        <v/>
      </c>
    </row>
    <row r="1333" ht="15.75" customHeight="1" s="202">
      <c r="A1333" s="116" t="n">
        <v>20260075</v>
      </c>
      <c r="B1333" s="117" t="inlineStr">
        <is>
          <t>AMOY CENTURY</t>
        </is>
      </c>
      <c r="C1333" s="118" t="n">
        <v>46091</v>
      </c>
      <c r="E1333" s="116" t="n">
        <v>1</v>
      </c>
      <c r="F1333" s="119" t="n">
        <v>5</v>
      </c>
      <c r="G1333" s="120" t="n">
        <v>24</v>
      </c>
      <c r="H1333" s="117" t="inlineStr">
        <is>
          <t>SARL MAKIBAT</t>
        </is>
      </c>
      <c r="I1333" s="117" t="inlineStr">
        <is>
          <t>CHARIOT ELEVATEUR</t>
        </is>
      </c>
      <c r="J1333" s="117" t="inlineStr">
        <is>
          <t>ENGINS</t>
        </is>
      </c>
      <c r="K1333" s="48">
        <f>D1333+8</f>
        <v/>
      </c>
      <c r="L1333" s="48">
        <f>K1333+60</f>
        <v/>
      </c>
      <c r="N1333" s="72">
        <f>E1333</f>
        <v/>
      </c>
      <c r="O1333" s="50">
        <f>F1333/E1333*N1333</f>
        <v/>
      </c>
      <c r="P1333" s="273">
        <f>G1333/E1333*N1333</f>
        <v/>
      </c>
      <c r="S1333" s="200" t="inlineStr">
        <is>
          <t>AC26004LDJD176</t>
        </is>
      </c>
      <c r="T1333" s="201" t="n">
        <v>159</v>
      </c>
      <c r="U1333" s="58" t="inlineStr">
        <is>
          <t>01 UNIT XCF30KT FORKLIFT (VOIR BL)</t>
        </is>
      </c>
      <c r="V1333" s="67" t="n"/>
      <c r="W1333" s="67" t="n"/>
      <c r="X1333" s="62" t="inlineStr">
        <is>
          <t>N-OP</t>
        </is>
      </c>
      <c r="Y1333" s="116">
        <f>F1333/E1333</f>
        <v/>
      </c>
      <c r="Z1333" s="64">
        <f>E1333-N1333</f>
        <v/>
      </c>
    </row>
    <row r="1334" ht="15.75" customHeight="1" s="202">
      <c r="A1334" s="87" t="n">
        <v>20260085</v>
      </c>
      <c r="B1334" s="88" t="inlineStr">
        <is>
          <t>PALMGRACHT</t>
        </is>
      </c>
      <c r="C1334" s="89" t="n">
        <v>46089</v>
      </c>
      <c r="D1334" s="118" t="n">
        <v>46105</v>
      </c>
      <c r="E1334" s="116" t="n">
        <v>9228</v>
      </c>
      <c r="F1334" s="119" t="n">
        <v>8002.157</v>
      </c>
      <c r="G1334" s="120" t="n">
        <v>7004.75247524752</v>
      </c>
      <c r="H1334" s="117" t="inlineStr">
        <is>
          <t>SH DP</t>
        </is>
      </c>
      <c r="I1334" s="117" t="inlineStr">
        <is>
          <t>TUBES</t>
        </is>
      </c>
      <c r="J1334" s="117" t="inlineStr">
        <is>
          <t>TUBES</t>
        </is>
      </c>
      <c r="K1334" s="48">
        <f>D1334+8</f>
        <v/>
      </c>
      <c r="L1334" s="48">
        <f>K1334+60</f>
        <v/>
      </c>
      <c r="N1334" s="72">
        <f>E1334</f>
        <v/>
      </c>
      <c r="O1334" s="50">
        <f>F1334/E1334*N1334</f>
        <v/>
      </c>
      <c r="P1334" s="273">
        <f>G1334/E1334*N1334</f>
        <v/>
      </c>
      <c r="S1334" s="200" t="inlineStr">
        <is>
          <t>SFFVPAVZDJ602001</t>
        </is>
      </c>
      <c r="T1334" s="201" t="n">
        <v>1</v>
      </c>
      <c r="U1334" s="58" t="n"/>
      <c r="V1334" s="67" t="n"/>
      <c r="W1334" s="67" t="n"/>
      <c r="X1334" s="62" t="inlineStr">
        <is>
          <t>N-OP</t>
        </is>
      </c>
      <c r="Y1334" s="116">
        <f>F1334/E1334</f>
        <v/>
      </c>
      <c r="Z1334" s="64">
        <f>E1334-N1334</f>
        <v/>
      </c>
    </row>
    <row r="1335" ht="15.75" customHeight="1" s="202">
      <c r="A1335" s="116" t="n">
        <v>20260085</v>
      </c>
      <c r="B1335" s="117" t="inlineStr">
        <is>
          <t>PALMGRACHT</t>
        </is>
      </c>
      <c r="C1335" s="118" t="n">
        <v>46089</v>
      </c>
      <c r="D1335" s="118" t="n">
        <v>46105</v>
      </c>
      <c r="E1335" s="116" t="n">
        <v>4227</v>
      </c>
      <c r="F1335" s="119" t="n">
        <v>6148.435</v>
      </c>
      <c r="G1335" s="120" t="n">
        <v>3208.61386138614</v>
      </c>
      <c r="H1335" s="117" t="inlineStr">
        <is>
          <t>SH ENI GROUPEMENT</t>
        </is>
      </c>
      <c r="I1335" s="117" t="inlineStr">
        <is>
          <t>TUBES</t>
        </is>
      </c>
      <c r="J1335" s="117" t="inlineStr">
        <is>
          <t>TUBES</t>
        </is>
      </c>
      <c r="K1335" s="48">
        <f>D1335+8</f>
        <v/>
      </c>
      <c r="L1335" s="48">
        <f>K1335+60</f>
        <v/>
      </c>
      <c r="N1335" s="72">
        <f>E1335</f>
        <v/>
      </c>
      <c r="O1335" s="50">
        <f>F1335/E1335*N1335</f>
        <v/>
      </c>
      <c r="P1335" s="273">
        <f>G1335/E1335*N1335</f>
        <v/>
      </c>
      <c r="S1335" s="200" t="inlineStr">
        <is>
          <t>SFFVPAVZDJ602002</t>
        </is>
      </c>
      <c r="T1335" s="201" t="n">
        <v>2</v>
      </c>
      <c r="U1335" s="58" t="n"/>
      <c r="V1335" s="67" t="n"/>
      <c r="W1335" s="67" t="n"/>
      <c r="X1335" s="62" t="inlineStr">
        <is>
          <t>N-OP</t>
        </is>
      </c>
      <c r="Y1335" s="116">
        <f>F1335/E1335</f>
        <v/>
      </c>
      <c r="Z1335" s="64">
        <f>E1335-N1335</f>
        <v/>
      </c>
    </row>
    <row r="1336" ht="15.75" customHeight="1" s="202">
      <c r="A1336" s="87" t="n">
        <v>20260087</v>
      </c>
      <c r="B1336" s="88" t="inlineStr">
        <is>
          <t>MARIA F</t>
        </is>
      </c>
      <c r="C1336" s="89" t="n">
        <v>46094</v>
      </c>
      <c r="D1336" s="208" t="n"/>
      <c r="E1336" s="206" t="n">
        <v>339</v>
      </c>
      <c r="F1336" s="210" t="n">
        <v>1399.187</v>
      </c>
      <c r="G1336" s="211" t="n">
        <v>500</v>
      </c>
      <c r="H1336" s="207" t="inlineStr">
        <is>
          <t>CHINA ROAD AND BRIDGE CORPORATIONATTN:Liao Yanli,</t>
        </is>
      </c>
      <c r="I1336" s="207" t="inlineStr">
        <is>
          <t>COLIS</t>
        </is>
      </c>
      <c r="J1336" s="207" t="inlineStr">
        <is>
          <t>COLIS</t>
        </is>
      </c>
      <c r="K1336" s="213">
        <f>D1336+8</f>
        <v/>
      </c>
      <c r="L1336" s="213">
        <f>K1336+60</f>
        <v/>
      </c>
      <c r="M1336" s="207" t="n"/>
      <c r="N1336" s="215">
        <f>E1336-43-63-26-16-24-24-32</f>
        <v/>
      </c>
      <c r="O1336" s="216">
        <f>F1336/E1336*N1336</f>
        <v/>
      </c>
      <c r="P1336" s="218">
        <f>G1336/E1336*N1336</f>
        <v/>
      </c>
      <c r="S1336" s="200" t="inlineStr">
        <is>
          <t>106269LYG201A</t>
        </is>
      </c>
      <c r="T1336" s="201" t="n">
        <v>1</v>
      </c>
      <c r="U1336" s="58" t="inlineStr">
        <is>
          <t>STEEL FORMWORK</t>
        </is>
      </c>
      <c r="V1336" s="67" t="n"/>
      <c r="W1336" s="67" t="n"/>
      <c r="X1336" s="99" t="inlineStr">
        <is>
          <t>OPER</t>
        </is>
      </c>
      <c r="Y1336" s="116">
        <f>F1336/E1336</f>
        <v/>
      </c>
      <c r="Z1336" s="64">
        <f>E1336-N1336</f>
        <v/>
      </c>
    </row>
    <row r="1337" ht="15.75" customHeight="1" s="202">
      <c r="A1337" s="300" t="n">
        <v>20260087</v>
      </c>
      <c r="B1337" s="301" t="inlineStr">
        <is>
          <t>MARIA F</t>
        </is>
      </c>
      <c r="C1337" s="302" t="n">
        <v>46094</v>
      </c>
      <c r="D1337" s="322" t="n"/>
      <c r="E1337" s="300" t="n">
        <v>157</v>
      </c>
      <c r="F1337" s="304" t="n">
        <v>963.4070899999999</v>
      </c>
      <c r="G1337" s="305" t="n">
        <v>250</v>
      </c>
      <c r="H1337" s="301" t="inlineStr">
        <is>
          <t>CHINA ROAD AND BRIDGE CORPORATION</t>
        </is>
      </c>
      <c r="I1337" s="301" t="inlineStr">
        <is>
          <t>COLIS</t>
        </is>
      </c>
      <c r="J1337" s="301" t="inlineStr">
        <is>
          <t>COLIS</t>
        </is>
      </c>
      <c r="K1337" s="307">
        <f>D1337+8</f>
        <v/>
      </c>
      <c r="L1337" s="307">
        <f>K1337+60</f>
        <v/>
      </c>
      <c r="M1337" s="322" t="n"/>
      <c r="N1337" s="309">
        <f>E1337-7-2</f>
        <v/>
      </c>
      <c r="O1337" s="310">
        <f>F1337/E1337*N1337</f>
        <v/>
      </c>
      <c r="P1337" s="311">
        <f>G1337/E1337*N1337</f>
        <v/>
      </c>
      <c r="S1337" s="200" t="inlineStr">
        <is>
          <t>106269LYG201B</t>
        </is>
      </c>
      <c r="T1337" s="201" t="n">
        <v>2</v>
      </c>
      <c r="U1337" s="58" t="inlineStr">
        <is>
          <t>GANTRY CRANE BRAND:ZHONGJIAN + 04 SOC</t>
        </is>
      </c>
      <c r="V1337" s="67" t="n"/>
      <c r="W1337" s="67" t="n"/>
      <c r="X1337" s="312" t="inlineStr">
        <is>
          <t>OPER</t>
        </is>
      </c>
      <c r="Y1337" s="116">
        <f>F1337/E1337</f>
        <v/>
      </c>
      <c r="Z1337" s="64">
        <f>E1337-N1337</f>
        <v/>
      </c>
    </row>
    <row r="1338" ht="15.75" customHeight="1" s="202">
      <c r="A1338" s="116" t="n">
        <v>20260087</v>
      </c>
      <c r="B1338" s="117" t="inlineStr">
        <is>
          <t>MARIA F</t>
        </is>
      </c>
      <c r="C1338" s="118" t="n">
        <v>46094</v>
      </c>
      <c r="E1338" s="116" t="n">
        <v>6</v>
      </c>
      <c r="F1338" s="119" t="n">
        <v>98.04000000000001</v>
      </c>
      <c r="G1338" s="120" t="n">
        <v>144</v>
      </c>
      <c r="H1338" s="117" t="inlineStr">
        <is>
          <t>AIB OMAR</t>
        </is>
      </c>
      <c r="I1338" s="117" t="inlineStr">
        <is>
          <t>CAMIONS</t>
        </is>
      </c>
      <c r="J1338" s="117" t="inlineStr">
        <is>
          <t>LOURD</t>
        </is>
      </c>
      <c r="K1338" s="48">
        <f>D1338+8</f>
        <v/>
      </c>
      <c r="L1338" s="48">
        <f>K1338+60</f>
        <v/>
      </c>
      <c r="N1338" s="72">
        <f>E1338</f>
        <v/>
      </c>
      <c r="O1338" s="50">
        <f>F1338/E1338*N1338</f>
        <v/>
      </c>
      <c r="P1338" s="273">
        <f>G1338/E1338*N1338</f>
        <v/>
      </c>
      <c r="S1338" s="200" t="inlineStr">
        <is>
          <t>106269LYG202</t>
        </is>
      </c>
      <c r="T1338" s="201" t="n">
        <v>3</v>
      </c>
      <c r="U1338" s="58" t="inlineStr">
        <is>
          <t>05 UNITS ZOOMLION 10JBH MIXER TRUCK + 01 UNIT ZOOMLION 38X-5RZ PUMP TRUCK</t>
        </is>
      </c>
      <c r="V1338" s="67" t="n"/>
      <c r="W1338" s="67" t="n"/>
      <c r="X1338" s="62" t="inlineStr">
        <is>
          <t>N-OP</t>
        </is>
      </c>
      <c r="Y1338" s="116">
        <f>F1338/E1338</f>
        <v/>
      </c>
      <c r="Z1338" s="64">
        <f>E1338-N1338</f>
        <v/>
      </c>
    </row>
    <row r="1339" ht="15.75" customHeight="1" s="202">
      <c r="A1339" s="116" t="n">
        <v>20260087</v>
      </c>
      <c r="B1339" s="117" t="inlineStr">
        <is>
          <t>MARIA F</t>
        </is>
      </c>
      <c r="C1339" s="118" t="n">
        <v>46094</v>
      </c>
      <c r="E1339" s="116" t="n">
        <v>1</v>
      </c>
      <c r="F1339" s="119" t="n">
        <v>36</v>
      </c>
      <c r="G1339" s="120" t="n">
        <v>24</v>
      </c>
      <c r="H1339" s="117" t="inlineStr">
        <is>
          <t>EURL AID MINE SRVICING</t>
        </is>
      </c>
      <c r="I1339" s="117" t="inlineStr">
        <is>
          <t>EXCAVATEURS</t>
        </is>
      </c>
      <c r="J1339" s="117" t="inlineStr">
        <is>
          <t>ENGINS</t>
        </is>
      </c>
      <c r="K1339" s="48">
        <f>D1339+8</f>
        <v/>
      </c>
      <c r="L1339" s="48">
        <f>K1339+60</f>
        <v/>
      </c>
      <c r="N1339" s="72">
        <f>E1339</f>
        <v/>
      </c>
      <c r="O1339" s="50">
        <f>F1339/E1339*N1339</f>
        <v/>
      </c>
      <c r="P1339" s="273">
        <f>G1339/E1339*N1339</f>
        <v/>
      </c>
      <c r="S1339" s="200" t="inlineStr">
        <is>
          <t>106269LYG205</t>
        </is>
      </c>
      <c r="T1339" s="201" t="n">
        <v>4</v>
      </c>
      <c r="U1339" s="58" t="inlineStr">
        <is>
          <t>NEW EXCAVATOR+BREAKER HAMMER ACE340</t>
        </is>
      </c>
      <c r="V1339" s="67" t="n"/>
      <c r="W1339" s="67" t="n"/>
      <c r="X1339" s="62" t="inlineStr">
        <is>
          <t>N-OP</t>
        </is>
      </c>
      <c r="Y1339" s="116">
        <f>F1339/E1339</f>
        <v/>
      </c>
      <c r="Z1339" s="64">
        <f>E1339-N1339</f>
        <v/>
      </c>
    </row>
    <row r="1340" ht="15.75" customHeight="1" s="202">
      <c r="A1340" s="116" t="n">
        <v>20260087</v>
      </c>
      <c r="B1340" s="117" t="inlineStr">
        <is>
          <t>MARIA F</t>
        </is>
      </c>
      <c r="C1340" s="118" t="n">
        <v>46094</v>
      </c>
      <c r="E1340" s="116" t="n">
        <v>2</v>
      </c>
      <c r="F1340" s="119" t="n">
        <v>0</v>
      </c>
      <c r="G1340" s="120" t="n">
        <v>10</v>
      </c>
      <c r="H1340" s="117" t="inlineStr">
        <is>
          <t>EURL AID MINE SRVICING</t>
        </is>
      </c>
      <c r="I1340" s="117" t="inlineStr">
        <is>
          <t>COLIS</t>
        </is>
      </c>
      <c r="J1340" s="117" t="inlineStr">
        <is>
          <t>COLIS</t>
        </is>
      </c>
      <c r="K1340" s="48">
        <f>D1340+8</f>
        <v/>
      </c>
      <c r="L1340" s="48">
        <f>K1340+60</f>
        <v/>
      </c>
      <c r="N1340" s="72">
        <f>E1340</f>
        <v/>
      </c>
      <c r="O1340" s="50">
        <f>F1340/E1340*N1340</f>
        <v/>
      </c>
      <c r="P1340" s="273">
        <f>G1340/E1340*N1340</f>
        <v/>
      </c>
      <c r="S1340" s="200" t="inlineStr">
        <is>
          <t>106269LYG205</t>
        </is>
      </c>
      <c r="T1340" s="201" t="n">
        <v>4</v>
      </c>
      <c r="U1340" s="58" t="n"/>
      <c r="V1340" s="67" t="n"/>
      <c r="W1340" s="67" t="n"/>
      <c r="X1340" s="62" t="inlineStr">
        <is>
          <t>N-OP</t>
        </is>
      </c>
      <c r="Y1340" s="116">
        <f>F1340/E1340</f>
        <v/>
      </c>
      <c r="Z1340" s="64">
        <f>E1340-N1340</f>
        <v/>
      </c>
    </row>
    <row r="1341" ht="15.75" customHeight="1" s="202">
      <c r="A1341" s="116" t="n">
        <v>20260087</v>
      </c>
      <c r="B1341" s="117" t="inlineStr">
        <is>
          <t>MARIA F</t>
        </is>
      </c>
      <c r="C1341" s="118" t="n">
        <v>46094</v>
      </c>
      <c r="E1341" s="116" t="n">
        <v>1</v>
      </c>
      <c r="F1341" s="119" t="n">
        <v>15.1</v>
      </c>
      <c r="G1341" s="120" t="n">
        <v>24</v>
      </c>
      <c r="H1341" s="117" t="inlineStr">
        <is>
          <t>TEBBAL HASSAN</t>
        </is>
      </c>
      <c r="I1341" s="117" t="inlineStr">
        <is>
          <t>CAMIONS</t>
        </is>
      </c>
      <c r="J1341" s="117" t="inlineStr">
        <is>
          <t>LOURD</t>
        </is>
      </c>
      <c r="K1341" s="48">
        <f>D1341+8</f>
        <v/>
      </c>
      <c r="L1341" s="48">
        <f>K1341+60</f>
        <v/>
      </c>
      <c r="N1341" s="72">
        <f>E1341</f>
        <v/>
      </c>
      <c r="O1341" s="50">
        <f>F1341/E1341*N1341</f>
        <v/>
      </c>
      <c r="P1341" s="273">
        <f>G1341/E1341*N1341</f>
        <v/>
      </c>
      <c r="S1341" s="200" t="inlineStr">
        <is>
          <t>106269LYG206</t>
        </is>
      </c>
      <c r="T1341" s="201" t="n">
        <v>5</v>
      </c>
      <c r="U1341" s="58" t="inlineStr">
        <is>
          <t>01 UNIT SHACMAN F2000 DUMP TRUCK OF 15T (BRAND NEW)</t>
        </is>
      </c>
      <c r="V1341" s="67" t="n"/>
      <c r="W1341" s="67" t="n"/>
      <c r="X1341" s="62" t="inlineStr">
        <is>
          <t>N-OP</t>
        </is>
      </c>
      <c r="Y1341" s="116">
        <f>F1341/E1341</f>
        <v/>
      </c>
      <c r="Z1341" s="64">
        <f>E1341-N1341</f>
        <v/>
      </c>
    </row>
    <row r="1342" ht="15.75" customHeight="1" s="202">
      <c r="A1342" s="116" t="n">
        <v>20260087</v>
      </c>
      <c r="B1342" s="117" t="inlineStr">
        <is>
          <t>MARIA F</t>
        </is>
      </c>
      <c r="C1342" s="118" t="n">
        <v>46094</v>
      </c>
      <c r="E1342" s="116" t="n">
        <v>13</v>
      </c>
      <c r="F1342" s="119" t="n">
        <v>190</v>
      </c>
      <c r="G1342" s="120" t="n">
        <v>312</v>
      </c>
      <c r="H1342" s="117" t="inlineStr">
        <is>
          <t>SARL ATIA MEHDI ET FRERES</t>
        </is>
      </c>
      <c r="I1342" s="117" t="inlineStr">
        <is>
          <t>CAMIONS</t>
        </is>
      </c>
      <c r="J1342" s="117" t="inlineStr">
        <is>
          <t>LOURD</t>
        </is>
      </c>
      <c r="K1342" s="48">
        <f>D1342+8</f>
        <v/>
      </c>
      <c r="L1342" s="48">
        <f>K1342+60</f>
        <v/>
      </c>
      <c r="N1342" s="72">
        <f>E1342</f>
        <v/>
      </c>
      <c r="O1342" s="50">
        <f>F1342/E1342*N1342</f>
        <v/>
      </c>
      <c r="P1342" s="273">
        <f>G1342/E1342*N1342</f>
        <v/>
      </c>
      <c r="S1342" s="200" t="inlineStr">
        <is>
          <t>106269LYG209210</t>
        </is>
      </c>
      <c r="T1342" s="201" t="n">
        <v>6</v>
      </c>
      <c r="U1342" s="58" t="inlineStr">
        <is>
          <t>08 UNITS SHACMAN DUMP TRUCK + 05 UNITS SHACMAN WATER TRUCK</t>
        </is>
      </c>
      <c r="V1342" s="67" t="n"/>
      <c r="W1342" s="67" t="n"/>
      <c r="X1342" s="62" t="inlineStr">
        <is>
          <t>N-OP</t>
        </is>
      </c>
      <c r="Y1342" s="116">
        <f>F1342/E1342</f>
        <v/>
      </c>
      <c r="Z1342" s="64">
        <f>E1342-N1342</f>
        <v/>
      </c>
    </row>
    <row r="1343" ht="15.75" customHeight="1" s="202">
      <c r="A1343" s="116" t="n">
        <v>20260087</v>
      </c>
      <c r="B1343" s="117" t="inlineStr">
        <is>
          <t>MARIA F</t>
        </is>
      </c>
      <c r="C1343" s="118" t="n">
        <v>46094</v>
      </c>
      <c r="E1343" s="116" t="n">
        <v>1</v>
      </c>
      <c r="F1343" s="119" t="n">
        <v>14</v>
      </c>
      <c r="G1343" s="120" t="n">
        <v>24</v>
      </c>
      <c r="H1343" s="117" t="inlineStr">
        <is>
          <t>SARL MERZOUGA</t>
        </is>
      </c>
      <c r="I1343" s="117" t="inlineStr">
        <is>
          <t>CAMIONS</t>
        </is>
      </c>
      <c r="J1343" s="117" t="inlineStr">
        <is>
          <t>LOURD</t>
        </is>
      </c>
      <c r="K1343" s="48">
        <f>D1343+8</f>
        <v/>
      </c>
      <c r="L1343" s="48">
        <f>K1343+60</f>
        <v/>
      </c>
      <c r="N1343" s="72">
        <f>E1343</f>
        <v/>
      </c>
      <c r="O1343" s="50">
        <f>F1343/E1343*N1343</f>
        <v/>
      </c>
      <c r="P1343" s="273">
        <f>G1343/E1343*N1343</f>
        <v/>
      </c>
      <c r="S1343" s="200" t="inlineStr">
        <is>
          <t>106269LYG211</t>
        </is>
      </c>
      <c r="T1343" s="201" t="n">
        <v>7</v>
      </c>
      <c r="U1343" s="58" t="inlineStr">
        <is>
          <t>01 UNIT SHACMAN F3000 20m3 SPRINKLER TRUCK</t>
        </is>
      </c>
      <c r="V1343" s="67" t="n"/>
      <c r="W1343" s="67" t="n"/>
      <c r="X1343" s="62" t="inlineStr">
        <is>
          <t>N-OP</t>
        </is>
      </c>
      <c r="Y1343" s="116">
        <f>F1343/E1343</f>
        <v/>
      </c>
      <c r="Z1343" s="64">
        <f>E1343-N1343</f>
        <v/>
      </c>
    </row>
    <row r="1344" ht="15.75" customHeight="1" s="202">
      <c r="A1344" s="116" t="n">
        <v>20260087</v>
      </c>
      <c r="B1344" s="117" t="inlineStr">
        <is>
          <t>MARIA F</t>
        </is>
      </c>
      <c r="C1344" s="118" t="n">
        <v>46094</v>
      </c>
      <c r="E1344" s="116" t="n">
        <v>1</v>
      </c>
      <c r="F1344" s="119" t="n">
        <v>15</v>
      </c>
      <c r="G1344" s="120" t="n">
        <v>24</v>
      </c>
      <c r="H1344" s="117" t="inlineStr">
        <is>
          <t>ETB DOUIFI ZOHRA</t>
        </is>
      </c>
      <c r="I1344" s="117" t="inlineStr">
        <is>
          <t>CAMIONS</t>
        </is>
      </c>
      <c r="J1344" s="117" t="inlineStr">
        <is>
          <t>LOURD</t>
        </is>
      </c>
      <c r="K1344" s="48">
        <f>D1344+8</f>
        <v/>
      </c>
      <c r="L1344" s="48">
        <f>K1344+60</f>
        <v/>
      </c>
      <c r="N1344" s="72">
        <f>E1344</f>
        <v/>
      </c>
      <c r="O1344" s="50">
        <f>F1344/E1344*N1344</f>
        <v/>
      </c>
      <c r="P1344" s="273">
        <f>G1344/E1344*N1344</f>
        <v/>
      </c>
      <c r="S1344" s="200" t="inlineStr">
        <is>
          <t>106269LYG212</t>
        </is>
      </c>
      <c r="T1344" s="201" t="n">
        <v>8</v>
      </c>
      <c r="U1344" s="58" t="inlineStr">
        <is>
          <t>01 UNIT SHACMAN F2000 6X4 DUMP TRUCK</t>
        </is>
      </c>
      <c r="V1344" s="67" t="n"/>
      <c r="W1344" s="67" t="n"/>
      <c r="X1344" s="62" t="inlineStr">
        <is>
          <t>N-OP</t>
        </is>
      </c>
      <c r="Y1344" s="116">
        <f>F1344/E1344</f>
        <v/>
      </c>
      <c r="Z1344" s="64">
        <f>E1344-N1344</f>
        <v/>
      </c>
    </row>
    <row r="1345" ht="15.75" customHeight="1" s="202">
      <c r="A1345" s="116" t="n">
        <v>20260087</v>
      </c>
      <c r="B1345" s="117" t="inlineStr">
        <is>
          <t>MARIA F</t>
        </is>
      </c>
      <c r="C1345" s="118" t="n">
        <v>46094</v>
      </c>
      <c r="E1345" s="116" t="n">
        <v>1</v>
      </c>
      <c r="F1345" s="119" t="n">
        <v>2.4</v>
      </c>
      <c r="G1345" s="120" t="n">
        <v>24</v>
      </c>
      <c r="H1345" s="117" t="inlineStr">
        <is>
          <t>SARL BROSSE PAVONIM</t>
        </is>
      </c>
      <c r="I1345" s="117" t="inlineStr">
        <is>
          <t>CAMIONS</t>
        </is>
      </c>
      <c r="J1345" s="117" t="inlineStr">
        <is>
          <t>LOURD</t>
        </is>
      </c>
      <c r="K1345" s="48">
        <f>D1345+8</f>
        <v/>
      </c>
      <c r="L1345" s="48">
        <f>K1345+60</f>
        <v/>
      </c>
      <c r="N1345" s="72">
        <f>E1345</f>
        <v/>
      </c>
      <c r="O1345" s="50">
        <f>F1345/E1345*N1345</f>
        <v/>
      </c>
      <c r="P1345" s="273">
        <f>G1345/E1345*N1345</f>
        <v/>
      </c>
      <c r="S1345" s="200" t="inlineStr">
        <is>
          <t>106269LYG213</t>
        </is>
      </c>
      <c r="T1345" s="201" t="n">
        <v>9</v>
      </c>
      <c r="U1345" s="58" t="inlineStr">
        <is>
          <t>01 UNIT IVECO PROUD BOX FREIGHT TRUCK</t>
        </is>
      </c>
      <c r="V1345" s="67" t="n"/>
      <c r="W1345" s="67" t="n"/>
      <c r="X1345" s="62" t="inlineStr">
        <is>
          <t>N-OP</t>
        </is>
      </c>
      <c r="Y1345" s="116">
        <f>F1345/E1345</f>
        <v/>
      </c>
      <c r="Z1345" s="64">
        <f>E1345-N1345</f>
        <v/>
      </c>
    </row>
    <row r="1346" ht="15.75" customHeight="1" s="202">
      <c r="A1346" s="116" t="n">
        <v>20260087</v>
      </c>
      <c r="B1346" s="117" t="inlineStr">
        <is>
          <t>MARIA F</t>
        </is>
      </c>
      <c r="C1346" s="118" t="n">
        <v>46094</v>
      </c>
      <c r="E1346" s="116" t="n">
        <v>4</v>
      </c>
      <c r="F1346" s="119" t="n">
        <v>78.67</v>
      </c>
      <c r="G1346" s="120" t="n">
        <v>70</v>
      </c>
      <c r="H1346" s="117" t="inlineStr">
        <is>
          <t>SARL METIDJA EMBALLAGE</t>
        </is>
      </c>
      <c r="I1346" s="117" t="inlineStr">
        <is>
          <t>COLIS</t>
        </is>
      </c>
      <c r="J1346" s="117" t="inlineStr">
        <is>
          <t>COLIS</t>
        </is>
      </c>
      <c r="K1346" s="48">
        <f>D1346+8</f>
        <v/>
      </c>
      <c r="L1346" s="48">
        <f>K1346+60</f>
        <v/>
      </c>
      <c r="N1346" s="72">
        <f>E1346</f>
        <v/>
      </c>
      <c r="O1346" s="50">
        <f>F1346/E1346*N1346</f>
        <v/>
      </c>
      <c r="P1346" s="273">
        <f>G1346/E1346*N1346</f>
        <v/>
      </c>
      <c r="S1346" s="200" t="inlineStr">
        <is>
          <t>106269LYG215</t>
        </is>
      </c>
      <c r="T1346" s="201" t="n">
        <v>10</v>
      </c>
      <c r="U1346" s="58" t="inlineStr">
        <is>
          <t>04 PCKAGES CRESCENT FORMER TISSUE MACHINE CONSIST OF : LIGNE DE FABRICATION DE PATE A PAPIER COMPRENANT : DRYING SECTION (SECTION DE SECHAGE)</t>
        </is>
      </c>
      <c r="V1346" s="67" t="n"/>
      <c r="W1346" s="67" t="n"/>
      <c r="X1346" s="62" t="inlineStr">
        <is>
          <t>N-OP</t>
        </is>
      </c>
      <c r="Y1346" s="116">
        <f>F1346/E1346</f>
        <v/>
      </c>
      <c r="Z1346" s="64">
        <f>E1346-N1346</f>
        <v/>
      </c>
    </row>
    <row r="1347" ht="15.75" customHeight="1" s="202">
      <c r="A1347" s="116" t="n">
        <v>20260087</v>
      </c>
      <c r="B1347" s="117" t="inlineStr">
        <is>
          <t>MARIA F</t>
        </is>
      </c>
      <c r="C1347" s="118" t="n">
        <v>46094</v>
      </c>
      <c r="E1347" s="116" t="n">
        <v>1</v>
      </c>
      <c r="F1347" s="119" t="n">
        <v>18.3</v>
      </c>
      <c r="G1347" s="120" t="n">
        <v>24</v>
      </c>
      <c r="H1347" s="117" t="inlineStr">
        <is>
          <t>SARL LAMAOU TRAVAUX PUBLICS</t>
        </is>
      </c>
      <c r="I1347" s="117" t="inlineStr">
        <is>
          <t>REMORQUES</t>
        </is>
      </c>
      <c r="J1347" s="117" t="inlineStr">
        <is>
          <t>LOURD</t>
        </is>
      </c>
      <c r="K1347" s="48">
        <f>D1347+8</f>
        <v/>
      </c>
      <c r="L1347" s="48">
        <f>K1347+60</f>
        <v/>
      </c>
      <c r="N1347" s="72">
        <f>E1347</f>
        <v/>
      </c>
      <c r="O1347" s="50">
        <f>F1347/E1347*N1347</f>
        <v/>
      </c>
      <c r="P1347" s="273">
        <f>G1347/E1347*N1347</f>
        <v/>
      </c>
      <c r="S1347" s="200" t="inlineStr">
        <is>
          <t>106269LYG217</t>
        </is>
      </c>
      <c r="T1347" s="201" t="n">
        <v>12</v>
      </c>
      <c r="U1347" s="58" t="inlineStr">
        <is>
          <t>01 UNIT CIMC BRAND NEW 70 TONS TRI-AXLELOWEBED SEMI-TRAILER</t>
        </is>
      </c>
      <c r="V1347" s="67" t="n"/>
      <c r="W1347" s="67" t="n"/>
      <c r="X1347" s="62" t="inlineStr">
        <is>
          <t>N-OP</t>
        </is>
      </c>
      <c r="Y1347" s="116">
        <f>F1347/E1347</f>
        <v/>
      </c>
      <c r="Z1347" s="64">
        <f>E1347-N1347</f>
        <v/>
      </c>
    </row>
    <row r="1348" ht="15.75" customHeight="1" s="202">
      <c r="A1348" s="116" t="n">
        <v>20260087</v>
      </c>
      <c r="B1348" s="117" t="inlineStr">
        <is>
          <t>MARIA F</t>
        </is>
      </c>
      <c r="C1348" s="118" t="n">
        <v>46094</v>
      </c>
      <c r="E1348" s="116" t="n">
        <v>1</v>
      </c>
      <c r="F1348" s="119" t="n">
        <v>6</v>
      </c>
      <c r="G1348" s="120" t="n">
        <v>24</v>
      </c>
      <c r="H1348" s="117" t="inlineStr">
        <is>
          <t>SARL MULTI FOURNITURE INDUSTRIE</t>
        </is>
      </c>
      <c r="I1348" s="117" t="inlineStr">
        <is>
          <t>CAMIONS</t>
        </is>
      </c>
      <c r="J1348" s="117" t="inlineStr">
        <is>
          <t>LOURD</t>
        </is>
      </c>
      <c r="K1348" s="48">
        <f>D1348+8</f>
        <v/>
      </c>
      <c r="L1348" s="48">
        <f>K1348+60</f>
        <v/>
      </c>
      <c r="N1348" s="72">
        <f>E1348</f>
        <v/>
      </c>
      <c r="O1348" s="50">
        <f>F1348/E1348*N1348</f>
        <v/>
      </c>
      <c r="P1348" s="273">
        <f>G1348/E1348*N1348</f>
        <v/>
      </c>
      <c r="S1348" s="200" t="inlineStr">
        <is>
          <t>106269LYG219</t>
        </is>
      </c>
      <c r="T1348" s="201" t="n">
        <v>13</v>
      </c>
      <c r="U1348" s="58" t="inlineStr">
        <is>
          <t>01 UNIT SHACMAN L3000 LORRY TRUCK</t>
        </is>
      </c>
      <c r="V1348" s="67" t="n"/>
      <c r="W1348" s="67" t="n"/>
      <c r="X1348" s="62" t="inlineStr">
        <is>
          <t>N-OP</t>
        </is>
      </c>
      <c r="Y1348" s="116">
        <f>F1348/E1348</f>
        <v/>
      </c>
      <c r="Z1348" s="64">
        <f>E1348-N1348</f>
        <v/>
      </c>
    </row>
    <row r="1349" ht="15.75" customHeight="1" s="202">
      <c r="A1349" s="116" t="n">
        <v>20260087</v>
      </c>
      <c r="B1349" s="117" t="inlineStr">
        <is>
          <t>MARIA F</t>
        </is>
      </c>
      <c r="C1349" s="118" t="n">
        <v>46094</v>
      </c>
      <c r="E1349" s="116" t="n">
        <v>1</v>
      </c>
      <c r="F1349" s="119" t="n">
        <v>18.3</v>
      </c>
      <c r="G1349" s="120" t="n">
        <v>24</v>
      </c>
      <c r="H1349" s="117" t="inlineStr">
        <is>
          <t>SARL SMS</t>
        </is>
      </c>
      <c r="I1349" s="117" t="inlineStr">
        <is>
          <t>REMORQUES</t>
        </is>
      </c>
      <c r="J1349" s="117" t="inlineStr">
        <is>
          <t>LOURD</t>
        </is>
      </c>
      <c r="K1349" s="48">
        <f>D1349+8</f>
        <v/>
      </c>
      <c r="L1349" s="48">
        <f>K1349+60</f>
        <v/>
      </c>
      <c r="N1349" s="72">
        <f>E1349</f>
        <v/>
      </c>
      <c r="O1349" s="50">
        <f>F1349/E1349*N1349</f>
        <v/>
      </c>
      <c r="P1349" s="273">
        <f>G1349/E1349*N1349</f>
        <v/>
      </c>
      <c r="S1349" s="200" t="inlineStr">
        <is>
          <t>106269LYG220</t>
        </is>
      </c>
      <c r="T1349" s="201" t="n">
        <v>14</v>
      </c>
      <c r="U1349" s="58" t="inlineStr">
        <is>
          <t>01 UNIT CIMC BRAND NEW 70 TONS TRI-AXLE LOWBED SEMI-TRAILER</t>
        </is>
      </c>
      <c r="V1349" s="67" t="n"/>
      <c r="W1349" s="67" t="n"/>
      <c r="X1349" s="62" t="inlineStr">
        <is>
          <t>N-OP</t>
        </is>
      </c>
      <c r="Y1349" s="116">
        <f>F1349/E1349</f>
        <v/>
      </c>
      <c r="Z1349" s="64">
        <f>E1349-N1349</f>
        <v/>
      </c>
    </row>
    <row r="1350" ht="15.75" customHeight="1" s="202">
      <c r="A1350" s="116" t="n">
        <v>20260087</v>
      </c>
      <c r="B1350" s="117" t="inlineStr">
        <is>
          <t>MARIA F</t>
        </is>
      </c>
      <c r="C1350" s="118" t="n">
        <v>46094</v>
      </c>
      <c r="E1350" s="116" t="n">
        <v>1</v>
      </c>
      <c r="F1350" s="119" t="n">
        <v>18.3</v>
      </c>
      <c r="G1350" s="120" t="n">
        <v>24</v>
      </c>
      <c r="H1350" s="117" t="inlineStr">
        <is>
          <t>SARL YOURS SERVICES</t>
        </is>
      </c>
      <c r="I1350" s="117" t="inlineStr">
        <is>
          <t>REMORQUES</t>
        </is>
      </c>
      <c r="J1350" s="117" t="inlineStr">
        <is>
          <t>LOURD</t>
        </is>
      </c>
      <c r="K1350" s="48">
        <f>D1350+8</f>
        <v/>
      </c>
      <c r="L1350" s="48">
        <f>K1350+60</f>
        <v/>
      </c>
      <c r="N1350" s="72">
        <f>E1350</f>
        <v/>
      </c>
      <c r="O1350" s="50">
        <f>F1350/E1350*N1350</f>
        <v/>
      </c>
      <c r="P1350" s="273">
        <f>G1350/E1350*N1350</f>
        <v/>
      </c>
      <c r="S1350" s="200" t="inlineStr">
        <is>
          <t>106269LYG221</t>
        </is>
      </c>
      <c r="T1350" s="201" t="n">
        <v>15</v>
      </c>
      <c r="U1350" s="58" t="inlineStr">
        <is>
          <t>01 UNIT CIMC BRAND NEW 70TON TRI-AXLE LOWBED SEMI TRAILER</t>
        </is>
      </c>
      <c r="V1350" s="67" t="n"/>
      <c r="W1350" s="67" t="n"/>
      <c r="X1350" s="62" t="inlineStr">
        <is>
          <t>N-OP</t>
        </is>
      </c>
      <c r="Y1350" s="116">
        <f>F1350/E1350</f>
        <v/>
      </c>
      <c r="Z1350" s="64">
        <f>E1350-N1350</f>
        <v/>
      </c>
    </row>
    <row r="1351" ht="15.75" customHeight="1" s="202">
      <c r="A1351" s="116" t="n">
        <v>20260087</v>
      </c>
      <c r="B1351" s="117" t="inlineStr">
        <is>
          <t>MARIA F</t>
        </is>
      </c>
      <c r="C1351" s="118" t="n">
        <v>46094</v>
      </c>
      <c r="E1351" s="116" t="n">
        <v>1</v>
      </c>
      <c r="F1351" s="119" t="n">
        <v>38.505</v>
      </c>
      <c r="G1351" s="120" t="n">
        <v>24</v>
      </c>
      <c r="H1351" s="117" t="inlineStr">
        <is>
          <t>ARAB LEASING CORPORATION SPA CITE FOR THE ACCOUNT</t>
        </is>
      </c>
      <c r="I1351" s="117" t="inlineStr">
        <is>
          <t>BULLDOZERS</t>
        </is>
      </c>
      <c r="J1351" s="117" t="inlineStr">
        <is>
          <t>ENGINS</t>
        </is>
      </c>
      <c r="K1351" s="48">
        <f>D1351+8</f>
        <v/>
      </c>
      <c r="L1351" s="48">
        <f>K1351+60</f>
        <v/>
      </c>
      <c r="N1351" s="72">
        <f>E1351</f>
        <v/>
      </c>
      <c r="O1351" s="50">
        <f>F1351/E1351*N1351</f>
        <v/>
      </c>
      <c r="P1351" s="273">
        <f>G1351/E1351*N1351</f>
        <v/>
      </c>
      <c r="S1351" s="200" t="inlineStr">
        <is>
          <t>106269LYG222</t>
        </is>
      </c>
      <c r="T1351" s="201" t="n">
        <v>16</v>
      </c>
      <c r="U1351" s="58" t="inlineStr">
        <is>
          <t>01 UNIT SHANTUI BRAND SD32D BULLDOZER + 03 PACKAGES</t>
        </is>
      </c>
      <c r="V1351" s="67" t="n"/>
      <c r="W1351" s="67" t="n"/>
      <c r="X1351" s="62" t="inlineStr">
        <is>
          <t>N-OP</t>
        </is>
      </c>
      <c r="Y1351" s="116">
        <f>F1351/E1351</f>
        <v/>
      </c>
      <c r="Z1351" s="64">
        <f>E1351-N1351</f>
        <v/>
      </c>
    </row>
    <row r="1352" ht="15.75" customHeight="1" s="202">
      <c r="A1352" s="116" t="n">
        <v>20260087</v>
      </c>
      <c r="B1352" s="117" t="inlineStr">
        <is>
          <t>MARIA F</t>
        </is>
      </c>
      <c r="C1352" s="118" t="n">
        <v>46094</v>
      </c>
      <c r="E1352" s="116" t="n">
        <v>3</v>
      </c>
      <c r="F1352" s="119" t="n">
        <v>0</v>
      </c>
      <c r="G1352" s="120" t="n">
        <v>15</v>
      </c>
      <c r="H1352" s="117" t="inlineStr">
        <is>
          <t>ARAB LEASING CORPORATION SPA CITE FOR THE ACCOUNT</t>
        </is>
      </c>
      <c r="I1352" s="117" t="inlineStr">
        <is>
          <t>COLIS</t>
        </is>
      </c>
      <c r="J1352" s="117" t="inlineStr">
        <is>
          <t>COLIS</t>
        </is>
      </c>
      <c r="K1352" s="48">
        <f>D1352+8</f>
        <v/>
      </c>
      <c r="L1352" s="48">
        <f>K1352+60</f>
        <v/>
      </c>
      <c r="N1352" s="72">
        <f>E1352</f>
        <v/>
      </c>
      <c r="O1352" s="50">
        <f>F1352/E1352*N1352</f>
        <v/>
      </c>
      <c r="P1352" s="273">
        <f>G1352/E1352*N1352</f>
        <v/>
      </c>
      <c r="S1352" s="200" t="inlineStr">
        <is>
          <t>106269LYG222</t>
        </is>
      </c>
      <c r="T1352" s="201" t="n">
        <v>16</v>
      </c>
      <c r="U1352" s="58" t="n"/>
      <c r="V1352" s="67" t="n"/>
      <c r="W1352" s="67" t="n"/>
      <c r="X1352" s="62" t="inlineStr">
        <is>
          <t>N-OP</t>
        </is>
      </c>
      <c r="Y1352" s="116">
        <f>F1352/E1352</f>
        <v/>
      </c>
      <c r="Z1352" s="64">
        <f>E1352-N1352</f>
        <v/>
      </c>
    </row>
    <row r="1353" ht="15.75" customHeight="1" s="202">
      <c r="A1353" s="116" t="n">
        <v>20260087</v>
      </c>
      <c r="B1353" s="117" t="inlineStr">
        <is>
          <t>MARIA F</t>
        </is>
      </c>
      <c r="C1353" s="118" t="n">
        <v>46094</v>
      </c>
      <c r="E1353" s="116" t="n">
        <v>1</v>
      </c>
      <c r="F1353" s="119" t="n">
        <v>34.54</v>
      </c>
      <c r="G1353" s="120" t="n">
        <v>24</v>
      </c>
      <c r="H1353" s="117" t="inlineStr">
        <is>
          <t>SARL E.T.P. DENNOUNI</t>
        </is>
      </c>
      <c r="I1353" s="117" t="inlineStr">
        <is>
          <t>EXCAVATEURS</t>
        </is>
      </c>
      <c r="J1353" s="117" t="inlineStr">
        <is>
          <t>ENGINS</t>
        </is>
      </c>
      <c r="K1353" s="48">
        <f>D1353+8</f>
        <v/>
      </c>
      <c r="L1353" s="48">
        <f>K1353+60</f>
        <v/>
      </c>
      <c r="N1353" s="72">
        <f>E1353</f>
        <v/>
      </c>
      <c r="O1353" s="50">
        <f>F1353/E1353*N1353</f>
        <v/>
      </c>
      <c r="P1353" s="273">
        <f>G1353/E1353*N1353</f>
        <v/>
      </c>
      <c r="S1353" s="200" t="inlineStr">
        <is>
          <t>106269LYG223</t>
        </is>
      </c>
      <c r="T1353" s="201" t="n">
        <v>17</v>
      </c>
      <c r="U1353" s="58" t="inlineStr">
        <is>
          <t>01 UNIT EXCAVATOR SHANTUI SE335LC + 01 PACKAGE</t>
        </is>
      </c>
      <c r="V1353" s="67" t="n"/>
      <c r="W1353" s="67" t="n"/>
      <c r="X1353" s="62" t="inlineStr">
        <is>
          <t>N-OP</t>
        </is>
      </c>
      <c r="Y1353" s="116">
        <f>F1353/E1353</f>
        <v/>
      </c>
      <c r="Z1353" s="64">
        <f>E1353-N1353</f>
        <v/>
      </c>
    </row>
    <row r="1354" ht="15.75" customHeight="1" s="202">
      <c r="A1354" s="116" t="n">
        <v>20260087</v>
      </c>
      <c r="B1354" s="117" t="inlineStr">
        <is>
          <t>MARIA F</t>
        </is>
      </c>
      <c r="C1354" s="118" t="n">
        <v>46094</v>
      </c>
      <c r="E1354" s="116" t="n">
        <v>1</v>
      </c>
      <c r="F1354" s="119" t="n">
        <v>0</v>
      </c>
      <c r="G1354" s="120" t="n">
        <v>5</v>
      </c>
      <c r="H1354" s="117" t="inlineStr">
        <is>
          <t>SARL E.T.P. DENNOUNI</t>
        </is>
      </c>
      <c r="I1354" s="117" t="inlineStr">
        <is>
          <t>COLIS</t>
        </is>
      </c>
      <c r="J1354" s="117" t="inlineStr">
        <is>
          <t>COLIS</t>
        </is>
      </c>
      <c r="K1354" s="48">
        <f>D1354+8</f>
        <v/>
      </c>
      <c r="L1354" s="48">
        <f>K1354+60</f>
        <v/>
      </c>
      <c r="N1354" s="72">
        <f>E1354</f>
        <v/>
      </c>
      <c r="O1354" s="50">
        <f>F1354/E1354*N1354</f>
        <v/>
      </c>
      <c r="P1354" s="273">
        <f>G1354/E1354*N1354</f>
        <v/>
      </c>
      <c r="S1354" s="200" t="inlineStr">
        <is>
          <t>106269LYG223</t>
        </is>
      </c>
      <c r="T1354" s="201" t="n">
        <v>17</v>
      </c>
      <c r="U1354" s="58" t="n"/>
      <c r="V1354" s="67" t="n"/>
      <c r="W1354" s="67" t="n"/>
      <c r="X1354" s="62" t="inlineStr">
        <is>
          <t>N-OP</t>
        </is>
      </c>
      <c r="Y1354" s="116">
        <f>F1354/E1354</f>
        <v/>
      </c>
      <c r="Z1354" s="64">
        <f>E1354-N1354</f>
        <v/>
      </c>
    </row>
    <row r="1355" ht="15.75" customHeight="1" s="202">
      <c r="A1355" s="116" t="n">
        <v>20260087</v>
      </c>
      <c r="B1355" s="117" t="inlineStr">
        <is>
          <t>MARIA F</t>
        </is>
      </c>
      <c r="C1355" s="118" t="n">
        <v>46094</v>
      </c>
      <c r="E1355" s="116" t="n">
        <v>1</v>
      </c>
      <c r="F1355" s="119" t="n">
        <v>25.8</v>
      </c>
      <c r="G1355" s="120" t="n">
        <v>24</v>
      </c>
      <c r="H1355" s="117" t="inlineStr">
        <is>
          <t>SARL E.T.P. DENNOUNI</t>
        </is>
      </c>
      <c r="I1355" s="117" t="inlineStr">
        <is>
          <t>FINISHERS</t>
        </is>
      </c>
      <c r="J1355" s="117" t="inlineStr">
        <is>
          <t>ENGINS</t>
        </is>
      </c>
      <c r="K1355" s="48">
        <f>D1355+8</f>
        <v/>
      </c>
      <c r="L1355" s="48">
        <f>K1355+60</f>
        <v/>
      </c>
      <c r="N1355" s="72">
        <f>E1355</f>
        <v/>
      </c>
      <c r="O1355" s="50">
        <f>F1355/E1355*N1355</f>
        <v/>
      </c>
      <c r="P1355" s="273">
        <f>G1355/E1355*N1355</f>
        <v/>
      </c>
      <c r="S1355" s="200" t="inlineStr">
        <is>
          <t>106269LYG224</t>
        </is>
      </c>
      <c r="T1355" s="201" t="n">
        <v>18</v>
      </c>
      <c r="U1355" s="58" t="inlineStr">
        <is>
          <t>01 UNIT PAVER SHANTUI SPS60-C6 + 02 PACKAGES</t>
        </is>
      </c>
      <c r="V1355" s="67" t="n"/>
      <c r="W1355" s="67" t="n"/>
      <c r="X1355" s="62" t="inlineStr">
        <is>
          <t>N-OP</t>
        </is>
      </c>
      <c r="Y1355" s="116">
        <f>F1355/E1355</f>
        <v/>
      </c>
      <c r="Z1355" s="64">
        <f>E1355-N1355</f>
        <v/>
      </c>
    </row>
    <row r="1356" ht="15.75" customHeight="1" s="202">
      <c r="A1356" s="116" t="n">
        <v>20260087</v>
      </c>
      <c r="B1356" s="117" t="inlineStr">
        <is>
          <t>MARIA F</t>
        </is>
      </c>
      <c r="C1356" s="118" t="n">
        <v>46094</v>
      </c>
      <c r="E1356" s="116" t="n">
        <v>2</v>
      </c>
      <c r="F1356" s="119" t="n">
        <v>0</v>
      </c>
      <c r="G1356" s="120" t="n">
        <v>10</v>
      </c>
      <c r="H1356" s="117" t="inlineStr">
        <is>
          <t>SARL E.T.P. DENNOUNI</t>
        </is>
      </c>
      <c r="I1356" s="117" t="inlineStr">
        <is>
          <t>COLIS</t>
        </is>
      </c>
      <c r="J1356" s="117" t="inlineStr">
        <is>
          <t>COLIS</t>
        </is>
      </c>
      <c r="K1356" s="48">
        <f>D1356+8</f>
        <v/>
      </c>
      <c r="L1356" s="48">
        <f>K1356+60</f>
        <v/>
      </c>
      <c r="N1356" s="72">
        <f>E1356</f>
        <v/>
      </c>
      <c r="O1356" s="50">
        <f>F1356/E1356*N1356</f>
        <v/>
      </c>
      <c r="P1356" s="273">
        <f>G1356/E1356*N1356</f>
        <v/>
      </c>
      <c r="S1356" s="200" t="inlineStr">
        <is>
          <t>106269LYG224</t>
        </is>
      </c>
      <c r="T1356" s="201" t="n">
        <v>18</v>
      </c>
      <c r="U1356" s="58" t="n"/>
      <c r="V1356" s="67" t="n"/>
      <c r="W1356" s="67" t="n"/>
      <c r="X1356" s="62" t="inlineStr">
        <is>
          <t>N-OP</t>
        </is>
      </c>
      <c r="Y1356" s="116">
        <f>F1356/E1356</f>
        <v/>
      </c>
      <c r="Z1356" s="64">
        <f>E1356-N1356</f>
        <v/>
      </c>
    </row>
    <row r="1357" ht="15.75" customHeight="1" s="202">
      <c r="A1357" s="116" t="n">
        <v>20260087</v>
      </c>
      <c r="B1357" s="117" t="inlineStr">
        <is>
          <t>MARIA F</t>
        </is>
      </c>
      <c r="C1357" s="118" t="n">
        <v>46094</v>
      </c>
      <c r="E1357" s="116" t="n">
        <v>1</v>
      </c>
      <c r="F1357" s="119" t="n">
        <v>38.505</v>
      </c>
      <c r="G1357" s="120" t="n">
        <v>24</v>
      </c>
      <c r="H1357" s="117" t="inlineStr">
        <is>
          <t>SNC FRERES BEGGAT GRAND TRAVAUX</t>
        </is>
      </c>
      <c r="I1357" s="117" t="inlineStr">
        <is>
          <t>BULLDOZERS</t>
        </is>
      </c>
      <c r="J1357" s="117" t="inlineStr">
        <is>
          <t>ENGINS</t>
        </is>
      </c>
      <c r="K1357" s="48">
        <f>D1357+8</f>
        <v/>
      </c>
      <c r="L1357" s="48">
        <f>K1357+60</f>
        <v/>
      </c>
      <c r="N1357" s="72">
        <f>E1357</f>
        <v/>
      </c>
      <c r="O1357" s="50">
        <f>F1357/E1357*N1357</f>
        <v/>
      </c>
      <c r="P1357" s="273">
        <f>G1357/E1357*N1357</f>
        <v/>
      </c>
      <c r="S1357" s="200" t="inlineStr">
        <is>
          <t>106269LYG225</t>
        </is>
      </c>
      <c r="T1357" s="201" t="n">
        <v>19</v>
      </c>
      <c r="U1357" s="58" t="inlineStr">
        <is>
          <t>01 UNIT BULLDOZER SHANTUI SD32D + 03 PACKAGES</t>
        </is>
      </c>
      <c r="V1357" s="67" t="n"/>
      <c r="W1357" s="67" t="n"/>
      <c r="X1357" s="62" t="inlineStr">
        <is>
          <t>N-OP</t>
        </is>
      </c>
      <c r="Y1357" s="116">
        <f>F1357/E1357</f>
        <v/>
      </c>
      <c r="Z1357" s="64">
        <f>E1357-N1357</f>
        <v/>
      </c>
    </row>
    <row r="1358" ht="15.75" customHeight="1" s="202">
      <c r="A1358" s="116" t="n">
        <v>20260087</v>
      </c>
      <c r="B1358" s="117" t="inlineStr">
        <is>
          <t>MARIA F</t>
        </is>
      </c>
      <c r="C1358" s="118" t="n">
        <v>46094</v>
      </c>
      <c r="E1358" s="116" t="n">
        <v>3</v>
      </c>
      <c r="F1358" s="119" t="n">
        <v>0</v>
      </c>
      <c r="G1358" s="120" t="n">
        <v>15</v>
      </c>
      <c r="H1358" s="117" t="inlineStr">
        <is>
          <t>SNC FRERES BEGGAT GRAND TRAVAUX</t>
        </is>
      </c>
      <c r="I1358" s="117" t="inlineStr">
        <is>
          <t>COLIS</t>
        </is>
      </c>
      <c r="J1358" s="117" t="inlineStr">
        <is>
          <t>COLIS</t>
        </is>
      </c>
      <c r="K1358" s="48">
        <f>D1358+8</f>
        <v/>
      </c>
      <c r="L1358" s="48">
        <f>K1358+60</f>
        <v/>
      </c>
      <c r="N1358" s="72">
        <f>E1358</f>
        <v/>
      </c>
      <c r="O1358" s="50">
        <f>F1358/E1358*N1358</f>
        <v/>
      </c>
      <c r="P1358" s="273">
        <f>G1358/E1358*N1358</f>
        <v/>
      </c>
      <c r="S1358" s="200" t="inlineStr">
        <is>
          <t>106269LYG225</t>
        </is>
      </c>
      <c r="T1358" s="201" t="n">
        <v>19</v>
      </c>
      <c r="U1358" s="58" t="n"/>
      <c r="V1358" s="67" t="n"/>
      <c r="W1358" s="67" t="n"/>
      <c r="X1358" s="62" t="inlineStr">
        <is>
          <t>N-OP</t>
        </is>
      </c>
      <c r="Y1358" s="116">
        <f>F1358/E1358</f>
        <v/>
      </c>
      <c r="Z1358" s="64">
        <f>E1358-N1358</f>
        <v/>
      </c>
    </row>
    <row r="1359" ht="15.75" customHeight="1" s="202">
      <c r="A1359" s="116" t="n">
        <v>20260087</v>
      </c>
      <c r="B1359" s="117" t="inlineStr">
        <is>
          <t>MARIA F</t>
        </is>
      </c>
      <c r="C1359" s="118" t="n">
        <v>46094</v>
      </c>
      <c r="E1359" s="116" t="n">
        <v>1</v>
      </c>
      <c r="F1359" s="119" t="n">
        <v>38.505</v>
      </c>
      <c r="G1359" s="120" t="n">
        <v>24</v>
      </c>
      <c r="H1359" s="117" t="inlineStr">
        <is>
          <t>SARL GROUPE AISSAOUI</t>
        </is>
      </c>
      <c r="I1359" s="117" t="inlineStr">
        <is>
          <t>BULLDOZERS</t>
        </is>
      </c>
      <c r="J1359" s="117" t="inlineStr">
        <is>
          <t>ENGINS</t>
        </is>
      </c>
      <c r="K1359" s="48">
        <f>D1359+8</f>
        <v/>
      </c>
      <c r="L1359" s="48">
        <f>K1359+60</f>
        <v/>
      </c>
      <c r="N1359" s="72">
        <f>E1359</f>
        <v/>
      </c>
      <c r="O1359" s="50">
        <f>F1359/E1359*N1359</f>
        <v/>
      </c>
      <c r="P1359" s="273">
        <f>G1359/E1359*N1359</f>
        <v/>
      </c>
      <c r="S1359" s="200" t="inlineStr">
        <is>
          <t>106269LYG226</t>
        </is>
      </c>
      <c r="T1359" s="201" t="n">
        <v>20</v>
      </c>
      <c r="U1359" s="58" t="inlineStr">
        <is>
          <t>01 UNIT SHANTUI BRAND SD32D BULLDOZER + 03 PACKAGES</t>
        </is>
      </c>
      <c r="V1359" s="67" t="n"/>
      <c r="W1359" s="67" t="n"/>
      <c r="X1359" s="62" t="inlineStr">
        <is>
          <t>N-OP</t>
        </is>
      </c>
      <c r="Y1359" s="116">
        <f>F1359/E1359</f>
        <v/>
      </c>
      <c r="Z1359" s="64">
        <f>E1359-N1359</f>
        <v/>
      </c>
    </row>
    <row r="1360" ht="15.75" customHeight="1" s="202">
      <c r="A1360" s="116" t="n">
        <v>20260087</v>
      </c>
      <c r="B1360" s="117" t="inlineStr">
        <is>
          <t>MARIA F</t>
        </is>
      </c>
      <c r="C1360" s="118" t="n">
        <v>46094</v>
      </c>
      <c r="E1360" s="116" t="n">
        <v>3</v>
      </c>
      <c r="F1360" s="119" t="n">
        <v>0</v>
      </c>
      <c r="G1360" s="120" t="n">
        <v>15</v>
      </c>
      <c r="H1360" s="117" t="inlineStr">
        <is>
          <t>SARL GROUPE AISSAOUI</t>
        </is>
      </c>
      <c r="I1360" s="117" t="inlineStr">
        <is>
          <t>COLIS</t>
        </is>
      </c>
      <c r="J1360" s="117" t="inlineStr">
        <is>
          <t>COLIS</t>
        </is>
      </c>
      <c r="K1360" s="48">
        <f>D1360+8</f>
        <v/>
      </c>
      <c r="L1360" s="48">
        <f>K1360+60</f>
        <v/>
      </c>
      <c r="N1360" s="72">
        <f>E1360</f>
        <v/>
      </c>
      <c r="O1360" s="50">
        <f>F1360/E1360*N1360</f>
        <v/>
      </c>
      <c r="P1360" s="273">
        <f>G1360/E1360*N1360</f>
        <v/>
      </c>
      <c r="S1360" s="200" t="inlineStr">
        <is>
          <t>106269LYG226</t>
        </is>
      </c>
      <c r="T1360" s="201" t="n">
        <v>20</v>
      </c>
      <c r="U1360" s="58" t="n"/>
      <c r="V1360" s="67" t="n"/>
      <c r="W1360" s="67" t="n"/>
      <c r="X1360" s="62" t="inlineStr">
        <is>
          <t>N-OP</t>
        </is>
      </c>
      <c r="Y1360" s="116">
        <f>F1360/E1360</f>
        <v/>
      </c>
      <c r="Z1360" s="64">
        <f>E1360-N1360</f>
        <v/>
      </c>
    </row>
    <row r="1361" ht="15.75" customHeight="1" s="202">
      <c r="A1361" s="116" t="n">
        <v>20260087</v>
      </c>
      <c r="B1361" s="117" t="inlineStr">
        <is>
          <t>MARIA F</t>
        </is>
      </c>
      <c r="C1361" s="118" t="n">
        <v>46094</v>
      </c>
      <c r="E1361" s="116" t="n">
        <v>1</v>
      </c>
      <c r="F1361" s="119" t="n">
        <v>38.505</v>
      </c>
      <c r="G1361" s="120" t="n">
        <v>24</v>
      </c>
      <c r="H1361" s="117" t="inlineStr">
        <is>
          <t>SARL E.T.P. DENNOUNI</t>
        </is>
      </c>
      <c r="I1361" s="117" t="inlineStr">
        <is>
          <t>BULLDOZERS</t>
        </is>
      </c>
      <c r="J1361" s="117" t="inlineStr">
        <is>
          <t>ENGINS</t>
        </is>
      </c>
      <c r="K1361" s="48">
        <f>D1361+8</f>
        <v/>
      </c>
      <c r="L1361" s="48">
        <f>K1361+60</f>
        <v/>
      </c>
      <c r="N1361" s="72">
        <f>E1361</f>
        <v/>
      </c>
      <c r="O1361" s="50">
        <f>F1361/E1361*N1361</f>
        <v/>
      </c>
      <c r="P1361" s="273">
        <f>G1361/E1361*N1361</f>
        <v/>
      </c>
      <c r="S1361" s="200" t="inlineStr">
        <is>
          <t>106269LYG228</t>
        </is>
      </c>
      <c r="T1361" s="201" t="n">
        <v>21</v>
      </c>
      <c r="U1361" s="58" t="inlineStr">
        <is>
          <t>01 UNIT BULLDOZER SHANTUI SD32D + 03 PACKAGES</t>
        </is>
      </c>
      <c r="V1361" s="67" t="n"/>
      <c r="W1361" s="67" t="n"/>
      <c r="X1361" s="62" t="inlineStr">
        <is>
          <t>N-OP</t>
        </is>
      </c>
      <c r="Y1361" s="116">
        <f>F1361/E1361</f>
        <v/>
      </c>
      <c r="Z1361" s="64">
        <f>E1361-N1361</f>
        <v/>
      </c>
    </row>
    <row r="1362" ht="15.75" customHeight="1" s="202">
      <c r="A1362" s="116" t="n">
        <v>20260087</v>
      </c>
      <c r="B1362" s="117" t="inlineStr">
        <is>
          <t>MARIA F</t>
        </is>
      </c>
      <c r="C1362" s="118" t="n">
        <v>46094</v>
      </c>
      <c r="E1362" s="116" t="n">
        <v>3</v>
      </c>
      <c r="F1362" s="119" t="n">
        <v>0</v>
      </c>
      <c r="G1362" s="120" t="n">
        <v>15</v>
      </c>
      <c r="H1362" s="117" t="inlineStr">
        <is>
          <t>SARL E.T.P. DENNOUNI</t>
        </is>
      </c>
      <c r="I1362" s="117" t="inlineStr">
        <is>
          <t>COLIS</t>
        </is>
      </c>
      <c r="J1362" s="117" t="inlineStr">
        <is>
          <t>COLIS</t>
        </is>
      </c>
      <c r="K1362" s="48">
        <f>D1362+8</f>
        <v/>
      </c>
      <c r="L1362" s="48">
        <f>K1362+60</f>
        <v/>
      </c>
      <c r="N1362" s="72">
        <f>E1362</f>
        <v/>
      </c>
      <c r="O1362" s="50">
        <f>F1362/E1362*N1362</f>
        <v/>
      </c>
      <c r="P1362" s="273">
        <f>G1362/E1362*N1362</f>
        <v/>
      </c>
      <c r="S1362" s="200" t="inlineStr">
        <is>
          <t>106269LYG228</t>
        </is>
      </c>
      <c r="T1362" s="201" t="n">
        <v>21</v>
      </c>
      <c r="U1362" s="58" t="n"/>
      <c r="V1362" s="67" t="n"/>
      <c r="W1362" s="67" t="n"/>
      <c r="X1362" s="62" t="inlineStr">
        <is>
          <t>N-OP</t>
        </is>
      </c>
      <c r="Y1362" s="116">
        <f>F1362/E1362</f>
        <v/>
      </c>
      <c r="Z1362" s="64">
        <f>E1362-N1362</f>
        <v/>
      </c>
    </row>
    <row r="1363" ht="15.75" customHeight="1" s="202">
      <c r="A1363" s="116" t="n">
        <v>20260087</v>
      </c>
      <c r="B1363" s="117" t="inlineStr">
        <is>
          <t>MARIA F</t>
        </is>
      </c>
      <c r="C1363" s="118" t="n">
        <v>46094</v>
      </c>
      <c r="E1363" s="116" t="n">
        <v>1</v>
      </c>
      <c r="F1363" s="119" t="n">
        <v>38.505</v>
      </c>
      <c r="G1363" s="120" t="n">
        <v>24</v>
      </c>
      <c r="H1363" s="117" t="inlineStr">
        <is>
          <t>KORICHI ROCHDI</t>
        </is>
      </c>
      <c r="I1363" s="117" t="inlineStr">
        <is>
          <t>BULLDOZERS</t>
        </is>
      </c>
      <c r="J1363" s="117" t="inlineStr">
        <is>
          <t>ENGINS</t>
        </is>
      </c>
      <c r="K1363" s="48">
        <f>D1363+8</f>
        <v/>
      </c>
      <c r="L1363" s="48">
        <f>K1363+60</f>
        <v/>
      </c>
      <c r="N1363" s="72">
        <f>E1363</f>
        <v/>
      </c>
      <c r="O1363" s="50">
        <f>F1363/E1363*N1363</f>
        <v/>
      </c>
      <c r="P1363" s="273">
        <f>G1363/E1363*N1363</f>
        <v/>
      </c>
      <c r="S1363" s="200" t="inlineStr">
        <is>
          <t>106269LYG229</t>
        </is>
      </c>
      <c r="T1363" s="201" t="n">
        <v>22</v>
      </c>
      <c r="U1363" s="58" t="inlineStr">
        <is>
          <t>01 UNIT BULLDOZER SD32D SHANTUI + 03 PACKAGES</t>
        </is>
      </c>
      <c r="V1363" s="67" t="n"/>
      <c r="W1363" s="67" t="n"/>
      <c r="X1363" s="62" t="inlineStr">
        <is>
          <t>N-OP</t>
        </is>
      </c>
      <c r="Y1363" s="116">
        <f>F1363/E1363</f>
        <v/>
      </c>
      <c r="Z1363" s="64">
        <f>E1363-N1363</f>
        <v/>
      </c>
    </row>
    <row r="1364" ht="15.75" customHeight="1" s="202">
      <c r="A1364" s="116" t="n">
        <v>20260087</v>
      </c>
      <c r="B1364" s="117" t="inlineStr">
        <is>
          <t>MARIA F</t>
        </is>
      </c>
      <c r="C1364" s="118" t="n">
        <v>46094</v>
      </c>
      <c r="E1364" s="116" t="n">
        <v>3</v>
      </c>
      <c r="F1364" s="119" t="n">
        <v>0</v>
      </c>
      <c r="G1364" s="120" t="n">
        <v>15</v>
      </c>
      <c r="H1364" s="117" t="inlineStr">
        <is>
          <t>KORICHI ROCHDI</t>
        </is>
      </c>
      <c r="I1364" s="117" t="inlineStr">
        <is>
          <t>COLIS</t>
        </is>
      </c>
      <c r="J1364" s="117" t="inlineStr">
        <is>
          <t>COLIS</t>
        </is>
      </c>
      <c r="K1364" s="48">
        <f>D1364+8</f>
        <v/>
      </c>
      <c r="L1364" s="48">
        <f>K1364+60</f>
        <v/>
      </c>
      <c r="N1364" s="72">
        <f>E1364</f>
        <v/>
      </c>
      <c r="O1364" s="50">
        <f>F1364/E1364*N1364</f>
        <v/>
      </c>
      <c r="P1364" s="273">
        <f>G1364/E1364*N1364</f>
        <v/>
      </c>
      <c r="S1364" s="200" t="inlineStr">
        <is>
          <t>106269LYG229</t>
        </is>
      </c>
      <c r="T1364" s="201" t="n">
        <v>22</v>
      </c>
      <c r="U1364" s="58" t="n"/>
      <c r="V1364" s="67" t="n"/>
      <c r="W1364" s="67" t="n"/>
      <c r="X1364" s="62" t="inlineStr">
        <is>
          <t>N-OP</t>
        </is>
      </c>
      <c r="Y1364" s="116">
        <f>F1364/E1364</f>
        <v/>
      </c>
      <c r="Z1364" s="64">
        <f>E1364-N1364</f>
        <v/>
      </c>
    </row>
    <row r="1365" ht="15.75" customHeight="1" s="202">
      <c r="A1365" s="116" t="n">
        <v>20260087</v>
      </c>
      <c r="B1365" s="117" t="inlineStr">
        <is>
          <t>MARIA F</t>
        </is>
      </c>
      <c r="C1365" s="118" t="n">
        <v>46094</v>
      </c>
      <c r="E1365" s="116" t="n">
        <v>1</v>
      </c>
      <c r="F1365" s="119" t="n">
        <v>17.65</v>
      </c>
      <c r="G1365" s="120" t="n">
        <v>24</v>
      </c>
      <c r="H1365" s="117" t="inlineStr">
        <is>
          <t>SARL AGLOUEST</t>
        </is>
      </c>
      <c r="I1365" s="117" t="inlineStr">
        <is>
          <t>CHARGEURS</t>
        </is>
      </c>
      <c r="J1365" s="117" t="inlineStr">
        <is>
          <t>ENGINS</t>
        </is>
      </c>
      <c r="K1365" s="48">
        <f>D1365+8</f>
        <v/>
      </c>
      <c r="L1365" s="48">
        <f>K1365+60</f>
        <v/>
      </c>
      <c r="N1365" s="72">
        <f>E1365</f>
        <v/>
      </c>
      <c r="O1365" s="50">
        <f>F1365/E1365*N1365</f>
        <v/>
      </c>
      <c r="P1365" s="273">
        <f>G1365/E1365*N1365</f>
        <v/>
      </c>
      <c r="S1365" s="200" t="inlineStr">
        <is>
          <t>106269LYG230</t>
        </is>
      </c>
      <c r="T1365" s="201" t="n">
        <v>23</v>
      </c>
      <c r="U1365" s="58" t="inlineStr">
        <is>
          <t>01 UNIT WHEEL LOADER SHANTUI L55-B5</t>
        </is>
      </c>
      <c r="V1365" s="67" t="n"/>
      <c r="W1365" s="67" t="n"/>
      <c r="X1365" s="62" t="inlineStr">
        <is>
          <t>N-OP</t>
        </is>
      </c>
      <c r="Y1365" s="116">
        <f>F1365/E1365</f>
        <v/>
      </c>
      <c r="Z1365" s="64">
        <f>E1365-N1365</f>
        <v/>
      </c>
    </row>
    <row r="1366" ht="15.75" customHeight="1" s="202">
      <c r="A1366" s="116" t="n">
        <v>20260087</v>
      </c>
      <c r="B1366" s="117" t="inlineStr">
        <is>
          <t>MARIA F</t>
        </is>
      </c>
      <c r="C1366" s="118" t="n">
        <v>46094</v>
      </c>
      <c r="E1366" s="116" t="n">
        <v>1</v>
      </c>
      <c r="F1366" s="119" t="n">
        <v>38.505</v>
      </c>
      <c r="G1366" s="120" t="n">
        <v>24</v>
      </c>
      <c r="H1366" s="117" t="inlineStr">
        <is>
          <t>SARL CERAM GLASS</t>
        </is>
      </c>
      <c r="I1366" s="117" t="inlineStr">
        <is>
          <t>BULLDOZERS</t>
        </is>
      </c>
      <c r="J1366" s="117" t="inlineStr">
        <is>
          <t>ENGINS</t>
        </is>
      </c>
      <c r="K1366" s="48">
        <f>D1366+8</f>
        <v/>
      </c>
      <c r="L1366" s="48">
        <f>K1366+60</f>
        <v/>
      </c>
      <c r="N1366" s="72">
        <f>E1366</f>
        <v/>
      </c>
      <c r="O1366" s="50">
        <f>F1366/E1366*N1366</f>
        <v/>
      </c>
      <c r="P1366" s="273">
        <f>G1366/E1366*N1366</f>
        <v/>
      </c>
      <c r="S1366" s="200" t="inlineStr">
        <is>
          <t>106269LYG231</t>
        </is>
      </c>
      <c r="T1366" s="201" t="n">
        <v>24</v>
      </c>
      <c r="U1366" s="58" t="inlineStr">
        <is>
          <t>01 UNIT SHANTUI BRAND SD32D BULLDOZER + 03 PACKAGES</t>
        </is>
      </c>
      <c r="V1366" s="67" t="n"/>
      <c r="W1366" s="67" t="n"/>
      <c r="X1366" s="62" t="inlineStr">
        <is>
          <t>N-OP</t>
        </is>
      </c>
      <c r="Y1366" s="116">
        <f>F1366/E1366</f>
        <v/>
      </c>
      <c r="Z1366" s="64">
        <f>E1366-N1366</f>
        <v/>
      </c>
    </row>
    <row r="1367" ht="15.75" customHeight="1" s="202">
      <c r="A1367" s="116" t="n">
        <v>20260087</v>
      </c>
      <c r="B1367" s="117" t="inlineStr">
        <is>
          <t>MARIA F</t>
        </is>
      </c>
      <c r="C1367" s="118" t="n">
        <v>46094</v>
      </c>
      <c r="E1367" s="116" t="n">
        <v>3</v>
      </c>
      <c r="F1367" s="119" t="n">
        <v>0</v>
      </c>
      <c r="G1367" s="120" t="n">
        <v>15</v>
      </c>
      <c r="H1367" s="117" t="inlineStr">
        <is>
          <t>SARL CERAM GLASS</t>
        </is>
      </c>
      <c r="I1367" s="117" t="inlineStr">
        <is>
          <t>COLIS</t>
        </is>
      </c>
      <c r="J1367" s="117" t="inlineStr">
        <is>
          <t>COLIS</t>
        </is>
      </c>
      <c r="K1367" s="48">
        <f>D1367+8</f>
        <v/>
      </c>
      <c r="L1367" s="48">
        <f>K1367+60</f>
        <v/>
      </c>
      <c r="N1367" s="72">
        <f>E1367</f>
        <v/>
      </c>
      <c r="O1367" s="50">
        <f>F1367/E1367*N1367</f>
        <v/>
      </c>
      <c r="P1367" s="273">
        <f>G1367/E1367*N1367</f>
        <v/>
      </c>
      <c r="S1367" s="200" t="inlineStr">
        <is>
          <t>106269LYG231</t>
        </is>
      </c>
      <c r="T1367" s="201" t="n">
        <v>24</v>
      </c>
      <c r="U1367" s="58" t="n"/>
      <c r="V1367" s="67" t="n"/>
      <c r="W1367" s="67" t="n"/>
      <c r="X1367" s="62" t="inlineStr">
        <is>
          <t>N-OP</t>
        </is>
      </c>
      <c r="Y1367" s="116">
        <f>F1367/E1367</f>
        <v/>
      </c>
      <c r="Z1367" s="64">
        <f>E1367-N1367</f>
        <v/>
      </c>
    </row>
    <row r="1368" ht="15.75" customHeight="1" s="202">
      <c r="A1368" s="116" t="n">
        <v>20260087</v>
      </c>
      <c r="B1368" s="117" t="inlineStr">
        <is>
          <t>MARIA F</t>
        </is>
      </c>
      <c r="C1368" s="118" t="n">
        <v>46094</v>
      </c>
      <c r="E1368" s="116" t="n">
        <v>1</v>
      </c>
      <c r="F1368" s="119" t="n">
        <v>34.54</v>
      </c>
      <c r="G1368" s="120" t="n">
        <v>24</v>
      </c>
      <c r="H1368" s="117" t="inlineStr">
        <is>
          <t>EURL GEDEN</t>
        </is>
      </c>
      <c r="I1368" s="117" t="inlineStr">
        <is>
          <t>EXCAVATEURS</t>
        </is>
      </c>
      <c r="J1368" s="117" t="inlineStr">
        <is>
          <t>ENGINS</t>
        </is>
      </c>
      <c r="K1368" s="48">
        <f>D1368+8</f>
        <v/>
      </c>
      <c r="L1368" s="48">
        <f>K1368+60</f>
        <v/>
      </c>
      <c r="N1368" s="72">
        <f>E1368</f>
        <v/>
      </c>
      <c r="O1368" s="50">
        <f>F1368/E1368*N1368</f>
        <v/>
      </c>
      <c r="P1368" s="273">
        <f>G1368/E1368*N1368</f>
        <v/>
      </c>
      <c r="S1368" s="200" t="inlineStr">
        <is>
          <t>106269LYG232</t>
        </is>
      </c>
      <c r="T1368" s="201" t="n">
        <v>25</v>
      </c>
      <c r="U1368" s="58" t="inlineStr">
        <is>
          <t>01 UNIT EXCAVATOR SHANTUI SE335LC + 01 PACKAGE</t>
        </is>
      </c>
      <c r="V1368" s="67" t="n"/>
      <c r="W1368" s="67" t="n"/>
      <c r="X1368" s="62" t="inlineStr">
        <is>
          <t>N-OP</t>
        </is>
      </c>
      <c r="Y1368" s="116">
        <f>F1368/E1368</f>
        <v/>
      </c>
      <c r="Z1368" s="64">
        <f>E1368-N1368</f>
        <v/>
      </c>
    </row>
    <row r="1369" ht="15.75" customHeight="1" s="202">
      <c r="A1369" s="116" t="n">
        <v>20260087</v>
      </c>
      <c r="B1369" s="117" t="inlineStr">
        <is>
          <t>MARIA F</t>
        </is>
      </c>
      <c r="C1369" s="118" t="n">
        <v>46094</v>
      </c>
      <c r="E1369" s="116" t="n">
        <v>1</v>
      </c>
      <c r="F1369" s="119" t="n">
        <v>0</v>
      </c>
      <c r="G1369" s="120" t="n">
        <v>5</v>
      </c>
      <c r="H1369" s="117" t="inlineStr">
        <is>
          <t>EURL GEDEN</t>
        </is>
      </c>
      <c r="I1369" s="117" t="inlineStr">
        <is>
          <t>COLIS</t>
        </is>
      </c>
      <c r="J1369" s="117" t="inlineStr">
        <is>
          <t>COLIS</t>
        </is>
      </c>
      <c r="K1369" s="48">
        <f>D1369+8</f>
        <v/>
      </c>
      <c r="L1369" s="48">
        <f>K1369+60</f>
        <v/>
      </c>
      <c r="N1369" s="72">
        <f>E1369</f>
        <v/>
      </c>
      <c r="O1369" s="50">
        <f>F1369/E1369*N1369</f>
        <v/>
      </c>
      <c r="P1369" s="273">
        <f>G1369/E1369*N1369</f>
        <v/>
      </c>
      <c r="S1369" s="200" t="inlineStr">
        <is>
          <t>106269LYG232</t>
        </is>
      </c>
      <c r="T1369" s="201" t="n">
        <v>25</v>
      </c>
      <c r="U1369" s="58" t="n"/>
      <c r="V1369" s="67" t="n"/>
      <c r="W1369" s="67" t="n"/>
      <c r="X1369" s="62" t="inlineStr">
        <is>
          <t>N-OP</t>
        </is>
      </c>
      <c r="Y1369" s="116">
        <f>F1369/E1369</f>
        <v/>
      </c>
      <c r="Z1369" s="64">
        <f>E1369-N1369</f>
        <v/>
      </c>
    </row>
    <row r="1370" ht="15.75" customHeight="1" s="202">
      <c r="A1370" s="116" t="n">
        <v>20260087</v>
      </c>
      <c r="B1370" s="117" t="inlineStr">
        <is>
          <t>MARIA F</t>
        </is>
      </c>
      <c r="C1370" s="118" t="n">
        <v>46094</v>
      </c>
      <c r="E1370" s="116" t="n">
        <v>1</v>
      </c>
      <c r="F1370" s="119" t="n">
        <v>38.505</v>
      </c>
      <c r="G1370" s="120" t="n">
        <v>24</v>
      </c>
      <c r="H1370" s="117" t="inlineStr">
        <is>
          <t>EURL TRONAX SERVICES</t>
        </is>
      </c>
      <c r="I1370" s="117" t="inlineStr">
        <is>
          <t>BULLDOZERS</t>
        </is>
      </c>
      <c r="J1370" s="117" t="inlineStr">
        <is>
          <t>ENGINS</t>
        </is>
      </c>
      <c r="K1370" s="48">
        <f>D1370+8</f>
        <v/>
      </c>
      <c r="L1370" s="48">
        <f>K1370+60</f>
        <v/>
      </c>
      <c r="N1370" s="72">
        <f>E1370</f>
        <v/>
      </c>
      <c r="O1370" s="50">
        <f>F1370/E1370*N1370</f>
        <v/>
      </c>
      <c r="P1370" s="273">
        <f>G1370/E1370*N1370</f>
        <v/>
      </c>
      <c r="S1370" s="200" t="inlineStr">
        <is>
          <t>106269LYG233</t>
        </is>
      </c>
      <c r="T1370" s="201" t="n">
        <v>26</v>
      </c>
      <c r="U1370" s="58" t="inlineStr">
        <is>
          <t>01 UNIT BULLDOZER SHANTUI SD32D + 03 PACKAGES</t>
        </is>
      </c>
      <c r="V1370" s="67" t="n"/>
      <c r="W1370" s="67" t="n"/>
      <c r="X1370" s="62" t="inlineStr">
        <is>
          <t>N-OP</t>
        </is>
      </c>
      <c r="Y1370" s="116">
        <f>F1370/E1370</f>
        <v/>
      </c>
      <c r="Z1370" s="64">
        <f>E1370-N1370</f>
        <v/>
      </c>
    </row>
    <row r="1371" ht="15.75" customHeight="1" s="202">
      <c r="A1371" s="116" t="n">
        <v>20260087</v>
      </c>
      <c r="B1371" s="117" t="inlineStr">
        <is>
          <t>MARIA F</t>
        </is>
      </c>
      <c r="C1371" s="118" t="n">
        <v>46094</v>
      </c>
      <c r="E1371" s="116" t="n">
        <v>3</v>
      </c>
      <c r="F1371" s="119" t="n">
        <v>0</v>
      </c>
      <c r="G1371" s="120" t="n">
        <v>15</v>
      </c>
      <c r="H1371" s="117" t="inlineStr">
        <is>
          <t>EURL TRONAX SERVICES</t>
        </is>
      </c>
      <c r="I1371" s="117" t="inlineStr">
        <is>
          <t>COLIS</t>
        </is>
      </c>
      <c r="J1371" s="117" t="inlineStr">
        <is>
          <t>COLIS</t>
        </is>
      </c>
      <c r="K1371" s="48">
        <f>D1371+8</f>
        <v/>
      </c>
      <c r="L1371" s="48">
        <f>K1371+60</f>
        <v/>
      </c>
      <c r="N1371" s="72">
        <f>E1371</f>
        <v/>
      </c>
      <c r="O1371" s="50">
        <f>F1371/E1371*N1371</f>
        <v/>
      </c>
      <c r="P1371" s="273">
        <f>G1371/E1371*N1371</f>
        <v/>
      </c>
      <c r="S1371" s="200" t="inlineStr">
        <is>
          <t>106269LYG233</t>
        </is>
      </c>
      <c r="T1371" s="201" t="n">
        <v>26</v>
      </c>
      <c r="U1371" s="58" t="n"/>
      <c r="V1371" s="67" t="n"/>
      <c r="W1371" s="67" t="n"/>
      <c r="X1371" s="62" t="inlineStr">
        <is>
          <t>N-OP</t>
        </is>
      </c>
      <c r="Y1371" s="116">
        <f>F1371/E1371</f>
        <v/>
      </c>
      <c r="Z1371" s="64">
        <f>E1371-N1371</f>
        <v/>
      </c>
    </row>
    <row r="1372" ht="15.75" customHeight="1" s="202">
      <c r="A1372" s="116" t="n">
        <v>20260087</v>
      </c>
      <c r="B1372" s="117" t="inlineStr">
        <is>
          <t>MARIA F</t>
        </is>
      </c>
      <c r="C1372" s="118" t="n">
        <v>46094</v>
      </c>
      <c r="E1372" s="116" t="n">
        <v>1</v>
      </c>
      <c r="F1372" s="119" t="n">
        <v>17.65</v>
      </c>
      <c r="G1372" s="120" t="n">
        <v>24</v>
      </c>
      <c r="H1372" s="117" t="inlineStr">
        <is>
          <t>SARL E.T.P. DENNOUNI</t>
        </is>
      </c>
      <c r="I1372" s="117" t="inlineStr">
        <is>
          <t>CHARGEURS</t>
        </is>
      </c>
      <c r="J1372" s="117" t="inlineStr">
        <is>
          <t>ENGINS</t>
        </is>
      </c>
      <c r="K1372" s="48">
        <f>D1372+8</f>
        <v/>
      </c>
      <c r="L1372" s="48">
        <f>K1372+60</f>
        <v/>
      </c>
      <c r="N1372" s="72">
        <f>E1372</f>
        <v/>
      </c>
      <c r="O1372" s="50">
        <f>F1372/E1372*N1372</f>
        <v/>
      </c>
      <c r="P1372" s="273">
        <f>G1372/E1372*N1372</f>
        <v/>
      </c>
      <c r="S1372" s="200" t="inlineStr">
        <is>
          <t>106269LYG234</t>
        </is>
      </c>
      <c r="T1372" s="201" t="n">
        <v>27</v>
      </c>
      <c r="U1372" s="58" t="inlineStr">
        <is>
          <t>01 UNIT WHEEL LOADER SHANTUI L55-B5</t>
        </is>
      </c>
      <c r="V1372" s="67" t="n"/>
      <c r="W1372" s="67" t="n"/>
      <c r="X1372" s="62" t="inlineStr">
        <is>
          <t>N-OP</t>
        </is>
      </c>
      <c r="Y1372" s="116">
        <f>F1372/E1372</f>
        <v/>
      </c>
      <c r="Z1372" s="64">
        <f>E1372-N1372</f>
        <v/>
      </c>
    </row>
    <row r="1373" ht="15.75" customHeight="1" s="202">
      <c r="A1373" s="116" t="n">
        <v>20260087</v>
      </c>
      <c r="B1373" s="117" t="inlineStr">
        <is>
          <t>MARIA F</t>
        </is>
      </c>
      <c r="C1373" s="118" t="n">
        <v>46094</v>
      </c>
      <c r="E1373" s="116" t="n">
        <v>1</v>
      </c>
      <c r="F1373" s="119" t="n">
        <v>38.505</v>
      </c>
      <c r="G1373" s="120" t="n">
        <v>24</v>
      </c>
      <c r="H1373" s="117" t="inlineStr">
        <is>
          <t>SARL SIDI AHMED LAID TP ET LOC MATER</t>
        </is>
      </c>
      <c r="I1373" s="117" t="inlineStr">
        <is>
          <t>BULLDOZERS</t>
        </is>
      </c>
      <c r="J1373" s="117" t="inlineStr">
        <is>
          <t>ENGINS</t>
        </is>
      </c>
      <c r="K1373" s="48">
        <f>D1373+8</f>
        <v/>
      </c>
      <c r="L1373" s="48">
        <f>K1373+60</f>
        <v/>
      </c>
      <c r="N1373" s="72">
        <f>E1373</f>
        <v/>
      </c>
      <c r="O1373" s="50">
        <f>F1373/E1373*N1373</f>
        <v/>
      </c>
      <c r="P1373" s="273">
        <f>G1373/E1373*N1373</f>
        <v/>
      </c>
      <c r="S1373" s="200" t="inlineStr">
        <is>
          <t>106269LYG235</t>
        </is>
      </c>
      <c r="T1373" s="201" t="n">
        <v>28</v>
      </c>
      <c r="U1373" s="58" t="inlineStr">
        <is>
          <t>01 UNIT SHANTUI BRAND SD32D BULLDOZER + 03 PACKAGES</t>
        </is>
      </c>
      <c r="V1373" s="67" t="n"/>
      <c r="W1373" s="67" t="n"/>
      <c r="X1373" s="62" t="inlineStr">
        <is>
          <t>N-OP</t>
        </is>
      </c>
      <c r="Y1373" s="116">
        <f>F1373/E1373</f>
        <v/>
      </c>
      <c r="Z1373" s="64">
        <f>E1373-N1373</f>
        <v/>
      </c>
    </row>
    <row r="1374" ht="15.75" customHeight="1" s="202">
      <c r="A1374" s="116" t="n">
        <v>20260087</v>
      </c>
      <c r="B1374" s="117" t="inlineStr">
        <is>
          <t>MARIA F</t>
        </is>
      </c>
      <c r="C1374" s="118" t="n">
        <v>46094</v>
      </c>
      <c r="E1374" s="116" t="n">
        <v>3</v>
      </c>
      <c r="F1374" s="119" t="n">
        <v>0</v>
      </c>
      <c r="G1374" s="120" t="n">
        <v>15</v>
      </c>
      <c r="H1374" s="117" t="inlineStr">
        <is>
          <t>SARL SIDI AHMED LAID TP ET LOC MATER</t>
        </is>
      </c>
      <c r="I1374" s="117" t="inlineStr">
        <is>
          <t>COLIS</t>
        </is>
      </c>
      <c r="J1374" s="117" t="inlineStr">
        <is>
          <t>COLIS</t>
        </is>
      </c>
      <c r="K1374" s="48">
        <f>D1374+8</f>
        <v/>
      </c>
      <c r="L1374" s="48">
        <f>K1374+60</f>
        <v/>
      </c>
      <c r="N1374" s="72">
        <f>E1374</f>
        <v/>
      </c>
      <c r="O1374" s="50">
        <f>F1374/E1374*N1374</f>
        <v/>
      </c>
      <c r="P1374" s="273">
        <f>G1374/E1374*N1374</f>
        <v/>
      </c>
      <c r="S1374" s="200" t="inlineStr">
        <is>
          <t>106269LYG235</t>
        </is>
      </c>
      <c r="T1374" s="201" t="n">
        <v>28</v>
      </c>
      <c r="U1374" s="58" t="n"/>
      <c r="V1374" s="67" t="n"/>
      <c r="W1374" s="67" t="n"/>
      <c r="X1374" s="62" t="inlineStr">
        <is>
          <t>N-OP</t>
        </is>
      </c>
      <c r="Y1374" s="116">
        <f>F1374/E1374</f>
        <v/>
      </c>
      <c r="Z1374" s="64">
        <f>E1374-N1374</f>
        <v/>
      </c>
    </row>
    <row r="1375" ht="15.75" customHeight="1" s="202">
      <c r="A1375" s="116" t="n">
        <v>20260087</v>
      </c>
      <c r="B1375" s="117" t="inlineStr">
        <is>
          <t>MARIA F</t>
        </is>
      </c>
      <c r="C1375" s="118" t="n">
        <v>46094</v>
      </c>
      <c r="E1375" s="116" t="n">
        <v>2</v>
      </c>
      <c r="F1375" s="119" t="n">
        <v>21</v>
      </c>
      <c r="G1375" s="120" t="n">
        <v>48</v>
      </c>
      <c r="H1375" s="117" t="inlineStr">
        <is>
          <t>GREEN SKY S</t>
        </is>
      </c>
      <c r="I1375" s="117" t="inlineStr">
        <is>
          <t>REMORQUES</t>
        </is>
      </c>
      <c r="J1375" s="117" t="inlineStr">
        <is>
          <t>LOURD</t>
        </is>
      </c>
      <c r="K1375" s="48">
        <f>D1375+8</f>
        <v/>
      </c>
      <c r="L1375" s="48">
        <f>K1375+60</f>
        <v/>
      </c>
      <c r="N1375" s="72">
        <f>E1375</f>
        <v/>
      </c>
      <c r="O1375" s="50">
        <f>F1375/E1375*N1375</f>
        <v/>
      </c>
      <c r="P1375" s="273">
        <f>G1375/E1375*N1375</f>
        <v/>
      </c>
      <c r="S1375" s="200" t="inlineStr">
        <is>
          <t>106269LYG236</t>
        </is>
      </c>
      <c r="T1375" s="201" t="n">
        <v>29</v>
      </c>
      <c r="U1375" s="58" t="inlineStr">
        <is>
          <t>2 semi-trailers Chassis No:LJRD12386SN073996 / LJRD12388SN073997</t>
        </is>
      </c>
      <c r="V1375" s="67" t="n"/>
      <c r="W1375" s="67" t="n"/>
      <c r="X1375" s="62" t="inlineStr">
        <is>
          <t>N-OP</t>
        </is>
      </c>
      <c r="Y1375" s="116">
        <f>F1375/E1375</f>
        <v/>
      </c>
      <c r="Z1375" s="64">
        <f>E1375-N1375</f>
        <v/>
      </c>
    </row>
    <row r="1376" ht="15.75" customHeight="1" s="202">
      <c r="A1376" s="116" t="n">
        <v>20260087</v>
      </c>
      <c r="B1376" s="117" t="inlineStr">
        <is>
          <t>MARIA F</t>
        </is>
      </c>
      <c r="C1376" s="118" t="n">
        <v>46094</v>
      </c>
      <c r="E1376" s="116" t="n">
        <v>1</v>
      </c>
      <c r="F1376" s="119" t="n">
        <v>13.3</v>
      </c>
      <c r="G1376" s="120" t="n">
        <v>24</v>
      </c>
      <c r="H1376" s="117" t="inlineStr">
        <is>
          <t>ATALLAH BOUBAKER</t>
        </is>
      </c>
      <c r="I1376" s="117" t="inlineStr">
        <is>
          <t>CAMIONS</t>
        </is>
      </c>
      <c r="J1376" s="117" t="inlineStr">
        <is>
          <t>LOURD</t>
        </is>
      </c>
      <c r="K1376" s="48">
        <f>D1376+8</f>
        <v/>
      </c>
      <c r="L1376" s="48">
        <f>K1376+60</f>
        <v/>
      </c>
      <c r="N1376" s="72">
        <f>E1376</f>
        <v/>
      </c>
      <c r="O1376" s="50">
        <f>F1376/E1376*N1376</f>
        <v/>
      </c>
      <c r="P1376" s="273">
        <f>G1376/E1376*N1376</f>
        <v/>
      </c>
      <c r="S1376" s="200" t="inlineStr">
        <is>
          <t>106269LYG237A</t>
        </is>
      </c>
      <c r="T1376" s="201" t="n">
        <v>30</v>
      </c>
      <c r="U1376" s="58" t="inlineStr">
        <is>
          <t>01 UNIT SHACMAN F2000 6*4 DUMP TRUCK</t>
        </is>
      </c>
      <c r="V1376" s="67" t="n"/>
      <c r="W1376" s="67" t="n"/>
      <c r="X1376" s="62" t="inlineStr">
        <is>
          <t>N-OP</t>
        </is>
      </c>
      <c r="Y1376" s="116">
        <f>F1376/E1376</f>
        <v/>
      </c>
      <c r="Z1376" s="64">
        <f>E1376-N1376</f>
        <v/>
      </c>
    </row>
    <row r="1377" ht="15.75" customHeight="1" s="202">
      <c r="A1377" s="116" t="n">
        <v>20260087</v>
      </c>
      <c r="B1377" s="117" t="inlineStr">
        <is>
          <t>MARIA F</t>
        </is>
      </c>
      <c r="C1377" s="118" t="n">
        <v>46094</v>
      </c>
      <c r="E1377" s="116" t="n">
        <v>1</v>
      </c>
      <c r="F1377" s="119" t="n">
        <v>13.3</v>
      </c>
      <c r="G1377" s="120" t="n">
        <v>24</v>
      </c>
      <c r="H1377" s="117" t="inlineStr">
        <is>
          <t>BALI AHMED</t>
        </is>
      </c>
      <c r="I1377" s="117" t="inlineStr">
        <is>
          <t>CAMIONS</t>
        </is>
      </c>
      <c r="J1377" s="117" t="inlineStr">
        <is>
          <t>LOURD</t>
        </is>
      </c>
      <c r="K1377" s="48">
        <f>D1377+8</f>
        <v/>
      </c>
      <c r="L1377" s="48">
        <f>K1377+60</f>
        <v/>
      </c>
      <c r="N1377" s="72">
        <f>E1377</f>
        <v/>
      </c>
      <c r="O1377" s="50">
        <f>F1377/E1377*N1377</f>
        <v/>
      </c>
      <c r="P1377" s="273">
        <f>G1377/E1377*N1377</f>
        <v/>
      </c>
      <c r="S1377" s="200" t="inlineStr">
        <is>
          <t>106269LYG237B</t>
        </is>
      </c>
      <c r="T1377" s="201" t="n">
        <v>31</v>
      </c>
      <c r="U1377" s="58" t="inlineStr">
        <is>
          <t>01 UNIT SHACMAN F2000 6*4 DUMP TRUCK</t>
        </is>
      </c>
      <c r="V1377" s="67" t="n"/>
      <c r="W1377" s="67" t="n"/>
      <c r="X1377" s="62" t="inlineStr">
        <is>
          <t>N-OP</t>
        </is>
      </c>
      <c r="Y1377" s="116">
        <f>F1377/E1377</f>
        <v/>
      </c>
      <c r="Z1377" s="64">
        <f>E1377-N1377</f>
        <v/>
      </c>
    </row>
    <row r="1378" ht="15.75" customHeight="1" s="202">
      <c r="A1378" s="116" t="n">
        <v>20260087</v>
      </c>
      <c r="B1378" s="117" t="inlineStr">
        <is>
          <t>MARIA F</t>
        </is>
      </c>
      <c r="C1378" s="118" t="n">
        <v>46094</v>
      </c>
      <c r="E1378" s="116" t="n">
        <v>2</v>
      </c>
      <c r="F1378" s="119" t="n">
        <v>82.54000000000001</v>
      </c>
      <c r="G1378" s="120" t="n">
        <v>30</v>
      </c>
      <c r="H1378" s="117" t="inlineStr">
        <is>
          <t>ALGERIAN QATARI STEEL SPA</t>
        </is>
      </c>
      <c r="I1378" s="117" t="inlineStr">
        <is>
          <t>COLIS</t>
        </is>
      </c>
      <c r="J1378" s="117" t="inlineStr">
        <is>
          <t>COLIS</t>
        </is>
      </c>
      <c r="K1378" s="48">
        <f>D1378+8</f>
        <v/>
      </c>
      <c r="L1378" s="48">
        <f>K1378+60</f>
        <v/>
      </c>
      <c r="N1378" s="72">
        <f>E1378</f>
        <v/>
      </c>
      <c r="O1378" s="50">
        <f>F1378/E1378*N1378</f>
        <v/>
      </c>
      <c r="P1378" s="273">
        <f>G1378/E1378*N1378</f>
        <v/>
      </c>
      <c r="S1378" s="200" t="inlineStr">
        <is>
          <t>106269LYG242</t>
        </is>
      </c>
      <c r="T1378" s="201" t="n">
        <v>34</v>
      </c>
      <c r="U1378" s="58" t="inlineStr">
        <is>
          <t>SUPPLY OF 2 SLAG POTS 27.7 CBM</t>
        </is>
      </c>
      <c r="V1378" s="67" t="n"/>
      <c r="W1378" s="67" t="n"/>
      <c r="X1378" s="62" t="inlineStr">
        <is>
          <t>N-OP</t>
        </is>
      </c>
      <c r="Y1378" s="116">
        <f>F1378/E1378</f>
        <v/>
      </c>
      <c r="Z1378" s="64">
        <f>E1378-N1378</f>
        <v/>
      </c>
    </row>
    <row r="1379" ht="15.75" customHeight="1" s="202">
      <c r="A1379" s="116" t="n">
        <v>20260087</v>
      </c>
      <c r="B1379" s="117" t="inlineStr">
        <is>
          <t>MARIA F</t>
        </is>
      </c>
      <c r="C1379" s="118" t="n">
        <v>46094</v>
      </c>
      <c r="E1379" s="116" t="n">
        <v>220</v>
      </c>
      <c r="F1379" s="119" t="n">
        <v>839.861</v>
      </c>
      <c r="G1379" s="120" t="n">
        <v>180</v>
      </c>
      <c r="H1379" s="117" t="inlineStr">
        <is>
          <t>SPA ENTREPRISE NATIONALE DE FORAGE ( ENAFOR )</t>
        </is>
      </c>
      <c r="I1379" s="117" t="inlineStr">
        <is>
          <t>TUBES</t>
        </is>
      </c>
      <c r="J1379" s="117" t="inlineStr">
        <is>
          <t>TUBES</t>
        </is>
      </c>
      <c r="K1379" s="48">
        <f>D1379+8</f>
        <v/>
      </c>
      <c r="L1379" s="48">
        <f>K1379+60</f>
        <v/>
      </c>
      <c r="N1379" s="72">
        <f>E1379</f>
        <v/>
      </c>
      <c r="O1379" s="50">
        <f>F1379/E1379*N1379</f>
        <v/>
      </c>
      <c r="P1379" s="273">
        <f>G1379/E1379*N1379</f>
        <v/>
      </c>
      <c r="S1379" s="200" t="inlineStr">
        <is>
          <t>106269LYG216</t>
        </is>
      </c>
      <c r="T1379" s="201" t="n">
        <v>11</v>
      </c>
      <c r="U1379" s="58" t="inlineStr">
        <is>
          <t>220 BUNDLES DRILL PIPE</t>
        </is>
      </c>
      <c r="V1379" s="67" t="n"/>
      <c r="W1379" s="67" t="n"/>
      <c r="X1379" s="62" t="inlineStr">
        <is>
          <t>N-OP</t>
        </is>
      </c>
      <c r="Y1379" s="116">
        <f>F1379/E1379</f>
        <v/>
      </c>
      <c r="Z1379" s="64">
        <f>E1379-N1379</f>
        <v/>
      </c>
    </row>
    <row r="1380" ht="15.75" customHeight="1" s="202">
      <c r="A1380" s="116" t="n">
        <v>20260087</v>
      </c>
      <c r="B1380" s="117" t="inlineStr">
        <is>
          <t>MARIA F</t>
        </is>
      </c>
      <c r="C1380" s="118" t="n">
        <v>46094</v>
      </c>
      <c r="E1380" s="116" t="n">
        <v>508</v>
      </c>
      <c r="F1380" s="119" t="n">
        <v>2423.353</v>
      </c>
      <c r="G1380" s="120" t="n">
        <v>610</v>
      </c>
      <c r="H1380" s="117" t="inlineStr">
        <is>
          <t>SARL GROUPE HOBBI</t>
        </is>
      </c>
      <c r="I1380" s="117" t="inlineStr">
        <is>
          <t>POUTRELLES</t>
        </is>
      </c>
      <c r="J1380" s="117" t="inlineStr">
        <is>
          <t>POUTRELLES</t>
        </is>
      </c>
      <c r="K1380" s="48">
        <f>D1380+8</f>
        <v/>
      </c>
      <c r="L1380" s="48">
        <f>K1380+60</f>
        <v/>
      </c>
      <c r="N1380" s="72">
        <f>E1380</f>
        <v/>
      </c>
      <c r="O1380" s="50">
        <f>F1380/E1380*N1380</f>
        <v/>
      </c>
      <c r="P1380" s="273">
        <f>G1380/E1380*N1380</f>
        <v/>
      </c>
      <c r="S1380" s="200" t="inlineStr">
        <is>
          <t>106269LYG238239240</t>
        </is>
      </c>
      <c r="T1380" s="201" t="n">
        <v>32</v>
      </c>
      <c r="U1380" s="58" t="inlineStr">
        <is>
          <t>508 BUNDLES OF PRIME HOT ROLLED STEEL H-BEAMS AND I-BEAMS AND U PROFILES</t>
        </is>
      </c>
      <c r="V1380" s="67" t="n"/>
      <c r="W1380" s="67" t="n"/>
      <c r="X1380" s="62" t="inlineStr">
        <is>
          <t>N-OP</t>
        </is>
      </c>
      <c r="Y1380" s="116">
        <f>F1380/E1380</f>
        <v/>
      </c>
      <c r="Z1380" s="64">
        <f>E1380-N1380</f>
        <v/>
      </c>
    </row>
    <row r="1381" ht="15.75" customHeight="1" s="202">
      <c r="A1381" s="116" t="n">
        <v>20260087</v>
      </c>
      <c r="B1381" s="117" t="inlineStr">
        <is>
          <t>MARIA F</t>
        </is>
      </c>
      <c r="C1381" s="118" t="n">
        <v>46094</v>
      </c>
      <c r="E1381" s="116" t="n">
        <v>6992</v>
      </c>
      <c r="F1381" s="119" t="n">
        <v>969.24</v>
      </c>
      <c r="G1381" s="120" t="n">
        <v>240</v>
      </c>
      <c r="H1381" s="117" t="inlineStr">
        <is>
          <t>SARL GROUPE HOBBI</t>
        </is>
      </c>
      <c r="I1381" s="117" t="inlineStr">
        <is>
          <t>POUTRELLES</t>
        </is>
      </c>
      <c r="J1381" s="117" t="inlineStr">
        <is>
          <t>POUTRELLES</t>
        </is>
      </c>
      <c r="K1381" s="48">
        <f>D1381+8</f>
        <v/>
      </c>
      <c r="L1381" s="48">
        <f>K1381+60</f>
        <v/>
      </c>
      <c r="N1381" s="72">
        <f>E1381</f>
        <v/>
      </c>
      <c r="O1381" s="50">
        <f>F1381/E1381*N1381</f>
        <v/>
      </c>
      <c r="P1381" s="273">
        <f>G1381/E1381*N1381</f>
        <v/>
      </c>
      <c r="S1381" s="200" t="inlineStr">
        <is>
          <t>106269LYG241243</t>
        </is>
      </c>
      <c r="T1381" s="201" t="n">
        <v>33</v>
      </c>
      <c r="U1381" s="58" t="inlineStr">
        <is>
          <t>201BUNDLES (PIECES:6992PIECES) PRIME HOT ROLLED STEEL U-PROFILES</t>
        </is>
      </c>
      <c r="V1381" s="67" t="n"/>
      <c r="W1381" s="67" t="n"/>
      <c r="X1381" s="62" t="inlineStr">
        <is>
          <t>N-OP</t>
        </is>
      </c>
      <c r="Y1381" s="116">
        <f>F1381/E1381</f>
        <v/>
      </c>
      <c r="Z1381" s="64">
        <f>E1381-N1381</f>
        <v/>
      </c>
    </row>
    <row r="1382" ht="15.75" customHeight="1" s="202">
      <c r="A1382" s="116" t="n">
        <v>20260087</v>
      </c>
      <c r="B1382" s="117" t="inlineStr">
        <is>
          <t>MARIA F</t>
        </is>
      </c>
      <c r="C1382" s="118" t="n">
        <v>46094</v>
      </c>
      <c r="E1382" s="116" t="n">
        <v>2820</v>
      </c>
      <c r="F1382" s="119" t="n">
        <v>7757.969</v>
      </c>
      <c r="G1382" s="120" t="n">
        <v>48</v>
      </c>
      <c r="H1382" s="117" t="inlineStr">
        <is>
          <t>SPA TECHNO CAST</t>
        </is>
      </c>
      <c r="I1382" s="117" t="inlineStr">
        <is>
          <t>CORNIERES</t>
        </is>
      </c>
      <c r="J1382" s="117" t="inlineStr">
        <is>
          <t>CORNIERES</t>
        </is>
      </c>
      <c r="K1382" s="48">
        <f>D1382+8</f>
        <v/>
      </c>
      <c r="L1382" s="48">
        <f>K1382+60</f>
        <v/>
      </c>
      <c r="N1382" s="72">
        <f>E1382</f>
        <v/>
      </c>
      <c r="O1382" s="50">
        <f>F1382/E1382*N1382</f>
        <v/>
      </c>
      <c r="P1382" s="273">
        <f>G1382/E1382*N1382</f>
        <v/>
      </c>
      <c r="S1382" s="200" t="inlineStr">
        <is>
          <t>106269TJ201204</t>
        </is>
      </c>
      <c r="T1382" s="201" t="n">
        <v>35</v>
      </c>
      <c r="U1382" s="58" t="inlineStr">
        <is>
          <t>2820 HOT LAMINATED ANGLE BARS</t>
        </is>
      </c>
      <c r="V1382" s="67" t="n"/>
      <c r="W1382" s="67" t="n"/>
      <c r="X1382" s="62" t="inlineStr">
        <is>
          <t>N-OP</t>
        </is>
      </c>
      <c r="Y1382" s="116">
        <f>F1382/E1382</f>
        <v/>
      </c>
      <c r="Z1382" s="64">
        <f>E1382-N1382</f>
        <v/>
      </c>
    </row>
    <row r="1383" ht="15.75" customHeight="1" s="202">
      <c r="A1383" s="116" t="n">
        <v>20260087</v>
      </c>
      <c r="B1383" s="117" t="inlineStr">
        <is>
          <t>MARIA F</t>
        </is>
      </c>
      <c r="C1383" s="118" t="n">
        <v>46094</v>
      </c>
      <c r="E1383" s="116" t="n">
        <v>4144</v>
      </c>
      <c r="F1383" s="119" t="n">
        <v>11859.743</v>
      </c>
      <c r="G1383" s="120" t="n">
        <v>100</v>
      </c>
      <c r="H1383" s="117" t="inlineStr">
        <is>
          <t>SPA TECHNO CAST</t>
        </is>
      </c>
      <c r="I1383" s="117" t="inlineStr">
        <is>
          <t>CORNIERES</t>
        </is>
      </c>
      <c r="J1383" s="117" t="inlineStr">
        <is>
          <t>CORNIERES</t>
        </is>
      </c>
      <c r="K1383" s="48">
        <f>D1383+8</f>
        <v/>
      </c>
      <c r="L1383" s="48">
        <f>K1383+60</f>
        <v/>
      </c>
      <c r="N1383" s="72">
        <f>E1383</f>
        <v/>
      </c>
      <c r="O1383" s="50">
        <f>F1383/E1383*N1383</f>
        <v/>
      </c>
      <c r="P1383" s="273">
        <f>G1383/E1383*N1383</f>
        <v/>
      </c>
      <c r="S1383" s="200" t="inlineStr">
        <is>
          <t>106269TJ205210</t>
        </is>
      </c>
      <c r="T1383" s="201" t="n">
        <v>36</v>
      </c>
      <c r="U1383" s="58" t="inlineStr">
        <is>
          <t>4144 HOT LAMINATED ANGLE BARS</t>
        </is>
      </c>
      <c r="V1383" s="67" t="n"/>
      <c r="W1383" s="67" t="n"/>
      <c r="X1383" s="62" t="inlineStr">
        <is>
          <t>N-OP</t>
        </is>
      </c>
      <c r="Y1383" s="116">
        <f>F1383/E1383</f>
        <v/>
      </c>
      <c r="Z1383" s="64">
        <f>E1383-N1383</f>
        <v/>
      </c>
    </row>
    <row r="1384" ht="15.75" customHeight="1" s="202">
      <c r="A1384" s="116" t="n">
        <v>20260087</v>
      </c>
      <c r="B1384" s="117" t="inlineStr">
        <is>
          <t>MARIA F</t>
        </is>
      </c>
      <c r="C1384" s="118" t="n">
        <v>46094</v>
      </c>
      <c r="E1384" s="116" t="n">
        <v>1211</v>
      </c>
      <c r="F1384" s="119" t="n">
        <v>3084.982</v>
      </c>
      <c r="G1384" s="120" t="n">
        <v>20</v>
      </c>
      <c r="H1384" s="117" t="inlineStr">
        <is>
          <t>SPA TECHNO CAST</t>
        </is>
      </c>
      <c r="I1384" s="117" t="inlineStr">
        <is>
          <t>CORNIERES</t>
        </is>
      </c>
      <c r="J1384" s="117" t="inlineStr">
        <is>
          <t>CORNIERES</t>
        </is>
      </c>
      <c r="K1384" s="48">
        <f>D1384+8</f>
        <v/>
      </c>
      <c r="L1384" s="48">
        <f>K1384+60</f>
        <v/>
      </c>
      <c r="N1384" s="72">
        <f>E1384</f>
        <v/>
      </c>
      <c r="O1384" s="50">
        <f>F1384/E1384*N1384</f>
        <v/>
      </c>
      <c r="P1384" s="273">
        <f>G1384/E1384*N1384</f>
        <v/>
      </c>
      <c r="S1384" s="200" t="inlineStr">
        <is>
          <t>106269TJ211212232</t>
        </is>
      </c>
      <c r="T1384" s="201" t="n">
        <v>37</v>
      </c>
      <c r="U1384" s="58" t="inlineStr">
        <is>
          <t>1211 HOT LAMINATED ANGLE BARS</t>
        </is>
      </c>
      <c r="V1384" s="67" t="n"/>
      <c r="W1384" s="67" t="n"/>
      <c r="X1384" s="62" t="inlineStr">
        <is>
          <t>N-OP</t>
        </is>
      </c>
      <c r="Y1384" s="116">
        <f>F1384/E1384</f>
        <v/>
      </c>
      <c r="Z1384" s="64">
        <f>E1384-N1384</f>
        <v/>
      </c>
    </row>
    <row r="1385" ht="15.75" customHeight="1" s="202">
      <c r="A1385" s="116" t="n">
        <v>20260087</v>
      </c>
      <c r="B1385" s="117" t="inlineStr">
        <is>
          <t>MARIA F</t>
        </is>
      </c>
      <c r="C1385" s="118" t="n">
        <v>46094</v>
      </c>
      <c r="E1385" s="116" t="n">
        <v>89</v>
      </c>
      <c r="F1385" s="119" t="n">
        <v>476.145</v>
      </c>
      <c r="G1385" s="120" t="n">
        <v>57.85</v>
      </c>
      <c r="H1385" s="117" t="inlineStr">
        <is>
          <t>SARL ALPHA NEW PLAS</t>
        </is>
      </c>
      <c r="I1385" s="117" t="inlineStr">
        <is>
          <t>BOBINES</t>
        </is>
      </c>
      <c r="J1385" s="117" t="inlineStr">
        <is>
          <t>BOBINES</t>
        </is>
      </c>
      <c r="K1385" s="48">
        <f>D1385+8</f>
        <v/>
      </c>
      <c r="L1385" s="48">
        <f>K1385+60</f>
        <v/>
      </c>
      <c r="N1385" s="215">
        <f>E1385</f>
        <v/>
      </c>
      <c r="S1385" s="200" t="inlineStr">
        <is>
          <t>106269TJ213214</t>
        </is>
      </c>
      <c r="T1385" s="201" t="n">
        <v>38</v>
      </c>
      <c r="U1385" s="58" t="inlineStr">
        <is>
          <t>89 PLATED TINNED FOR COILS STEEL</t>
        </is>
      </c>
      <c r="V1385" s="67" t="n"/>
      <c r="W1385" s="67" t="n"/>
      <c r="X1385" s="62" t="inlineStr">
        <is>
          <t>N-OP</t>
        </is>
      </c>
      <c r="Y1385" s="116">
        <f>F1385/E1385</f>
        <v/>
      </c>
      <c r="Z1385" s="64">
        <f>E1385-N1385</f>
        <v/>
      </c>
    </row>
    <row r="1386" ht="15.75" customHeight="1" s="202">
      <c r="A1386" s="116" t="n">
        <v>20260087</v>
      </c>
      <c r="B1386" s="117" t="inlineStr">
        <is>
          <t>MARIA F</t>
        </is>
      </c>
      <c r="C1386" s="118" t="n">
        <v>46094</v>
      </c>
      <c r="E1386" s="116" t="n">
        <v>106</v>
      </c>
      <c r="F1386" s="119" t="n">
        <v>483.015</v>
      </c>
      <c r="G1386" s="120" t="n">
        <v>68.90000000000001</v>
      </c>
      <c r="H1386" s="117" t="inlineStr">
        <is>
          <t>SARL ALPHA NEW PLAS</t>
        </is>
      </c>
      <c r="I1386" s="117" t="inlineStr">
        <is>
          <t>BOBINES</t>
        </is>
      </c>
      <c r="J1386" s="117" t="inlineStr">
        <is>
          <t>BOBINES</t>
        </is>
      </c>
      <c r="K1386" s="48">
        <f>D1386+8</f>
        <v/>
      </c>
      <c r="L1386" s="48">
        <f>K1386+60</f>
        <v/>
      </c>
      <c r="N1386" s="215">
        <f>E1386</f>
        <v/>
      </c>
      <c r="S1386" s="200" t="inlineStr">
        <is>
          <t>106269TJ215216</t>
        </is>
      </c>
      <c r="T1386" s="201" t="n">
        <v>39</v>
      </c>
      <c r="U1386" s="58" t="inlineStr">
        <is>
          <t>106 PLATED TINNED FOR COILS STEEL</t>
        </is>
      </c>
      <c r="V1386" s="67" t="n"/>
      <c r="W1386" s="67" t="n"/>
      <c r="X1386" s="62" t="inlineStr">
        <is>
          <t>N-OP</t>
        </is>
      </c>
      <c r="Y1386" s="116">
        <f>F1386/E1386</f>
        <v/>
      </c>
      <c r="Z1386" s="64">
        <f>E1386-N1386</f>
        <v/>
      </c>
    </row>
    <row r="1387" ht="15.75" customHeight="1" s="202">
      <c r="A1387" s="116" t="n">
        <v>20260087</v>
      </c>
      <c r="B1387" s="117" t="inlineStr">
        <is>
          <t>MARIA F</t>
        </is>
      </c>
      <c r="C1387" s="118" t="n">
        <v>46094</v>
      </c>
      <c r="E1387" s="116" t="n">
        <v>64</v>
      </c>
      <c r="F1387" s="119" t="n">
        <v>276.618</v>
      </c>
      <c r="G1387" s="120" t="n">
        <v>41.6</v>
      </c>
      <c r="H1387" s="117" t="inlineStr">
        <is>
          <t>SARL ALPHA NEW PLAS</t>
        </is>
      </c>
      <c r="I1387" s="117" t="inlineStr">
        <is>
          <t>BOBINES</t>
        </is>
      </c>
      <c r="J1387" s="117" t="inlineStr">
        <is>
          <t>BOBINES</t>
        </is>
      </c>
      <c r="K1387" s="48">
        <f>D1387+8</f>
        <v/>
      </c>
      <c r="L1387" s="48">
        <f>K1387+60</f>
        <v/>
      </c>
      <c r="N1387" s="215">
        <f>E1387</f>
        <v/>
      </c>
      <c r="S1387" s="200" t="inlineStr">
        <is>
          <t>106269TJ217</t>
        </is>
      </c>
      <c r="T1387" s="201" t="n">
        <v>40</v>
      </c>
      <c r="U1387" s="58" t="inlineStr">
        <is>
          <t>64 PRE-PAINTED STEEL IN COILS</t>
        </is>
      </c>
      <c r="V1387" s="67" t="n"/>
      <c r="W1387" s="67" t="n"/>
      <c r="X1387" s="62" t="inlineStr">
        <is>
          <t>N-OP</t>
        </is>
      </c>
      <c r="Y1387" s="116">
        <f>F1387/E1387</f>
        <v/>
      </c>
      <c r="Z1387" s="64">
        <f>E1387-N1387</f>
        <v/>
      </c>
    </row>
    <row r="1388" ht="15.75" customHeight="1" s="202">
      <c r="A1388" s="116" t="n">
        <v>20260087</v>
      </c>
      <c r="B1388" s="117" t="inlineStr">
        <is>
          <t>MARIA F</t>
        </is>
      </c>
      <c r="C1388" s="118" t="n">
        <v>46094</v>
      </c>
      <c r="E1388" s="116" t="n">
        <v>79</v>
      </c>
      <c r="F1388" s="119" t="n">
        <v>671.285</v>
      </c>
      <c r="G1388" s="120" t="n">
        <v>51.35</v>
      </c>
      <c r="H1388" s="117" t="inlineStr">
        <is>
          <t>SARL ALPHA NEW PLAS</t>
        </is>
      </c>
      <c r="I1388" s="117" t="inlineStr">
        <is>
          <t>BOBINES</t>
        </is>
      </c>
      <c r="J1388" s="117" t="inlineStr">
        <is>
          <t>BOBINES</t>
        </is>
      </c>
      <c r="K1388" s="48">
        <f>D1388+8</f>
        <v/>
      </c>
      <c r="L1388" s="48">
        <f>K1388+60</f>
        <v/>
      </c>
      <c r="N1388" s="215">
        <f>E1388</f>
        <v/>
      </c>
      <c r="S1388" s="200" t="inlineStr">
        <is>
          <t>106269TJ219221</t>
        </is>
      </c>
      <c r="T1388" s="201" t="n">
        <v>41</v>
      </c>
      <c r="U1388" s="58" t="inlineStr">
        <is>
          <t>79 COLD ROLLED STEEL IN COILS</t>
        </is>
      </c>
      <c r="V1388" s="67" t="n"/>
      <c r="W1388" s="67" t="n"/>
      <c r="X1388" s="62" t="inlineStr">
        <is>
          <t>N-OP</t>
        </is>
      </c>
      <c r="Y1388" s="116">
        <f>F1388/E1388</f>
        <v/>
      </c>
      <c r="Z1388" s="64">
        <f>E1388-N1388</f>
        <v/>
      </c>
    </row>
    <row r="1389" ht="15.75" customHeight="1" s="202">
      <c r="A1389" s="116" t="n">
        <v>20260087</v>
      </c>
      <c r="B1389" s="117" t="inlineStr">
        <is>
          <t>MARIA F</t>
        </is>
      </c>
      <c r="C1389" s="118" t="n">
        <v>46094</v>
      </c>
      <c r="E1389" s="116" t="n">
        <v>72</v>
      </c>
      <c r="F1389" s="119" t="n">
        <v>395.38</v>
      </c>
      <c r="G1389" s="120" t="n">
        <v>46.8</v>
      </c>
      <c r="H1389" s="117" t="inlineStr">
        <is>
          <t>SARL ALPHA NEW PLAS</t>
        </is>
      </c>
      <c r="I1389" s="117" t="inlineStr">
        <is>
          <t>BOBINES</t>
        </is>
      </c>
      <c r="J1389" s="117" t="inlineStr">
        <is>
          <t>BOBINES</t>
        </is>
      </c>
      <c r="K1389" s="48">
        <f>D1389+8</f>
        <v/>
      </c>
      <c r="L1389" s="48">
        <f>K1389+60</f>
        <v/>
      </c>
      <c r="N1389" s="215">
        <f>E1389</f>
        <v/>
      </c>
      <c r="S1389" s="200" t="inlineStr">
        <is>
          <t>106269TJ222223</t>
        </is>
      </c>
      <c r="T1389" s="201" t="n">
        <v>42</v>
      </c>
      <c r="U1389" s="58" t="inlineStr">
        <is>
          <t>72 PLATED TINNED FOR COILS STEEL</t>
        </is>
      </c>
      <c r="V1389" s="67" t="n"/>
      <c r="W1389" s="67" t="n"/>
      <c r="X1389" s="62" t="inlineStr">
        <is>
          <t>N-OP</t>
        </is>
      </c>
      <c r="Y1389" s="116">
        <f>F1389/E1389</f>
        <v/>
      </c>
      <c r="Z1389" s="64">
        <f>E1389-N1389</f>
        <v/>
      </c>
    </row>
    <row r="1390" ht="15.75" customHeight="1" s="202">
      <c r="A1390" s="116" t="n">
        <v>20260087</v>
      </c>
      <c r="B1390" s="117" t="inlineStr">
        <is>
          <t>MARIA F</t>
        </is>
      </c>
      <c r="C1390" s="118" t="n">
        <v>46094</v>
      </c>
      <c r="E1390" s="116" t="n">
        <v>75</v>
      </c>
      <c r="F1390" s="119" t="n">
        <v>439.345</v>
      </c>
      <c r="G1390" s="120" t="n">
        <v>48.75</v>
      </c>
      <c r="H1390" s="117" t="inlineStr">
        <is>
          <t>SARL ALPHA NEW PLAS</t>
        </is>
      </c>
      <c r="I1390" s="117" t="inlineStr">
        <is>
          <t>BOBINES</t>
        </is>
      </c>
      <c r="J1390" s="117" t="inlineStr">
        <is>
          <t>BOBINES</t>
        </is>
      </c>
      <c r="K1390" s="48">
        <f>D1390+8</f>
        <v/>
      </c>
      <c r="L1390" s="48">
        <f>K1390+60</f>
        <v/>
      </c>
      <c r="N1390" s="215">
        <f>E1390</f>
        <v/>
      </c>
      <c r="S1390" s="200" t="inlineStr">
        <is>
          <t>106269TJ224225</t>
        </is>
      </c>
      <c r="T1390" s="201" t="n">
        <v>43</v>
      </c>
      <c r="U1390" s="58" t="inlineStr">
        <is>
          <t>75 PLATED TINNED FOR COILS STEEL</t>
        </is>
      </c>
      <c r="V1390" s="67" t="n"/>
      <c r="W1390" s="67" t="n"/>
      <c r="X1390" s="62" t="inlineStr">
        <is>
          <t>N-OP</t>
        </is>
      </c>
      <c r="Y1390" s="116">
        <f>F1390/E1390</f>
        <v/>
      </c>
      <c r="Z1390" s="64">
        <f>E1390-N1390</f>
        <v/>
      </c>
    </row>
    <row r="1391" ht="15.75" customHeight="1" s="202">
      <c r="A1391" s="116" t="n">
        <v>20260087</v>
      </c>
      <c r="B1391" s="117" t="inlineStr">
        <is>
          <t>MARIA F</t>
        </is>
      </c>
      <c r="C1391" s="118" t="n">
        <v>46094</v>
      </c>
      <c r="E1391" s="116" t="n">
        <v>112</v>
      </c>
      <c r="F1391" s="119" t="n">
        <v>1101.7</v>
      </c>
      <c r="G1391" s="120" t="n">
        <v>72.8</v>
      </c>
      <c r="H1391" s="117" t="inlineStr">
        <is>
          <t>SARL ALPHA NEW PLAS</t>
        </is>
      </c>
      <c r="I1391" s="117" t="inlineStr">
        <is>
          <t>BOBINES</t>
        </is>
      </c>
      <c r="J1391" s="117" t="inlineStr">
        <is>
          <t>BOBINES</t>
        </is>
      </c>
      <c r="K1391" s="48">
        <f>D1391+8</f>
        <v/>
      </c>
      <c r="L1391" s="48">
        <f>K1391+60</f>
        <v/>
      </c>
      <c r="N1391" s="215">
        <f>E1391</f>
        <v/>
      </c>
      <c r="S1391" s="200" t="inlineStr">
        <is>
          <t>106269TJ226230</t>
        </is>
      </c>
      <c r="T1391" s="201" t="n">
        <v>44</v>
      </c>
      <c r="U1391" s="58" t="inlineStr">
        <is>
          <t>112 HOT ROLLED STEEL IN COILS</t>
        </is>
      </c>
      <c r="V1391" s="67" t="n"/>
      <c r="W1391" s="67" t="n"/>
      <c r="X1391" s="62" t="inlineStr">
        <is>
          <t>N-OP</t>
        </is>
      </c>
      <c r="Y1391" s="116">
        <f>F1391/E1391</f>
        <v/>
      </c>
      <c r="Z1391" s="64">
        <f>E1391-N1391</f>
        <v/>
      </c>
    </row>
    <row r="1392" ht="15.75" customHeight="1" s="202">
      <c r="A1392" s="87" t="n">
        <v>20260093</v>
      </c>
      <c r="B1392" s="88" t="inlineStr">
        <is>
          <t>ER NAZIRE</t>
        </is>
      </c>
      <c r="C1392" s="89" t="n">
        <v>46098</v>
      </c>
      <c r="E1392" s="116" t="n">
        <v>82</v>
      </c>
      <c r="F1392" s="119" t="n">
        <v>759.3099999999999</v>
      </c>
      <c r="G1392" s="120" t="n">
        <v>52.48</v>
      </c>
      <c r="H1392" s="117" t="inlineStr">
        <is>
          <t>SARL METAL DELEST</t>
        </is>
      </c>
      <c r="I1392" s="117" t="inlineStr">
        <is>
          <t>BOBINES</t>
        </is>
      </c>
      <c r="J1392" s="117" t="inlineStr">
        <is>
          <t>BOBINES</t>
        </is>
      </c>
      <c r="K1392" s="48">
        <f>D1392+8</f>
        <v/>
      </c>
      <c r="L1392" s="48">
        <f>K1392+60</f>
        <v/>
      </c>
      <c r="N1392" s="215">
        <f>E1392</f>
        <v/>
      </c>
      <c r="S1392" s="200" t="inlineStr">
        <is>
          <t>EN26041HDJD001</t>
        </is>
      </c>
      <c r="T1392" s="201" t="n">
        <v>1</v>
      </c>
      <c r="U1392" s="58" t="inlineStr">
        <is>
          <t>PRIME HOT ROLLED COILS</t>
        </is>
      </c>
      <c r="V1392" s="67" t="n"/>
      <c r="W1392" s="67" t="n"/>
      <c r="X1392" s="62" t="inlineStr">
        <is>
          <t>N-OP</t>
        </is>
      </c>
      <c r="Y1392" s="116">
        <f>F1392/E1392</f>
        <v/>
      </c>
      <c r="Z1392" s="64">
        <f>E1392-N1392</f>
        <v/>
      </c>
    </row>
    <row r="1393" ht="15.75" customHeight="1" s="202">
      <c r="A1393" s="116" t="n">
        <v>20260093</v>
      </c>
      <c r="B1393" s="117" t="inlineStr">
        <is>
          <t>ER NAZIRE</t>
        </is>
      </c>
      <c r="C1393" s="118" t="n">
        <v>46098</v>
      </c>
      <c r="E1393" s="116" t="n">
        <v>1065</v>
      </c>
      <c r="F1393" s="119" t="n">
        <v>10741.44</v>
      </c>
      <c r="G1393" s="120" t="n">
        <v>681.6</v>
      </c>
      <c r="H1393" s="117" t="inlineStr">
        <is>
          <t>SARL EXTRA METAL</t>
        </is>
      </c>
      <c r="I1393" s="117" t="inlineStr">
        <is>
          <t>BOBINES</t>
        </is>
      </c>
      <c r="J1393" s="117" t="inlineStr">
        <is>
          <t>BOBINES</t>
        </is>
      </c>
      <c r="K1393" s="48">
        <f>D1393+8</f>
        <v/>
      </c>
      <c r="L1393" s="48">
        <f>K1393+60</f>
        <v/>
      </c>
      <c r="N1393" s="215">
        <f>E1393</f>
        <v/>
      </c>
      <c r="S1393" s="200" t="inlineStr">
        <is>
          <t>EN26041HDJD006-008</t>
        </is>
      </c>
      <c r="T1393" s="201" t="n">
        <v>2</v>
      </c>
      <c r="U1393" s="58" t="inlineStr">
        <is>
          <t>PRIME HOT ROLLED STEEL COILS</t>
        </is>
      </c>
      <c r="V1393" s="67" t="n"/>
      <c r="W1393" s="67" t="n"/>
      <c r="X1393" s="62" t="inlineStr">
        <is>
          <t>N-OP</t>
        </is>
      </c>
      <c r="Y1393" s="116">
        <f>F1393/E1393</f>
        <v/>
      </c>
      <c r="Z1393" s="64">
        <f>E1393-N1393</f>
        <v/>
      </c>
    </row>
    <row r="1394" ht="15.75" customHeight="1" s="202">
      <c r="A1394" s="116" t="n">
        <v>20260093</v>
      </c>
      <c r="B1394" s="117" t="inlineStr">
        <is>
          <t>ER NAZIRE</t>
        </is>
      </c>
      <c r="C1394" s="118" t="n">
        <v>46098</v>
      </c>
      <c r="E1394" s="116" t="n">
        <v>831</v>
      </c>
      <c r="F1394" s="119" t="n">
        <v>6768.705</v>
      </c>
      <c r="G1394" s="120" t="n">
        <v>531.84</v>
      </c>
      <c r="H1394" s="117" t="inlineStr">
        <is>
          <t>PRIME HOT ROLLED STEEL COILS</t>
        </is>
      </c>
      <c r="I1394" s="117" t="inlineStr">
        <is>
          <t>BOBINES</t>
        </is>
      </c>
      <c r="J1394" s="117" t="inlineStr">
        <is>
          <t>BOBINES</t>
        </is>
      </c>
      <c r="K1394" s="48">
        <f>D1394+8</f>
        <v/>
      </c>
      <c r="L1394" s="48">
        <f>K1394+60</f>
        <v/>
      </c>
      <c r="N1394" s="215">
        <f>E1394</f>
        <v/>
      </c>
      <c r="S1394" s="200" t="inlineStr">
        <is>
          <t>EN26041HDJD009</t>
        </is>
      </c>
      <c r="T1394" s="201" t="n">
        <v>3</v>
      </c>
      <c r="U1394" s="58" t="inlineStr">
        <is>
          <t>PRIME HOT ROLLED STEEL COILS</t>
        </is>
      </c>
      <c r="V1394" s="67" t="n"/>
      <c r="W1394" s="67" t="n"/>
      <c r="X1394" s="62" t="inlineStr">
        <is>
          <t>N-OP</t>
        </is>
      </c>
      <c r="Y1394" s="116">
        <f>F1394/E1394</f>
        <v/>
      </c>
      <c r="Z1394" s="64">
        <f>E1394-N1394</f>
        <v/>
      </c>
    </row>
    <row r="1395" ht="15.75" customHeight="1" s="202">
      <c r="A1395" s="116" t="n">
        <v>20260093</v>
      </c>
      <c r="B1395" s="117" t="inlineStr">
        <is>
          <t>ER NAZIRE</t>
        </is>
      </c>
      <c r="C1395" s="118" t="n">
        <v>46098</v>
      </c>
      <c r="E1395" s="116" t="n">
        <v>161</v>
      </c>
      <c r="F1395" s="119" t="n">
        <v>1479.04</v>
      </c>
      <c r="G1395" s="120" t="n">
        <v>103.04</v>
      </c>
      <c r="H1395" s="117" t="inlineStr">
        <is>
          <t>SARL SPL METAL</t>
        </is>
      </c>
      <c r="I1395" s="117" t="inlineStr">
        <is>
          <t>BOBINES</t>
        </is>
      </c>
      <c r="J1395" s="117" t="inlineStr">
        <is>
          <t>BOBINES</t>
        </is>
      </c>
      <c r="K1395" s="48">
        <f>D1395+8</f>
        <v/>
      </c>
      <c r="L1395" s="48">
        <f>K1395+60</f>
        <v/>
      </c>
      <c r="N1395" s="215">
        <f>E1395</f>
        <v/>
      </c>
      <c r="S1395" s="200" t="inlineStr">
        <is>
          <t>EN26041HDJD012</t>
        </is>
      </c>
      <c r="T1395" s="201" t="n">
        <v>4</v>
      </c>
      <c r="U1395" s="58" t="inlineStr">
        <is>
          <t>PRIME HOT ROLLED STEEL COILS</t>
        </is>
      </c>
      <c r="V1395" s="67" t="n"/>
      <c r="W1395" s="67" t="n"/>
      <c r="X1395" s="62" t="inlineStr">
        <is>
          <t>N-OP</t>
        </is>
      </c>
      <c r="Y1395" s="116">
        <f>F1395/E1395</f>
        <v/>
      </c>
      <c r="Z1395" s="64">
        <f>E1395-N1395</f>
        <v/>
      </c>
    </row>
    <row r="1396" ht="15.75" customHeight="1" s="202">
      <c r="A1396" s="116" t="n">
        <v>20260093</v>
      </c>
      <c r="B1396" s="117" t="inlineStr">
        <is>
          <t>ER NAZIRE</t>
        </is>
      </c>
      <c r="C1396" s="118" t="n">
        <v>46098</v>
      </c>
      <c r="E1396" s="116" t="n">
        <v>159</v>
      </c>
      <c r="F1396" s="119" t="n">
        <v>1481.4</v>
      </c>
      <c r="G1396" s="120" t="n">
        <v>101.76</v>
      </c>
      <c r="H1396" s="117" t="inlineStr">
        <is>
          <t>SPA PROTUIL</t>
        </is>
      </c>
      <c r="I1396" s="117" t="inlineStr">
        <is>
          <t>BOBINES</t>
        </is>
      </c>
      <c r="J1396" s="117" t="inlineStr">
        <is>
          <t>BOBINES</t>
        </is>
      </c>
      <c r="K1396" s="48">
        <f>D1396+8</f>
        <v/>
      </c>
      <c r="L1396" s="48">
        <f>K1396+60</f>
        <v/>
      </c>
      <c r="N1396" s="215">
        <f>E1396</f>
        <v/>
      </c>
      <c r="S1396" s="200" t="inlineStr">
        <is>
          <t>EN26041HDJD013</t>
        </is>
      </c>
      <c r="T1396" s="201" t="n">
        <v>5</v>
      </c>
      <c r="U1396" s="58" t="inlineStr">
        <is>
          <t>PRIME HOT ROLLED STEEL COILS</t>
        </is>
      </c>
      <c r="V1396" s="67" t="n"/>
      <c r="W1396" s="67" t="n"/>
      <c r="X1396" s="62" t="inlineStr">
        <is>
          <t>N-OP</t>
        </is>
      </c>
      <c r="Y1396" s="116">
        <f>F1396/E1396</f>
        <v/>
      </c>
      <c r="Z1396" s="64">
        <f>E1396-N1396</f>
        <v/>
      </c>
    </row>
    <row r="1397" ht="15.75" customHeight="1" s="202">
      <c r="A1397" s="116" t="n">
        <v>20260093</v>
      </c>
      <c r="B1397" s="117" t="inlineStr">
        <is>
          <t>ER NAZIRE</t>
        </is>
      </c>
      <c r="C1397" s="118" t="n">
        <v>46098</v>
      </c>
      <c r="E1397" s="116" t="n">
        <v>675</v>
      </c>
      <c r="F1397" s="119" t="n">
        <v>499.64</v>
      </c>
      <c r="G1397" s="120" t="n">
        <v>432</v>
      </c>
      <c r="H1397" s="117" t="inlineStr">
        <is>
          <t>NATRA INTERNATIONAL SPA ROUTE DE</t>
        </is>
      </c>
      <c r="I1397" s="117" t="inlineStr">
        <is>
          <t>BOBINES</t>
        </is>
      </c>
      <c r="J1397" s="117" t="inlineStr">
        <is>
          <t>BOBINES</t>
        </is>
      </c>
      <c r="K1397" s="48">
        <f>D1397+8</f>
        <v/>
      </c>
      <c r="L1397" s="48">
        <f>K1397+60</f>
        <v/>
      </c>
      <c r="N1397" s="215">
        <f>E1397</f>
        <v/>
      </c>
      <c r="S1397" s="200" t="inlineStr">
        <is>
          <t>EN26041ZDJD041/50</t>
        </is>
      </c>
      <c r="T1397" s="201" t="n">
        <v>37</v>
      </c>
      <c r="U1397" s="58" t="inlineStr">
        <is>
          <t>PRIME HOT ROLLED STEEL H-BEAMS</t>
        </is>
      </c>
      <c r="V1397" s="67" t="n"/>
      <c r="W1397" s="67" t="n"/>
      <c r="X1397" s="62" t="inlineStr">
        <is>
          <t>N-OP</t>
        </is>
      </c>
      <c r="Y1397" s="116">
        <f>F1397/E1397</f>
        <v/>
      </c>
      <c r="Z1397" s="64">
        <f>E1397-N1397</f>
        <v/>
      </c>
    </row>
    <row r="1398" ht="15.75" customHeight="1" s="202">
      <c r="A1398" s="116" t="n">
        <v>20260093</v>
      </c>
      <c r="B1398" s="117" t="inlineStr">
        <is>
          <t>ER NAZIRE</t>
        </is>
      </c>
      <c r="C1398" s="118" t="n">
        <v>46098</v>
      </c>
      <c r="E1398" s="116" t="n">
        <v>8026</v>
      </c>
      <c r="F1398" s="119" t="n">
        <v>2881.124</v>
      </c>
      <c r="H1398" s="117" t="inlineStr">
        <is>
          <t>SARL BILBAO</t>
        </is>
      </c>
      <c r="I1398" s="117" t="inlineStr">
        <is>
          <t>POUTRELLES</t>
        </is>
      </c>
      <c r="J1398" s="117" t="inlineStr">
        <is>
          <t>POUTRELLES</t>
        </is>
      </c>
      <c r="K1398" s="48">
        <f>D1398+8</f>
        <v/>
      </c>
      <c r="L1398" s="48">
        <f>K1398+60</f>
        <v/>
      </c>
      <c r="N1398" s="215">
        <f>E1398</f>
        <v/>
      </c>
      <c r="S1398" s="200" t="inlineStr">
        <is>
          <t>EN26041ZDJD043-45/51</t>
        </is>
      </c>
      <c r="T1398" s="201" t="n">
        <v>38</v>
      </c>
      <c r="U1398" s="58" t="inlineStr">
        <is>
          <t>PRIME NEWLY HOT ROLLED STEEL CHANNEL /PRIME HOT ROLLED STEEL H-BEAMS</t>
        </is>
      </c>
      <c r="V1398" s="67" t="n"/>
      <c r="W1398" s="67" t="n"/>
      <c r="X1398" s="62" t="inlineStr">
        <is>
          <t>N-OP</t>
        </is>
      </c>
      <c r="Y1398" s="116">
        <f>F1398/E1398</f>
        <v/>
      </c>
      <c r="Z1398" s="64">
        <f>E1398-N1398</f>
        <v/>
      </c>
    </row>
    <row r="1399" ht="15.75" customHeight="1" s="202">
      <c r="A1399" s="116" t="n">
        <v>20260093</v>
      </c>
      <c r="B1399" s="117" t="inlineStr">
        <is>
          <t>ER NAZIRE</t>
        </is>
      </c>
      <c r="C1399" s="118" t="n">
        <v>46098</v>
      </c>
      <c r="E1399" s="116" t="n">
        <v>2120</v>
      </c>
      <c r="F1399" s="119" t="n">
        <v>1495.08</v>
      </c>
      <c r="H1399" s="117" t="inlineStr">
        <is>
          <t>STEELOR IMPORT EXPORT SARL</t>
        </is>
      </c>
      <c r="I1399" s="117" t="inlineStr">
        <is>
          <t>POUTRELLES</t>
        </is>
      </c>
      <c r="J1399" s="117" t="inlineStr">
        <is>
          <t>POUTRELLES</t>
        </is>
      </c>
      <c r="K1399" s="48">
        <f>D1399+8</f>
        <v/>
      </c>
      <c r="L1399" s="48">
        <f>K1399+60</f>
        <v/>
      </c>
      <c r="N1399" s="215">
        <f>E1399</f>
        <v/>
      </c>
      <c r="S1399" s="200" t="inlineStr">
        <is>
          <t>EN26041ZDJD046</t>
        </is>
      </c>
      <c r="T1399" s="201" t="n">
        <v>39</v>
      </c>
      <c r="U1399" s="58" t="inlineStr">
        <is>
          <t>PRIME HOT ROLLED STEEL H-BEAMS</t>
        </is>
      </c>
      <c r="V1399" s="67" t="n"/>
      <c r="W1399" s="67" t="n"/>
      <c r="X1399" s="62" t="inlineStr">
        <is>
          <t>N-OP</t>
        </is>
      </c>
      <c r="Y1399" s="116">
        <f>F1399/E1399</f>
        <v/>
      </c>
      <c r="Z1399" s="64">
        <f>E1399-N1399</f>
        <v/>
      </c>
    </row>
    <row r="1400" ht="15.75" customHeight="1" s="202">
      <c r="A1400" s="116" t="n">
        <v>20260093</v>
      </c>
      <c r="B1400" s="117" t="inlineStr">
        <is>
          <t>ER NAZIRE</t>
        </is>
      </c>
      <c r="C1400" s="118" t="n">
        <v>46098</v>
      </c>
      <c r="E1400" s="116" t="n">
        <v>10949</v>
      </c>
      <c r="F1400" s="119" t="n">
        <v>4841.572</v>
      </c>
      <c r="H1400" s="117" t="inlineStr">
        <is>
          <t>SARL STEEL METAL</t>
        </is>
      </c>
      <c r="I1400" s="117" t="inlineStr">
        <is>
          <t>POUTRELLES</t>
        </is>
      </c>
      <c r="J1400" s="117" t="inlineStr">
        <is>
          <t>POUTRELLES</t>
        </is>
      </c>
      <c r="K1400" s="48">
        <f>D1400+8</f>
        <v/>
      </c>
      <c r="L1400" s="48">
        <f>K1400+60</f>
        <v/>
      </c>
      <c r="N1400" s="215">
        <f>E1400</f>
        <v/>
      </c>
      <c r="S1400" s="200" t="inlineStr">
        <is>
          <t>EN26041ZDJD048</t>
        </is>
      </c>
      <c r="T1400" s="201" t="n">
        <v>40</v>
      </c>
      <c r="U1400" s="58" t="inlineStr">
        <is>
          <t>PRIME NEWLY HOT ROLLED STEEL CHANNEL /PRIME HOT ROLLED STEEL H-BEAMS</t>
        </is>
      </c>
      <c r="V1400" s="67" t="n"/>
      <c r="W1400" s="67" t="n"/>
      <c r="X1400" s="62" t="inlineStr">
        <is>
          <t>N-OP</t>
        </is>
      </c>
      <c r="Y1400" s="116">
        <f>F1400/E1400</f>
        <v/>
      </c>
      <c r="Z1400" s="64">
        <f>E1400-N1400</f>
        <v/>
      </c>
    </row>
    <row r="1401" ht="15.75" customHeight="1" s="202">
      <c r="A1401" s="116" t="n">
        <v>20260093</v>
      </c>
      <c r="B1401" s="117" t="inlineStr">
        <is>
          <t>ER NAZIRE</t>
        </is>
      </c>
      <c r="C1401" s="118" t="n">
        <v>46098</v>
      </c>
      <c r="E1401" s="116" t="n">
        <v>57</v>
      </c>
      <c r="F1401" s="119" t="n">
        <v>408.185</v>
      </c>
      <c r="G1401" s="120" t="n">
        <v>36.48</v>
      </c>
      <c r="H1401" s="117" t="inlineStr">
        <is>
          <t>SARL BENOUATAS INDUSTRIE</t>
        </is>
      </c>
      <c r="I1401" s="117" t="inlineStr">
        <is>
          <t>BOBINES</t>
        </is>
      </c>
      <c r="J1401" s="117" t="inlineStr">
        <is>
          <t>BOBINES</t>
        </is>
      </c>
      <c r="K1401" s="48">
        <f>D1401+8</f>
        <v/>
      </c>
      <c r="L1401" s="48">
        <f>K1401+60</f>
        <v/>
      </c>
      <c r="N1401" s="215">
        <f>E1401</f>
        <v/>
      </c>
      <c r="S1401" s="200" t="inlineStr">
        <is>
          <t>EN26041ZDJD053-57</t>
        </is>
      </c>
      <c r="T1401" s="201" t="n">
        <v>41</v>
      </c>
      <c r="U1401" s="58" t="inlineStr">
        <is>
          <t>GALVANIZED STEEL STRIPS</t>
        </is>
      </c>
      <c r="V1401" s="67" t="n"/>
      <c r="W1401" s="67" t="n"/>
      <c r="X1401" s="62" t="inlineStr">
        <is>
          <t>N-OP</t>
        </is>
      </c>
      <c r="Y1401" s="116">
        <f>F1401/E1401</f>
        <v/>
      </c>
      <c r="Z1401" s="64">
        <f>E1401-N1401</f>
        <v/>
      </c>
    </row>
    <row r="1402" ht="15.75" customHeight="1" s="202">
      <c r="A1402" s="116" t="n">
        <v>20260093</v>
      </c>
      <c r="B1402" s="117" t="inlineStr">
        <is>
          <t>ER NAZIRE</t>
        </is>
      </c>
      <c r="C1402" s="118" t="n">
        <v>46098</v>
      </c>
      <c r="E1402" s="116" t="n">
        <v>200</v>
      </c>
      <c r="F1402" s="119" t="n">
        <v>2139</v>
      </c>
      <c r="G1402" s="120" t="n">
        <v>8000</v>
      </c>
      <c r="H1402" s="117" t="inlineStr">
        <is>
          <t>EPE VIUR SPA</t>
        </is>
      </c>
      <c r="I1402" s="117" t="inlineStr">
        <is>
          <t>BUS</t>
        </is>
      </c>
      <c r="J1402" s="117" t="inlineStr">
        <is>
          <t>UTILITAIRE</t>
        </is>
      </c>
      <c r="K1402" s="48">
        <f>D1402+8</f>
        <v/>
      </c>
      <c r="L1402" s="48">
        <f>K1402+60</f>
        <v/>
      </c>
      <c r="N1402" s="72">
        <f>E1402</f>
        <v/>
      </c>
      <c r="O1402" s="50">
        <f>F1402/E1402*N1402</f>
        <v/>
      </c>
      <c r="P1402" s="273">
        <f>G1402/E1402*N1402</f>
        <v/>
      </c>
      <c r="S1402" s="200" t="inlineStr">
        <is>
          <t>EN26041ZDJD001</t>
        </is>
      </c>
      <c r="T1402" s="201" t="n">
        <v>6</v>
      </c>
      <c r="U1402" s="58" t="inlineStr">
        <is>
          <t>50 UNITS HIGER AUTOBUS MODEL C-100-KLQ6106G / 30 UNITS HIGER AUTOCAR MODEL V-11-KLQ6116 / 120 UNITS HIGER AUTOCAR MODEL NEW V8-KLQ6886 ( VOIR BL )</t>
        </is>
      </c>
      <c r="V1402" s="67" t="n"/>
      <c r="W1402" s="67" t="n"/>
      <c r="X1402" s="62" t="inlineStr">
        <is>
          <t>N-OP</t>
        </is>
      </c>
      <c r="Y1402" s="116">
        <f>F1402/E1402</f>
        <v/>
      </c>
      <c r="Z1402" s="64">
        <f>E1402-N1402</f>
        <v/>
      </c>
    </row>
    <row r="1403" ht="15.75" customHeight="1" s="202">
      <c r="A1403" s="116" t="n">
        <v>20260093</v>
      </c>
      <c r="B1403" s="117" t="inlineStr">
        <is>
          <t>ER NAZIRE</t>
        </is>
      </c>
      <c r="C1403" s="118" t="n">
        <v>46098</v>
      </c>
      <c r="E1403" s="116" t="n">
        <v>47</v>
      </c>
      <c r="F1403" s="119" t="n">
        <v>2.548</v>
      </c>
      <c r="G1403" s="120" t="n">
        <v>0</v>
      </c>
      <c r="H1403" s="117" t="inlineStr">
        <is>
          <t>EPE VIUR SPA</t>
        </is>
      </c>
      <c r="I1403" s="117" t="inlineStr">
        <is>
          <t>COLIS</t>
        </is>
      </c>
      <c r="J1403" s="117" t="inlineStr">
        <is>
          <t>COLIS</t>
        </is>
      </c>
      <c r="K1403" s="48">
        <f>D1403+8</f>
        <v/>
      </c>
      <c r="L1403" s="48">
        <f>K1403+60</f>
        <v/>
      </c>
      <c r="N1403" s="72">
        <f>E1403</f>
        <v/>
      </c>
      <c r="O1403" s="50">
        <f>F1403/E1403*N1403</f>
        <v/>
      </c>
      <c r="P1403" s="273">
        <f>G1403/E1403*N1403</f>
        <v/>
      </c>
      <c r="S1403" s="200" t="inlineStr">
        <is>
          <t>EN26041ZDJD004</t>
        </is>
      </c>
      <c r="T1403" s="201" t="n">
        <v>7</v>
      </c>
      <c r="U1403" s="58" t="inlineStr">
        <is>
          <t>SPARE PARTS FOR BUS</t>
        </is>
      </c>
      <c r="V1403" s="67" t="n"/>
      <c r="W1403" s="67" t="n"/>
      <c r="X1403" s="62" t="inlineStr">
        <is>
          <t>N-OP</t>
        </is>
      </c>
      <c r="Y1403" s="116">
        <f>F1403/E1403</f>
        <v/>
      </c>
      <c r="Z1403" s="64">
        <f>E1403-N1403</f>
        <v/>
      </c>
    </row>
    <row r="1404" ht="15.75" customHeight="1" s="202">
      <c r="A1404" s="116" t="n">
        <v>20260093</v>
      </c>
      <c r="B1404" s="117" t="inlineStr">
        <is>
          <t>ER NAZIRE</t>
        </is>
      </c>
      <c r="C1404" s="118" t="n">
        <v>46098</v>
      </c>
      <c r="E1404" s="116" t="n">
        <v>1</v>
      </c>
      <c r="F1404" s="119" t="n">
        <v>1.995</v>
      </c>
      <c r="G1404" s="120" t="n">
        <v>24</v>
      </c>
      <c r="H1404" s="117" t="inlineStr">
        <is>
          <t>SARL EL MAZRAA LO</t>
        </is>
      </c>
      <c r="I1404" s="117" t="inlineStr">
        <is>
          <t>MINI BUS</t>
        </is>
      </c>
      <c r="J1404" s="117" t="inlineStr">
        <is>
          <t>UTILITAIRE</t>
        </is>
      </c>
      <c r="K1404" s="48">
        <f>D1404+8</f>
        <v/>
      </c>
      <c r="L1404" s="48">
        <f>K1404+60</f>
        <v/>
      </c>
      <c r="N1404" s="72">
        <f>E1404</f>
        <v/>
      </c>
      <c r="O1404" s="50">
        <f>F1404/E1404*N1404</f>
        <v/>
      </c>
      <c r="P1404" s="273">
        <f>G1404/E1404*N1404</f>
        <v/>
      </c>
      <c r="S1404" s="200" t="inlineStr">
        <is>
          <t>EN26041ZDJD005</t>
        </is>
      </c>
      <c r="T1404" s="201" t="n">
        <v>8</v>
      </c>
      <c r="U1404" s="58" t="inlineStr">
        <is>
          <t>1 UNIT HIGER MICRO BUS 15 SEAT VAN ( VOIR BL )</t>
        </is>
      </c>
      <c r="V1404" s="67" t="n"/>
      <c r="W1404" s="67" t="n"/>
      <c r="X1404" s="62" t="inlineStr">
        <is>
          <t>N-OP</t>
        </is>
      </c>
      <c r="Y1404" s="116">
        <f>F1404/E1404</f>
        <v/>
      </c>
      <c r="Z1404" s="64">
        <f>E1404-N1404</f>
        <v/>
      </c>
    </row>
    <row r="1405" ht="15.75" customHeight="1" s="202">
      <c r="A1405" s="116" t="n">
        <v>20260093</v>
      </c>
      <c r="B1405" s="117" t="inlineStr">
        <is>
          <t>ER NAZIRE</t>
        </is>
      </c>
      <c r="C1405" s="118" t="n">
        <v>46098</v>
      </c>
      <c r="E1405" s="116" t="n">
        <v>1</v>
      </c>
      <c r="F1405" s="119" t="n">
        <v>15</v>
      </c>
      <c r="G1405" s="120" t="n">
        <v>24</v>
      </c>
      <c r="H1405" s="117" t="inlineStr">
        <is>
          <t>ABED HAMMOU ABDELKADER</t>
        </is>
      </c>
      <c r="I1405" s="117" t="inlineStr">
        <is>
          <t>CAMIONS</t>
        </is>
      </c>
      <c r="J1405" s="117" t="inlineStr">
        <is>
          <t>LOURD</t>
        </is>
      </c>
      <c r="K1405" s="48">
        <f>D1405+8</f>
        <v/>
      </c>
      <c r="L1405" s="48">
        <f>K1405+60</f>
        <v/>
      </c>
      <c r="N1405" s="72">
        <f>E1405</f>
        <v/>
      </c>
      <c r="O1405" s="50">
        <f>F1405/E1405*N1405</f>
        <v/>
      </c>
      <c r="P1405" s="273">
        <f>G1405/E1405*N1405</f>
        <v/>
      </c>
      <c r="S1405" s="200" t="inlineStr">
        <is>
          <t>EN26041ZDJD006</t>
        </is>
      </c>
      <c r="T1405" s="201" t="n">
        <v>9</v>
      </c>
      <c r="U1405" s="58" t="inlineStr">
        <is>
          <t>01 UNIT SHACMAN F2000 6X4 DUMP TRUCK SX3255JM384 ( VOIR BL )</t>
        </is>
      </c>
      <c r="V1405" s="67" t="n"/>
      <c r="W1405" s="67" t="n"/>
      <c r="X1405" s="62" t="inlineStr">
        <is>
          <t>N-OP</t>
        </is>
      </c>
      <c r="Y1405" s="116">
        <f>F1405/E1405</f>
        <v/>
      </c>
      <c r="Z1405" s="64">
        <f>E1405-N1405</f>
        <v/>
      </c>
    </row>
    <row r="1406" ht="15.75" customHeight="1" s="202">
      <c r="A1406" s="116" t="n">
        <v>20260093</v>
      </c>
      <c r="B1406" s="117" t="inlineStr">
        <is>
          <t>ER NAZIRE</t>
        </is>
      </c>
      <c r="C1406" s="118" t="n">
        <v>46098</v>
      </c>
      <c r="E1406" s="116" t="n">
        <v>2</v>
      </c>
      <c r="F1406" s="119" t="n">
        <v>38.0666666666667</v>
      </c>
      <c r="G1406" s="120" t="n">
        <v>48</v>
      </c>
      <c r="H1406" s="117" t="inlineStr">
        <is>
          <t>SARL BELLAKEHAL GTP</t>
        </is>
      </c>
      <c r="I1406" s="117" t="inlineStr">
        <is>
          <t>COMPACTEURS</t>
        </is>
      </c>
      <c r="J1406" s="117" t="inlineStr">
        <is>
          <t>ENGINS</t>
        </is>
      </c>
      <c r="K1406" s="48">
        <f>D1406+8</f>
        <v/>
      </c>
      <c r="L1406" s="48">
        <f>K1406+60</f>
        <v/>
      </c>
      <c r="N1406" s="72">
        <f>E1406</f>
        <v/>
      </c>
      <c r="O1406" s="50">
        <f>F1406/E1406*N1406</f>
        <v/>
      </c>
      <c r="P1406" s="273">
        <f>G1406/E1406*N1406</f>
        <v/>
      </c>
      <c r="S1406" s="200" t="inlineStr">
        <is>
          <t>EN26041ZDJD007</t>
        </is>
      </c>
      <c r="T1406" s="201" t="n">
        <v>10</v>
      </c>
      <c r="U1406" s="58" t="inlineStr">
        <is>
          <t>02 UNITS XCMG XS203J ROAD ROLLER XS203J + 01 UNIT XCMG ZL50GN WHEEL LOADER ( VOIR BL )</t>
        </is>
      </c>
      <c r="V1406" s="67" t="n"/>
      <c r="W1406" s="67" t="n"/>
      <c r="X1406" s="62" t="inlineStr">
        <is>
          <t>N-OP</t>
        </is>
      </c>
      <c r="Y1406" s="116">
        <f>F1406/E1406</f>
        <v/>
      </c>
      <c r="Z1406" s="64">
        <f>E1406-N1406</f>
        <v/>
      </c>
    </row>
    <row r="1407" ht="15.75" customHeight="1" s="202">
      <c r="A1407" s="116" t="n">
        <v>20260093</v>
      </c>
      <c r="B1407" s="117" t="inlineStr">
        <is>
          <t>ER NAZIRE</t>
        </is>
      </c>
      <c r="C1407" s="118" t="n">
        <v>46098</v>
      </c>
      <c r="E1407" s="116" t="n">
        <v>1</v>
      </c>
      <c r="F1407" s="119" t="n">
        <v>19.0333333333333</v>
      </c>
      <c r="G1407" s="120" t="n">
        <v>24</v>
      </c>
      <c r="H1407" s="117" t="inlineStr">
        <is>
          <t>SARL BELLAKEHAL GTP</t>
        </is>
      </c>
      <c r="I1407" s="117" t="inlineStr">
        <is>
          <t>CHARGEURS</t>
        </is>
      </c>
      <c r="J1407" s="117" t="inlineStr">
        <is>
          <t>ENGINS</t>
        </is>
      </c>
      <c r="K1407" s="48">
        <f>D1407+8</f>
        <v/>
      </c>
      <c r="L1407" s="48">
        <f>K1407+60</f>
        <v/>
      </c>
      <c r="N1407" s="72">
        <f>E1407</f>
        <v/>
      </c>
      <c r="O1407" s="50">
        <f>F1407/E1407*N1407</f>
        <v/>
      </c>
      <c r="P1407" s="273">
        <f>G1407/E1407*N1407</f>
        <v/>
      </c>
      <c r="S1407" s="200" t="inlineStr">
        <is>
          <t>EN26041ZDJD007</t>
        </is>
      </c>
      <c r="T1407" s="201" t="n">
        <v>10</v>
      </c>
      <c r="U1407" s="58" t="n"/>
      <c r="V1407" s="67" t="n"/>
      <c r="W1407" s="67" t="n"/>
      <c r="X1407" s="62" t="inlineStr">
        <is>
          <t>N-OP</t>
        </is>
      </c>
      <c r="Y1407" s="116">
        <f>F1407/E1407</f>
        <v/>
      </c>
      <c r="Z1407" s="64">
        <f>E1407-N1407</f>
        <v/>
      </c>
    </row>
    <row r="1408" ht="15.75" customHeight="1" s="202">
      <c r="A1408" s="116" t="n">
        <v>20260093</v>
      </c>
      <c r="B1408" s="117" t="inlineStr">
        <is>
          <t>ER NAZIRE</t>
        </is>
      </c>
      <c r="C1408" s="118" t="n">
        <v>46098</v>
      </c>
      <c r="E1408" s="116" t="n">
        <v>1</v>
      </c>
      <c r="F1408" s="119" t="n">
        <v>16</v>
      </c>
      <c r="G1408" s="120" t="n">
        <v>24</v>
      </c>
      <c r="H1408" s="117" t="inlineStr">
        <is>
          <t>SARL BELLAKEHAL GTP</t>
        </is>
      </c>
      <c r="I1408" s="117" t="inlineStr">
        <is>
          <t>COMPACTEURS</t>
        </is>
      </c>
      <c r="J1408" s="117" t="inlineStr">
        <is>
          <t>ENGINS</t>
        </is>
      </c>
      <c r="K1408" s="48">
        <f>D1408+8</f>
        <v/>
      </c>
      <c r="L1408" s="48">
        <f>K1408+60</f>
        <v/>
      </c>
      <c r="N1408" s="72">
        <f>E1408</f>
        <v/>
      </c>
      <c r="O1408" s="50">
        <f>F1408/E1408*N1408</f>
        <v/>
      </c>
      <c r="P1408" s="273">
        <f>G1408/E1408*N1408</f>
        <v/>
      </c>
      <c r="S1408" s="200" t="inlineStr">
        <is>
          <t>EN26041ZDJD008</t>
        </is>
      </c>
      <c r="T1408" s="201" t="n">
        <v>11</v>
      </c>
      <c r="U1408" s="58" t="inlineStr">
        <is>
          <t>1 UNIT XCMG XP163 ROLLER ( VOIR BL )</t>
        </is>
      </c>
      <c r="V1408" s="67" t="n"/>
      <c r="W1408" s="67" t="n"/>
      <c r="X1408" s="62" t="inlineStr">
        <is>
          <t>N-OP</t>
        </is>
      </c>
      <c r="Y1408" s="116">
        <f>F1408/E1408</f>
        <v/>
      </c>
      <c r="Z1408" s="64">
        <f>E1408-N1408</f>
        <v/>
      </c>
    </row>
    <row r="1409" ht="15.75" customHeight="1" s="202">
      <c r="A1409" s="116" t="n">
        <v>20260093</v>
      </c>
      <c r="B1409" s="117" t="inlineStr">
        <is>
          <t>ER NAZIRE</t>
        </is>
      </c>
      <c r="C1409" s="118" t="n">
        <v>46098</v>
      </c>
      <c r="E1409" s="116" t="n">
        <v>1</v>
      </c>
      <c r="F1409" s="119" t="n">
        <v>15</v>
      </c>
      <c r="G1409" s="120" t="n">
        <v>24</v>
      </c>
      <c r="H1409" s="117" t="inlineStr">
        <is>
          <t>DEMANE DEBBIH SIF EDDINE</t>
        </is>
      </c>
      <c r="I1409" s="117" t="inlineStr">
        <is>
          <t>CAMIONS</t>
        </is>
      </c>
      <c r="J1409" s="117" t="inlineStr">
        <is>
          <t>LOURD</t>
        </is>
      </c>
      <c r="K1409" s="48">
        <f>D1409+8</f>
        <v/>
      </c>
      <c r="L1409" s="48">
        <f>K1409+60</f>
        <v/>
      </c>
      <c r="N1409" s="72">
        <f>E1409</f>
        <v/>
      </c>
      <c r="O1409" s="50">
        <f>F1409/E1409*N1409</f>
        <v/>
      </c>
      <c r="P1409" s="273">
        <f>G1409/E1409*N1409</f>
        <v/>
      </c>
      <c r="S1409" s="200" t="inlineStr">
        <is>
          <t>EN26041ZDJD009</t>
        </is>
      </c>
      <c r="T1409" s="201" t="n">
        <v>12</v>
      </c>
      <c r="U1409" s="58" t="inlineStr">
        <is>
          <t>1 UNIT SINOTRUK HOWO TX 6X4 TIPPER TRUCK LHD-16 CBM ZZ3257N384GB1 ( VOIR BL )</t>
        </is>
      </c>
      <c r="V1409" s="67" t="n"/>
      <c r="W1409" s="67" t="n"/>
      <c r="X1409" s="62" t="inlineStr">
        <is>
          <t>N-OP</t>
        </is>
      </c>
      <c r="Y1409" s="116">
        <f>F1409/E1409</f>
        <v/>
      </c>
      <c r="Z1409" s="64">
        <f>E1409-N1409</f>
        <v/>
      </c>
    </row>
    <row r="1410" ht="15.75" customHeight="1" s="202">
      <c r="A1410" s="116" t="n">
        <v>20260093</v>
      </c>
      <c r="B1410" s="117" t="inlineStr">
        <is>
          <t>ER NAZIRE</t>
        </is>
      </c>
      <c r="C1410" s="118" t="n">
        <v>46098</v>
      </c>
      <c r="E1410" s="116" t="n">
        <v>1</v>
      </c>
      <c r="F1410" s="119" t="n">
        <v>17.5</v>
      </c>
      <c r="G1410" s="120" t="n">
        <v>24</v>
      </c>
      <c r="H1410" s="117" t="inlineStr">
        <is>
          <t>EURL AZROU OUKHAROUV</t>
        </is>
      </c>
      <c r="I1410" s="117" t="inlineStr">
        <is>
          <t>CAMIONS</t>
        </is>
      </c>
      <c r="J1410" s="117" t="inlineStr">
        <is>
          <t>LOURD</t>
        </is>
      </c>
      <c r="K1410" s="48">
        <f>D1410+8</f>
        <v/>
      </c>
      <c r="L1410" s="48">
        <f>K1410+60</f>
        <v/>
      </c>
      <c r="N1410" s="72">
        <f>E1410</f>
        <v/>
      </c>
      <c r="O1410" s="50">
        <f>F1410/E1410*N1410</f>
        <v/>
      </c>
      <c r="P1410" s="273">
        <f>G1410/E1410*N1410</f>
        <v/>
      </c>
      <c r="S1410" s="200" t="inlineStr">
        <is>
          <t>EN26041ZDJD010</t>
        </is>
      </c>
      <c r="T1410" s="201" t="n">
        <v>13</v>
      </c>
      <c r="U1410" s="58" t="inlineStr">
        <is>
          <t>01 UNIT SINOTRUK HOWO TX 8X4 TIPPER 400HP ZZ3317V356GB1 ( VOIR BL )</t>
        </is>
      </c>
      <c r="V1410" s="67" t="n"/>
      <c r="W1410" s="67" t="n"/>
      <c r="X1410" s="62" t="inlineStr">
        <is>
          <t>N-OP</t>
        </is>
      </c>
      <c r="Y1410" s="116">
        <f>F1410/E1410</f>
        <v/>
      </c>
      <c r="Z1410" s="64">
        <f>E1410-N1410</f>
        <v/>
      </c>
    </row>
    <row r="1411" ht="15.75" customHeight="1" s="202">
      <c r="A1411" s="116" t="n">
        <v>20260093</v>
      </c>
      <c r="B1411" s="117" t="inlineStr">
        <is>
          <t>ER NAZIRE</t>
        </is>
      </c>
      <c r="C1411" s="118" t="n">
        <v>46098</v>
      </c>
      <c r="E1411" s="116" t="n">
        <v>1</v>
      </c>
      <c r="F1411" s="119" t="n">
        <v>17.1</v>
      </c>
      <c r="G1411" s="120" t="n">
        <v>24</v>
      </c>
      <c r="H1411" s="117" t="inlineStr">
        <is>
          <t>BELLAHRECHE ABDELWAHEB</t>
        </is>
      </c>
      <c r="I1411" s="117" t="inlineStr">
        <is>
          <t>CHARGEURS</t>
        </is>
      </c>
      <c r="J1411" s="117" t="inlineStr">
        <is>
          <t>ENGINS</t>
        </is>
      </c>
      <c r="K1411" s="48">
        <f>D1411+8</f>
        <v/>
      </c>
      <c r="L1411" s="48">
        <f>K1411+60</f>
        <v/>
      </c>
      <c r="N1411" s="72">
        <f>E1411</f>
        <v/>
      </c>
      <c r="O1411" s="50">
        <f>F1411/E1411*N1411</f>
        <v/>
      </c>
      <c r="P1411" s="273">
        <f>G1411/E1411*N1411</f>
        <v/>
      </c>
      <c r="S1411" s="200" t="inlineStr">
        <is>
          <t>EN26041ZDJD012</t>
        </is>
      </c>
      <c r="T1411" s="201" t="n">
        <v>14</v>
      </c>
      <c r="U1411" s="58" t="inlineStr">
        <is>
          <t>1 UNIT XCMG ZL50GN WHEEL LOADER ZL50GN ( VOIR BL )</t>
        </is>
      </c>
      <c r="V1411" s="67" t="n"/>
      <c r="W1411" s="67" t="n"/>
      <c r="X1411" s="62" t="inlineStr">
        <is>
          <t>N-OP</t>
        </is>
      </c>
      <c r="Y1411" s="116">
        <f>F1411/E1411</f>
        <v/>
      </c>
      <c r="Z1411" s="64">
        <f>E1411-N1411</f>
        <v/>
      </c>
    </row>
    <row r="1412" ht="15.75" customHeight="1" s="202">
      <c r="A1412" s="116" t="n">
        <v>20260093</v>
      </c>
      <c r="B1412" s="117" t="inlineStr">
        <is>
          <t>ER NAZIRE</t>
        </is>
      </c>
      <c r="C1412" s="118" t="n">
        <v>46098</v>
      </c>
      <c r="E1412" s="116" t="n">
        <v>1</v>
      </c>
      <c r="F1412" s="119" t="n">
        <v>13.5</v>
      </c>
      <c r="G1412" s="120" t="n">
        <v>24</v>
      </c>
      <c r="H1412" s="117" t="inlineStr">
        <is>
          <t>BENHIZIA FOUAZ</t>
        </is>
      </c>
      <c r="I1412" s="117" t="inlineStr">
        <is>
          <t>CAMIONS</t>
        </is>
      </c>
      <c r="J1412" s="117" t="inlineStr">
        <is>
          <t>LOURD</t>
        </is>
      </c>
      <c r="K1412" s="48">
        <f>D1412+8</f>
        <v/>
      </c>
      <c r="L1412" s="48">
        <f>K1412+60</f>
        <v/>
      </c>
      <c r="N1412" s="72">
        <f>E1412</f>
        <v/>
      </c>
      <c r="O1412" s="50">
        <f>F1412/E1412*N1412</f>
        <v/>
      </c>
      <c r="P1412" s="273">
        <f>G1412/E1412*N1412</f>
        <v/>
      </c>
      <c r="S1412" s="200" t="inlineStr">
        <is>
          <t>EN26041ZDJD013</t>
        </is>
      </c>
      <c r="T1412" s="201" t="n">
        <v>15</v>
      </c>
      <c r="U1412" s="58" t="inlineStr">
        <is>
          <t>01 UNIT SHACMAN F2000 6X4 CONCRETE MIXER TRUCK SX5255GJBJR334 ( VOIR BL )</t>
        </is>
      </c>
      <c r="V1412" s="67" t="n"/>
      <c r="W1412" s="67" t="n"/>
      <c r="X1412" s="62" t="inlineStr">
        <is>
          <t>N-OP</t>
        </is>
      </c>
      <c r="Y1412" s="116">
        <f>F1412/E1412</f>
        <v/>
      </c>
      <c r="Z1412" s="64">
        <f>E1412-N1412</f>
        <v/>
      </c>
    </row>
    <row r="1413" ht="15.75" customHeight="1" s="202">
      <c r="A1413" s="116" t="n">
        <v>20260093</v>
      </c>
      <c r="B1413" s="117" t="inlineStr">
        <is>
          <t>ER NAZIRE</t>
        </is>
      </c>
      <c r="C1413" s="118" t="n">
        <v>46098</v>
      </c>
      <c r="E1413" s="116" t="n">
        <v>2</v>
      </c>
      <c r="F1413" s="119" t="n">
        <v>30</v>
      </c>
      <c r="G1413" s="120" t="n">
        <v>48</v>
      </c>
      <c r="H1413" s="117" t="inlineStr">
        <is>
          <t>DJERBAA AISSA</t>
        </is>
      </c>
      <c r="I1413" s="117" t="inlineStr">
        <is>
          <t>CAMIONS</t>
        </is>
      </c>
      <c r="J1413" s="117" t="inlineStr">
        <is>
          <t>LOURD</t>
        </is>
      </c>
      <c r="K1413" s="48">
        <f>D1413+8</f>
        <v/>
      </c>
      <c r="L1413" s="48">
        <f>K1413+60</f>
        <v/>
      </c>
      <c r="N1413" s="72">
        <f>E1413</f>
        <v/>
      </c>
      <c r="O1413" s="50">
        <f>F1413/E1413*N1413</f>
        <v/>
      </c>
      <c r="P1413" s="273">
        <f>G1413/E1413*N1413</f>
        <v/>
      </c>
      <c r="S1413" s="200" t="inlineStr">
        <is>
          <t>EN26041ZDJD014</t>
        </is>
      </c>
      <c r="T1413" s="201" t="n">
        <v>16</v>
      </c>
      <c r="U1413" s="58" t="inlineStr">
        <is>
          <t>2 UNITS SHACMAN F2000 6X4 DUMP TRUCK SX3255JM384 ( VOIR BL )</t>
        </is>
      </c>
      <c r="V1413" s="67" t="n"/>
      <c r="W1413" s="67" t="n"/>
      <c r="X1413" s="62" t="inlineStr">
        <is>
          <t>N-OP</t>
        </is>
      </c>
      <c r="Y1413" s="116">
        <f>F1413/E1413</f>
        <v/>
      </c>
      <c r="Z1413" s="64">
        <f>E1413-N1413</f>
        <v/>
      </c>
    </row>
    <row r="1414" ht="15.75" customHeight="1" s="202">
      <c r="A1414" s="116" t="n">
        <v>20260093</v>
      </c>
      <c r="B1414" s="117" t="inlineStr">
        <is>
          <t>ER NAZIRE</t>
        </is>
      </c>
      <c r="C1414" s="118" t="n">
        <v>46098</v>
      </c>
      <c r="E1414" s="116" t="n">
        <v>1</v>
      </c>
      <c r="F1414" s="119" t="n">
        <v>15</v>
      </c>
      <c r="G1414" s="120" t="n">
        <v>24</v>
      </c>
      <c r="H1414" s="117" t="inlineStr">
        <is>
          <t>EURL MENA FORSENE ELRAY</t>
        </is>
      </c>
      <c r="I1414" s="117" t="inlineStr">
        <is>
          <t>CAMIONS</t>
        </is>
      </c>
      <c r="J1414" s="117" t="inlineStr">
        <is>
          <t>LOURD</t>
        </is>
      </c>
      <c r="K1414" s="48">
        <f>D1414+8</f>
        <v/>
      </c>
      <c r="L1414" s="48">
        <f>K1414+60</f>
        <v/>
      </c>
      <c r="N1414" s="72">
        <f>E1414</f>
        <v/>
      </c>
      <c r="O1414" s="50">
        <f>F1414/E1414*N1414</f>
        <v/>
      </c>
      <c r="P1414" s="273">
        <f>G1414/E1414*N1414</f>
        <v/>
      </c>
      <c r="S1414" s="200" t="inlineStr">
        <is>
          <t>EN26041ZDJD015</t>
        </is>
      </c>
      <c r="T1414" s="201" t="n">
        <v>17</v>
      </c>
      <c r="U1414" s="58" t="inlineStr">
        <is>
          <t>1 UNIT SHACMAN F2000 6X4 DUMP TRUCK SX3255JM384 ( VOIR BL )</t>
        </is>
      </c>
      <c r="V1414" s="67" t="n"/>
      <c r="W1414" s="67" t="n"/>
      <c r="X1414" s="62" t="inlineStr">
        <is>
          <t>N-OP</t>
        </is>
      </c>
      <c r="Y1414" s="116">
        <f>F1414/E1414</f>
        <v/>
      </c>
      <c r="Z1414" s="64">
        <f>E1414-N1414</f>
        <v/>
      </c>
    </row>
    <row r="1415" ht="15.75" customHeight="1" s="202">
      <c r="A1415" s="116" t="n">
        <v>20260093</v>
      </c>
      <c r="B1415" s="117" t="inlineStr">
        <is>
          <t>ER NAZIRE</t>
        </is>
      </c>
      <c r="C1415" s="118" t="n">
        <v>46098</v>
      </c>
      <c r="E1415" s="116" t="n">
        <v>1</v>
      </c>
      <c r="F1415" s="119" t="n">
        <v>15</v>
      </c>
      <c r="G1415" s="120" t="n">
        <v>24</v>
      </c>
      <c r="H1415" s="117" t="inlineStr">
        <is>
          <t>EURL LOUNIS SAF CONSTRUCTION</t>
        </is>
      </c>
      <c r="I1415" s="117" t="inlineStr">
        <is>
          <t>CAMIONS</t>
        </is>
      </c>
      <c r="J1415" s="117" t="inlineStr">
        <is>
          <t>LOURD</t>
        </is>
      </c>
      <c r="K1415" s="48">
        <f>D1415+8</f>
        <v/>
      </c>
      <c r="L1415" s="48">
        <f>K1415+60</f>
        <v/>
      </c>
      <c r="N1415" s="72">
        <f>E1415</f>
        <v/>
      </c>
      <c r="O1415" s="50">
        <f>F1415/E1415*N1415</f>
        <v/>
      </c>
      <c r="P1415" s="273">
        <f>G1415/E1415*N1415</f>
        <v/>
      </c>
      <c r="S1415" s="200" t="inlineStr">
        <is>
          <t>EN26041ZDJD016</t>
        </is>
      </c>
      <c r="T1415" s="201" t="n">
        <v>18</v>
      </c>
      <c r="U1415" s="58" t="inlineStr">
        <is>
          <t>1 UNIT SHACMAN F2000 6X4 DUMP TRUCK SX3255JM384 ( VOIR BL )</t>
        </is>
      </c>
      <c r="V1415" s="67" t="n"/>
      <c r="W1415" s="67" t="n"/>
      <c r="X1415" s="62" t="inlineStr">
        <is>
          <t>N-OP</t>
        </is>
      </c>
      <c r="Y1415" s="116">
        <f>F1415/E1415</f>
        <v/>
      </c>
      <c r="Z1415" s="64">
        <f>E1415-N1415</f>
        <v/>
      </c>
    </row>
    <row r="1416" ht="15.75" customHeight="1" s="202">
      <c r="A1416" s="116" t="n">
        <v>20260093</v>
      </c>
      <c r="B1416" s="117" t="inlineStr">
        <is>
          <t>ER NAZIRE</t>
        </is>
      </c>
      <c r="C1416" s="118" t="n">
        <v>46098</v>
      </c>
      <c r="E1416" s="116" t="n">
        <v>1</v>
      </c>
      <c r="F1416" s="119" t="n">
        <v>15</v>
      </c>
      <c r="G1416" s="120" t="n">
        <v>24</v>
      </c>
      <c r="H1416" s="117" t="inlineStr">
        <is>
          <t>EURL MISSAOUI ALLAL</t>
        </is>
      </c>
      <c r="I1416" s="117" t="inlineStr">
        <is>
          <t>CAMIONS</t>
        </is>
      </c>
      <c r="J1416" s="117" t="inlineStr">
        <is>
          <t>LOURD</t>
        </is>
      </c>
      <c r="K1416" s="48">
        <f>D1416+8</f>
        <v/>
      </c>
      <c r="L1416" s="48">
        <f>K1416+60</f>
        <v/>
      </c>
      <c r="N1416" s="72">
        <f>E1416</f>
        <v/>
      </c>
      <c r="O1416" s="50">
        <f>F1416/E1416*N1416</f>
        <v/>
      </c>
      <c r="P1416" s="273">
        <f>G1416/E1416*N1416</f>
        <v/>
      </c>
      <c r="S1416" s="200" t="inlineStr">
        <is>
          <t>EN26041ZDJD017</t>
        </is>
      </c>
      <c r="T1416" s="201" t="n">
        <v>19</v>
      </c>
      <c r="U1416" s="58" t="inlineStr">
        <is>
          <t>1 UNIT SHACMAN F2000 6X4 DUMP TRUCK SX3255JM384 ( VOIR BL )</t>
        </is>
      </c>
      <c r="V1416" s="67" t="n"/>
      <c r="W1416" s="67" t="n"/>
      <c r="X1416" s="62" t="inlineStr">
        <is>
          <t>N-OP</t>
        </is>
      </c>
      <c r="Y1416" s="116">
        <f>F1416/E1416</f>
        <v/>
      </c>
      <c r="Z1416" s="64">
        <f>E1416-N1416</f>
        <v/>
      </c>
    </row>
    <row r="1417" ht="15.75" customHeight="1" s="202">
      <c r="A1417" s="116" t="n">
        <v>20260093</v>
      </c>
      <c r="B1417" s="117" t="inlineStr">
        <is>
          <t>ER NAZIRE</t>
        </is>
      </c>
      <c r="C1417" s="118" t="n">
        <v>46098</v>
      </c>
      <c r="E1417" s="116" t="n">
        <v>1</v>
      </c>
      <c r="F1417" s="119" t="n">
        <v>15</v>
      </c>
      <c r="G1417" s="120" t="n">
        <v>24</v>
      </c>
      <c r="H1417" s="117" t="inlineStr">
        <is>
          <t>MELAB SALAH</t>
        </is>
      </c>
      <c r="I1417" s="117" t="inlineStr">
        <is>
          <t>CAMIONS</t>
        </is>
      </c>
      <c r="J1417" s="117" t="inlineStr">
        <is>
          <t>LOURD</t>
        </is>
      </c>
      <c r="K1417" s="48">
        <f>D1417+8</f>
        <v/>
      </c>
      <c r="L1417" s="48">
        <f>K1417+60</f>
        <v/>
      </c>
      <c r="N1417" s="72">
        <f>E1417</f>
        <v/>
      </c>
      <c r="O1417" s="50">
        <f>F1417/E1417*N1417</f>
        <v/>
      </c>
      <c r="P1417" s="273">
        <f>G1417/E1417*N1417</f>
        <v/>
      </c>
      <c r="S1417" s="200" t="inlineStr">
        <is>
          <t>EN26041ZDJD018</t>
        </is>
      </c>
      <c r="T1417" s="201" t="n">
        <v>20</v>
      </c>
      <c r="U1417" s="58" t="inlineStr">
        <is>
          <t>1 UNIT DUMP TRUCK 6x4 SHACMAN F2000 SX3255JM384 ( VOIR BL )</t>
        </is>
      </c>
      <c r="V1417" s="67" t="n"/>
      <c r="W1417" s="67" t="n"/>
      <c r="X1417" s="62" t="inlineStr">
        <is>
          <t>N-OP</t>
        </is>
      </c>
      <c r="Y1417" s="116">
        <f>F1417/E1417</f>
        <v/>
      </c>
      <c r="Z1417" s="64">
        <f>E1417-N1417</f>
        <v/>
      </c>
    </row>
    <row r="1418" ht="15.75" customHeight="1" s="202">
      <c r="A1418" s="116" t="n">
        <v>20260093</v>
      </c>
      <c r="B1418" s="117" t="inlineStr">
        <is>
          <t>ER NAZIRE</t>
        </is>
      </c>
      <c r="C1418" s="118" t="n">
        <v>46098</v>
      </c>
      <c r="E1418" s="116" t="n">
        <v>1</v>
      </c>
      <c r="F1418" s="119" t="n">
        <v>8.800000000000001</v>
      </c>
      <c r="G1418" s="120" t="n">
        <v>24</v>
      </c>
      <c r="H1418" s="117" t="inlineStr">
        <is>
          <t>MELAB SALAH</t>
        </is>
      </c>
      <c r="I1418" s="117" t="inlineStr">
        <is>
          <t>CAMIONS</t>
        </is>
      </c>
      <c r="J1418" s="117" t="inlineStr">
        <is>
          <t>LOURD</t>
        </is>
      </c>
      <c r="K1418" s="48">
        <f>D1418+8</f>
        <v/>
      </c>
      <c r="L1418" s="48">
        <f>K1418+60</f>
        <v/>
      </c>
      <c r="N1418" s="72">
        <f>E1418</f>
        <v/>
      </c>
      <c r="O1418" s="50">
        <f>F1418/E1418*N1418</f>
        <v/>
      </c>
      <c r="P1418" s="273">
        <f>G1418/E1418*N1418</f>
        <v/>
      </c>
      <c r="S1418" s="200" t="inlineStr">
        <is>
          <t>EN26041ZDJD019</t>
        </is>
      </c>
      <c r="T1418" s="201" t="n">
        <v>21</v>
      </c>
      <c r="U1418" s="58" t="inlineStr">
        <is>
          <t>1 UNIT SINOTRUK SITRAK 6 4 TRACTOR TRUCK ZZ4256V364HC1H ( VOIR BL )</t>
        </is>
      </c>
      <c r="V1418" s="67" t="n"/>
      <c r="W1418" s="67" t="n"/>
      <c r="X1418" s="62" t="inlineStr">
        <is>
          <t>N-OP</t>
        </is>
      </c>
      <c r="Y1418" s="116">
        <f>F1418/E1418</f>
        <v/>
      </c>
      <c r="Z1418" s="64">
        <f>E1418-N1418</f>
        <v/>
      </c>
    </row>
    <row r="1419" ht="15.75" customHeight="1" s="202">
      <c r="A1419" s="116" t="n">
        <v>20260093</v>
      </c>
      <c r="B1419" s="117" t="inlineStr">
        <is>
          <t>ER NAZIRE</t>
        </is>
      </c>
      <c r="C1419" s="118" t="n">
        <v>46098</v>
      </c>
      <c r="E1419" s="116" t="n">
        <v>1</v>
      </c>
      <c r="F1419" s="119" t="n">
        <v>15</v>
      </c>
      <c r="G1419" s="120" t="n">
        <v>24</v>
      </c>
      <c r="H1419" s="117" t="inlineStr">
        <is>
          <t>EURL DERDOUR SERVICE</t>
        </is>
      </c>
      <c r="I1419" s="117" t="inlineStr">
        <is>
          <t>CAMIONS</t>
        </is>
      </c>
      <c r="J1419" s="117" t="inlineStr">
        <is>
          <t>LOURD</t>
        </is>
      </c>
      <c r="K1419" s="48">
        <f>D1419+8</f>
        <v/>
      </c>
      <c r="L1419" s="48">
        <f>K1419+60</f>
        <v/>
      </c>
      <c r="N1419" s="72">
        <f>E1419</f>
        <v/>
      </c>
      <c r="O1419" s="50">
        <f>F1419/E1419*N1419</f>
        <v/>
      </c>
      <c r="P1419" s="273">
        <f>G1419/E1419*N1419</f>
        <v/>
      </c>
      <c r="S1419" s="200" t="inlineStr">
        <is>
          <t>EN26041ZDJD020</t>
        </is>
      </c>
      <c r="T1419" s="201" t="n">
        <v>22</v>
      </c>
      <c r="U1419" s="58" t="inlineStr">
        <is>
          <t>1 UNIT SHACMAN F2000 6X4 DUMP TRUCK SX3255JM384 ( VOIR BL )</t>
        </is>
      </c>
      <c r="V1419" s="67" t="n"/>
      <c r="W1419" s="67" t="n"/>
      <c r="X1419" s="62" t="inlineStr">
        <is>
          <t>N-OP</t>
        </is>
      </c>
      <c r="Y1419" s="116">
        <f>F1419/E1419</f>
        <v/>
      </c>
      <c r="Z1419" s="64">
        <f>E1419-N1419</f>
        <v/>
      </c>
    </row>
    <row r="1420" ht="15.75" customHeight="1" s="202">
      <c r="A1420" s="116" t="n">
        <v>20260093</v>
      </c>
      <c r="B1420" s="117" t="inlineStr">
        <is>
          <t>ER NAZIRE</t>
        </is>
      </c>
      <c r="C1420" s="118" t="n">
        <v>46098</v>
      </c>
      <c r="E1420" s="116" t="n">
        <v>1</v>
      </c>
      <c r="F1420" s="119" t="n">
        <v>8.800000000000001</v>
      </c>
      <c r="G1420" s="120" t="n">
        <v>24</v>
      </c>
      <c r="H1420" s="117" t="inlineStr">
        <is>
          <t>EURL DERDOUR SERVICE</t>
        </is>
      </c>
      <c r="I1420" s="117" t="inlineStr">
        <is>
          <t>CAMIONS</t>
        </is>
      </c>
      <c r="J1420" s="117" t="inlineStr">
        <is>
          <t>LOURD</t>
        </is>
      </c>
      <c r="K1420" s="48">
        <f>D1420+8</f>
        <v/>
      </c>
      <c r="L1420" s="48">
        <f>K1420+60</f>
        <v/>
      </c>
      <c r="N1420" s="72">
        <f>E1420</f>
        <v/>
      </c>
      <c r="O1420" s="50">
        <f>F1420/E1420*N1420</f>
        <v/>
      </c>
      <c r="P1420" s="273">
        <f>G1420/E1420*N1420</f>
        <v/>
      </c>
      <c r="S1420" s="200" t="inlineStr">
        <is>
          <t>EN26041ZDJD021</t>
        </is>
      </c>
      <c r="T1420" s="201" t="n">
        <v>23</v>
      </c>
      <c r="U1420" s="58" t="inlineStr">
        <is>
          <t>1 UNIT SINOTRUK SITRAK 6X4 TRACTOR ZZ4256V364HC1B ( VOIR BL )</t>
        </is>
      </c>
      <c r="V1420" s="67" t="n"/>
      <c r="W1420" s="67" t="n"/>
      <c r="X1420" s="62" t="inlineStr">
        <is>
          <t>N-OP</t>
        </is>
      </c>
      <c r="Y1420" s="116">
        <f>F1420/E1420</f>
        <v/>
      </c>
      <c r="Z1420" s="64">
        <f>E1420-N1420</f>
        <v/>
      </c>
    </row>
    <row r="1421" ht="15.75" customHeight="1" s="202">
      <c r="A1421" s="116" t="n">
        <v>20260093</v>
      </c>
      <c r="B1421" s="117" t="inlineStr">
        <is>
          <t>ER NAZIRE</t>
        </is>
      </c>
      <c r="C1421" s="118" t="n">
        <v>46098</v>
      </c>
      <c r="E1421" s="116" t="n">
        <v>1</v>
      </c>
      <c r="F1421" s="119" t="n">
        <v>17.4</v>
      </c>
      <c r="G1421" s="120" t="n">
        <v>24</v>
      </c>
      <c r="H1421" s="117" t="inlineStr">
        <is>
          <t>EURL DERDOUR SERVICE</t>
        </is>
      </c>
      <c r="I1421" s="117" t="inlineStr">
        <is>
          <t>CHARGEURS</t>
        </is>
      </c>
      <c r="J1421" s="117" t="inlineStr">
        <is>
          <t>ENGINS</t>
        </is>
      </c>
      <c r="K1421" s="48">
        <f>D1421+8</f>
        <v/>
      </c>
      <c r="L1421" s="48">
        <f>K1421+60</f>
        <v/>
      </c>
      <c r="N1421" s="72">
        <f>E1421</f>
        <v/>
      </c>
      <c r="O1421" s="50">
        <f>F1421/E1421*N1421</f>
        <v/>
      </c>
      <c r="P1421" s="273">
        <f>G1421/E1421*N1421</f>
        <v/>
      </c>
      <c r="S1421" s="200" t="inlineStr">
        <is>
          <t>EN26041ZDJD022</t>
        </is>
      </c>
      <c r="T1421" s="201" t="n">
        <v>24</v>
      </c>
      <c r="U1421" s="58" t="inlineStr">
        <is>
          <t>1 UNIT XCMG ZL 50GN 5T WHEEL LOADER ZL50GN ( VOIR BL )</t>
        </is>
      </c>
      <c r="V1421" s="67" t="n"/>
      <c r="W1421" s="67" t="n"/>
      <c r="X1421" s="62" t="inlineStr">
        <is>
          <t>N-OP</t>
        </is>
      </c>
      <c r="Y1421" s="116">
        <f>F1421/E1421</f>
        <v/>
      </c>
      <c r="Z1421" s="64">
        <f>E1421-N1421</f>
        <v/>
      </c>
    </row>
    <row r="1422" ht="15.75" customHeight="1" s="202">
      <c r="A1422" s="116" t="n">
        <v>20260093</v>
      </c>
      <c r="B1422" s="117" t="inlineStr">
        <is>
          <t>ER NAZIRE</t>
        </is>
      </c>
      <c r="C1422" s="118" t="n">
        <v>46098</v>
      </c>
      <c r="E1422" s="116" t="n">
        <v>2</v>
      </c>
      <c r="F1422" s="119" t="n">
        <v>29.06</v>
      </c>
      <c r="G1422" s="120" t="n">
        <v>48</v>
      </c>
      <c r="H1422" s="117" t="inlineStr">
        <is>
          <t>LAGSIR HOUDI</t>
        </is>
      </c>
      <c r="I1422" s="117" t="inlineStr">
        <is>
          <t>CAMIONS</t>
        </is>
      </c>
      <c r="J1422" s="117" t="inlineStr">
        <is>
          <t>LOURD</t>
        </is>
      </c>
      <c r="K1422" s="48">
        <f>D1422+8</f>
        <v/>
      </c>
      <c r="L1422" s="48">
        <f>K1422+60</f>
        <v/>
      </c>
      <c r="N1422" s="72">
        <f>E1422</f>
        <v/>
      </c>
      <c r="O1422" s="50">
        <f>F1422/E1422*N1422</f>
        <v/>
      </c>
      <c r="P1422" s="273">
        <f>G1422/E1422*N1422</f>
        <v/>
      </c>
      <c r="S1422" s="200" t="inlineStr">
        <is>
          <t>EN26041ZDJD023/24</t>
        </is>
      </c>
      <c r="T1422" s="201" t="n">
        <v>25</v>
      </c>
      <c r="U1422" s="58" t="inlineStr">
        <is>
          <t>01 UNIT SHACMAN F3000 6X4 DUMP TRUK SX3255DR384 + 1 UNIT SHACMAN F3000 6X4 WATER SPRINKLER TRUCK SX5255GYSDN434 ( VOIR BL )</t>
        </is>
      </c>
      <c r="V1422" s="67" t="n"/>
      <c r="W1422" s="67" t="n"/>
      <c r="X1422" s="62" t="inlineStr">
        <is>
          <t>N-OP</t>
        </is>
      </c>
      <c r="Y1422" s="116">
        <f>F1422/E1422</f>
        <v/>
      </c>
      <c r="Z1422" s="64">
        <f>E1422-N1422</f>
        <v/>
      </c>
    </row>
    <row r="1423" ht="15.75" customHeight="1" s="202">
      <c r="A1423" s="116" t="n">
        <v>20260093</v>
      </c>
      <c r="B1423" s="117" t="inlineStr">
        <is>
          <t>ER NAZIRE</t>
        </is>
      </c>
      <c r="C1423" s="118" t="n">
        <v>46098</v>
      </c>
      <c r="E1423" s="116" t="n">
        <v>2</v>
      </c>
      <c r="F1423" s="119" t="n">
        <v>20.5</v>
      </c>
      <c r="G1423" s="120" t="n">
        <v>48</v>
      </c>
      <c r="H1423" s="117" t="inlineStr">
        <is>
          <t>BELOUZ BELKACEM</t>
        </is>
      </c>
      <c r="I1423" s="117" t="inlineStr">
        <is>
          <t>CAMIONS</t>
        </is>
      </c>
      <c r="J1423" s="117" t="inlineStr">
        <is>
          <t>LOURD</t>
        </is>
      </c>
      <c r="K1423" s="48">
        <f>D1423+8</f>
        <v/>
      </c>
      <c r="L1423" s="48">
        <f>K1423+60</f>
        <v/>
      </c>
      <c r="N1423" s="72">
        <f>E1423</f>
        <v/>
      </c>
      <c r="O1423" s="50">
        <f>F1423/E1423*N1423</f>
        <v/>
      </c>
      <c r="P1423" s="273">
        <f>G1423/E1423*N1423</f>
        <v/>
      </c>
      <c r="S1423" s="200" t="inlineStr">
        <is>
          <t>EN26041ZDJD025/26</t>
        </is>
      </c>
      <c r="T1423" s="201" t="n">
        <v>26</v>
      </c>
      <c r="U1423" s="58" t="inlineStr">
        <is>
          <t>01 UNIT SHACMAN F2000 6X4/DUMP TRUCK SX3255JM384 + 01 UNIT SHACMAN L3000 4X2 CHASSIS TRUCK SX11858J501 ( VOIR BL )</t>
        </is>
      </c>
      <c r="V1423" s="67" t="n"/>
      <c r="W1423" s="67" t="n"/>
      <c r="X1423" s="62" t="inlineStr">
        <is>
          <t>N-OP</t>
        </is>
      </c>
      <c r="Y1423" s="116">
        <f>F1423/E1423</f>
        <v/>
      </c>
      <c r="Z1423" s="64">
        <f>E1423-N1423</f>
        <v/>
      </c>
    </row>
    <row r="1424" ht="15.75" customHeight="1" s="202">
      <c r="A1424" s="116" t="n">
        <v>20260093</v>
      </c>
      <c r="B1424" s="117" t="inlineStr">
        <is>
          <t>ER NAZIRE</t>
        </is>
      </c>
      <c r="C1424" s="118" t="n">
        <v>46098</v>
      </c>
      <c r="E1424" s="116" t="n">
        <v>1</v>
      </c>
      <c r="F1424" s="119" t="n">
        <v>15</v>
      </c>
      <c r="G1424" s="120" t="n">
        <v>24</v>
      </c>
      <c r="H1424" s="117" t="inlineStr">
        <is>
          <t>E.G.T.P.H ABDI YOUSSOUF ISLAM</t>
        </is>
      </c>
      <c r="I1424" s="117" t="inlineStr">
        <is>
          <t>CAMIONS</t>
        </is>
      </c>
      <c r="J1424" s="117" t="inlineStr">
        <is>
          <t>LOURD</t>
        </is>
      </c>
      <c r="K1424" s="48">
        <f>D1424+8</f>
        <v/>
      </c>
      <c r="L1424" s="48">
        <f>K1424+60</f>
        <v/>
      </c>
      <c r="N1424" s="72">
        <f>E1424</f>
        <v/>
      </c>
      <c r="O1424" s="50">
        <f>F1424/E1424*N1424</f>
        <v/>
      </c>
      <c r="P1424" s="273">
        <f>G1424/E1424*N1424</f>
        <v/>
      </c>
      <c r="S1424" s="200" t="inlineStr">
        <is>
          <t>EN26041ZDJD027</t>
        </is>
      </c>
      <c r="T1424" s="201" t="n">
        <v>27</v>
      </c>
      <c r="U1424" s="58" t="inlineStr">
        <is>
          <t>01 UNIT SHACMAN F2000 6X4 DUMP TRUCK SX3255JM384 ( VOIR BL )</t>
        </is>
      </c>
      <c r="V1424" s="67" t="n"/>
      <c r="W1424" s="67" t="n"/>
      <c r="X1424" s="62" t="inlineStr">
        <is>
          <t>N-OP</t>
        </is>
      </c>
      <c r="Y1424" s="116">
        <f>F1424/E1424</f>
        <v/>
      </c>
      <c r="Z1424" s="64">
        <f>E1424-N1424</f>
        <v/>
      </c>
    </row>
    <row r="1425" ht="15.75" customHeight="1" s="202">
      <c r="A1425" s="116" t="n">
        <v>20260093</v>
      </c>
      <c r="B1425" s="117" t="inlineStr">
        <is>
          <t>ER NAZIRE</t>
        </is>
      </c>
      <c r="C1425" s="118" t="n">
        <v>46098</v>
      </c>
      <c r="E1425" s="116" t="n">
        <v>2</v>
      </c>
      <c r="F1425" s="119" t="n">
        <v>28.5</v>
      </c>
      <c r="G1425" s="120" t="n">
        <v>48</v>
      </c>
      <c r="H1425" s="117" t="inlineStr">
        <is>
          <t>SARL HRATHI</t>
        </is>
      </c>
      <c r="I1425" s="117" t="inlineStr">
        <is>
          <t>CAMIONS</t>
        </is>
      </c>
      <c r="J1425" s="117" t="inlineStr">
        <is>
          <t>LOURD</t>
        </is>
      </c>
      <c r="K1425" s="48">
        <f>D1425+8</f>
        <v/>
      </c>
      <c r="L1425" s="48">
        <f>K1425+60</f>
        <v/>
      </c>
      <c r="N1425" s="72">
        <f>E1425</f>
        <v/>
      </c>
      <c r="O1425" s="50">
        <f>F1425/E1425*N1425</f>
        <v/>
      </c>
      <c r="P1425" s="273">
        <f>G1425/E1425*N1425</f>
        <v/>
      </c>
      <c r="S1425" s="200" t="inlineStr">
        <is>
          <t>EN26041ZDJD028</t>
        </is>
      </c>
      <c r="T1425" s="201" t="n">
        <v>28</v>
      </c>
      <c r="U1425" s="58" t="inlineStr">
        <is>
          <t>01 UNIT SHACMAN F2000 6X4 DUMP TRUCK SX3255JM384 SX3255JM384 + 01 UNIT SHACMAN F2000 6X4 CONCRETE MIXER TRUCK 10M3 SX5255GJBJR334 ( VOIR BL )</t>
        </is>
      </c>
      <c r="V1425" s="67" t="n"/>
      <c r="W1425" s="67" t="n"/>
      <c r="X1425" s="62" t="inlineStr">
        <is>
          <t>N-OP</t>
        </is>
      </c>
      <c r="Y1425" s="116">
        <f>F1425/E1425</f>
        <v/>
      </c>
      <c r="Z1425" s="64">
        <f>E1425-N1425</f>
        <v/>
      </c>
    </row>
    <row r="1426" ht="15.75" customHeight="1" s="202">
      <c r="A1426" s="116" t="n">
        <v>20260093</v>
      </c>
      <c r="B1426" s="117" t="inlineStr">
        <is>
          <t>ER NAZIRE</t>
        </is>
      </c>
      <c r="C1426" s="118" t="n">
        <v>46098</v>
      </c>
      <c r="E1426" s="116" t="n">
        <v>1</v>
      </c>
      <c r="F1426" s="119" t="n">
        <v>7.5</v>
      </c>
      <c r="G1426" s="120" t="n">
        <v>24</v>
      </c>
      <c r="H1426" s="117" t="inlineStr">
        <is>
          <t>EURL EL HANA LILAFRICHA</t>
        </is>
      </c>
      <c r="I1426" s="117" t="inlineStr">
        <is>
          <t>CAMIONS</t>
        </is>
      </c>
      <c r="J1426" s="117" t="inlineStr">
        <is>
          <t>LOURD</t>
        </is>
      </c>
      <c r="K1426" s="48">
        <f>D1426+8</f>
        <v/>
      </c>
      <c r="L1426" s="48">
        <f>K1426+60</f>
        <v/>
      </c>
      <c r="N1426" s="72">
        <f>E1426</f>
        <v/>
      </c>
      <c r="O1426" s="50">
        <f>F1426/E1426*N1426</f>
        <v/>
      </c>
      <c r="P1426" s="273">
        <f>G1426/E1426*N1426</f>
        <v/>
      </c>
      <c r="S1426" s="200" t="inlineStr">
        <is>
          <t>EN26041ZDJD029</t>
        </is>
      </c>
      <c r="T1426" s="201" t="n">
        <v>29</v>
      </c>
      <c r="U1426" s="58" t="inlineStr">
        <is>
          <t>01 UNIT SINOTRUK SITRAK 4X2 TRACTOR ZZ4186V391HC1B ( VOIR BL )</t>
        </is>
      </c>
      <c r="V1426" s="67" t="n"/>
      <c r="W1426" s="67" t="n"/>
      <c r="X1426" s="62" t="inlineStr">
        <is>
          <t>N-OP</t>
        </is>
      </c>
      <c r="Y1426" s="116">
        <f>F1426/E1426</f>
        <v/>
      </c>
      <c r="Z1426" s="64">
        <f>E1426-N1426</f>
        <v/>
      </c>
    </row>
    <row r="1427" ht="15.75" customHeight="1" s="202">
      <c r="A1427" s="116" t="n">
        <v>20260093</v>
      </c>
      <c r="B1427" s="117" t="inlineStr">
        <is>
          <t>ER NAZIRE</t>
        </is>
      </c>
      <c r="C1427" s="118" t="n">
        <v>46098</v>
      </c>
      <c r="E1427" s="116" t="n">
        <v>1</v>
      </c>
      <c r="F1427" s="119" t="n">
        <v>15</v>
      </c>
      <c r="G1427" s="120" t="n">
        <v>24</v>
      </c>
      <c r="H1427" s="117" t="inlineStr">
        <is>
          <t>SARL ALAMHAR</t>
        </is>
      </c>
      <c r="I1427" s="117" t="inlineStr">
        <is>
          <t>CAMIONS</t>
        </is>
      </c>
      <c r="J1427" s="117" t="inlineStr">
        <is>
          <t>LOURD</t>
        </is>
      </c>
      <c r="K1427" s="48">
        <f>D1427+8</f>
        <v/>
      </c>
      <c r="L1427" s="48">
        <f>K1427+60</f>
        <v/>
      </c>
      <c r="N1427" s="72">
        <f>E1427</f>
        <v/>
      </c>
      <c r="O1427" s="50">
        <f>F1427/E1427*N1427</f>
        <v/>
      </c>
      <c r="P1427" s="273">
        <f>G1427/E1427*N1427</f>
        <v/>
      </c>
      <c r="S1427" s="200" t="inlineStr">
        <is>
          <t>EN26041ZDJD030</t>
        </is>
      </c>
      <c r="T1427" s="201" t="n">
        <v>30</v>
      </c>
      <c r="U1427" s="58" t="inlineStr">
        <is>
          <t>01 UNIT SHACMAN F2000 6X4 DUMP TRUCK SX3255JM384 ( VOIR BL )</t>
        </is>
      </c>
      <c r="V1427" s="67" t="n"/>
      <c r="W1427" s="67" t="n"/>
      <c r="X1427" s="62" t="inlineStr">
        <is>
          <t>N-OP</t>
        </is>
      </c>
      <c r="Y1427" s="116">
        <f>F1427/E1427</f>
        <v/>
      </c>
      <c r="Z1427" s="64">
        <f>E1427-N1427</f>
        <v/>
      </c>
    </row>
    <row r="1428" ht="15.75" customHeight="1" s="202">
      <c r="A1428" s="116" t="n">
        <v>20260093</v>
      </c>
      <c r="B1428" s="117" t="inlineStr">
        <is>
          <t>ER NAZIRE</t>
        </is>
      </c>
      <c r="C1428" s="118" t="n">
        <v>46098</v>
      </c>
      <c r="E1428" s="116" t="n">
        <v>1</v>
      </c>
      <c r="F1428" s="119" t="n">
        <v>5.5</v>
      </c>
      <c r="G1428" s="120" t="n">
        <v>24</v>
      </c>
      <c r="H1428" s="117" t="inlineStr">
        <is>
          <t>BEN KORICHI KHALED</t>
        </is>
      </c>
      <c r="I1428" s="117" t="inlineStr">
        <is>
          <t>CAMIONS</t>
        </is>
      </c>
      <c r="J1428" s="117" t="inlineStr">
        <is>
          <t>LOURD</t>
        </is>
      </c>
      <c r="K1428" s="48">
        <f>D1428+8</f>
        <v/>
      </c>
      <c r="L1428" s="48">
        <f>K1428+60</f>
        <v/>
      </c>
      <c r="N1428" s="72">
        <f>E1428</f>
        <v/>
      </c>
      <c r="O1428" s="50">
        <f>F1428/E1428*N1428</f>
        <v/>
      </c>
      <c r="P1428" s="273">
        <f>G1428/E1428*N1428</f>
        <v/>
      </c>
      <c r="S1428" s="200" t="inlineStr">
        <is>
          <t>EN26041ZDJD031</t>
        </is>
      </c>
      <c r="T1428" s="201" t="n">
        <v>31</v>
      </c>
      <c r="U1428" s="58" t="inlineStr">
        <is>
          <t>1 UNIT SHACMAN L3000 4*2 CARGO TRUCK SX11858J501 ( VOIR BL )</t>
        </is>
      </c>
      <c r="V1428" s="67" t="n"/>
      <c r="W1428" s="67" t="n"/>
      <c r="X1428" s="62" t="inlineStr">
        <is>
          <t>N-OP</t>
        </is>
      </c>
      <c r="Y1428" s="116">
        <f>F1428/E1428</f>
        <v/>
      </c>
      <c r="Z1428" s="64">
        <f>E1428-N1428</f>
        <v/>
      </c>
    </row>
    <row r="1429" ht="15.75" customHeight="1" s="202">
      <c r="A1429" s="116" t="n">
        <v>20260093</v>
      </c>
      <c r="B1429" s="117" t="inlineStr">
        <is>
          <t>ER NAZIRE</t>
        </is>
      </c>
      <c r="C1429" s="118" t="n">
        <v>46098</v>
      </c>
      <c r="E1429" s="116" t="n">
        <v>2</v>
      </c>
      <c r="F1429" s="119" t="n">
        <v>17.2</v>
      </c>
      <c r="G1429" s="120" t="n">
        <v>48</v>
      </c>
      <c r="H1429" s="117" t="inlineStr">
        <is>
          <t>EURL KADRI METAUX</t>
        </is>
      </c>
      <c r="I1429" s="117" t="inlineStr">
        <is>
          <t>CAMIONS</t>
        </is>
      </c>
      <c r="J1429" s="117" t="inlineStr">
        <is>
          <t>LOURD</t>
        </is>
      </c>
      <c r="K1429" s="48">
        <f>D1429+8</f>
        <v/>
      </c>
      <c r="L1429" s="48">
        <f>K1429+60</f>
        <v/>
      </c>
      <c r="N1429" s="72">
        <f>E1429</f>
        <v/>
      </c>
      <c r="O1429" s="50">
        <f>F1429/E1429*N1429</f>
        <v/>
      </c>
      <c r="P1429" s="273">
        <f>G1429/E1429*N1429</f>
        <v/>
      </c>
      <c r="S1429" s="200" t="inlineStr">
        <is>
          <t>EN26041ZDJD033</t>
        </is>
      </c>
      <c r="T1429" s="201" t="n">
        <v>32</v>
      </c>
      <c r="U1429" s="58" t="inlineStr">
        <is>
          <t>01 UNIT SINOTRUCK SITRAK 6X4 TRACTOR TRUCK 480HP ZZ4256V364HC1B + 01 UNIT CIMC 3 AXLES CARGO TRAILER ZJV9400DY +01 UNIT SINOTRUCK HOWO TX 6X4 CHASSIS 340HP ZZ1257N464GB1 ( VOIR BL )</t>
        </is>
      </c>
      <c r="V1429" s="67" t="n"/>
      <c r="W1429" s="67" t="n"/>
      <c r="X1429" s="62" t="inlineStr">
        <is>
          <t>N-OP</t>
        </is>
      </c>
      <c r="Y1429" s="116">
        <f>F1429/E1429</f>
        <v/>
      </c>
      <c r="Z1429" s="64">
        <f>E1429-N1429</f>
        <v/>
      </c>
    </row>
    <row r="1430" ht="15.75" customHeight="1" s="202">
      <c r="A1430" s="116" t="n">
        <v>20260093</v>
      </c>
      <c r="B1430" s="117" t="inlineStr">
        <is>
          <t>ER NAZIRE</t>
        </is>
      </c>
      <c r="C1430" s="118" t="n">
        <v>46098</v>
      </c>
      <c r="E1430" s="116" t="n">
        <v>1</v>
      </c>
      <c r="F1430" s="119" t="n">
        <v>8.6</v>
      </c>
      <c r="G1430" s="120" t="n">
        <v>24</v>
      </c>
      <c r="H1430" s="117" t="inlineStr">
        <is>
          <t>EURL KADRI METAUX</t>
        </is>
      </c>
      <c r="I1430" s="117" t="inlineStr">
        <is>
          <t>REMORQUES</t>
        </is>
      </c>
      <c r="J1430" s="117" t="inlineStr">
        <is>
          <t>LOURD</t>
        </is>
      </c>
      <c r="K1430" s="48">
        <f>D1430+8</f>
        <v/>
      </c>
      <c r="L1430" s="48">
        <f>K1430+60</f>
        <v/>
      </c>
      <c r="N1430" s="72">
        <f>E1430</f>
        <v/>
      </c>
      <c r="O1430" s="50">
        <f>F1430/E1430*N1430</f>
        <v/>
      </c>
      <c r="P1430" s="273">
        <f>G1430/E1430*N1430</f>
        <v/>
      </c>
      <c r="S1430" s="200" t="inlineStr">
        <is>
          <t>EN26041ZDJD033</t>
        </is>
      </c>
      <c r="T1430" s="201" t="n">
        <v>32</v>
      </c>
      <c r="U1430" s="58" t="n"/>
      <c r="V1430" s="67" t="n"/>
      <c r="W1430" s="67" t="n"/>
      <c r="X1430" s="62" t="inlineStr">
        <is>
          <t>N-OP</t>
        </is>
      </c>
      <c r="Y1430" s="116">
        <f>F1430/E1430</f>
        <v/>
      </c>
      <c r="Z1430" s="64">
        <f>E1430-N1430</f>
        <v/>
      </c>
    </row>
    <row r="1431" ht="15.75" customHeight="1" s="202">
      <c r="A1431" s="116" t="n">
        <v>20260093</v>
      </c>
      <c r="B1431" s="117" t="inlineStr">
        <is>
          <t>ER NAZIRE</t>
        </is>
      </c>
      <c r="C1431" s="118" t="n">
        <v>46098</v>
      </c>
      <c r="E1431" s="116" t="n">
        <v>1</v>
      </c>
      <c r="F1431" s="119" t="n">
        <v>10</v>
      </c>
      <c r="G1431" s="120" t="n">
        <v>24</v>
      </c>
      <c r="H1431" s="117" t="inlineStr">
        <is>
          <t>SARL FAB EL KODS</t>
        </is>
      </c>
      <c r="I1431" s="117" t="inlineStr">
        <is>
          <t>CAMIONS</t>
        </is>
      </c>
      <c r="J1431" s="117" t="inlineStr">
        <is>
          <t>LOURD</t>
        </is>
      </c>
      <c r="K1431" s="48">
        <f>D1431+8</f>
        <v/>
      </c>
      <c r="L1431" s="48">
        <f>K1431+60</f>
        <v/>
      </c>
      <c r="N1431" s="72">
        <f>E1431</f>
        <v/>
      </c>
      <c r="O1431" s="50">
        <f>F1431/E1431*N1431</f>
        <v/>
      </c>
      <c r="P1431" s="273">
        <f>G1431/E1431*N1431</f>
        <v/>
      </c>
      <c r="S1431" s="200" t="inlineStr">
        <is>
          <t>EN26041ZDJD035/036</t>
        </is>
      </c>
      <c r="T1431" s="201" t="n">
        <v>33</v>
      </c>
      <c r="U1431" s="58" t="inlineStr">
        <is>
          <t>01 UNIT SITRAK 8X4 TIPPER TRUCK LHD + 01 UNIT HELI CPCD30-WS1K2 DIESEL FORKLIFT ( VOIR BL )</t>
        </is>
      </c>
      <c r="V1431" s="67" t="n"/>
      <c r="W1431" s="67" t="n"/>
      <c r="X1431" s="62" t="inlineStr">
        <is>
          <t>N-OP</t>
        </is>
      </c>
      <c r="Y1431" s="116">
        <f>F1431/E1431</f>
        <v/>
      </c>
      <c r="Z1431" s="64">
        <f>E1431-N1431</f>
        <v/>
      </c>
    </row>
    <row r="1432" ht="15.75" customHeight="1" s="202">
      <c r="A1432" s="116" t="n">
        <v>20260093</v>
      </c>
      <c r="B1432" s="117" t="inlineStr">
        <is>
          <t>ER NAZIRE</t>
        </is>
      </c>
      <c r="C1432" s="118" t="n">
        <v>46098</v>
      </c>
      <c r="E1432" s="116" t="n">
        <v>1</v>
      </c>
      <c r="F1432" s="119" t="n">
        <v>11.95</v>
      </c>
      <c r="G1432" s="120" t="n">
        <v>24</v>
      </c>
      <c r="H1432" s="117" t="inlineStr">
        <is>
          <t>SARL FAB EL KODS</t>
        </is>
      </c>
      <c r="I1432" s="117" t="inlineStr">
        <is>
          <t>CHARIOT ELEVATEUR</t>
        </is>
      </c>
      <c r="J1432" s="117" t="inlineStr">
        <is>
          <t>ENGINS</t>
        </is>
      </c>
      <c r="K1432" s="48">
        <f>D1432+8</f>
        <v/>
      </c>
      <c r="L1432" s="48">
        <f>K1432+60</f>
        <v/>
      </c>
      <c r="N1432" s="72">
        <f>E1432</f>
        <v/>
      </c>
      <c r="O1432" s="50">
        <f>F1432/E1432*N1432</f>
        <v/>
      </c>
      <c r="P1432" s="273">
        <f>G1432/E1432*N1432</f>
        <v/>
      </c>
      <c r="S1432" s="200" t="inlineStr">
        <is>
          <t>EN26041ZDJD035/036</t>
        </is>
      </c>
      <c r="T1432" s="201" t="n">
        <v>33</v>
      </c>
      <c r="U1432" s="58" t="n"/>
      <c r="V1432" s="67" t="n"/>
      <c r="W1432" s="67" t="n"/>
      <c r="X1432" s="62" t="inlineStr">
        <is>
          <t>N-OP</t>
        </is>
      </c>
      <c r="Y1432" s="116">
        <f>F1432/E1432</f>
        <v/>
      </c>
      <c r="Z1432" s="64">
        <f>E1432-N1432</f>
        <v/>
      </c>
    </row>
    <row r="1433" ht="15.75" customHeight="1" s="202">
      <c r="A1433" s="116" t="n">
        <v>20260093</v>
      </c>
      <c r="B1433" s="117" t="inlineStr">
        <is>
          <t>ER NAZIRE</t>
        </is>
      </c>
      <c r="C1433" s="118" t="n">
        <v>46098</v>
      </c>
      <c r="E1433" s="116" t="n">
        <v>1</v>
      </c>
      <c r="F1433" s="119" t="n">
        <v>7.48</v>
      </c>
      <c r="G1433" s="120" t="n">
        <v>24</v>
      </c>
      <c r="H1433" s="117" t="inlineStr">
        <is>
          <t>BECHERIRAT HADI</t>
        </is>
      </c>
      <c r="I1433" s="117" t="inlineStr">
        <is>
          <t>REMORQUES</t>
        </is>
      </c>
      <c r="J1433" s="117" t="inlineStr">
        <is>
          <t>LOURD</t>
        </is>
      </c>
      <c r="K1433" s="48">
        <f>D1433+8</f>
        <v/>
      </c>
      <c r="L1433" s="48">
        <f>K1433+60</f>
        <v/>
      </c>
      <c r="N1433" s="72">
        <f>E1433</f>
        <v/>
      </c>
      <c r="O1433" s="50">
        <f>F1433/E1433*N1433</f>
        <v/>
      </c>
      <c r="P1433" s="273">
        <f>G1433/E1433*N1433</f>
        <v/>
      </c>
      <c r="S1433" s="200" t="inlineStr">
        <is>
          <t>EN26041ZDJD037/038</t>
        </is>
      </c>
      <c r="T1433" s="201" t="n">
        <v>34</v>
      </c>
      <c r="U1433" s="58" t="inlineStr">
        <is>
          <t>1 UNIT CIMC 2 AXLES CARGO SEMI TRAILER CSQ9401D + 1 UNIT SINOTRUK SITRAK 4x2 TRACTOR AUTOMATIC GEAR BOX LHD ZZ4186V391HC1B ( VOIR BL )</t>
        </is>
      </c>
      <c r="V1433" s="67" t="n"/>
      <c r="W1433" s="67" t="n"/>
      <c r="X1433" s="62" t="inlineStr">
        <is>
          <t>N-OP</t>
        </is>
      </c>
      <c r="Y1433" s="116">
        <f>F1433/E1433</f>
        <v/>
      </c>
      <c r="Z1433" s="64">
        <f>E1433-N1433</f>
        <v/>
      </c>
    </row>
    <row r="1434" ht="15.75" customHeight="1" s="202">
      <c r="A1434" s="116" t="n">
        <v>20260093</v>
      </c>
      <c r="B1434" s="117" t="inlineStr">
        <is>
          <t>ER NAZIRE</t>
        </is>
      </c>
      <c r="C1434" s="118" t="n">
        <v>46098</v>
      </c>
      <c r="E1434" s="116" t="n">
        <v>1</v>
      </c>
      <c r="F1434" s="119" t="n">
        <v>7.48</v>
      </c>
      <c r="G1434" s="120" t="n">
        <v>24</v>
      </c>
      <c r="H1434" s="117" t="inlineStr">
        <is>
          <t>BECHERIRAT HADI</t>
        </is>
      </c>
      <c r="I1434" s="117" t="inlineStr">
        <is>
          <t>CAMIONS</t>
        </is>
      </c>
      <c r="J1434" s="117" t="inlineStr">
        <is>
          <t>LOURD</t>
        </is>
      </c>
      <c r="K1434" s="48">
        <f>D1434+8</f>
        <v/>
      </c>
      <c r="L1434" s="48">
        <f>K1434+60</f>
        <v/>
      </c>
      <c r="N1434" s="72">
        <f>E1434</f>
        <v/>
      </c>
      <c r="O1434" s="50">
        <f>F1434/E1434*N1434</f>
        <v/>
      </c>
      <c r="P1434" s="273">
        <f>G1434/E1434*N1434</f>
        <v/>
      </c>
      <c r="S1434" s="200" t="inlineStr">
        <is>
          <t>EN26041ZDJD037/038</t>
        </is>
      </c>
      <c r="T1434" s="201" t="n">
        <v>34</v>
      </c>
      <c r="U1434" s="58" t="n"/>
      <c r="V1434" s="67" t="n"/>
      <c r="W1434" s="67" t="n"/>
      <c r="X1434" s="62" t="inlineStr">
        <is>
          <t>N-OP</t>
        </is>
      </c>
      <c r="Y1434" s="116">
        <f>F1434/E1434</f>
        <v/>
      </c>
      <c r="Z1434" s="64">
        <f>E1434-N1434</f>
        <v/>
      </c>
    </row>
    <row r="1435" ht="15.75" customHeight="1" s="202">
      <c r="A1435" s="116" t="n">
        <v>20260093</v>
      </c>
      <c r="B1435" s="117" t="inlineStr">
        <is>
          <t>ER NAZIRE</t>
        </is>
      </c>
      <c r="C1435" s="118" t="n">
        <v>46098</v>
      </c>
      <c r="E1435" s="116" t="n">
        <v>1</v>
      </c>
      <c r="F1435" s="119" t="n">
        <v>12.5</v>
      </c>
      <c r="G1435" s="120" t="n">
        <v>24</v>
      </c>
      <c r="H1435" s="117" t="inlineStr">
        <is>
          <t>CHERGUI FAOUZI</t>
        </is>
      </c>
      <c r="I1435" s="117" t="inlineStr">
        <is>
          <t>CAMIONS</t>
        </is>
      </c>
      <c r="J1435" s="117" t="inlineStr">
        <is>
          <t>LOURD</t>
        </is>
      </c>
      <c r="K1435" s="48">
        <f>D1435+8</f>
        <v/>
      </c>
      <c r="L1435" s="48">
        <f>K1435+60</f>
        <v/>
      </c>
      <c r="N1435" s="72">
        <f>E1435</f>
        <v/>
      </c>
      <c r="O1435" s="50">
        <f>F1435/E1435*N1435</f>
        <v/>
      </c>
      <c r="P1435" s="273">
        <f>G1435/E1435*N1435</f>
        <v/>
      </c>
      <c r="S1435" s="200" t="inlineStr">
        <is>
          <t>EN26041ZDJD039</t>
        </is>
      </c>
      <c r="T1435" s="201" t="n">
        <v>35</v>
      </c>
      <c r="U1435" s="58" t="inlineStr">
        <is>
          <t>01 UNIT SHACMAN F2000 20M3 WATER TANKER TRUCK ( VOIR BL )</t>
        </is>
      </c>
      <c r="V1435" s="67" t="n"/>
      <c r="W1435" s="67" t="n"/>
      <c r="X1435" s="62" t="inlineStr">
        <is>
          <t>N-OP</t>
        </is>
      </c>
      <c r="Y1435" s="116">
        <f>F1435/E1435</f>
        <v/>
      </c>
      <c r="Z1435" s="64">
        <f>E1435-N1435</f>
        <v/>
      </c>
    </row>
    <row r="1436" ht="15.75" customHeight="1" s="202">
      <c r="A1436" s="116" t="n">
        <v>20260093</v>
      </c>
      <c r="B1436" s="117" t="inlineStr">
        <is>
          <t>ER NAZIRE</t>
        </is>
      </c>
      <c r="C1436" s="118" t="n">
        <v>46098</v>
      </c>
      <c r="E1436" s="116" t="n">
        <v>1</v>
      </c>
      <c r="F1436" s="119" t="n">
        <v>13.5</v>
      </c>
      <c r="G1436" s="120" t="n">
        <v>24</v>
      </c>
      <c r="H1436" s="117" t="inlineStr">
        <is>
          <t>CHERGUI FAOUZI</t>
        </is>
      </c>
      <c r="I1436" s="117" t="inlineStr">
        <is>
          <t>CAMIONS</t>
        </is>
      </c>
      <c r="J1436" s="117" t="inlineStr">
        <is>
          <t>LOURD</t>
        </is>
      </c>
      <c r="K1436" s="48">
        <f>D1436+8</f>
        <v/>
      </c>
      <c r="L1436" s="48">
        <f>K1436+60</f>
        <v/>
      </c>
      <c r="N1436" s="72">
        <f>E1436</f>
        <v/>
      </c>
      <c r="O1436" s="50">
        <f>F1436/E1436*N1436</f>
        <v/>
      </c>
      <c r="P1436" s="273">
        <f>G1436/E1436*N1436</f>
        <v/>
      </c>
      <c r="S1436" s="200" t="inlineStr">
        <is>
          <t>EN26041ZDJD040</t>
        </is>
      </c>
      <c r="T1436" s="201" t="n">
        <v>36</v>
      </c>
      <c r="U1436" s="58" t="inlineStr">
        <is>
          <t>01 UNIT SHACMAN F2000 6X4 CONCRETE MIXER TRUCK SX5255GJBJR334 ( VOIR BL )</t>
        </is>
      </c>
      <c r="V1436" s="67" t="n"/>
      <c r="W1436" s="67" t="n"/>
      <c r="X1436" s="62" t="inlineStr">
        <is>
          <t>N-OP</t>
        </is>
      </c>
      <c r="Y1436" s="116">
        <f>F1436/E1436</f>
        <v/>
      </c>
      <c r="Z1436" s="64">
        <f>E1436-N1436</f>
        <v/>
      </c>
    </row>
    <row r="1437" ht="15.75" customHeight="1" s="202">
      <c r="A1437" s="116" t="n">
        <v>20260093</v>
      </c>
      <c r="B1437" s="117" t="inlineStr">
        <is>
          <t>ER NAZIRE</t>
        </is>
      </c>
      <c r="C1437" s="118" t="n">
        <v>46098</v>
      </c>
      <c r="E1437" s="116" t="n">
        <v>2</v>
      </c>
      <c r="F1437" s="119" t="n">
        <v>27.5</v>
      </c>
      <c r="G1437" s="120" t="n">
        <v>48</v>
      </c>
      <c r="H1437" s="117" t="inlineStr">
        <is>
          <t>EURL EL TAHALIA IMPORT EXPORT</t>
        </is>
      </c>
      <c r="I1437" s="117" t="inlineStr">
        <is>
          <t>CAMIONS</t>
        </is>
      </c>
      <c r="J1437" s="117" t="inlineStr">
        <is>
          <t>LOURD</t>
        </is>
      </c>
      <c r="K1437" s="48">
        <f>D1437+8</f>
        <v/>
      </c>
      <c r="L1437" s="48">
        <f>K1437+60</f>
        <v/>
      </c>
      <c r="N1437" s="72">
        <f>E1437</f>
        <v/>
      </c>
      <c r="O1437" s="50">
        <f>F1437/E1437*N1437</f>
        <v/>
      </c>
      <c r="P1437" s="273">
        <f>G1437/E1437*N1437</f>
        <v/>
      </c>
      <c r="S1437" s="200" t="inlineStr">
        <is>
          <t>EN26041ZDJD058</t>
        </is>
      </c>
      <c r="T1437" s="201" t="n">
        <v>42</v>
      </c>
      <c r="U1437" s="58" t="inlineStr">
        <is>
          <t>01 UNIT SHACMAN F2000 6X4 DUMP / 01 UNIT SHACMAN F2000 20M3 WATER TANKER TRUCK ( VOIR BL )</t>
        </is>
      </c>
      <c r="V1437" s="67" t="n"/>
      <c r="W1437" s="67" t="n"/>
      <c r="X1437" s="62" t="inlineStr">
        <is>
          <t>N-OP</t>
        </is>
      </c>
      <c r="Y1437" s="116">
        <f>F1437/E1437</f>
        <v/>
      </c>
      <c r="Z1437" s="64">
        <f>E1437-N1437</f>
        <v/>
      </c>
    </row>
    <row r="1438" ht="15.75" customHeight="1" s="202">
      <c r="K1438" s="48">
        <f>D1438+8</f>
        <v/>
      </c>
      <c r="L1438" s="48">
        <f>K1438+60</f>
        <v/>
      </c>
      <c r="S1438" s="200" t="n"/>
      <c r="T1438" s="201" t="n"/>
      <c r="U1438" s="58" t="n"/>
      <c r="V1438" s="67" t="n"/>
      <c r="W1438" s="67" t="n"/>
      <c r="X1438" s="62" t="inlineStr">
        <is>
          <t>N-OP</t>
        </is>
      </c>
      <c r="Y1438" s="116">
        <f>F1438/E1438</f>
        <v/>
      </c>
      <c r="Z1438" s="64">
        <f>E1438-N1438</f>
        <v/>
      </c>
    </row>
    <row r="1439" ht="15.75" customHeight="1" s="202">
      <c r="K1439" s="48">
        <f>D1439+8</f>
        <v/>
      </c>
      <c r="L1439" s="48">
        <f>K1439+60</f>
        <v/>
      </c>
      <c r="S1439" s="200" t="n"/>
      <c r="T1439" s="201" t="n"/>
      <c r="U1439" s="58" t="n"/>
      <c r="V1439" s="67" t="n"/>
      <c r="W1439" s="67" t="n"/>
      <c r="X1439" s="62" t="inlineStr">
        <is>
          <t>N-OP</t>
        </is>
      </c>
      <c r="Y1439" s="116">
        <f>F1439/E1439</f>
        <v/>
      </c>
      <c r="Z1439" s="64">
        <f>E1439-N1439</f>
        <v/>
      </c>
    </row>
    <row r="1440" ht="15.75" customHeight="1" s="202">
      <c r="K1440" s="48">
        <f>D1440+8</f>
        <v/>
      </c>
      <c r="L1440" s="48">
        <f>K1440+60</f>
        <v/>
      </c>
      <c r="S1440" s="200" t="n"/>
      <c r="T1440" s="201" t="n"/>
      <c r="U1440" s="58" t="n"/>
      <c r="V1440" s="67" t="n"/>
      <c r="W1440" s="67" t="n"/>
      <c r="X1440" s="62" t="inlineStr">
        <is>
          <t>N-OP</t>
        </is>
      </c>
      <c r="Y1440" s="116">
        <f>F1440/E1440</f>
        <v/>
      </c>
      <c r="Z1440" s="64">
        <f>E1440-N1440</f>
        <v/>
      </c>
    </row>
    <row r="1441" ht="15.75" customHeight="1" s="202">
      <c r="K1441" s="48">
        <f>D1441+8</f>
        <v/>
      </c>
      <c r="L1441" s="48">
        <f>K1441+60</f>
        <v/>
      </c>
      <c r="S1441" s="200" t="n"/>
      <c r="T1441" s="201" t="n"/>
      <c r="U1441" s="58" t="n"/>
      <c r="V1441" s="67" t="n"/>
      <c r="W1441" s="67" t="n"/>
      <c r="X1441" s="62" t="inlineStr">
        <is>
          <t>N-OP</t>
        </is>
      </c>
      <c r="Y1441" s="116">
        <f>F1441/E1441</f>
        <v/>
      </c>
      <c r="Z1441" s="64">
        <f>E1441-N1441</f>
        <v/>
      </c>
    </row>
    <row r="1442" ht="15.75" customHeight="1" s="202">
      <c r="K1442" s="48">
        <f>D1442+8</f>
        <v/>
      </c>
      <c r="L1442" s="48">
        <f>K1442+60</f>
        <v/>
      </c>
      <c r="S1442" s="200" t="n"/>
      <c r="T1442" s="201" t="n"/>
      <c r="U1442" s="58" t="n"/>
      <c r="V1442" s="67" t="n"/>
      <c r="W1442" s="67" t="n"/>
      <c r="X1442" s="62" t="inlineStr">
        <is>
          <t>N-OP</t>
        </is>
      </c>
      <c r="Y1442" s="116">
        <f>F1442/E1442</f>
        <v/>
      </c>
      <c r="Z1442" s="64">
        <f>E1442-N1442</f>
        <v/>
      </c>
    </row>
    <row r="1443" ht="15.75" customHeight="1" s="202">
      <c r="K1443" s="48">
        <f>D1443+8</f>
        <v/>
      </c>
      <c r="L1443" s="48">
        <f>K1443+60</f>
        <v/>
      </c>
      <c r="S1443" s="200" t="n"/>
      <c r="T1443" s="201" t="n"/>
      <c r="U1443" s="58" t="n"/>
      <c r="V1443" s="67" t="n"/>
      <c r="W1443" s="67" t="n"/>
      <c r="X1443" s="62" t="inlineStr">
        <is>
          <t>N-OP</t>
        </is>
      </c>
      <c r="Y1443" s="116">
        <f>F1443/E1443</f>
        <v/>
      </c>
      <c r="Z1443" s="64">
        <f>E1443-N1443</f>
        <v/>
      </c>
    </row>
    <row r="1444" ht="15.75" customHeight="1" s="202">
      <c r="K1444" s="48">
        <f>D1444+8</f>
        <v/>
      </c>
      <c r="L1444" s="48">
        <f>K1444+60</f>
        <v/>
      </c>
      <c r="S1444" s="200" t="n"/>
      <c r="T1444" s="201" t="n"/>
      <c r="U1444" s="58" t="n"/>
      <c r="V1444" s="67" t="n"/>
      <c r="W1444" s="67" t="n"/>
      <c r="X1444" s="62" t="inlineStr">
        <is>
          <t>N-OP</t>
        </is>
      </c>
      <c r="Y1444" s="116">
        <f>F1444/E1444</f>
        <v/>
      </c>
      <c r="Z1444" s="64">
        <f>E1444-N1444</f>
        <v/>
      </c>
    </row>
    <row r="1445" ht="15.75" customHeight="1" s="202">
      <c r="K1445" s="48">
        <f>D1445+8</f>
        <v/>
      </c>
      <c r="L1445" s="48">
        <f>K1445+60</f>
        <v/>
      </c>
      <c r="S1445" s="200" t="n"/>
      <c r="T1445" s="201" t="n"/>
      <c r="U1445" s="58" t="n"/>
      <c r="V1445" s="67" t="n"/>
      <c r="W1445" s="67" t="n"/>
      <c r="X1445" s="62" t="inlineStr">
        <is>
          <t>N-OP</t>
        </is>
      </c>
      <c r="Y1445" s="116">
        <f>F1445/E1445</f>
        <v/>
      </c>
      <c r="Z1445" s="64">
        <f>E1445-N1445</f>
        <v/>
      </c>
    </row>
    <row r="1446" ht="15.75" customHeight="1" s="202">
      <c r="K1446" s="48">
        <f>D1446+8</f>
        <v/>
      </c>
      <c r="L1446" s="48">
        <f>K1446+60</f>
        <v/>
      </c>
      <c r="S1446" s="200" t="n"/>
      <c r="T1446" s="201" t="n"/>
      <c r="U1446" s="58" t="n"/>
      <c r="V1446" s="67" t="n"/>
      <c r="W1446" s="67" t="n"/>
      <c r="X1446" s="62" t="inlineStr">
        <is>
          <t>N-OP</t>
        </is>
      </c>
      <c r="Y1446" s="116">
        <f>F1446/E1446</f>
        <v/>
      </c>
      <c r="Z1446" s="64">
        <f>E1446-N1446</f>
        <v/>
      </c>
    </row>
    <row r="1447" ht="15.75" customHeight="1" s="202">
      <c r="K1447" s="48">
        <f>D1447+8</f>
        <v/>
      </c>
      <c r="L1447" s="48">
        <f>K1447+60</f>
        <v/>
      </c>
      <c r="S1447" s="200" t="n"/>
      <c r="T1447" s="201" t="n"/>
      <c r="U1447" s="58" t="n"/>
      <c r="V1447" s="67" t="n"/>
      <c r="W1447" s="67" t="n"/>
      <c r="X1447" s="62" t="inlineStr">
        <is>
          <t>N-OP</t>
        </is>
      </c>
      <c r="Y1447" s="116">
        <f>F1447/E1447</f>
        <v/>
      </c>
      <c r="Z1447" s="64">
        <f>E1447-N1447</f>
        <v/>
      </c>
    </row>
    <row r="1448" ht="15.75" customHeight="1" s="202">
      <c r="K1448" s="48">
        <f>D1448+8</f>
        <v/>
      </c>
      <c r="L1448" s="48">
        <f>K1448+60</f>
        <v/>
      </c>
      <c r="S1448" s="200" t="n"/>
      <c r="T1448" s="201" t="n"/>
      <c r="U1448" s="58" t="n"/>
      <c r="V1448" s="67" t="n"/>
      <c r="W1448" s="67" t="n"/>
      <c r="X1448" s="62" t="inlineStr">
        <is>
          <t>N-OP</t>
        </is>
      </c>
      <c r="Y1448" s="116">
        <f>F1448/E1448</f>
        <v/>
      </c>
      <c r="Z1448" s="64">
        <f>E1448-N1448</f>
        <v/>
      </c>
    </row>
    <row r="1449" ht="15.75" customHeight="1" s="202">
      <c r="K1449" s="48">
        <f>D1449+8</f>
        <v/>
      </c>
      <c r="L1449" s="48">
        <f>K1449+60</f>
        <v/>
      </c>
      <c r="S1449" s="200" t="n"/>
      <c r="T1449" s="201" t="n"/>
      <c r="U1449" s="58" t="n"/>
      <c r="V1449" s="67" t="n"/>
      <c r="W1449" s="67" t="n"/>
      <c r="X1449" s="62" t="inlineStr">
        <is>
          <t>N-OP</t>
        </is>
      </c>
      <c r="Y1449" s="116">
        <f>F1449/E1449</f>
        <v/>
      </c>
      <c r="Z1449" s="64">
        <f>E1449-N1449</f>
        <v/>
      </c>
    </row>
    <row r="1450" ht="15.75" customHeight="1" s="202">
      <c r="K1450" s="48">
        <f>D1450+8</f>
        <v/>
      </c>
      <c r="L1450" s="48">
        <f>K1450+60</f>
        <v/>
      </c>
      <c r="S1450" s="200" t="n"/>
      <c r="T1450" s="201" t="n"/>
      <c r="U1450" s="58" t="n"/>
      <c r="V1450" s="67" t="n"/>
      <c r="W1450" s="67" t="n"/>
      <c r="X1450" s="62" t="inlineStr">
        <is>
          <t>N-OP</t>
        </is>
      </c>
      <c r="Y1450" s="116">
        <f>F1450/E1450</f>
        <v/>
      </c>
      <c r="Z1450" s="64">
        <f>E1450-N1450</f>
        <v/>
      </c>
    </row>
    <row r="1451" ht="15.75" customHeight="1" s="202">
      <c r="K1451" s="48">
        <f>D1451+8</f>
        <v/>
      </c>
      <c r="L1451" s="48">
        <f>K1451+60</f>
        <v/>
      </c>
      <c r="S1451" s="200" t="n"/>
      <c r="T1451" s="201" t="n"/>
      <c r="U1451" s="58" t="n"/>
      <c r="V1451" s="67" t="n"/>
      <c r="W1451" s="67" t="n"/>
      <c r="X1451" s="62" t="inlineStr">
        <is>
          <t>N-OP</t>
        </is>
      </c>
      <c r="Y1451" s="116">
        <f>F1451/E1451</f>
        <v/>
      </c>
      <c r="Z1451" s="64">
        <f>E1451-N1451</f>
        <v/>
      </c>
    </row>
    <row r="1452" ht="15.75" customHeight="1" s="202">
      <c r="K1452" s="48">
        <f>D1452+8</f>
        <v/>
      </c>
      <c r="L1452" s="48">
        <f>K1452+60</f>
        <v/>
      </c>
      <c r="S1452" s="200" t="n"/>
      <c r="T1452" s="201" t="n"/>
      <c r="U1452" s="58" t="n"/>
      <c r="V1452" s="67" t="n"/>
      <c r="W1452" s="67" t="n"/>
      <c r="X1452" s="62" t="inlineStr">
        <is>
          <t>N-OP</t>
        </is>
      </c>
      <c r="Y1452" s="116">
        <f>F1452/E1452</f>
        <v/>
      </c>
      <c r="Z1452" s="64">
        <f>E1452-N1452</f>
        <v/>
      </c>
    </row>
    <row r="1453" ht="15.75" customHeight="1" s="202">
      <c r="K1453" s="48">
        <f>D1453+8</f>
        <v/>
      </c>
      <c r="L1453" s="48">
        <f>K1453+60</f>
        <v/>
      </c>
      <c r="S1453" s="200" t="n"/>
      <c r="T1453" s="201" t="n"/>
      <c r="U1453" s="58" t="n"/>
      <c r="V1453" s="67" t="n"/>
      <c r="W1453" s="67" t="n"/>
      <c r="X1453" s="62" t="inlineStr">
        <is>
          <t>N-OP</t>
        </is>
      </c>
      <c r="Y1453" s="116">
        <f>F1453/E1453</f>
        <v/>
      </c>
      <c r="Z1453" s="64">
        <f>E1453-N1453</f>
        <v/>
      </c>
    </row>
    <row r="1454" ht="15.75" customHeight="1" s="202">
      <c r="K1454" s="48">
        <f>D1454+8</f>
        <v/>
      </c>
      <c r="L1454" s="48">
        <f>K1454+60</f>
        <v/>
      </c>
      <c r="S1454" s="200" t="n"/>
      <c r="T1454" s="201" t="n"/>
      <c r="U1454" s="58" t="n"/>
      <c r="V1454" s="67" t="n"/>
      <c r="W1454" s="67" t="n"/>
      <c r="X1454" s="62" t="inlineStr">
        <is>
          <t>N-OP</t>
        </is>
      </c>
      <c r="Y1454" s="116">
        <f>F1454/E1454</f>
        <v/>
      </c>
      <c r="Z1454" s="64">
        <f>E1454-N1454</f>
        <v/>
      </c>
    </row>
    <row r="1455" ht="15.75" customHeight="1" s="202">
      <c r="K1455" s="48">
        <f>D1455+8</f>
        <v/>
      </c>
      <c r="L1455" s="48">
        <f>K1455+60</f>
        <v/>
      </c>
      <c r="S1455" s="200" t="n"/>
      <c r="T1455" s="201" t="n"/>
      <c r="U1455" s="58" t="n"/>
      <c r="V1455" s="67" t="n"/>
      <c r="W1455" s="67" t="n"/>
      <c r="X1455" s="62" t="inlineStr">
        <is>
          <t>N-OP</t>
        </is>
      </c>
      <c r="Y1455" s="116">
        <f>F1455/E1455</f>
        <v/>
      </c>
      <c r="Z1455" s="64">
        <f>E1455-N1455</f>
        <v/>
      </c>
    </row>
    <row r="1456" ht="15.75" customHeight="1" s="202">
      <c r="K1456" s="48">
        <f>D1456+8</f>
        <v/>
      </c>
      <c r="L1456" s="48">
        <f>K1456+60</f>
        <v/>
      </c>
      <c r="S1456" s="200" t="n"/>
      <c r="T1456" s="201" t="n"/>
      <c r="U1456" s="58" t="n"/>
      <c r="V1456" s="67" t="n"/>
      <c r="W1456" s="67" t="n"/>
      <c r="X1456" s="62" t="inlineStr">
        <is>
          <t>N-OP</t>
        </is>
      </c>
      <c r="Y1456" s="116">
        <f>F1456/E1456</f>
        <v/>
      </c>
      <c r="Z1456" s="64">
        <f>E1456-N1456</f>
        <v/>
      </c>
    </row>
    <row r="1457" ht="15.75" customHeight="1" s="202">
      <c r="K1457" s="48">
        <f>D1457+8</f>
        <v/>
      </c>
      <c r="L1457" s="48">
        <f>K1457+60</f>
        <v/>
      </c>
      <c r="S1457" s="200" t="n"/>
      <c r="T1457" s="201" t="n"/>
      <c r="U1457" s="58" t="n"/>
      <c r="V1457" s="67" t="n"/>
      <c r="W1457" s="67" t="n"/>
      <c r="X1457" s="62" t="inlineStr">
        <is>
          <t>N-OP</t>
        </is>
      </c>
      <c r="Y1457" s="116">
        <f>F1457/E1457</f>
        <v/>
      </c>
      <c r="Z1457" s="64">
        <f>E1457-N1457</f>
        <v/>
      </c>
    </row>
    <row r="1458" ht="15.75" customHeight="1" s="202">
      <c r="K1458" s="48">
        <f>D1458+8</f>
        <v/>
      </c>
      <c r="L1458" s="48">
        <f>K1458+60</f>
        <v/>
      </c>
      <c r="S1458" s="200" t="n"/>
      <c r="T1458" s="201" t="n"/>
      <c r="U1458" s="58" t="n"/>
      <c r="V1458" s="67" t="n"/>
      <c r="W1458" s="67" t="n"/>
      <c r="X1458" s="62" t="inlineStr">
        <is>
          <t>N-OP</t>
        </is>
      </c>
      <c r="Y1458" s="116">
        <f>F1458/E1458</f>
        <v/>
      </c>
      <c r="Z1458" s="64">
        <f>E1458-N1458</f>
        <v/>
      </c>
    </row>
    <row r="1459" ht="15.75" customHeight="1" s="202">
      <c r="K1459" s="48">
        <f>D1459+8</f>
        <v/>
      </c>
      <c r="L1459" s="48">
        <f>K1459+60</f>
        <v/>
      </c>
      <c r="S1459" s="200" t="n"/>
      <c r="T1459" s="201" t="n"/>
      <c r="U1459" s="58" t="n"/>
      <c r="V1459" s="67" t="n"/>
      <c r="W1459" s="67" t="n"/>
      <c r="X1459" s="62" t="inlineStr">
        <is>
          <t>N-OP</t>
        </is>
      </c>
      <c r="Y1459" s="116">
        <f>F1459/E1459</f>
        <v/>
      </c>
      <c r="Z1459" s="64">
        <f>E1459-N1459</f>
        <v/>
      </c>
    </row>
    <row r="1460" ht="15.75" customHeight="1" s="202">
      <c r="K1460" s="48">
        <f>D1460+8</f>
        <v/>
      </c>
      <c r="L1460" s="48">
        <f>K1460+60</f>
        <v/>
      </c>
      <c r="S1460" s="200" t="n"/>
      <c r="T1460" s="201" t="n"/>
      <c r="U1460" s="58" t="n"/>
      <c r="V1460" s="67" t="n"/>
      <c r="W1460" s="67" t="n"/>
      <c r="X1460" s="62" t="inlineStr">
        <is>
          <t>N-OP</t>
        </is>
      </c>
      <c r="Y1460" s="116">
        <f>F1460/E1460</f>
        <v/>
      </c>
      <c r="Z1460" s="64">
        <f>E1460-N1460</f>
        <v/>
      </c>
    </row>
    <row r="1461" ht="15.75" customHeight="1" s="202">
      <c r="K1461" s="48">
        <f>D1461+8</f>
        <v/>
      </c>
      <c r="L1461" s="48">
        <f>K1461+60</f>
        <v/>
      </c>
      <c r="S1461" s="200" t="n"/>
      <c r="T1461" s="201" t="n"/>
      <c r="U1461" s="58" t="n"/>
      <c r="V1461" s="67" t="n"/>
      <c r="W1461" s="67" t="n"/>
      <c r="X1461" s="62" t="inlineStr">
        <is>
          <t>N-OP</t>
        </is>
      </c>
      <c r="Y1461" s="116">
        <f>F1461/E1461</f>
        <v/>
      </c>
      <c r="Z1461" s="64">
        <f>E1461-N1461</f>
        <v/>
      </c>
    </row>
    <row r="1462" ht="15.75" customHeight="1" s="202">
      <c r="K1462" s="48">
        <f>D1462+8</f>
        <v/>
      </c>
      <c r="L1462" s="48">
        <f>K1462+60</f>
        <v/>
      </c>
      <c r="S1462" s="200" t="n"/>
      <c r="T1462" s="201" t="n"/>
      <c r="U1462" s="58" t="n"/>
      <c r="V1462" s="67" t="n"/>
      <c r="W1462" s="67" t="n"/>
      <c r="X1462" s="62" t="inlineStr">
        <is>
          <t>N-OP</t>
        </is>
      </c>
      <c r="Y1462" s="116">
        <f>F1462/E1462</f>
        <v/>
      </c>
      <c r="Z1462" s="64">
        <f>E1462-N1462</f>
        <v/>
      </c>
    </row>
    <row r="1463" ht="15.75" customHeight="1" s="202">
      <c r="K1463" s="48">
        <f>D1463+8</f>
        <v/>
      </c>
      <c r="L1463" s="48">
        <f>K1463+60</f>
        <v/>
      </c>
      <c r="S1463" s="200" t="n"/>
      <c r="T1463" s="201" t="n"/>
      <c r="U1463" s="58" t="n"/>
      <c r="V1463" s="67" t="n"/>
      <c r="W1463" s="67" t="n"/>
      <c r="X1463" s="62" t="inlineStr">
        <is>
          <t>N-OP</t>
        </is>
      </c>
      <c r="Y1463" s="116">
        <f>F1463/E1463</f>
        <v/>
      </c>
      <c r="Z1463" s="64">
        <f>E1463-N1463</f>
        <v/>
      </c>
    </row>
    <row r="1464" ht="15.75" customHeight="1" s="202">
      <c r="K1464" s="48">
        <f>D1464+8</f>
        <v/>
      </c>
      <c r="L1464" s="48">
        <f>K1464+60</f>
        <v/>
      </c>
      <c r="S1464" s="200" t="n"/>
      <c r="T1464" s="201" t="n"/>
      <c r="U1464" s="58" t="n"/>
      <c r="V1464" s="67" t="n"/>
      <c r="W1464" s="67" t="n"/>
      <c r="X1464" s="62" t="inlineStr">
        <is>
          <t>N-OP</t>
        </is>
      </c>
      <c r="Y1464" s="116">
        <f>F1464/E1464</f>
        <v/>
      </c>
      <c r="Z1464" s="64">
        <f>E1464-N1464</f>
        <v/>
      </c>
    </row>
    <row r="1465" ht="15.75" customHeight="1" s="202">
      <c r="K1465" s="48">
        <f>D1465+8</f>
        <v/>
      </c>
      <c r="L1465" s="48">
        <f>K1465+60</f>
        <v/>
      </c>
      <c r="S1465" s="200" t="n"/>
      <c r="T1465" s="201" t="n"/>
      <c r="U1465" s="58" t="n"/>
      <c r="V1465" s="67" t="n"/>
      <c r="W1465" s="67" t="n"/>
      <c r="X1465" s="62" t="inlineStr">
        <is>
          <t>N-OP</t>
        </is>
      </c>
      <c r="Y1465" s="116">
        <f>F1465/E1465</f>
        <v/>
      </c>
      <c r="Z1465" s="64">
        <f>E1465-N1465</f>
        <v/>
      </c>
    </row>
    <row r="1466" ht="15.75" customHeight="1" s="202">
      <c r="K1466" s="48">
        <f>D1466+8</f>
        <v/>
      </c>
      <c r="L1466" s="48">
        <f>K1466+60</f>
        <v/>
      </c>
      <c r="S1466" s="200" t="n"/>
      <c r="T1466" s="201" t="n"/>
      <c r="U1466" s="58" t="n"/>
      <c r="V1466" s="67" t="n"/>
      <c r="W1466" s="67" t="n"/>
      <c r="X1466" s="62" t="inlineStr">
        <is>
          <t>N-OP</t>
        </is>
      </c>
      <c r="Y1466" s="116">
        <f>F1466/E1466</f>
        <v/>
      </c>
      <c r="Z1466" s="64">
        <f>E1466-N1466</f>
        <v/>
      </c>
    </row>
    <row r="1467" ht="15.75" customHeight="1" s="202">
      <c r="K1467" s="48">
        <f>D1467+8</f>
        <v/>
      </c>
      <c r="L1467" s="48">
        <f>K1467+60</f>
        <v/>
      </c>
      <c r="S1467" s="200" t="n"/>
      <c r="T1467" s="201" t="n"/>
      <c r="U1467" s="58" t="n"/>
      <c r="V1467" s="67" t="n"/>
      <c r="W1467" s="67" t="n"/>
      <c r="X1467" s="62" t="inlineStr">
        <is>
          <t>N-OP</t>
        </is>
      </c>
      <c r="Y1467" s="116">
        <f>F1467/E1467</f>
        <v/>
      </c>
      <c r="Z1467" s="64">
        <f>E1467-N1467</f>
        <v/>
      </c>
    </row>
    <row r="1468" ht="15.75" customHeight="1" s="202">
      <c r="K1468" s="48">
        <f>D1468+8</f>
        <v/>
      </c>
      <c r="L1468" s="48">
        <f>K1468+60</f>
        <v/>
      </c>
      <c r="S1468" s="200" t="n"/>
      <c r="T1468" s="201" t="n"/>
      <c r="U1468" s="58" t="n"/>
      <c r="V1468" s="67" t="n"/>
      <c r="W1468" s="67" t="n"/>
      <c r="X1468" s="62" t="inlineStr">
        <is>
          <t>N-OP</t>
        </is>
      </c>
      <c r="Y1468" s="116">
        <f>F1468/E1468</f>
        <v/>
      </c>
      <c r="Z1468" s="64">
        <f>E1468-N1468</f>
        <v/>
      </c>
    </row>
    <row r="1469" ht="15.75" customHeight="1" s="202">
      <c r="K1469" s="48">
        <f>D1469+8</f>
        <v/>
      </c>
      <c r="L1469" s="48">
        <f>K1469+60</f>
        <v/>
      </c>
      <c r="S1469" s="200" t="n"/>
      <c r="T1469" s="201" t="n"/>
      <c r="U1469" s="58" t="n"/>
      <c r="V1469" s="67" t="n"/>
      <c r="W1469" s="67" t="n"/>
      <c r="X1469" s="62" t="inlineStr">
        <is>
          <t>N-OP</t>
        </is>
      </c>
      <c r="Y1469" s="116">
        <f>F1469/E1469</f>
        <v/>
      </c>
      <c r="Z1469" s="64">
        <f>E1469-N1469</f>
        <v/>
      </c>
    </row>
    <row r="1470" ht="15.75" customHeight="1" s="202">
      <c r="K1470" s="48">
        <f>D1470+8</f>
        <v/>
      </c>
      <c r="L1470" s="48">
        <f>K1470+60</f>
        <v/>
      </c>
      <c r="S1470" s="200" t="n"/>
      <c r="T1470" s="201" t="n"/>
      <c r="U1470" s="58" t="n"/>
      <c r="V1470" s="67" t="n"/>
      <c r="W1470" s="67" t="n"/>
      <c r="X1470" s="62" t="inlineStr">
        <is>
          <t>N-OP</t>
        </is>
      </c>
      <c r="Y1470" s="116">
        <f>F1470/E1470</f>
        <v/>
      </c>
      <c r="Z1470" s="64">
        <f>E1470-N1470</f>
        <v/>
      </c>
    </row>
    <row r="1471" ht="15.75" customHeight="1" s="202">
      <c r="K1471" s="48">
        <f>D1471+8</f>
        <v/>
      </c>
      <c r="L1471" s="48">
        <f>K1471+60</f>
        <v/>
      </c>
      <c r="S1471" s="200" t="n"/>
      <c r="T1471" s="201" t="n"/>
      <c r="U1471" s="58" t="n"/>
      <c r="V1471" s="67" t="n"/>
      <c r="W1471" s="67" t="n"/>
      <c r="X1471" s="62" t="inlineStr">
        <is>
          <t>N-OP</t>
        </is>
      </c>
      <c r="Y1471" s="116">
        <f>F1471/E1471</f>
        <v/>
      </c>
      <c r="Z1471" s="64">
        <f>E1471-N1471</f>
        <v/>
      </c>
    </row>
    <row r="1472" ht="15.75" customHeight="1" s="202">
      <c r="K1472" s="48">
        <f>D1472+8</f>
        <v/>
      </c>
      <c r="L1472" s="48">
        <f>K1472+60</f>
        <v/>
      </c>
      <c r="S1472" s="200" t="n"/>
      <c r="T1472" s="201" t="n"/>
      <c r="U1472" s="58" t="n"/>
      <c r="V1472" s="67" t="n"/>
      <c r="W1472" s="67" t="n"/>
      <c r="X1472" s="62" t="inlineStr">
        <is>
          <t>N-OP</t>
        </is>
      </c>
      <c r="Y1472" s="116">
        <f>F1472/E1472</f>
        <v/>
      </c>
      <c r="Z1472" s="64">
        <f>E1472-N1472</f>
        <v/>
      </c>
    </row>
    <row r="1473" ht="15.75" customHeight="1" s="202">
      <c r="K1473" s="48">
        <f>D1473+8</f>
        <v/>
      </c>
      <c r="L1473" s="48">
        <f>K1473+60</f>
        <v/>
      </c>
      <c r="S1473" s="200" t="n"/>
      <c r="T1473" s="201" t="n"/>
      <c r="U1473" s="58" t="n"/>
      <c r="V1473" s="67" t="n"/>
      <c r="W1473" s="67" t="n"/>
      <c r="X1473" s="62" t="inlineStr">
        <is>
          <t>N-OP</t>
        </is>
      </c>
      <c r="Y1473" s="116">
        <f>F1473/E1473</f>
        <v/>
      </c>
      <c r="Z1473" s="64">
        <f>E1473-N1473</f>
        <v/>
      </c>
    </row>
    <row r="1474" ht="15.75" customHeight="1" s="202">
      <c r="K1474" s="48">
        <f>D1474+8</f>
        <v/>
      </c>
      <c r="L1474" s="48">
        <f>K1474+60</f>
        <v/>
      </c>
      <c r="S1474" s="200" t="n"/>
      <c r="T1474" s="201" t="n"/>
      <c r="U1474" s="58" t="n"/>
      <c r="V1474" s="67" t="n"/>
      <c r="W1474" s="67" t="n"/>
      <c r="X1474" s="62" t="inlineStr">
        <is>
          <t>N-OP</t>
        </is>
      </c>
      <c r="Y1474" s="116">
        <f>F1474/E1474</f>
        <v/>
      </c>
      <c r="Z1474" s="64">
        <f>E1474-N1474</f>
        <v/>
      </c>
    </row>
    <row r="1475" ht="15.75" customHeight="1" s="202">
      <c r="K1475" s="48">
        <f>D1475+8</f>
        <v/>
      </c>
      <c r="L1475" s="48">
        <f>K1475+60</f>
        <v/>
      </c>
      <c r="S1475" s="200" t="n"/>
      <c r="T1475" s="201" t="n"/>
      <c r="U1475" s="58" t="n"/>
      <c r="V1475" s="67" t="n"/>
      <c r="W1475" s="67" t="n"/>
      <c r="X1475" s="62" t="inlineStr">
        <is>
          <t>N-OP</t>
        </is>
      </c>
      <c r="Y1475" s="116">
        <f>F1475/E1475</f>
        <v/>
      </c>
      <c r="Z1475" s="64">
        <f>E1475-N1475</f>
        <v/>
      </c>
    </row>
    <row r="1476" ht="15.75" customHeight="1" s="202">
      <c r="K1476" s="48">
        <f>D1476+8</f>
        <v/>
      </c>
      <c r="L1476" s="48">
        <f>K1476+60</f>
        <v/>
      </c>
      <c r="S1476" s="200" t="n"/>
      <c r="T1476" s="201" t="n"/>
      <c r="U1476" s="58" t="n"/>
      <c r="V1476" s="67" t="n"/>
      <c r="W1476" s="67" t="n"/>
      <c r="X1476" s="62" t="inlineStr">
        <is>
          <t>N-OP</t>
        </is>
      </c>
      <c r="Y1476" s="116">
        <f>F1476/E1476</f>
        <v/>
      </c>
      <c r="Z1476" s="64">
        <f>E1476-N1476</f>
        <v/>
      </c>
    </row>
    <row r="1477" ht="15.75" customHeight="1" s="202">
      <c r="K1477" s="48">
        <f>D1477+8</f>
        <v/>
      </c>
      <c r="L1477" s="48">
        <f>K1477+60</f>
        <v/>
      </c>
      <c r="S1477" s="200" t="n"/>
      <c r="T1477" s="201" t="n"/>
      <c r="U1477" s="58" t="n"/>
      <c r="V1477" s="67" t="n"/>
      <c r="W1477" s="67" t="n"/>
      <c r="X1477" s="62" t="inlineStr">
        <is>
          <t>N-OP</t>
        </is>
      </c>
      <c r="Y1477" s="116">
        <f>F1477/E1477</f>
        <v/>
      </c>
      <c r="Z1477" s="64">
        <f>E1477-N1477</f>
        <v/>
      </c>
    </row>
    <row r="1478" ht="15.75" customHeight="1" s="202">
      <c r="K1478" s="48">
        <f>D1478+8</f>
        <v/>
      </c>
      <c r="L1478" s="48">
        <f>K1478+60</f>
        <v/>
      </c>
      <c r="S1478" s="200" t="n"/>
      <c r="T1478" s="201" t="n"/>
      <c r="U1478" s="58" t="n"/>
      <c r="V1478" s="67" t="n"/>
      <c r="W1478" s="67" t="n"/>
      <c r="X1478" s="62" t="inlineStr">
        <is>
          <t>N-OP</t>
        </is>
      </c>
      <c r="Y1478" s="116">
        <f>F1478/E1478</f>
        <v/>
      </c>
      <c r="Z1478" s="64">
        <f>E1478-N1478</f>
        <v/>
      </c>
    </row>
    <row r="1479" ht="15.75" customHeight="1" s="202">
      <c r="K1479" s="48">
        <f>D1479+8</f>
        <v/>
      </c>
      <c r="L1479" s="48">
        <f>K1479+60</f>
        <v/>
      </c>
      <c r="S1479" s="200" t="n"/>
      <c r="T1479" s="201" t="n"/>
      <c r="U1479" s="58" t="n"/>
      <c r="V1479" s="67" t="n"/>
      <c r="W1479" s="67" t="n"/>
      <c r="X1479" s="62" t="inlineStr">
        <is>
          <t>N-OP</t>
        </is>
      </c>
      <c r="Y1479" s="116">
        <f>F1479/E1479</f>
        <v/>
      </c>
      <c r="Z1479" s="64">
        <f>E1479-N1479</f>
        <v/>
      </c>
    </row>
    <row r="1480" ht="15.75" customHeight="1" s="202">
      <c r="K1480" s="48">
        <f>D1480+8</f>
        <v/>
      </c>
      <c r="L1480" s="48">
        <f>K1480+60</f>
        <v/>
      </c>
      <c r="S1480" s="200" t="n"/>
      <c r="T1480" s="201" t="n"/>
      <c r="U1480" s="58" t="n"/>
      <c r="V1480" s="67" t="n"/>
      <c r="W1480" s="67" t="n"/>
      <c r="X1480" s="62" t="inlineStr">
        <is>
          <t>N-OP</t>
        </is>
      </c>
      <c r="Y1480" s="116">
        <f>F1480/E1480</f>
        <v/>
      </c>
      <c r="Z1480" s="64">
        <f>E1480-N1480</f>
        <v/>
      </c>
    </row>
    <row r="1481" ht="15.75" customHeight="1" s="202">
      <c r="K1481" s="48">
        <f>D1481+8</f>
        <v/>
      </c>
      <c r="L1481" s="48">
        <f>K1481+60</f>
        <v/>
      </c>
      <c r="S1481" s="200" t="n"/>
      <c r="T1481" s="201" t="n"/>
      <c r="U1481" s="58" t="n"/>
      <c r="V1481" s="67" t="n"/>
      <c r="W1481" s="67" t="n"/>
      <c r="X1481" s="62" t="inlineStr">
        <is>
          <t>N-OP</t>
        </is>
      </c>
      <c r="Y1481" s="116">
        <f>F1481/E1481</f>
        <v/>
      </c>
      <c r="Z1481" s="64">
        <f>E1481-N1481</f>
        <v/>
      </c>
    </row>
    <row r="1482" ht="15.75" customHeight="1" s="202">
      <c r="K1482" s="48">
        <f>D1482+8</f>
        <v/>
      </c>
      <c r="L1482" s="48">
        <f>K1482+60</f>
        <v/>
      </c>
      <c r="S1482" s="200" t="n"/>
      <c r="T1482" s="201" t="n"/>
      <c r="U1482" s="58" t="n"/>
      <c r="V1482" s="67" t="n"/>
      <c r="W1482" s="67" t="n"/>
      <c r="X1482" s="62" t="inlineStr">
        <is>
          <t>N-OP</t>
        </is>
      </c>
      <c r="Y1482" s="116">
        <f>F1482/E1482</f>
        <v/>
      </c>
      <c r="Z1482" s="64">
        <f>E1482-N1482</f>
        <v/>
      </c>
    </row>
    <row r="1483" ht="15.75" customHeight="1" s="202">
      <c r="K1483" s="48">
        <f>D1483+8</f>
        <v/>
      </c>
      <c r="L1483" s="48">
        <f>K1483+60</f>
        <v/>
      </c>
      <c r="S1483" s="200" t="n"/>
      <c r="T1483" s="201" t="n"/>
      <c r="U1483" s="58" t="n"/>
      <c r="V1483" s="67" t="n"/>
      <c r="W1483" s="67" t="n"/>
      <c r="X1483" s="62" t="inlineStr">
        <is>
          <t>N-OP</t>
        </is>
      </c>
      <c r="Y1483" s="116">
        <f>F1483/E1483</f>
        <v/>
      </c>
      <c r="Z1483" s="64">
        <f>E1483-N1483</f>
        <v/>
      </c>
    </row>
    <row r="1484" ht="15.75" customHeight="1" s="202">
      <c r="K1484" s="48">
        <f>D1484+8</f>
        <v/>
      </c>
      <c r="L1484" s="48">
        <f>K1484+60</f>
        <v/>
      </c>
      <c r="S1484" s="200" t="n"/>
      <c r="T1484" s="201" t="n"/>
      <c r="U1484" s="58" t="n"/>
      <c r="V1484" s="67" t="n"/>
      <c r="W1484" s="67" t="n"/>
      <c r="X1484" s="62" t="inlineStr">
        <is>
          <t>N-OP</t>
        </is>
      </c>
      <c r="Y1484" s="116">
        <f>F1484/E1484</f>
        <v/>
      </c>
      <c r="Z1484" s="64">
        <f>E1484-N1484</f>
        <v/>
      </c>
    </row>
    <row r="1485" ht="15.75" customHeight="1" s="202">
      <c r="K1485" s="48">
        <f>D1485+8</f>
        <v/>
      </c>
      <c r="L1485" s="48">
        <f>K1485+60</f>
        <v/>
      </c>
      <c r="S1485" s="200" t="n"/>
      <c r="T1485" s="201" t="n"/>
      <c r="U1485" s="58" t="n"/>
      <c r="V1485" s="67" t="n"/>
      <c r="W1485" s="67" t="n"/>
      <c r="X1485" s="62" t="inlineStr">
        <is>
          <t>N-OP</t>
        </is>
      </c>
      <c r="Y1485" s="116">
        <f>F1485/E1485</f>
        <v/>
      </c>
      <c r="Z1485" s="64">
        <f>E1485-N1485</f>
        <v/>
      </c>
    </row>
    <row r="1486" ht="15.75" customHeight="1" s="202">
      <c r="K1486" s="48">
        <f>D1486+8</f>
        <v/>
      </c>
      <c r="L1486" s="48">
        <f>K1486+60</f>
        <v/>
      </c>
      <c r="S1486" s="200" t="n"/>
      <c r="T1486" s="201" t="n"/>
      <c r="U1486" s="58" t="n"/>
      <c r="V1486" s="67" t="n"/>
      <c r="W1486" s="67" t="n"/>
      <c r="X1486" s="62" t="inlineStr">
        <is>
          <t>N-OP</t>
        </is>
      </c>
      <c r="Y1486" s="116">
        <f>F1486/E1486</f>
        <v/>
      </c>
      <c r="Z1486" s="64">
        <f>E1486-N1486</f>
        <v/>
      </c>
    </row>
    <row r="1487" ht="15.75" customHeight="1" s="202">
      <c r="K1487" s="48">
        <f>D1487+8</f>
        <v/>
      </c>
      <c r="L1487" s="48">
        <f>K1487+60</f>
        <v/>
      </c>
      <c r="S1487" s="200" t="n"/>
      <c r="T1487" s="201" t="n"/>
      <c r="U1487" s="58" t="n"/>
      <c r="V1487" s="67" t="n"/>
      <c r="W1487" s="67" t="n"/>
      <c r="X1487" s="62" t="inlineStr">
        <is>
          <t>N-OP</t>
        </is>
      </c>
      <c r="Y1487" s="116">
        <f>F1487/E1487</f>
        <v/>
      </c>
      <c r="Z1487" s="64">
        <f>E1487-N1487</f>
        <v/>
      </c>
    </row>
    <row r="1488" ht="15.75" customHeight="1" s="202">
      <c r="K1488" s="48">
        <f>D1488+8</f>
        <v/>
      </c>
      <c r="L1488" s="48">
        <f>K1488+60</f>
        <v/>
      </c>
      <c r="S1488" s="200" t="n"/>
      <c r="T1488" s="201" t="n"/>
      <c r="U1488" s="58" t="n"/>
      <c r="V1488" s="67" t="n"/>
      <c r="W1488" s="67" t="n"/>
      <c r="X1488" s="62" t="inlineStr">
        <is>
          <t>N-OP</t>
        </is>
      </c>
      <c r="Y1488" s="116">
        <f>F1488/E1488</f>
        <v/>
      </c>
      <c r="Z1488" s="64">
        <f>E1488-N1488</f>
        <v/>
      </c>
    </row>
    <row r="1489" ht="15.75" customHeight="1" s="202">
      <c r="K1489" s="48">
        <f>D1489+8</f>
        <v/>
      </c>
      <c r="L1489" s="48">
        <f>K1489+60</f>
        <v/>
      </c>
      <c r="S1489" s="200" t="n"/>
      <c r="T1489" s="201" t="n"/>
      <c r="U1489" s="58" t="n"/>
      <c r="V1489" s="67" t="n"/>
      <c r="W1489" s="67" t="n"/>
      <c r="X1489" s="62" t="inlineStr">
        <is>
          <t>N-OP</t>
        </is>
      </c>
      <c r="Y1489" s="116">
        <f>F1489/E1489</f>
        <v/>
      </c>
      <c r="Z1489" s="64">
        <f>E1489-N1489</f>
        <v/>
      </c>
    </row>
    <row r="1490" ht="15.75" customHeight="1" s="202">
      <c r="K1490" s="48">
        <f>D1490+8</f>
        <v/>
      </c>
      <c r="L1490" s="48">
        <f>K1490+60</f>
        <v/>
      </c>
      <c r="S1490" s="200" t="n"/>
      <c r="T1490" s="201" t="n"/>
      <c r="U1490" s="58" t="n"/>
      <c r="V1490" s="67" t="n"/>
      <c r="W1490" s="67" t="n"/>
      <c r="X1490" s="62" t="inlineStr">
        <is>
          <t>N-OP</t>
        </is>
      </c>
      <c r="Y1490" s="116">
        <f>F1490/E1490</f>
        <v/>
      </c>
      <c r="Z1490" s="64">
        <f>E1490-N1490</f>
        <v/>
      </c>
    </row>
    <row r="1491" ht="15.75" customHeight="1" s="202">
      <c r="K1491" s="48">
        <f>D1491+8</f>
        <v/>
      </c>
      <c r="L1491" s="48">
        <f>K1491+60</f>
        <v/>
      </c>
      <c r="S1491" s="200" t="n"/>
      <c r="T1491" s="201" t="n"/>
      <c r="U1491" s="58" t="n"/>
      <c r="V1491" s="67" t="n"/>
      <c r="W1491" s="67" t="n"/>
      <c r="X1491" s="62" t="inlineStr">
        <is>
          <t>N-OP</t>
        </is>
      </c>
      <c r="Y1491" s="116">
        <f>F1491/E1491</f>
        <v/>
      </c>
      <c r="Z1491" s="64">
        <f>E1491-N1491</f>
        <v/>
      </c>
    </row>
    <row r="1492" ht="15.75" customHeight="1" s="202">
      <c r="K1492" s="48">
        <f>D1492+8</f>
        <v/>
      </c>
      <c r="L1492" s="48">
        <f>K1492+60</f>
        <v/>
      </c>
      <c r="S1492" s="200" t="n"/>
      <c r="T1492" s="201" t="n"/>
      <c r="U1492" s="58" t="n"/>
      <c r="V1492" s="67" t="n"/>
      <c r="W1492" s="67" t="n"/>
      <c r="X1492" s="62" t="inlineStr">
        <is>
          <t>N-OP</t>
        </is>
      </c>
      <c r="Y1492" s="116">
        <f>F1492/E1492</f>
        <v/>
      </c>
      <c r="Z1492" s="64">
        <f>E1492-N1492</f>
        <v/>
      </c>
    </row>
    <row r="1493" ht="15.75" customHeight="1" s="202">
      <c r="K1493" s="48">
        <f>D1493+8</f>
        <v/>
      </c>
      <c r="L1493" s="48">
        <f>K1493+60</f>
        <v/>
      </c>
      <c r="S1493" s="200" t="n"/>
      <c r="T1493" s="201" t="n"/>
      <c r="U1493" s="58" t="n"/>
      <c r="V1493" s="67" t="n"/>
      <c r="W1493" s="67" t="n"/>
      <c r="X1493" s="62" t="inlineStr">
        <is>
          <t>N-OP</t>
        </is>
      </c>
      <c r="Y1493" s="116">
        <f>F1493/E1493</f>
        <v/>
      </c>
      <c r="Z1493" s="64">
        <f>E1493-N1493</f>
        <v/>
      </c>
    </row>
    <row r="1494" ht="15.75" customHeight="1" s="202">
      <c r="K1494" s="48">
        <f>D1494+8</f>
        <v/>
      </c>
      <c r="L1494" s="48">
        <f>K1494+60</f>
        <v/>
      </c>
      <c r="S1494" s="200" t="n"/>
      <c r="T1494" s="201" t="n"/>
      <c r="U1494" s="58" t="n"/>
      <c r="V1494" s="67" t="n"/>
      <c r="W1494" s="67" t="n"/>
      <c r="X1494" s="62" t="inlineStr">
        <is>
          <t>N-OP</t>
        </is>
      </c>
      <c r="Y1494" s="116">
        <f>F1494/E1494</f>
        <v/>
      </c>
      <c r="Z1494" s="64">
        <f>E1494-N1494</f>
        <v/>
      </c>
    </row>
    <row r="1495" ht="15.75" customHeight="1" s="202">
      <c r="K1495" s="48">
        <f>D1495+8</f>
        <v/>
      </c>
      <c r="L1495" s="48">
        <f>K1495+60</f>
        <v/>
      </c>
      <c r="S1495" s="200" t="n"/>
      <c r="T1495" s="201" t="n"/>
      <c r="U1495" s="58" t="n"/>
      <c r="V1495" s="67" t="n"/>
      <c r="W1495" s="67" t="n"/>
      <c r="X1495" s="62" t="inlineStr">
        <is>
          <t>N-OP</t>
        </is>
      </c>
      <c r="Y1495" s="116">
        <f>F1495/E1495</f>
        <v/>
      </c>
      <c r="Z1495" s="64">
        <f>E1495-N1495</f>
        <v/>
      </c>
    </row>
    <row r="1496" ht="15.75" customHeight="1" s="202">
      <c r="K1496" s="48">
        <f>D1496+8</f>
        <v/>
      </c>
      <c r="L1496" s="48">
        <f>K1496+60</f>
        <v/>
      </c>
      <c r="S1496" s="200" t="n"/>
      <c r="T1496" s="201" t="n"/>
      <c r="U1496" s="58" t="n"/>
      <c r="V1496" s="67" t="n"/>
      <c r="W1496" s="67" t="n"/>
      <c r="X1496" s="62" t="inlineStr">
        <is>
          <t>N-OP</t>
        </is>
      </c>
      <c r="Y1496" s="116">
        <f>F1496/E1496</f>
        <v/>
      </c>
      <c r="Z1496" s="64">
        <f>E1496-N1496</f>
        <v/>
      </c>
    </row>
    <row r="1497" ht="15.75" customHeight="1" s="202">
      <c r="K1497" s="48">
        <f>D1497+8</f>
        <v/>
      </c>
      <c r="L1497" s="48">
        <f>K1497+60</f>
        <v/>
      </c>
      <c r="S1497" s="200" t="n"/>
      <c r="T1497" s="201" t="n"/>
      <c r="U1497" s="58" t="n"/>
      <c r="V1497" s="67" t="n"/>
      <c r="W1497" s="67" t="n"/>
      <c r="X1497" s="62" t="inlineStr">
        <is>
          <t>N-OP</t>
        </is>
      </c>
      <c r="Y1497" s="116">
        <f>F1497/E1497</f>
        <v/>
      </c>
      <c r="Z1497" s="64">
        <f>E1497-N1497</f>
        <v/>
      </c>
    </row>
    <row r="1498" ht="15.75" customHeight="1" s="202">
      <c r="K1498" s="48">
        <f>D1498+8</f>
        <v/>
      </c>
      <c r="L1498" s="48">
        <f>K1498+60</f>
        <v/>
      </c>
      <c r="S1498" s="200" t="n"/>
      <c r="T1498" s="201" t="n"/>
      <c r="U1498" s="58" t="n"/>
      <c r="V1498" s="67" t="n"/>
      <c r="W1498" s="67" t="n"/>
      <c r="X1498" s="62" t="inlineStr">
        <is>
          <t>N-OP</t>
        </is>
      </c>
      <c r="Y1498" s="116">
        <f>F1498/E1498</f>
        <v/>
      </c>
      <c r="Z1498" s="64">
        <f>E1498-N1498</f>
        <v/>
      </c>
    </row>
    <row r="1499" ht="15.75" customHeight="1" s="202">
      <c r="K1499" s="48">
        <f>D1499+8</f>
        <v/>
      </c>
      <c r="L1499" s="48">
        <f>K1499+60</f>
        <v/>
      </c>
      <c r="S1499" s="200" t="n"/>
      <c r="T1499" s="201" t="n"/>
      <c r="U1499" s="58" t="n"/>
      <c r="V1499" s="67" t="n"/>
      <c r="W1499" s="67" t="n"/>
      <c r="X1499" s="62" t="inlineStr">
        <is>
          <t>N-OP</t>
        </is>
      </c>
      <c r="Y1499" s="116">
        <f>F1499/E1499</f>
        <v/>
      </c>
      <c r="Z1499" s="64">
        <f>E1499-N1499</f>
        <v/>
      </c>
    </row>
    <row r="1500" ht="15.75" customHeight="1" s="202">
      <c r="K1500" s="48">
        <f>D1500+8</f>
        <v/>
      </c>
      <c r="L1500" s="48">
        <f>K1500+60</f>
        <v/>
      </c>
      <c r="S1500" s="200" t="n"/>
      <c r="T1500" s="201" t="n"/>
      <c r="U1500" s="58" t="n"/>
      <c r="V1500" s="67" t="n"/>
      <c r="W1500" s="67" t="n"/>
      <c r="X1500" s="62" t="inlineStr">
        <is>
          <t>N-OP</t>
        </is>
      </c>
      <c r="Y1500" s="116">
        <f>F1500/E1500</f>
        <v/>
      </c>
      <c r="Z1500" s="64">
        <f>E1500-N1500</f>
        <v/>
      </c>
    </row>
    <row r="1501" ht="15.75" customHeight="1" s="202">
      <c r="K1501" s="48">
        <f>D1501+8</f>
        <v/>
      </c>
      <c r="L1501" s="48">
        <f>K1501+60</f>
        <v/>
      </c>
      <c r="S1501" s="200" t="n"/>
      <c r="T1501" s="201" t="n"/>
      <c r="U1501" s="58" t="n"/>
      <c r="V1501" s="67" t="n"/>
      <c r="W1501" s="67" t="n"/>
      <c r="X1501" s="62" t="inlineStr">
        <is>
          <t>N-OP</t>
        </is>
      </c>
      <c r="Y1501" s="116">
        <f>F1501/E1501</f>
        <v/>
      </c>
      <c r="Z1501" s="64">
        <f>E1501-N1501</f>
        <v/>
      </c>
    </row>
    <row r="1502" ht="15.75" customHeight="1" s="202">
      <c r="K1502" s="48">
        <f>D1502+8</f>
        <v/>
      </c>
      <c r="L1502" s="48">
        <f>K1502+60</f>
        <v/>
      </c>
      <c r="S1502" s="200" t="n"/>
      <c r="T1502" s="201" t="n"/>
      <c r="U1502" s="58" t="n"/>
      <c r="V1502" s="67" t="n"/>
      <c r="W1502" s="67" t="n"/>
      <c r="X1502" s="62" t="inlineStr">
        <is>
          <t>N-OP</t>
        </is>
      </c>
      <c r="Y1502" s="116">
        <f>F1502/E1502</f>
        <v/>
      </c>
      <c r="Z1502" s="64">
        <f>E1502-N1502</f>
        <v/>
      </c>
    </row>
    <row r="1503" ht="15.75" customHeight="1" s="202">
      <c r="K1503" s="48">
        <f>D1503+8</f>
        <v/>
      </c>
      <c r="L1503" s="48">
        <f>K1503+60</f>
        <v/>
      </c>
      <c r="S1503" s="200" t="n"/>
      <c r="T1503" s="201" t="n"/>
      <c r="U1503" s="58" t="n"/>
      <c r="V1503" s="67" t="n"/>
      <c r="W1503" s="67" t="n"/>
      <c r="X1503" s="62" t="inlineStr">
        <is>
          <t>N-OP</t>
        </is>
      </c>
      <c r="Y1503" s="116">
        <f>F1503/E1503</f>
        <v/>
      </c>
      <c r="Z1503" s="64">
        <f>E1503-N1503</f>
        <v/>
      </c>
    </row>
    <row r="1504" ht="15.75" customHeight="1" s="202">
      <c r="K1504" s="48">
        <f>D1504+8</f>
        <v/>
      </c>
      <c r="L1504" s="48">
        <f>K1504+60</f>
        <v/>
      </c>
      <c r="S1504" s="200" t="n"/>
      <c r="T1504" s="201" t="n"/>
      <c r="U1504" s="58" t="n"/>
      <c r="V1504" s="67" t="n"/>
      <c r="W1504" s="67" t="n"/>
      <c r="X1504" s="62" t="inlineStr">
        <is>
          <t>N-OP</t>
        </is>
      </c>
      <c r="Y1504" s="116">
        <f>F1504/E1504</f>
        <v/>
      </c>
      <c r="Z1504" s="64">
        <f>E1504-N1504</f>
        <v/>
      </c>
    </row>
    <row r="1505" ht="15.75" customHeight="1" s="202">
      <c r="K1505" s="48">
        <f>D1505+8</f>
        <v/>
      </c>
      <c r="L1505" s="48">
        <f>K1505+60</f>
        <v/>
      </c>
      <c r="S1505" s="200" t="n"/>
      <c r="T1505" s="201" t="n"/>
      <c r="U1505" s="58" t="n"/>
      <c r="V1505" s="67" t="n"/>
      <c r="W1505" s="67" t="n"/>
      <c r="X1505" s="62" t="inlineStr">
        <is>
          <t>N-OP</t>
        </is>
      </c>
      <c r="Y1505" s="116">
        <f>F1505/E1505</f>
        <v/>
      </c>
      <c r="Z1505" s="64">
        <f>E1505-N1505</f>
        <v/>
      </c>
    </row>
    <row r="1506" ht="15.75" customHeight="1" s="202">
      <c r="K1506" s="48">
        <f>D1506+8</f>
        <v/>
      </c>
      <c r="L1506" s="48">
        <f>K1506+60</f>
        <v/>
      </c>
      <c r="S1506" s="200" t="n"/>
      <c r="T1506" s="201" t="n"/>
      <c r="U1506" s="58" t="n"/>
      <c r="V1506" s="67" t="n"/>
      <c r="W1506" s="67" t="n"/>
      <c r="X1506" s="62" t="inlineStr">
        <is>
          <t>N-OP</t>
        </is>
      </c>
      <c r="Y1506" s="116">
        <f>F1506/E1506</f>
        <v/>
      </c>
      <c r="Z1506" s="64">
        <f>E1506-N1506</f>
        <v/>
      </c>
    </row>
    <row r="1507" ht="15.75" customHeight="1" s="202">
      <c r="K1507" s="48">
        <f>D1507+8</f>
        <v/>
      </c>
      <c r="L1507" s="48">
        <f>K1507+60</f>
        <v/>
      </c>
      <c r="S1507" s="200" t="n"/>
      <c r="T1507" s="201" t="n"/>
      <c r="U1507" s="58" t="n"/>
      <c r="V1507" s="67" t="n"/>
      <c r="W1507" s="67" t="n"/>
      <c r="X1507" s="62" t="inlineStr">
        <is>
          <t>N-OP</t>
        </is>
      </c>
      <c r="Y1507" s="116">
        <f>F1507/E1507</f>
        <v/>
      </c>
      <c r="Z1507" s="64">
        <f>E1507-N1507</f>
        <v/>
      </c>
    </row>
    <row r="1508" ht="15.75" customHeight="1" s="202">
      <c r="K1508" s="48">
        <f>D1508+8</f>
        <v/>
      </c>
      <c r="L1508" s="48">
        <f>K1508+60</f>
        <v/>
      </c>
      <c r="S1508" s="200" t="n"/>
      <c r="T1508" s="201" t="n"/>
      <c r="U1508" s="58" t="n"/>
      <c r="V1508" s="67" t="n"/>
      <c r="W1508" s="67" t="n"/>
      <c r="X1508" s="62" t="inlineStr">
        <is>
          <t>N-OP</t>
        </is>
      </c>
      <c r="Y1508" s="116">
        <f>F1508/E1508</f>
        <v/>
      </c>
      <c r="Z1508" s="64">
        <f>E1508-N1508</f>
        <v/>
      </c>
    </row>
    <row r="1509" ht="15.75" customHeight="1" s="202">
      <c r="K1509" s="48">
        <f>D1509+8</f>
        <v/>
      </c>
      <c r="L1509" s="48">
        <f>K1509+60</f>
        <v/>
      </c>
      <c r="S1509" s="200" t="n"/>
      <c r="T1509" s="201" t="n"/>
      <c r="U1509" s="58" t="n"/>
      <c r="V1509" s="67" t="n"/>
      <c r="W1509" s="67" t="n"/>
      <c r="X1509" s="62" t="inlineStr">
        <is>
          <t>N-OP</t>
        </is>
      </c>
      <c r="Y1509" s="116">
        <f>F1509/E1509</f>
        <v/>
      </c>
      <c r="Z1509" s="64">
        <f>E1509-N1509</f>
        <v/>
      </c>
    </row>
    <row r="1510" ht="15.75" customHeight="1" s="202">
      <c r="K1510" s="48">
        <f>D1510+8</f>
        <v/>
      </c>
      <c r="L1510" s="48">
        <f>K1510+60</f>
        <v/>
      </c>
      <c r="S1510" s="200" t="n"/>
      <c r="T1510" s="201" t="n"/>
      <c r="U1510" s="58" t="n"/>
      <c r="V1510" s="67" t="n"/>
      <c r="W1510" s="67" t="n"/>
      <c r="X1510" s="62" t="inlineStr">
        <is>
          <t>N-OP</t>
        </is>
      </c>
      <c r="Y1510" s="116">
        <f>F1510/E1510</f>
        <v/>
      </c>
      <c r="Z1510" s="64">
        <f>E1510-N1510</f>
        <v/>
      </c>
    </row>
    <row r="1511" ht="15.75" customHeight="1" s="202">
      <c r="K1511" s="48">
        <f>D1511+8</f>
        <v/>
      </c>
      <c r="L1511" s="48">
        <f>K1511+60</f>
        <v/>
      </c>
      <c r="S1511" s="200" t="n"/>
      <c r="T1511" s="201" t="n"/>
      <c r="U1511" s="58" t="n"/>
      <c r="V1511" s="67" t="n"/>
      <c r="W1511" s="67" t="n"/>
      <c r="X1511" s="62" t="inlineStr">
        <is>
          <t>N-OP</t>
        </is>
      </c>
      <c r="Y1511" s="116">
        <f>F1511/E1511</f>
        <v/>
      </c>
      <c r="Z1511" s="64">
        <f>E1511-N1511</f>
        <v/>
      </c>
    </row>
    <row r="1512" ht="15.75" customHeight="1" s="202">
      <c r="K1512" s="48">
        <f>D1512+8</f>
        <v/>
      </c>
      <c r="L1512" s="48">
        <f>K1512+60</f>
        <v/>
      </c>
      <c r="S1512" s="200" t="n"/>
      <c r="T1512" s="201" t="n"/>
      <c r="U1512" s="58" t="n"/>
      <c r="V1512" s="67" t="n"/>
      <c r="W1512" s="67" t="n"/>
      <c r="X1512" s="62" t="inlineStr">
        <is>
          <t>N-OP</t>
        </is>
      </c>
      <c r="Y1512" s="116">
        <f>F1512/E1512</f>
        <v/>
      </c>
      <c r="Z1512" s="64">
        <f>E1512-N1512</f>
        <v/>
      </c>
    </row>
    <row r="1513" ht="15.75" customHeight="1" s="202">
      <c r="K1513" s="48">
        <f>D1513+8</f>
        <v/>
      </c>
      <c r="L1513" s="48">
        <f>K1513+60</f>
        <v/>
      </c>
      <c r="S1513" s="200" t="n"/>
      <c r="T1513" s="201" t="n"/>
      <c r="U1513" s="58" t="n"/>
      <c r="V1513" s="67" t="n"/>
      <c r="W1513" s="67" t="n"/>
      <c r="X1513" s="62" t="inlineStr">
        <is>
          <t>N-OP</t>
        </is>
      </c>
      <c r="Y1513" s="116">
        <f>F1513/E1513</f>
        <v/>
      </c>
      <c r="Z1513" s="64">
        <f>E1513-N1513</f>
        <v/>
      </c>
    </row>
    <row r="1514" ht="15.75" customHeight="1" s="202">
      <c r="K1514" s="48">
        <f>D1514+8</f>
        <v/>
      </c>
      <c r="L1514" s="48">
        <f>K1514+60</f>
        <v/>
      </c>
      <c r="S1514" s="200" t="n"/>
      <c r="T1514" s="201" t="n"/>
      <c r="U1514" s="58" t="n"/>
      <c r="V1514" s="67" t="n"/>
      <c r="W1514" s="67" t="n"/>
      <c r="X1514" s="62" t="inlineStr">
        <is>
          <t>N-OP</t>
        </is>
      </c>
      <c r="Y1514" s="116">
        <f>F1514/E1514</f>
        <v/>
      </c>
      <c r="Z1514" s="64">
        <f>E1514-N1514</f>
        <v/>
      </c>
    </row>
    <row r="1515" ht="15.75" customHeight="1" s="202">
      <c r="K1515" s="48">
        <f>D1515+8</f>
        <v/>
      </c>
      <c r="L1515" s="48">
        <f>K1515+60</f>
        <v/>
      </c>
      <c r="S1515" s="200" t="n"/>
      <c r="T1515" s="201" t="n"/>
      <c r="U1515" s="58" t="n"/>
      <c r="V1515" s="67" t="n"/>
      <c r="W1515" s="67" t="n"/>
      <c r="X1515" s="62" t="inlineStr">
        <is>
          <t>N-OP</t>
        </is>
      </c>
      <c r="Y1515" s="116">
        <f>F1515/E1515</f>
        <v/>
      </c>
      <c r="Z1515" s="64">
        <f>E1515-N1515</f>
        <v/>
      </c>
    </row>
    <row r="1516" ht="15.75" customHeight="1" s="202">
      <c r="K1516" s="48">
        <f>D1516+8</f>
        <v/>
      </c>
      <c r="L1516" s="48">
        <f>K1516+60</f>
        <v/>
      </c>
      <c r="S1516" s="200" t="n"/>
      <c r="T1516" s="201" t="n"/>
      <c r="U1516" s="58" t="n"/>
      <c r="V1516" s="67" t="n"/>
      <c r="W1516" s="67" t="n"/>
      <c r="X1516" s="62" t="inlineStr">
        <is>
          <t>N-OP</t>
        </is>
      </c>
      <c r="Y1516" s="116">
        <f>F1516/E1516</f>
        <v/>
      </c>
      <c r="Z1516" s="64">
        <f>E1516-N1516</f>
        <v/>
      </c>
    </row>
    <row r="1517" ht="15.75" customHeight="1" s="202">
      <c r="K1517" s="48">
        <f>D1517+8</f>
        <v/>
      </c>
      <c r="L1517" s="48">
        <f>K1517+60</f>
        <v/>
      </c>
      <c r="S1517" s="200" t="n"/>
      <c r="T1517" s="201" t="n"/>
      <c r="U1517" s="58" t="n"/>
      <c r="V1517" s="67" t="n"/>
      <c r="W1517" s="67" t="n"/>
      <c r="X1517" s="62" t="inlineStr">
        <is>
          <t>N-OP</t>
        </is>
      </c>
      <c r="Y1517" s="116">
        <f>F1517/E1517</f>
        <v/>
      </c>
      <c r="Z1517" s="64">
        <f>E1517-N1517</f>
        <v/>
      </c>
    </row>
    <row r="1518" ht="15.75" customHeight="1" s="202">
      <c r="K1518" s="48">
        <f>D1518+8</f>
        <v/>
      </c>
      <c r="L1518" s="48">
        <f>K1518+60</f>
        <v/>
      </c>
      <c r="S1518" s="200" t="n"/>
      <c r="T1518" s="201" t="n"/>
      <c r="U1518" s="58" t="n"/>
      <c r="V1518" s="67" t="n"/>
      <c r="W1518" s="67" t="n"/>
      <c r="X1518" s="62" t="inlineStr">
        <is>
          <t>N-OP</t>
        </is>
      </c>
      <c r="Y1518" s="116">
        <f>F1518/E1518</f>
        <v/>
      </c>
      <c r="Z1518" s="64">
        <f>E1518-N1518</f>
        <v/>
      </c>
    </row>
    <row r="1519" ht="15.75" customHeight="1" s="202">
      <c r="K1519" s="48">
        <f>D1519+8</f>
        <v/>
      </c>
      <c r="L1519" s="48">
        <f>K1519+60</f>
        <v/>
      </c>
      <c r="S1519" s="200" t="n"/>
      <c r="T1519" s="201" t="n"/>
      <c r="U1519" s="58" t="n"/>
      <c r="V1519" s="67" t="n"/>
      <c r="W1519" s="67" t="n"/>
      <c r="X1519" s="62" t="inlineStr">
        <is>
          <t>N-OP</t>
        </is>
      </c>
      <c r="Y1519" s="116">
        <f>F1519/E1519</f>
        <v/>
      </c>
      <c r="Z1519" s="64">
        <f>E1519-N1519</f>
        <v/>
      </c>
    </row>
    <row r="1520" ht="15.75" customHeight="1" s="202">
      <c r="K1520" s="48">
        <f>D1520+8</f>
        <v/>
      </c>
      <c r="L1520" s="48">
        <f>K1520+60</f>
        <v/>
      </c>
      <c r="S1520" s="200" t="n"/>
      <c r="T1520" s="201" t="n"/>
      <c r="U1520" s="58" t="n"/>
      <c r="V1520" s="67" t="n"/>
      <c r="W1520" s="67" t="n"/>
      <c r="X1520" s="62" t="inlineStr">
        <is>
          <t>N-OP</t>
        </is>
      </c>
      <c r="Y1520" s="116">
        <f>F1520/E1520</f>
        <v/>
      </c>
      <c r="Z1520" s="64">
        <f>E1520-N1520</f>
        <v/>
      </c>
    </row>
    <row r="1521" ht="15.75" customHeight="1" s="202">
      <c r="K1521" s="48">
        <f>D1521+8</f>
        <v/>
      </c>
      <c r="L1521" s="48">
        <f>K1521+60</f>
        <v/>
      </c>
      <c r="S1521" s="200" t="n"/>
      <c r="T1521" s="201" t="n"/>
      <c r="U1521" s="58" t="n"/>
      <c r="V1521" s="67" t="n"/>
      <c r="W1521" s="67" t="n"/>
      <c r="X1521" s="62" t="inlineStr">
        <is>
          <t>N-OP</t>
        </is>
      </c>
      <c r="Y1521" s="116">
        <f>F1521/E1521</f>
        <v/>
      </c>
      <c r="Z1521" s="64">
        <f>E1521-N1521</f>
        <v/>
      </c>
    </row>
    <row r="1522" ht="15.75" customHeight="1" s="202">
      <c r="K1522" s="48">
        <f>D1522+8</f>
        <v/>
      </c>
      <c r="L1522" s="48">
        <f>K1522+60</f>
        <v/>
      </c>
      <c r="S1522" s="200" t="n"/>
      <c r="T1522" s="201" t="n"/>
      <c r="U1522" s="58" t="n"/>
      <c r="V1522" s="67" t="n"/>
      <c r="W1522" s="67" t="n"/>
      <c r="X1522" s="62" t="inlineStr">
        <is>
          <t>N-OP</t>
        </is>
      </c>
      <c r="Y1522" s="116">
        <f>F1522/E1522</f>
        <v/>
      </c>
      <c r="Z1522" s="64">
        <f>E1522-N1522</f>
        <v/>
      </c>
    </row>
    <row r="1523" ht="15.75" customHeight="1" s="202">
      <c r="K1523" s="48">
        <f>D1523+8</f>
        <v/>
      </c>
      <c r="L1523" s="48">
        <f>K1523+60</f>
        <v/>
      </c>
      <c r="S1523" s="200" t="n"/>
      <c r="T1523" s="201" t="n"/>
      <c r="U1523" s="58" t="n"/>
      <c r="V1523" s="67" t="n"/>
      <c r="W1523" s="67" t="n"/>
      <c r="X1523" s="62" t="inlineStr">
        <is>
          <t>N-OP</t>
        </is>
      </c>
      <c r="Y1523" s="116">
        <f>F1523/E1523</f>
        <v/>
      </c>
      <c r="Z1523" s="64">
        <f>E1523-N1523</f>
        <v/>
      </c>
    </row>
    <row r="1524" ht="15.75" customHeight="1" s="202">
      <c r="K1524" s="48">
        <f>D1524+8</f>
        <v/>
      </c>
      <c r="L1524" s="48">
        <f>K1524+60</f>
        <v/>
      </c>
      <c r="S1524" s="200" t="n"/>
      <c r="T1524" s="201" t="n"/>
      <c r="U1524" s="58" t="n"/>
      <c r="V1524" s="67" t="n"/>
      <c r="W1524" s="67" t="n"/>
      <c r="X1524" s="62" t="inlineStr">
        <is>
          <t>N-OP</t>
        </is>
      </c>
      <c r="Y1524" s="116">
        <f>F1524/E1524</f>
        <v/>
      </c>
      <c r="Z1524" s="64">
        <f>E1524-N1524</f>
        <v/>
      </c>
    </row>
    <row r="1525" ht="15.75" customHeight="1" s="202">
      <c r="K1525" s="48">
        <f>D1525+8</f>
        <v/>
      </c>
      <c r="L1525" s="48">
        <f>K1525+60</f>
        <v/>
      </c>
      <c r="S1525" s="200" t="n"/>
      <c r="T1525" s="201" t="n"/>
      <c r="U1525" s="58" t="n"/>
      <c r="V1525" s="67" t="n"/>
      <c r="W1525" s="67" t="n"/>
      <c r="X1525" s="62" t="inlineStr">
        <is>
          <t>N-OP</t>
        </is>
      </c>
      <c r="Y1525" s="116">
        <f>F1525/E1525</f>
        <v/>
      </c>
      <c r="Z1525" s="64">
        <f>E1525-N1525</f>
        <v/>
      </c>
    </row>
    <row r="1526" ht="15.75" customHeight="1" s="202">
      <c r="K1526" s="48">
        <f>D1526+8</f>
        <v/>
      </c>
      <c r="L1526" s="48">
        <f>K1526+60</f>
        <v/>
      </c>
      <c r="S1526" s="200" t="n"/>
      <c r="T1526" s="201" t="n"/>
      <c r="U1526" s="58" t="n"/>
      <c r="V1526" s="67" t="n"/>
      <c r="W1526" s="67" t="n"/>
      <c r="X1526" s="62" t="inlineStr">
        <is>
          <t>N-OP</t>
        </is>
      </c>
      <c r="Y1526" s="116">
        <f>F1526/E1526</f>
        <v/>
      </c>
      <c r="Z1526" s="64">
        <f>E1526-N1526</f>
        <v/>
      </c>
    </row>
    <row r="1527" ht="15.75" customHeight="1" s="202">
      <c r="K1527" s="48">
        <f>D1527+8</f>
        <v/>
      </c>
      <c r="L1527" s="48">
        <f>K1527+60</f>
        <v/>
      </c>
      <c r="S1527" s="200" t="n"/>
      <c r="T1527" s="201" t="n"/>
      <c r="U1527" s="58" t="n"/>
      <c r="V1527" s="67" t="n"/>
      <c r="W1527" s="67" t="n"/>
      <c r="X1527" s="62" t="inlineStr">
        <is>
          <t>N-OP</t>
        </is>
      </c>
      <c r="Y1527" s="116">
        <f>F1527/E1527</f>
        <v/>
      </c>
      <c r="Z1527" s="64">
        <f>E1527-N1527</f>
        <v/>
      </c>
    </row>
    <row r="1528" ht="15.75" customHeight="1" s="202">
      <c r="K1528" s="48">
        <f>D1528+8</f>
        <v/>
      </c>
      <c r="L1528" s="48">
        <f>K1528+60</f>
        <v/>
      </c>
      <c r="S1528" s="200" t="n"/>
      <c r="T1528" s="201" t="n"/>
      <c r="U1528" s="58" t="n"/>
      <c r="V1528" s="67" t="n"/>
      <c r="W1528" s="67" t="n"/>
      <c r="X1528" s="62" t="inlineStr">
        <is>
          <t>N-OP</t>
        </is>
      </c>
      <c r="Y1528" s="116">
        <f>F1528/E1528</f>
        <v/>
      </c>
      <c r="Z1528" s="64">
        <f>E1528-N1528</f>
        <v/>
      </c>
    </row>
    <row r="1529" ht="15.75" customHeight="1" s="202">
      <c r="K1529" s="48">
        <f>D1529+8</f>
        <v/>
      </c>
      <c r="L1529" s="48">
        <f>K1529+60</f>
        <v/>
      </c>
      <c r="S1529" s="200" t="n"/>
      <c r="T1529" s="201" t="n"/>
      <c r="U1529" s="58" t="n"/>
      <c r="V1529" s="67" t="n"/>
      <c r="W1529" s="67" t="n"/>
      <c r="X1529" s="62" t="inlineStr">
        <is>
          <t>N-OP</t>
        </is>
      </c>
      <c r="Y1529" s="116">
        <f>F1529/E1529</f>
        <v/>
      </c>
      <c r="Z1529" s="64">
        <f>E1529-N1529</f>
        <v/>
      </c>
    </row>
    <row r="1530" ht="15.75" customHeight="1" s="202">
      <c r="K1530" s="48">
        <f>D1530+8</f>
        <v/>
      </c>
      <c r="L1530" s="48">
        <f>K1530+60</f>
        <v/>
      </c>
      <c r="S1530" s="200" t="n"/>
      <c r="T1530" s="201" t="n"/>
      <c r="U1530" s="58" t="n"/>
      <c r="V1530" s="67" t="n"/>
      <c r="W1530" s="67" t="n"/>
      <c r="X1530" s="62" t="inlineStr">
        <is>
          <t>N-OP</t>
        </is>
      </c>
      <c r="Y1530" s="116">
        <f>F1530/E1530</f>
        <v/>
      </c>
      <c r="Z1530" s="64">
        <f>E1530-N1530</f>
        <v/>
      </c>
    </row>
    <row r="1531" ht="15.75" customHeight="1" s="202">
      <c r="K1531" s="48">
        <f>D1531+8</f>
        <v/>
      </c>
      <c r="L1531" s="48">
        <f>K1531+60</f>
        <v/>
      </c>
      <c r="S1531" s="200" t="n"/>
      <c r="T1531" s="201" t="n"/>
      <c r="U1531" s="58" t="n"/>
      <c r="V1531" s="67" t="n"/>
      <c r="W1531" s="67" t="n"/>
      <c r="X1531" s="62" t="inlineStr">
        <is>
          <t>N-OP</t>
        </is>
      </c>
      <c r="Y1531" s="116">
        <f>F1531/E1531</f>
        <v/>
      </c>
      <c r="Z1531" s="64">
        <f>E1531-N1531</f>
        <v/>
      </c>
    </row>
    <row r="1532" ht="15.75" customHeight="1" s="202">
      <c r="K1532" s="48">
        <f>D1532+8</f>
        <v/>
      </c>
      <c r="L1532" s="48">
        <f>K1532+60</f>
        <v/>
      </c>
      <c r="S1532" s="200" t="n"/>
      <c r="T1532" s="201" t="n"/>
      <c r="U1532" s="58" t="n"/>
      <c r="V1532" s="67" t="n"/>
      <c r="W1532" s="67" t="n"/>
      <c r="X1532" s="62" t="inlineStr">
        <is>
          <t>N-OP</t>
        </is>
      </c>
      <c r="Y1532" s="116">
        <f>F1532/E1532</f>
        <v/>
      </c>
      <c r="Z1532" s="64">
        <f>E1532-N1532</f>
        <v/>
      </c>
    </row>
    <row r="1533" ht="15.75" customHeight="1" s="202">
      <c r="K1533" s="48">
        <f>D1533+8</f>
        <v/>
      </c>
      <c r="L1533" s="48">
        <f>K1533+60</f>
        <v/>
      </c>
      <c r="S1533" s="200" t="n"/>
      <c r="T1533" s="201" t="n"/>
      <c r="U1533" s="58" t="n"/>
      <c r="V1533" s="67" t="n"/>
      <c r="W1533" s="67" t="n"/>
      <c r="X1533" s="62" t="inlineStr">
        <is>
          <t>N-OP</t>
        </is>
      </c>
      <c r="Y1533" s="116">
        <f>F1533/E1533</f>
        <v/>
      </c>
      <c r="Z1533" s="64">
        <f>E1533-N1533</f>
        <v/>
      </c>
    </row>
    <row r="1534" ht="15.75" customHeight="1" s="202">
      <c r="K1534" s="48">
        <f>D1534+8</f>
        <v/>
      </c>
      <c r="L1534" s="48">
        <f>K1534+60</f>
        <v/>
      </c>
      <c r="S1534" s="200" t="n"/>
      <c r="T1534" s="201" t="n"/>
      <c r="U1534" s="58" t="n"/>
      <c r="V1534" s="67" t="n"/>
      <c r="W1534" s="67" t="n"/>
      <c r="X1534" s="62" t="inlineStr">
        <is>
          <t>N-OP</t>
        </is>
      </c>
      <c r="Y1534" s="116">
        <f>F1534/E1534</f>
        <v/>
      </c>
      <c r="Z1534" s="64">
        <f>E1534-N1534</f>
        <v/>
      </c>
    </row>
    <row r="1535" ht="15.75" customHeight="1" s="202">
      <c r="K1535" s="48">
        <f>D1535+8</f>
        <v/>
      </c>
      <c r="L1535" s="48">
        <f>K1535+60</f>
        <v/>
      </c>
      <c r="S1535" s="200" t="n"/>
      <c r="T1535" s="201" t="n"/>
      <c r="U1535" s="58" t="n"/>
      <c r="V1535" s="67" t="n"/>
      <c r="W1535" s="67" t="n"/>
      <c r="X1535" s="62" t="inlineStr">
        <is>
          <t>N-OP</t>
        </is>
      </c>
      <c r="Y1535" s="116">
        <f>F1535/E1535</f>
        <v/>
      </c>
      <c r="Z1535" s="64">
        <f>E1535-N1535</f>
        <v/>
      </c>
    </row>
    <row r="1536" ht="15.75" customHeight="1" s="202">
      <c r="K1536" s="48">
        <f>D1536+8</f>
        <v/>
      </c>
      <c r="L1536" s="48">
        <f>K1536+60</f>
        <v/>
      </c>
      <c r="S1536" s="200" t="n"/>
      <c r="T1536" s="201" t="n"/>
      <c r="U1536" s="58" t="n"/>
      <c r="V1536" s="67" t="n"/>
      <c r="W1536" s="67" t="n"/>
      <c r="X1536" s="62" t="inlineStr">
        <is>
          <t>N-OP</t>
        </is>
      </c>
      <c r="Y1536" s="116">
        <f>F1536/E1536</f>
        <v/>
      </c>
      <c r="Z1536" s="64">
        <f>E1536-N1536</f>
        <v/>
      </c>
    </row>
    <row r="1537" ht="15.75" customHeight="1" s="202">
      <c r="K1537" s="48">
        <f>D1537+8</f>
        <v/>
      </c>
      <c r="L1537" s="48">
        <f>K1537+60</f>
        <v/>
      </c>
      <c r="S1537" s="200" t="n"/>
      <c r="T1537" s="201" t="n"/>
      <c r="U1537" s="58" t="n"/>
      <c r="V1537" s="67" t="n"/>
      <c r="W1537" s="67" t="n"/>
      <c r="X1537" s="62" t="inlineStr">
        <is>
          <t>N-OP</t>
        </is>
      </c>
      <c r="Y1537" s="116">
        <f>F1537/E1537</f>
        <v/>
      </c>
      <c r="Z1537" s="64">
        <f>E1537-N1537</f>
        <v/>
      </c>
    </row>
    <row r="1538" ht="15.75" customHeight="1" s="202">
      <c r="K1538" s="48">
        <f>D1538+8</f>
        <v/>
      </c>
      <c r="L1538" s="48">
        <f>K1538+60</f>
        <v/>
      </c>
      <c r="S1538" s="200" t="n"/>
      <c r="T1538" s="201" t="n"/>
      <c r="U1538" s="58" t="n"/>
      <c r="V1538" s="67" t="n"/>
      <c r="W1538" s="67" t="n"/>
      <c r="X1538" s="62" t="inlineStr">
        <is>
          <t>N-OP</t>
        </is>
      </c>
      <c r="Y1538" s="116">
        <f>F1538/E1538</f>
        <v/>
      </c>
      <c r="Z1538" s="64">
        <f>E1538-N1538</f>
        <v/>
      </c>
    </row>
    <row r="1539" ht="15.75" customHeight="1" s="202">
      <c r="K1539" s="48">
        <f>D1539+8</f>
        <v/>
      </c>
      <c r="L1539" s="48">
        <f>K1539+60</f>
        <v/>
      </c>
      <c r="S1539" s="200" t="n"/>
      <c r="T1539" s="201" t="n"/>
      <c r="U1539" s="58" t="n"/>
      <c r="V1539" s="67" t="n"/>
      <c r="W1539" s="67" t="n"/>
      <c r="X1539" s="62" t="inlineStr">
        <is>
          <t>N-OP</t>
        </is>
      </c>
      <c r="Y1539" s="116">
        <f>F1539/E1539</f>
        <v/>
      </c>
      <c r="Z1539" s="64">
        <f>E1539-N1539</f>
        <v/>
      </c>
    </row>
    <row r="1540" ht="15.75" customHeight="1" s="202">
      <c r="K1540" s="48">
        <f>D1540+8</f>
        <v/>
      </c>
      <c r="L1540" s="48">
        <f>K1540+60</f>
        <v/>
      </c>
      <c r="S1540" s="200" t="n"/>
      <c r="T1540" s="201" t="n"/>
      <c r="U1540" s="58" t="n"/>
      <c r="V1540" s="67" t="n"/>
      <c r="W1540" s="67" t="n"/>
      <c r="X1540" s="62" t="inlineStr">
        <is>
          <t>N-OP</t>
        </is>
      </c>
      <c r="Y1540" s="116">
        <f>F1540/E1540</f>
        <v/>
      </c>
      <c r="Z1540" s="64">
        <f>E1540-N1540</f>
        <v/>
      </c>
    </row>
    <row r="1541" ht="15.75" customHeight="1" s="202">
      <c r="K1541" s="48">
        <f>D1541+8</f>
        <v/>
      </c>
      <c r="L1541" s="48">
        <f>K1541+60</f>
        <v/>
      </c>
      <c r="S1541" s="200" t="n"/>
      <c r="T1541" s="201" t="n"/>
      <c r="U1541" s="58" t="n"/>
      <c r="V1541" s="67" t="n"/>
      <c r="W1541" s="67" t="n"/>
      <c r="X1541" s="62" t="inlineStr">
        <is>
          <t>N-OP</t>
        </is>
      </c>
      <c r="Y1541" s="116">
        <f>F1541/E1541</f>
        <v/>
      </c>
      <c r="Z1541" s="64">
        <f>E1541-N1541</f>
        <v/>
      </c>
    </row>
    <row r="1542" ht="15.75" customHeight="1" s="202">
      <c r="K1542" s="48">
        <f>D1542+8</f>
        <v/>
      </c>
      <c r="L1542" s="48">
        <f>K1542+60</f>
        <v/>
      </c>
      <c r="S1542" s="200" t="n"/>
      <c r="T1542" s="201" t="n"/>
      <c r="U1542" s="58" t="n"/>
      <c r="V1542" s="67" t="n"/>
      <c r="W1542" s="67" t="n"/>
      <c r="X1542" s="62" t="inlineStr">
        <is>
          <t>N-OP</t>
        </is>
      </c>
      <c r="Y1542" s="116">
        <f>F1542/E1542</f>
        <v/>
      </c>
      <c r="Z1542" s="64">
        <f>E1542-N1542</f>
        <v/>
      </c>
    </row>
    <row r="1543" ht="15.75" customHeight="1" s="202">
      <c r="K1543" s="48">
        <f>D1543+8</f>
        <v/>
      </c>
      <c r="L1543" s="48">
        <f>K1543+60</f>
        <v/>
      </c>
      <c r="S1543" s="200" t="n"/>
      <c r="T1543" s="201" t="n"/>
      <c r="U1543" s="58" t="n"/>
      <c r="V1543" s="67" t="n"/>
      <c r="W1543" s="67" t="n"/>
      <c r="X1543" s="62" t="inlineStr">
        <is>
          <t>N-OP</t>
        </is>
      </c>
      <c r="Y1543" s="116">
        <f>F1543/E1543</f>
        <v/>
      </c>
      <c r="Z1543" s="64">
        <f>E1543-N1543</f>
        <v/>
      </c>
    </row>
    <row r="1544" ht="15.75" customHeight="1" s="202">
      <c r="K1544" s="48">
        <f>D1544+8</f>
        <v/>
      </c>
      <c r="L1544" s="48">
        <f>K1544+60</f>
        <v/>
      </c>
      <c r="S1544" s="200" t="n"/>
      <c r="T1544" s="201" t="n"/>
      <c r="U1544" s="58" t="n"/>
      <c r="V1544" s="67" t="n"/>
      <c r="W1544" s="67" t="n"/>
      <c r="X1544" s="62" t="inlineStr">
        <is>
          <t>N-OP</t>
        </is>
      </c>
      <c r="Y1544" s="116">
        <f>F1544/E1544</f>
        <v/>
      </c>
      <c r="Z1544" s="64">
        <f>E1544-N1544</f>
        <v/>
      </c>
    </row>
    <row r="1545" ht="15.75" customHeight="1" s="202">
      <c r="K1545" s="48">
        <f>D1545+8</f>
        <v/>
      </c>
      <c r="L1545" s="48">
        <f>K1545+60</f>
        <v/>
      </c>
      <c r="S1545" s="200" t="n"/>
      <c r="T1545" s="201" t="n"/>
      <c r="U1545" s="58" t="n"/>
      <c r="V1545" s="67" t="n"/>
      <c r="W1545" s="67" t="n"/>
      <c r="X1545" s="62" t="inlineStr">
        <is>
          <t>N-OP</t>
        </is>
      </c>
      <c r="Y1545" s="116">
        <f>F1545/E1545</f>
        <v/>
      </c>
      <c r="Z1545" s="64">
        <f>E1545-N1545</f>
        <v/>
      </c>
    </row>
    <row r="1546" ht="15.75" customHeight="1" s="202">
      <c r="K1546" s="48">
        <f>D1546+8</f>
        <v/>
      </c>
      <c r="L1546" s="48">
        <f>K1546+60</f>
        <v/>
      </c>
      <c r="S1546" s="200" t="n"/>
      <c r="T1546" s="201" t="n"/>
      <c r="U1546" s="58" t="n"/>
      <c r="V1546" s="67" t="n"/>
      <c r="W1546" s="67" t="n"/>
      <c r="X1546" s="62" t="inlineStr">
        <is>
          <t>N-OP</t>
        </is>
      </c>
      <c r="Y1546" s="116">
        <f>F1546/E1546</f>
        <v/>
      </c>
      <c r="Z1546" s="64">
        <f>E1546-N1546</f>
        <v/>
      </c>
    </row>
    <row r="1547" ht="15.75" customHeight="1" s="202">
      <c r="K1547" s="48">
        <f>D1547+8</f>
        <v/>
      </c>
      <c r="L1547" s="48">
        <f>K1547+60</f>
        <v/>
      </c>
      <c r="S1547" s="200" t="n"/>
      <c r="T1547" s="201" t="n"/>
      <c r="U1547" s="58" t="n"/>
      <c r="V1547" s="67" t="n"/>
      <c r="W1547" s="67" t="n"/>
      <c r="X1547" s="62" t="inlineStr">
        <is>
          <t>N-OP</t>
        </is>
      </c>
      <c r="Y1547" s="116">
        <f>F1547/E1547</f>
        <v/>
      </c>
      <c r="Z1547" s="64">
        <f>E1547-N1547</f>
        <v/>
      </c>
    </row>
    <row r="1548" ht="15.75" customHeight="1" s="202">
      <c r="K1548" s="48">
        <f>D1548+8</f>
        <v/>
      </c>
      <c r="L1548" s="48">
        <f>K1548+60</f>
        <v/>
      </c>
      <c r="S1548" s="200" t="n"/>
      <c r="T1548" s="201" t="n"/>
      <c r="U1548" s="58" t="n"/>
      <c r="V1548" s="67" t="n"/>
      <c r="W1548" s="67" t="n"/>
      <c r="X1548" s="62" t="inlineStr">
        <is>
          <t>N-OP</t>
        </is>
      </c>
      <c r="Y1548" s="116">
        <f>F1548/E1548</f>
        <v/>
      </c>
      <c r="Z1548" s="64">
        <f>E1548-N1548</f>
        <v/>
      </c>
    </row>
    <row r="1549" ht="15.75" customHeight="1" s="202">
      <c r="K1549" s="48">
        <f>D1549+8</f>
        <v/>
      </c>
      <c r="L1549" s="48">
        <f>K1549+60</f>
        <v/>
      </c>
      <c r="S1549" s="200" t="n"/>
      <c r="T1549" s="201" t="n"/>
      <c r="U1549" s="58" t="n"/>
      <c r="V1549" s="67" t="n"/>
      <c r="W1549" s="67" t="n"/>
      <c r="X1549" s="62" t="inlineStr">
        <is>
          <t>N-OP</t>
        </is>
      </c>
      <c r="Y1549" s="116">
        <f>F1549/E1549</f>
        <v/>
      </c>
      <c r="Z1549" s="64">
        <f>E1549-N1549</f>
        <v/>
      </c>
    </row>
    <row r="1550" ht="15.75" customHeight="1" s="202">
      <c r="K1550" s="48">
        <f>D1550+8</f>
        <v/>
      </c>
      <c r="L1550" s="48">
        <f>K1550+60</f>
        <v/>
      </c>
      <c r="S1550" s="200" t="n"/>
      <c r="T1550" s="201" t="n"/>
      <c r="U1550" s="58" t="n"/>
      <c r="V1550" s="67" t="n"/>
      <c r="W1550" s="67" t="n"/>
      <c r="X1550" s="62" t="inlineStr">
        <is>
          <t>N-OP</t>
        </is>
      </c>
      <c r="Y1550" s="116">
        <f>F1550/E1550</f>
        <v/>
      </c>
      <c r="Z1550" s="64">
        <f>E1550-N1550</f>
        <v/>
      </c>
    </row>
    <row r="1551" ht="15.75" customHeight="1" s="202">
      <c r="K1551" s="48">
        <f>D1551+8</f>
        <v/>
      </c>
      <c r="L1551" s="48">
        <f>K1551+60</f>
        <v/>
      </c>
      <c r="S1551" s="200" t="n"/>
      <c r="T1551" s="201" t="n"/>
      <c r="U1551" s="58" t="n"/>
      <c r="V1551" s="67" t="n"/>
      <c r="W1551" s="67" t="n"/>
      <c r="X1551" s="62" t="inlineStr">
        <is>
          <t>N-OP</t>
        </is>
      </c>
      <c r="Y1551" s="116">
        <f>F1551/E1551</f>
        <v/>
      </c>
      <c r="Z1551" s="64">
        <f>E1551-N1551</f>
        <v/>
      </c>
    </row>
    <row r="1552" ht="15.75" customHeight="1" s="202">
      <c r="K1552" s="48">
        <f>D1552+8</f>
        <v/>
      </c>
      <c r="L1552" s="48">
        <f>K1552+60</f>
        <v/>
      </c>
      <c r="S1552" s="200" t="n"/>
      <c r="T1552" s="201" t="n"/>
      <c r="U1552" s="58" t="n"/>
      <c r="V1552" s="67" t="n"/>
      <c r="W1552" s="67" t="n"/>
      <c r="X1552" s="62" t="inlineStr">
        <is>
          <t>N-OP</t>
        </is>
      </c>
      <c r="Y1552" s="116">
        <f>F1552/E1552</f>
        <v/>
      </c>
      <c r="Z1552" s="64">
        <f>E1552-N1552</f>
        <v/>
      </c>
    </row>
    <row r="1553" ht="15.75" customHeight="1" s="202">
      <c r="K1553" s="48">
        <f>D1553+8</f>
        <v/>
      </c>
      <c r="L1553" s="48">
        <f>K1553+60</f>
        <v/>
      </c>
      <c r="S1553" s="200" t="n"/>
      <c r="T1553" s="201" t="n"/>
      <c r="U1553" s="58" t="n"/>
      <c r="V1553" s="67" t="n"/>
      <c r="W1553" s="67" t="n"/>
      <c r="X1553" s="62" t="inlineStr">
        <is>
          <t>N-OP</t>
        </is>
      </c>
      <c r="Y1553" s="116">
        <f>F1553/E1553</f>
        <v/>
      </c>
      <c r="Z1553" s="64">
        <f>E1553-N1553</f>
        <v/>
      </c>
    </row>
    <row r="1554" ht="15.75" customHeight="1" s="202">
      <c r="K1554" s="48">
        <f>D1554+8</f>
        <v/>
      </c>
      <c r="L1554" s="48">
        <f>K1554+60</f>
        <v/>
      </c>
      <c r="S1554" s="200" t="n"/>
      <c r="T1554" s="201" t="n"/>
      <c r="U1554" s="58" t="n"/>
      <c r="V1554" s="67" t="n"/>
      <c r="W1554" s="67" t="n"/>
      <c r="X1554" s="62" t="inlineStr">
        <is>
          <t>N-OP</t>
        </is>
      </c>
      <c r="Y1554" s="116">
        <f>F1554/E1554</f>
        <v/>
      </c>
      <c r="Z1554" s="64">
        <f>E1554-N1554</f>
        <v/>
      </c>
    </row>
    <row r="1555" ht="15.75" customHeight="1" s="202">
      <c r="K1555" s="48">
        <f>D1555+8</f>
        <v/>
      </c>
      <c r="L1555" s="48">
        <f>K1555+60</f>
        <v/>
      </c>
      <c r="S1555" s="200" t="n"/>
      <c r="T1555" s="201" t="n"/>
      <c r="U1555" s="58" t="n"/>
      <c r="V1555" s="67" t="n"/>
      <c r="W1555" s="67" t="n"/>
      <c r="X1555" s="62" t="inlineStr">
        <is>
          <t>N-OP</t>
        </is>
      </c>
      <c r="Y1555" s="116">
        <f>F1555/E1555</f>
        <v/>
      </c>
      <c r="Z1555" s="64">
        <f>E1555-N1555</f>
        <v/>
      </c>
    </row>
    <row r="1556" ht="15.75" customHeight="1" s="202">
      <c r="K1556" s="48">
        <f>D1556+8</f>
        <v/>
      </c>
      <c r="L1556" s="48">
        <f>K1556+60</f>
        <v/>
      </c>
      <c r="S1556" s="200" t="n"/>
      <c r="T1556" s="201" t="n"/>
      <c r="U1556" s="58" t="n"/>
      <c r="V1556" s="67" t="n"/>
      <c r="W1556" s="67" t="n"/>
      <c r="X1556" s="62" t="inlineStr">
        <is>
          <t>N-OP</t>
        </is>
      </c>
      <c r="Y1556" s="116">
        <f>F1556/E1556</f>
        <v/>
      </c>
      <c r="Z1556" s="64">
        <f>E1556-N1556</f>
        <v/>
      </c>
    </row>
    <row r="1557" ht="15.75" customHeight="1" s="202">
      <c r="K1557" s="48">
        <f>D1557+8</f>
        <v/>
      </c>
      <c r="L1557" s="48">
        <f>K1557+60</f>
        <v/>
      </c>
      <c r="S1557" s="200" t="n"/>
      <c r="T1557" s="201" t="n"/>
      <c r="U1557" s="58" t="n"/>
      <c r="V1557" s="67" t="n"/>
      <c r="W1557" s="67" t="n"/>
      <c r="X1557" s="62" t="inlineStr">
        <is>
          <t>N-OP</t>
        </is>
      </c>
      <c r="Y1557" s="116">
        <f>F1557/E1557</f>
        <v/>
      </c>
      <c r="Z1557" s="64">
        <f>E1557-N1557</f>
        <v/>
      </c>
    </row>
    <row r="1558" ht="15.75" customHeight="1" s="202">
      <c r="K1558" s="48">
        <f>D1558+8</f>
        <v/>
      </c>
      <c r="L1558" s="48">
        <f>K1558+60</f>
        <v/>
      </c>
      <c r="S1558" s="200" t="n"/>
      <c r="T1558" s="201" t="n"/>
      <c r="U1558" s="58" t="n"/>
      <c r="V1558" s="67" t="n"/>
      <c r="W1558" s="67" t="n"/>
      <c r="X1558" s="62" t="inlineStr">
        <is>
          <t>N-OP</t>
        </is>
      </c>
      <c r="Y1558" s="116">
        <f>F1558/E1558</f>
        <v/>
      </c>
      <c r="Z1558" s="64">
        <f>E1558-N1558</f>
        <v/>
      </c>
    </row>
    <row r="1559" ht="15.75" customHeight="1" s="202">
      <c r="K1559" s="48">
        <f>D1559+8</f>
        <v/>
      </c>
      <c r="L1559" s="48">
        <f>K1559+60</f>
        <v/>
      </c>
      <c r="S1559" s="200" t="n"/>
      <c r="T1559" s="201" t="n"/>
      <c r="U1559" s="58" t="n"/>
      <c r="V1559" s="67" t="n"/>
      <c r="W1559" s="67" t="n"/>
      <c r="X1559" s="62" t="inlineStr">
        <is>
          <t>N-OP</t>
        </is>
      </c>
      <c r="Y1559" s="116">
        <f>F1559/E1559</f>
        <v/>
      </c>
      <c r="Z1559" s="64">
        <f>E1559-N1559</f>
        <v/>
      </c>
    </row>
    <row r="1560" ht="15.75" customHeight="1" s="202">
      <c r="K1560" s="48">
        <f>D1560+8</f>
        <v/>
      </c>
      <c r="L1560" s="48">
        <f>K1560+60</f>
        <v/>
      </c>
      <c r="S1560" s="200" t="n"/>
      <c r="T1560" s="201" t="n"/>
      <c r="U1560" s="58" t="n"/>
      <c r="V1560" s="67" t="n"/>
      <c r="W1560" s="67" t="n"/>
      <c r="X1560" s="62" t="inlineStr">
        <is>
          <t>N-OP</t>
        </is>
      </c>
      <c r="Y1560" s="116">
        <f>F1560/E1560</f>
        <v/>
      </c>
      <c r="Z1560" s="64">
        <f>E1560-N1560</f>
        <v/>
      </c>
    </row>
    <row r="1561" ht="15.75" customHeight="1" s="202">
      <c r="K1561" s="48">
        <f>D1561+8</f>
        <v/>
      </c>
      <c r="L1561" s="48">
        <f>K1561+60</f>
        <v/>
      </c>
      <c r="S1561" s="200" t="n"/>
      <c r="T1561" s="201" t="n"/>
      <c r="U1561" s="58" t="n"/>
      <c r="V1561" s="67" t="n"/>
      <c r="W1561" s="67" t="n"/>
      <c r="X1561" s="62" t="inlineStr">
        <is>
          <t>N-OP</t>
        </is>
      </c>
      <c r="Y1561" s="116">
        <f>F1561/E1561</f>
        <v/>
      </c>
      <c r="Z1561" s="64">
        <f>E1561-N1561</f>
        <v/>
      </c>
    </row>
    <row r="1562" ht="15.75" customHeight="1" s="202">
      <c r="K1562" s="48">
        <f>D1562+8</f>
        <v/>
      </c>
      <c r="L1562" s="48">
        <f>K1562+60</f>
        <v/>
      </c>
      <c r="S1562" s="200" t="n"/>
      <c r="T1562" s="201" t="n"/>
      <c r="U1562" s="58" t="n"/>
      <c r="V1562" s="67" t="n"/>
      <c r="W1562" s="67" t="n"/>
      <c r="X1562" s="62" t="inlineStr">
        <is>
          <t>N-OP</t>
        </is>
      </c>
      <c r="Y1562" s="116">
        <f>F1562/E1562</f>
        <v/>
      </c>
      <c r="Z1562" s="64">
        <f>E1562-N1562</f>
        <v/>
      </c>
    </row>
    <row r="1563" ht="15.75" customHeight="1" s="202">
      <c r="K1563" s="48">
        <f>D1563+8</f>
        <v/>
      </c>
      <c r="L1563" s="48">
        <f>K1563+60</f>
        <v/>
      </c>
      <c r="S1563" s="200" t="n"/>
      <c r="T1563" s="201" t="n"/>
      <c r="U1563" s="58" t="n"/>
      <c r="V1563" s="67" t="n"/>
      <c r="W1563" s="67" t="n"/>
      <c r="X1563" s="62" t="inlineStr">
        <is>
          <t>N-OP</t>
        </is>
      </c>
      <c r="Y1563" s="116">
        <f>F1563/E1563</f>
        <v/>
      </c>
      <c r="Z1563" s="64">
        <f>E1563-N1563</f>
        <v/>
      </c>
    </row>
    <row r="1564" ht="15.75" customHeight="1" s="202">
      <c r="K1564" s="48">
        <f>D1564+8</f>
        <v/>
      </c>
      <c r="L1564" s="48">
        <f>K1564+60</f>
        <v/>
      </c>
      <c r="S1564" s="200" t="n"/>
      <c r="T1564" s="201" t="n"/>
      <c r="U1564" s="58" t="n"/>
      <c r="V1564" s="67" t="n"/>
      <c r="W1564" s="67" t="n"/>
      <c r="X1564" s="62" t="inlineStr">
        <is>
          <t>N-OP</t>
        </is>
      </c>
      <c r="Y1564" s="116">
        <f>F1564/E1564</f>
        <v/>
      </c>
      <c r="Z1564" s="64">
        <f>E1564-N1564</f>
        <v/>
      </c>
    </row>
    <row r="1565" ht="15.75" customHeight="1" s="202">
      <c r="K1565" s="48">
        <f>D1565+8</f>
        <v/>
      </c>
      <c r="L1565" s="48">
        <f>K1565+60</f>
        <v/>
      </c>
      <c r="S1565" s="200" t="n"/>
      <c r="T1565" s="201" t="n"/>
      <c r="U1565" s="58" t="n"/>
      <c r="V1565" s="67" t="n"/>
      <c r="W1565" s="67" t="n"/>
      <c r="X1565" s="62" t="inlineStr">
        <is>
          <t>N-OP</t>
        </is>
      </c>
      <c r="Y1565" s="116">
        <f>F1565/E1565</f>
        <v/>
      </c>
      <c r="Z1565" s="64">
        <f>E1565-N1565</f>
        <v/>
      </c>
    </row>
    <row r="1566" ht="15.75" customHeight="1" s="202">
      <c r="K1566" s="48">
        <f>D1566+8</f>
        <v/>
      </c>
      <c r="L1566" s="48">
        <f>K1566+60</f>
        <v/>
      </c>
      <c r="S1566" s="200" t="n"/>
      <c r="T1566" s="201" t="n"/>
      <c r="U1566" s="58" t="n"/>
      <c r="V1566" s="67" t="n"/>
      <c r="W1566" s="67" t="n"/>
      <c r="X1566" s="62" t="inlineStr">
        <is>
          <t>N-OP</t>
        </is>
      </c>
      <c r="Y1566" s="116">
        <f>F1566/E1566</f>
        <v/>
      </c>
      <c r="Z1566" s="64">
        <f>E1566-N1566</f>
        <v/>
      </c>
    </row>
    <row r="1567" ht="15.75" customHeight="1" s="202">
      <c r="K1567" s="48">
        <f>D1567+8</f>
        <v/>
      </c>
      <c r="L1567" s="48">
        <f>K1567+60</f>
        <v/>
      </c>
      <c r="S1567" s="200" t="n"/>
      <c r="T1567" s="201" t="n"/>
      <c r="U1567" s="58" t="n"/>
      <c r="V1567" s="67" t="n"/>
      <c r="W1567" s="67" t="n"/>
      <c r="X1567" s="62" t="inlineStr">
        <is>
          <t>N-OP</t>
        </is>
      </c>
      <c r="Y1567" s="116">
        <f>F1567/E1567</f>
        <v/>
      </c>
      <c r="Z1567" s="64">
        <f>E1567-N1567</f>
        <v/>
      </c>
    </row>
    <row r="1568" ht="15.75" customHeight="1" s="202">
      <c r="K1568" s="48">
        <f>D1568+8</f>
        <v/>
      </c>
      <c r="L1568" s="48">
        <f>K1568+60</f>
        <v/>
      </c>
      <c r="S1568" s="200" t="n"/>
      <c r="T1568" s="201" t="n"/>
      <c r="U1568" s="58" t="n"/>
      <c r="V1568" s="67" t="n"/>
      <c r="W1568" s="67" t="n"/>
      <c r="X1568" s="62" t="inlineStr">
        <is>
          <t>N-OP</t>
        </is>
      </c>
      <c r="Y1568" s="116">
        <f>F1568/E1568</f>
        <v/>
      </c>
      <c r="Z1568" s="64">
        <f>E1568-N1568</f>
        <v/>
      </c>
    </row>
    <row r="1569" ht="15.75" customHeight="1" s="202">
      <c r="K1569" s="48">
        <f>D1569+8</f>
        <v/>
      </c>
      <c r="L1569" s="48">
        <f>K1569+60</f>
        <v/>
      </c>
      <c r="S1569" s="200" t="n"/>
      <c r="T1569" s="201" t="n"/>
      <c r="U1569" s="58" t="n"/>
      <c r="V1569" s="67" t="n"/>
      <c r="W1569" s="67" t="n"/>
      <c r="X1569" s="62" t="inlineStr">
        <is>
          <t>N-OP</t>
        </is>
      </c>
      <c r="Y1569" s="116">
        <f>F1569/E1569</f>
        <v/>
      </c>
      <c r="Z1569" s="64">
        <f>E1569-N1569</f>
        <v/>
      </c>
    </row>
    <row r="1570" ht="15.75" customHeight="1" s="202">
      <c r="K1570" s="48">
        <f>D1570+8</f>
        <v/>
      </c>
      <c r="L1570" s="48">
        <f>K1570+60</f>
        <v/>
      </c>
      <c r="S1570" s="200" t="n"/>
      <c r="T1570" s="201" t="n"/>
      <c r="U1570" s="58" t="n"/>
      <c r="V1570" s="67" t="n"/>
      <c r="W1570" s="67" t="n"/>
      <c r="X1570" s="62" t="inlineStr">
        <is>
          <t>N-OP</t>
        </is>
      </c>
      <c r="Y1570" s="116">
        <f>F1570/E1570</f>
        <v/>
      </c>
      <c r="Z1570" s="64">
        <f>E1570-N1570</f>
        <v/>
      </c>
    </row>
    <row r="1571" ht="15.75" customHeight="1" s="202">
      <c r="K1571" s="48">
        <f>D1571+8</f>
        <v/>
      </c>
      <c r="L1571" s="48">
        <f>K1571+60</f>
        <v/>
      </c>
      <c r="S1571" s="200" t="n"/>
      <c r="T1571" s="201" t="n"/>
      <c r="U1571" s="58" t="n"/>
      <c r="V1571" s="67" t="n"/>
      <c r="W1571" s="67" t="n"/>
      <c r="X1571" s="62" t="inlineStr">
        <is>
          <t>N-OP</t>
        </is>
      </c>
      <c r="Y1571" s="116">
        <f>F1571/E1571</f>
        <v/>
      </c>
      <c r="Z1571" s="64">
        <f>E1571-N1571</f>
        <v/>
      </c>
    </row>
    <row r="1572" ht="15.75" customHeight="1" s="202">
      <c r="K1572" s="48">
        <f>D1572+8</f>
        <v/>
      </c>
      <c r="L1572" s="48">
        <f>K1572+60</f>
        <v/>
      </c>
      <c r="S1572" s="200" t="n"/>
      <c r="T1572" s="201" t="n"/>
      <c r="U1572" s="58" t="n"/>
      <c r="V1572" s="67" t="n"/>
      <c r="W1572" s="67" t="n"/>
      <c r="X1572" s="62" t="inlineStr">
        <is>
          <t>N-OP</t>
        </is>
      </c>
      <c r="Y1572" s="116">
        <f>F1572/E1572</f>
        <v/>
      </c>
      <c r="Z1572" s="64">
        <f>E1572-N1572</f>
        <v/>
      </c>
    </row>
    <row r="1573" ht="15.75" customHeight="1" s="202">
      <c r="K1573" s="48">
        <f>D1573+8</f>
        <v/>
      </c>
      <c r="L1573" s="48">
        <f>K1573+60</f>
        <v/>
      </c>
      <c r="S1573" s="200" t="n"/>
      <c r="T1573" s="201" t="n"/>
      <c r="U1573" s="58" t="n"/>
      <c r="V1573" s="67" t="n"/>
      <c r="W1573" s="67" t="n"/>
      <c r="X1573" s="62" t="inlineStr">
        <is>
          <t>N-OP</t>
        </is>
      </c>
      <c r="Y1573" s="116">
        <f>F1573/E1573</f>
        <v/>
      </c>
      <c r="Z1573" s="64">
        <f>E1573-N1573</f>
        <v/>
      </c>
    </row>
    <row r="1574" ht="15.75" customHeight="1" s="202">
      <c r="K1574" s="48">
        <f>D1574+8</f>
        <v/>
      </c>
      <c r="L1574" s="48">
        <f>K1574+60</f>
        <v/>
      </c>
      <c r="S1574" s="200" t="n"/>
      <c r="T1574" s="201" t="n"/>
      <c r="U1574" s="58" t="n"/>
      <c r="V1574" s="67" t="n"/>
      <c r="W1574" s="67" t="n"/>
      <c r="X1574" s="62" t="inlineStr">
        <is>
          <t>N-OP</t>
        </is>
      </c>
      <c r="Y1574" s="116">
        <f>F1574/E1574</f>
        <v/>
      </c>
      <c r="Z1574" s="64">
        <f>E1574-N1574</f>
        <v/>
      </c>
    </row>
    <row r="1575" ht="15.75" customHeight="1" s="202">
      <c r="K1575" s="48">
        <f>D1575+8</f>
        <v/>
      </c>
      <c r="L1575" s="48">
        <f>K1575+60</f>
        <v/>
      </c>
      <c r="S1575" s="200" t="n"/>
      <c r="T1575" s="201" t="n"/>
      <c r="U1575" s="58" t="n"/>
      <c r="V1575" s="67" t="n"/>
      <c r="W1575" s="67" t="n"/>
      <c r="X1575" s="62" t="inlineStr">
        <is>
          <t>N-OP</t>
        </is>
      </c>
      <c r="Y1575" s="116">
        <f>F1575/E1575</f>
        <v/>
      </c>
      <c r="Z1575" s="64">
        <f>E1575-N1575</f>
        <v/>
      </c>
    </row>
    <row r="1576" ht="15.75" customHeight="1" s="202">
      <c r="K1576" s="48">
        <f>D1576+8</f>
        <v/>
      </c>
      <c r="L1576" s="48">
        <f>K1576+60</f>
        <v/>
      </c>
      <c r="S1576" s="200" t="n"/>
      <c r="T1576" s="201" t="n"/>
      <c r="U1576" s="58" t="n"/>
      <c r="V1576" s="67" t="n"/>
      <c r="W1576" s="67" t="n"/>
      <c r="X1576" s="62" t="inlineStr">
        <is>
          <t>N-OP</t>
        </is>
      </c>
      <c r="Y1576" s="116">
        <f>F1576/E1576</f>
        <v/>
      </c>
      <c r="Z1576" s="64">
        <f>E1576-N1576</f>
        <v/>
      </c>
    </row>
    <row r="1577" ht="15.75" customHeight="1" s="202">
      <c r="K1577" s="48">
        <f>D1577+8</f>
        <v/>
      </c>
      <c r="L1577" s="48">
        <f>K1577+60</f>
        <v/>
      </c>
      <c r="S1577" s="200" t="n"/>
      <c r="T1577" s="201" t="n"/>
      <c r="U1577" s="58" t="n"/>
      <c r="V1577" s="67" t="n"/>
      <c r="W1577" s="67" t="n"/>
      <c r="X1577" s="62" t="inlineStr">
        <is>
          <t>N-OP</t>
        </is>
      </c>
      <c r="Y1577" s="116">
        <f>F1577/E1577</f>
        <v/>
      </c>
      <c r="Z1577" s="64">
        <f>E1577-N1577</f>
        <v/>
      </c>
    </row>
    <row r="1578" ht="15.75" customHeight="1" s="202">
      <c r="K1578" s="48">
        <f>D1578+8</f>
        <v/>
      </c>
      <c r="L1578" s="48">
        <f>K1578+60</f>
        <v/>
      </c>
      <c r="S1578" s="200" t="n"/>
      <c r="T1578" s="201" t="n"/>
      <c r="U1578" s="58" t="n"/>
      <c r="V1578" s="67" t="n"/>
      <c r="W1578" s="67" t="n"/>
      <c r="X1578" s="62" t="inlineStr">
        <is>
          <t>N-OP</t>
        </is>
      </c>
      <c r="Y1578" s="116">
        <f>F1578/E1578</f>
        <v/>
      </c>
      <c r="Z1578" s="64">
        <f>E1578-N1578</f>
        <v/>
      </c>
    </row>
    <row r="1579" ht="15.75" customHeight="1" s="202">
      <c r="K1579" s="48">
        <f>D1579+8</f>
        <v/>
      </c>
      <c r="L1579" s="48">
        <f>K1579+60</f>
        <v/>
      </c>
      <c r="S1579" s="200" t="n"/>
      <c r="T1579" s="201" t="n"/>
      <c r="U1579" s="58" t="n"/>
      <c r="V1579" s="67" t="n"/>
      <c r="W1579" s="67" t="n"/>
      <c r="X1579" s="62" t="inlineStr">
        <is>
          <t>N-OP</t>
        </is>
      </c>
      <c r="Y1579" s="116">
        <f>F1579/E1579</f>
        <v/>
      </c>
      <c r="Z1579" s="64">
        <f>E1579-N1579</f>
        <v/>
      </c>
    </row>
    <row r="1580" ht="15.75" customHeight="1" s="202">
      <c r="K1580" s="48">
        <f>D1580+8</f>
        <v/>
      </c>
      <c r="L1580" s="48">
        <f>K1580+60</f>
        <v/>
      </c>
      <c r="S1580" s="200" t="n"/>
      <c r="T1580" s="201" t="n"/>
      <c r="U1580" s="58" t="n"/>
      <c r="V1580" s="67" t="n"/>
      <c r="W1580" s="67" t="n"/>
      <c r="X1580" s="62" t="inlineStr">
        <is>
          <t>N-OP</t>
        </is>
      </c>
      <c r="Y1580" s="116">
        <f>F1580/E1580</f>
        <v/>
      </c>
      <c r="Z1580" s="64">
        <f>E1580-N1580</f>
        <v/>
      </c>
    </row>
    <row r="1581" ht="15.75" customHeight="1" s="202">
      <c r="K1581" s="48">
        <f>D1581+8</f>
        <v/>
      </c>
      <c r="L1581" s="48">
        <f>K1581+60</f>
        <v/>
      </c>
      <c r="S1581" s="200" t="n"/>
      <c r="T1581" s="201" t="n"/>
      <c r="U1581" s="58" t="n"/>
      <c r="V1581" s="67" t="n"/>
      <c r="W1581" s="67" t="n"/>
      <c r="X1581" s="62" t="inlineStr">
        <is>
          <t>N-OP</t>
        </is>
      </c>
      <c r="Y1581" s="116">
        <f>F1581/E1581</f>
        <v/>
      </c>
      <c r="Z1581" s="64">
        <f>E1581-N1581</f>
        <v/>
      </c>
    </row>
    <row r="1582" ht="15.75" customHeight="1" s="202">
      <c r="K1582" s="48">
        <f>D1582+8</f>
        <v/>
      </c>
      <c r="L1582" s="48">
        <f>K1582+60</f>
        <v/>
      </c>
      <c r="S1582" s="200" t="n"/>
      <c r="T1582" s="201" t="n"/>
      <c r="U1582" s="58" t="n"/>
      <c r="V1582" s="67" t="n"/>
      <c r="W1582" s="67" t="n"/>
      <c r="X1582" s="62" t="inlineStr">
        <is>
          <t>N-OP</t>
        </is>
      </c>
      <c r="Y1582" s="116">
        <f>F1582/E1582</f>
        <v/>
      </c>
      <c r="Z1582" s="64">
        <f>E1582-N1582</f>
        <v/>
      </c>
    </row>
    <row r="1583" ht="15.75" customHeight="1" s="202">
      <c r="K1583" s="48">
        <f>D1583+8</f>
        <v/>
      </c>
      <c r="L1583" s="48">
        <f>K1583+60</f>
        <v/>
      </c>
      <c r="S1583" s="200" t="n"/>
      <c r="T1583" s="201" t="n"/>
      <c r="U1583" s="58" t="n"/>
      <c r="V1583" s="67" t="n"/>
      <c r="W1583" s="67" t="n"/>
      <c r="X1583" s="62" t="inlineStr">
        <is>
          <t>N-OP</t>
        </is>
      </c>
      <c r="Y1583" s="116">
        <f>F1583/E1583</f>
        <v/>
      </c>
      <c r="Z1583" s="64">
        <f>E1583-N1583</f>
        <v/>
      </c>
    </row>
    <row r="1584" ht="15.75" customHeight="1" s="202">
      <c r="K1584" s="48">
        <f>D1584+8</f>
        <v/>
      </c>
      <c r="L1584" s="48">
        <f>K1584+60</f>
        <v/>
      </c>
      <c r="S1584" s="200" t="n"/>
      <c r="T1584" s="201" t="n"/>
      <c r="U1584" s="58" t="n"/>
      <c r="V1584" s="67" t="n"/>
      <c r="W1584" s="67" t="n"/>
      <c r="X1584" s="62" t="inlineStr">
        <is>
          <t>N-OP</t>
        </is>
      </c>
      <c r="Y1584" s="116">
        <f>F1584/E1584</f>
        <v/>
      </c>
      <c r="Z1584" s="64">
        <f>E1584-N1584</f>
        <v/>
      </c>
    </row>
    <row r="1585" ht="15.75" customHeight="1" s="202">
      <c r="K1585" s="48">
        <f>D1585+8</f>
        <v/>
      </c>
      <c r="L1585" s="48">
        <f>K1585+60</f>
        <v/>
      </c>
      <c r="S1585" s="200" t="n"/>
      <c r="T1585" s="201" t="n"/>
      <c r="U1585" s="58" t="n"/>
      <c r="V1585" s="67" t="n"/>
      <c r="W1585" s="67" t="n"/>
      <c r="X1585" s="62" t="inlineStr">
        <is>
          <t>N-OP</t>
        </is>
      </c>
      <c r="Y1585" s="116">
        <f>F1585/E1585</f>
        <v/>
      </c>
      <c r="Z1585" s="64">
        <f>E1585-N1585</f>
        <v/>
      </c>
    </row>
    <row r="1586" ht="15.75" customHeight="1" s="202">
      <c r="K1586" s="48">
        <f>D1586+8</f>
        <v/>
      </c>
      <c r="L1586" s="48">
        <f>K1586+60</f>
        <v/>
      </c>
      <c r="S1586" s="200" t="n"/>
      <c r="T1586" s="201" t="n"/>
      <c r="U1586" s="58" t="n"/>
      <c r="V1586" s="67" t="n"/>
      <c r="W1586" s="67" t="n"/>
      <c r="X1586" s="62" t="inlineStr">
        <is>
          <t>N-OP</t>
        </is>
      </c>
      <c r="Y1586" s="116">
        <f>F1586/E1586</f>
        <v/>
      </c>
      <c r="Z1586" s="64">
        <f>E1586-N1586</f>
        <v/>
      </c>
    </row>
    <row r="1587" ht="15.75" customHeight="1" s="202">
      <c r="K1587" s="48">
        <f>D1587+8</f>
        <v/>
      </c>
      <c r="L1587" s="48">
        <f>K1587+60</f>
        <v/>
      </c>
      <c r="S1587" s="200" t="n"/>
      <c r="T1587" s="201" t="n"/>
      <c r="U1587" s="58" t="n"/>
      <c r="V1587" s="67" t="n"/>
      <c r="W1587" s="67" t="n"/>
      <c r="X1587" s="62" t="inlineStr">
        <is>
          <t>N-OP</t>
        </is>
      </c>
      <c r="Y1587" s="116">
        <f>F1587/E1587</f>
        <v/>
      </c>
      <c r="Z1587" s="64">
        <f>E1587-N1587</f>
        <v/>
      </c>
    </row>
    <row r="1588" ht="15.75" customHeight="1" s="202">
      <c r="K1588" s="48">
        <f>D1588+8</f>
        <v/>
      </c>
      <c r="L1588" s="48">
        <f>K1588+60</f>
        <v/>
      </c>
      <c r="S1588" s="200" t="n"/>
      <c r="T1588" s="201" t="n"/>
      <c r="U1588" s="58" t="n"/>
      <c r="V1588" s="67" t="n"/>
      <c r="W1588" s="67" t="n"/>
      <c r="X1588" s="62" t="inlineStr">
        <is>
          <t>N-OP</t>
        </is>
      </c>
      <c r="Y1588" s="116">
        <f>F1588/E1588</f>
        <v/>
      </c>
      <c r="Z1588" s="64">
        <f>E1588-N1588</f>
        <v/>
      </c>
    </row>
    <row r="1589" ht="15.75" customHeight="1" s="202">
      <c r="K1589" s="48">
        <f>D1589+8</f>
        <v/>
      </c>
      <c r="L1589" s="48">
        <f>K1589+60</f>
        <v/>
      </c>
      <c r="S1589" s="200" t="n"/>
      <c r="T1589" s="201" t="n"/>
      <c r="U1589" s="58" t="n"/>
      <c r="V1589" s="67" t="n"/>
      <c r="W1589" s="67" t="n"/>
      <c r="X1589" s="62" t="inlineStr">
        <is>
          <t>N-OP</t>
        </is>
      </c>
      <c r="Y1589" s="116">
        <f>F1589/E1589</f>
        <v/>
      </c>
      <c r="Z1589" s="64">
        <f>E1589-N1589</f>
        <v/>
      </c>
    </row>
    <row r="1590" ht="15.75" customHeight="1" s="202">
      <c r="K1590" s="48">
        <f>D1590+8</f>
        <v/>
      </c>
      <c r="L1590" s="48">
        <f>K1590+60</f>
        <v/>
      </c>
      <c r="S1590" s="200" t="n"/>
      <c r="T1590" s="201" t="n"/>
      <c r="U1590" s="58" t="n"/>
      <c r="V1590" s="67" t="n"/>
      <c r="W1590" s="67" t="n"/>
      <c r="X1590" s="62" t="inlineStr">
        <is>
          <t>N-OP</t>
        </is>
      </c>
      <c r="Y1590" s="116">
        <f>F1590/E1590</f>
        <v/>
      </c>
      <c r="Z1590" s="64">
        <f>E1590-N1590</f>
        <v/>
      </c>
    </row>
    <row r="1591" ht="15.75" customHeight="1" s="202">
      <c r="K1591" s="48">
        <f>D1591+8</f>
        <v/>
      </c>
      <c r="L1591" s="48">
        <f>K1591+60</f>
        <v/>
      </c>
      <c r="S1591" s="200" t="n"/>
      <c r="T1591" s="201" t="n"/>
      <c r="U1591" s="58" t="n"/>
      <c r="V1591" s="67" t="n"/>
      <c r="W1591" s="67" t="n"/>
      <c r="X1591" s="62" t="inlineStr">
        <is>
          <t>N-OP</t>
        </is>
      </c>
      <c r="Y1591" s="116">
        <f>F1591/E1591</f>
        <v/>
      </c>
      <c r="Z1591" s="64">
        <f>E1591-N1591</f>
        <v/>
      </c>
    </row>
    <row r="1592" ht="15.75" customHeight="1" s="202">
      <c r="K1592" s="48">
        <f>D1592+8</f>
        <v/>
      </c>
      <c r="L1592" s="48">
        <f>K1592+60</f>
        <v/>
      </c>
      <c r="S1592" s="200" t="n"/>
      <c r="T1592" s="201" t="n"/>
      <c r="U1592" s="58" t="n"/>
      <c r="V1592" s="67" t="n"/>
      <c r="W1592" s="67" t="n"/>
      <c r="X1592" s="62" t="inlineStr">
        <is>
          <t>N-OP</t>
        </is>
      </c>
      <c r="Y1592" s="116">
        <f>F1592/E1592</f>
        <v/>
      </c>
      <c r="Z1592" s="64">
        <f>E1592-N1592</f>
        <v/>
      </c>
    </row>
    <row r="1593" ht="15.75" customHeight="1" s="202">
      <c r="K1593" s="48">
        <f>D1593+8</f>
        <v/>
      </c>
      <c r="L1593" s="48">
        <f>K1593+60</f>
        <v/>
      </c>
      <c r="S1593" s="200" t="n"/>
      <c r="T1593" s="201" t="n"/>
      <c r="U1593" s="58" t="n"/>
      <c r="V1593" s="67" t="n"/>
      <c r="W1593" s="67" t="n"/>
      <c r="X1593" s="62" t="inlineStr">
        <is>
          <t>N-OP</t>
        </is>
      </c>
      <c r="Y1593" s="116">
        <f>F1593/E1593</f>
        <v/>
      </c>
      <c r="Z1593" s="64">
        <f>E1593-N1593</f>
        <v/>
      </c>
    </row>
    <row r="1594" ht="15.75" customHeight="1" s="202">
      <c r="K1594" s="48">
        <f>D1594+8</f>
        <v/>
      </c>
      <c r="L1594" s="48">
        <f>K1594+60</f>
        <v/>
      </c>
      <c r="S1594" s="200" t="n"/>
      <c r="T1594" s="201" t="n"/>
      <c r="U1594" s="58" t="n"/>
      <c r="V1594" s="67" t="n"/>
      <c r="W1594" s="67" t="n"/>
      <c r="X1594" s="62" t="inlineStr">
        <is>
          <t>N-OP</t>
        </is>
      </c>
      <c r="Y1594" s="116">
        <f>F1594/E1594</f>
        <v/>
      </c>
      <c r="Z1594" s="64">
        <f>E1594-N1594</f>
        <v/>
      </c>
    </row>
    <row r="1595" ht="15.75" customHeight="1" s="202">
      <c r="K1595" s="48">
        <f>D1595+8</f>
        <v/>
      </c>
      <c r="L1595" s="48">
        <f>K1595+60</f>
        <v/>
      </c>
      <c r="S1595" s="200" t="n"/>
      <c r="T1595" s="201" t="n"/>
      <c r="U1595" s="58" t="n"/>
      <c r="V1595" s="67" t="n"/>
      <c r="W1595" s="67" t="n"/>
      <c r="X1595" s="62" t="inlineStr">
        <is>
          <t>N-OP</t>
        </is>
      </c>
      <c r="Y1595" s="116">
        <f>F1595/E1595</f>
        <v/>
      </c>
      <c r="Z1595" s="64">
        <f>E1595-N1595</f>
        <v/>
      </c>
    </row>
    <row r="1596" ht="15.75" customHeight="1" s="202">
      <c r="K1596" s="48">
        <f>D1596+8</f>
        <v/>
      </c>
      <c r="L1596" s="48">
        <f>K1596+60</f>
        <v/>
      </c>
      <c r="S1596" s="200" t="n"/>
      <c r="T1596" s="201" t="n"/>
      <c r="U1596" s="58" t="n"/>
      <c r="V1596" s="67" t="n"/>
      <c r="W1596" s="67" t="n"/>
      <c r="X1596" s="62" t="inlineStr">
        <is>
          <t>N-OP</t>
        </is>
      </c>
      <c r="Y1596" s="116">
        <f>F1596/E1596</f>
        <v/>
      </c>
      <c r="Z1596" s="64">
        <f>E1596-N1596</f>
        <v/>
      </c>
    </row>
    <row r="1597" ht="15.75" customHeight="1" s="202">
      <c r="K1597" s="48">
        <f>D1597+8</f>
        <v/>
      </c>
      <c r="L1597" s="48">
        <f>K1597+60</f>
        <v/>
      </c>
      <c r="S1597" s="200" t="n"/>
      <c r="T1597" s="201" t="n"/>
      <c r="U1597" s="58" t="n"/>
      <c r="V1597" s="67" t="n"/>
      <c r="W1597" s="67" t="n"/>
      <c r="X1597" s="62" t="inlineStr">
        <is>
          <t>N-OP</t>
        </is>
      </c>
      <c r="Y1597" s="116">
        <f>F1597/E1597</f>
        <v/>
      </c>
      <c r="Z1597" s="64">
        <f>E1597-N1597</f>
        <v/>
      </c>
    </row>
    <row r="1598" ht="15.75" customHeight="1" s="202">
      <c r="K1598" s="48">
        <f>D1598+8</f>
        <v/>
      </c>
      <c r="L1598" s="48">
        <f>K1598+60</f>
        <v/>
      </c>
      <c r="S1598" s="200" t="n"/>
      <c r="T1598" s="201" t="n"/>
      <c r="U1598" s="58" t="n"/>
      <c r="V1598" s="67" t="n"/>
      <c r="W1598" s="67" t="n"/>
      <c r="X1598" s="62" t="inlineStr">
        <is>
          <t>N-OP</t>
        </is>
      </c>
      <c r="Y1598" s="116">
        <f>F1598/E1598</f>
        <v/>
      </c>
      <c r="Z1598" s="64">
        <f>E1598-N1598</f>
        <v/>
      </c>
    </row>
    <row r="1599" ht="15.75" customHeight="1" s="202">
      <c r="K1599" s="48">
        <f>D1599+8</f>
        <v/>
      </c>
      <c r="L1599" s="48">
        <f>K1599+60</f>
        <v/>
      </c>
      <c r="S1599" s="200" t="n"/>
      <c r="T1599" s="201" t="n"/>
      <c r="U1599" s="58" t="n"/>
      <c r="V1599" s="67" t="n"/>
      <c r="W1599" s="67" t="n"/>
      <c r="X1599" s="62" t="inlineStr">
        <is>
          <t>N-OP</t>
        </is>
      </c>
      <c r="Y1599" s="116">
        <f>F1599/E1599</f>
        <v/>
      </c>
      <c r="Z1599" s="64">
        <f>E1599-N1599</f>
        <v/>
      </c>
    </row>
    <row r="1600" ht="15.75" customHeight="1" s="202">
      <c r="K1600" s="48">
        <f>D1600+8</f>
        <v/>
      </c>
      <c r="L1600" s="48">
        <f>K1600+60</f>
        <v/>
      </c>
      <c r="S1600" s="200" t="n"/>
      <c r="T1600" s="201" t="n"/>
      <c r="U1600" s="58" t="n"/>
      <c r="V1600" s="67" t="n"/>
      <c r="W1600" s="67" t="n"/>
      <c r="X1600" s="62" t="inlineStr">
        <is>
          <t>N-OP</t>
        </is>
      </c>
      <c r="Y1600" s="116">
        <f>F1600/E1600</f>
        <v/>
      </c>
      <c r="Z1600" s="64">
        <f>E1600-N1600</f>
        <v/>
      </c>
    </row>
    <row r="1601" ht="15.75" customHeight="1" s="202">
      <c r="K1601" s="48">
        <f>D1601+8</f>
        <v/>
      </c>
      <c r="L1601" s="48">
        <f>K1601+60</f>
        <v/>
      </c>
      <c r="S1601" s="200" t="n"/>
      <c r="T1601" s="201" t="n"/>
      <c r="U1601" s="58" t="n"/>
      <c r="V1601" s="67" t="n"/>
      <c r="W1601" s="67" t="n"/>
      <c r="X1601" s="62" t="inlineStr">
        <is>
          <t>N-OP</t>
        </is>
      </c>
      <c r="Y1601" s="116">
        <f>F1601/E1601</f>
        <v/>
      </c>
      <c r="Z1601" s="64">
        <f>E1601-N1601</f>
        <v/>
      </c>
    </row>
    <row r="1602" ht="15.75" customHeight="1" s="202">
      <c r="K1602" s="48">
        <f>D1602+8</f>
        <v/>
      </c>
      <c r="L1602" s="48">
        <f>K1602+60</f>
        <v/>
      </c>
      <c r="S1602" s="200" t="n"/>
      <c r="T1602" s="201" t="n"/>
      <c r="U1602" s="58" t="n"/>
      <c r="V1602" s="67" t="n"/>
      <c r="W1602" s="67" t="n"/>
      <c r="X1602" s="62" t="inlineStr">
        <is>
          <t>N-OP</t>
        </is>
      </c>
      <c r="Y1602" s="116">
        <f>F1602/E1602</f>
        <v/>
      </c>
      <c r="Z1602" s="64">
        <f>E1602-N1602</f>
        <v/>
      </c>
    </row>
    <row r="1603" ht="15.75" customHeight="1" s="202">
      <c r="K1603" s="48">
        <f>D1603+8</f>
        <v/>
      </c>
      <c r="L1603" s="48">
        <f>K1603+60</f>
        <v/>
      </c>
      <c r="S1603" s="200" t="n"/>
      <c r="T1603" s="201" t="n"/>
      <c r="U1603" s="58" t="n"/>
      <c r="V1603" s="67" t="n"/>
      <c r="W1603" s="67" t="n"/>
      <c r="X1603" s="62" t="inlineStr">
        <is>
          <t>N-OP</t>
        </is>
      </c>
      <c r="Y1603" s="116">
        <f>F1603/E1603</f>
        <v/>
      </c>
      <c r="Z1603" s="64">
        <f>E1603-N1603</f>
        <v/>
      </c>
    </row>
    <row r="1604" ht="15.75" customHeight="1" s="202">
      <c r="K1604" s="48">
        <f>D1604+8</f>
        <v/>
      </c>
      <c r="L1604" s="48">
        <f>K1604+60</f>
        <v/>
      </c>
      <c r="S1604" s="200" t="n"/>
      <c r="T1604" s="201" t="n"/>
      <c r="U1604" s="58" t="n"/>
      <c r="V1604" s="67" t="n"/>
      <c r="W1604" s="67" t="n"/>
      <c r="X1604" s="62" t="inlineStr">
        <is>
          <t>N-OP</t>
        </is>
      </c>
      <c r="Y1604" s="116">
        <f>F1604/E1604</f>
        <v/>
      </c>
      <c r="Z1604" s="64">
        <f>E1604-N1604</f>
        <v/>
      </c>
    </row>
    <row r="1605" ht="15.75" customHeight="1" s="202">
      <c r="K1605" s="48">
        <f>D1605+8</f>
        <v/>
      </c>
      <c r="L1605" s="48">
        <f>K1605+60</f>
        <v/>
      </c>
      <c r="S1605" s="200" t="n"/>
      <c r="T1605" s="201" t="n"/>
      <c r="U1605" s="58" t="n"/>
      <c r="V1605" s="67" t="n"/>
      <c r="W1605" s="67" t="n"/>
      <c r="X1605" s="62" t="inlineStr">
        <is>
          <t>N-OP</t>
        </is>
      </c>
      <c r="Y1605" s="116">
        <f>F1605/E1605</f>
        <v/>
      </c>
      <c r="Z1605" s="64">
        <f>E1605-N1605</f>
        <v/>
      </c>
    </row>
    <row r="1606" ht="15.75" customHeight="1" s="202">
      <c r="K1606" s="48">
        <f>D1606+8</f>
        <v/>
      </c>
      <c r="L1606" s="48">
        <f>K1606+60</f>
        <v/>
      </c>
      <c r="S1606" s="200" t="n"/>
      <c r="T1606" s="201" t="n"/>
      <c r="U1606" s="58" t="n"/>
      <c r="V1606" s="67" t="n"/>
      <c r="W1606" s="67" t="n"/>
      <c r="X1606" s="62" t="inlineStr">
        <is>
          <t>N-OP</t>
        </is>
      </c>
      <c r="Y1606" s="116">
        <f>F1606/E1606</f>
        <v/>
      </c>
      <c r="Z1606" s="64">
        <f>E1606-N1606</f>
        <v/>
      </c>
    </row>
    <row r="1607" ht="15.75" customHeight="1" s="202">
      <c r="K1607" s="48">
        <f>D1607+8</f>
        <v/>
      </c>
      <c r="L1607" s="48">
        <f>K1607+60</f>
        <v/>
      </c>
      <c r="S1607" s="200" t="n"/>
      <c r="T1607" s="201" t="n"/>
      <c r="U1607" s="58" t="n"/>
      <c r="V1607" s="67" t="n"/>
      <c r="W1607" s="67" t="n"/>
      <c r="X1607" s="62" t="inlineStr">
        <is>
          <t>N-OP</t>
        </is>
      </c>
      <c r="Y1607" s="116">
        <f>F1607/E1607</f>
        <v/>
      </c>
      <c r="Z1607" s="64">
        <f>E1607-N1607</f>
        <v/>
      </c>
    </row>
    <row r="1608" ht="15.75" customHeight="1" s="202">
      <c r="K1608" s="48">
        <f>D1608+8</f>
        <v/>
      </c>
      <c r="L1608" s="48">
        <f>K1608+60</f>
        <v/>
      </c>
      <c r="S1608" s="200" t="n"/>
      <c r="T1608" s="201" t="n"/>
      <c r="U1608" s="58" t="n"/>
      <c r="V1608" s="67" t="n"/>
      <c r="W1608" s="67" t="n"/>
      <c r="X1608" s="62" t="inlineStr">
        <is>
          <t>N-OP</t>
        </is>
      </c>
      <c r="Y1608" s="116">
        <f>F1608/E1608</f>
        <v/>
      </c>
      <c r="Z1608" s="64">
        <f>E1608-N1608</f>
        <v/>
      </c>
    </row>
    <row r="1609" ht="15.75" customHeight="1" s="202">
      <c r="K1609" s="48">
        <f>D1609+8</f>
        <v/>
      </c>
      <c r="L1609" s="48">
        <f>K1609+60</f>
        <v/>
      </c>
      <c r="S1609" s="200" t="n"/>
      <c r="T1609" s="201" t="n"/>
      <c r="U1609" s="58" t="n"/>
      <c r="V1609" s="67" t="n"/>
      <c r="W1609" s="67" t="n"/>
      <c r="X1609" s="62" t="inlineStr">
        <is>
          <t>N-OP</t>
        </is>
      </c>
      <c r="Y1609" s="116">
        <f>F1609/E1609</f>
        <v/>
      </c>
      <c r="Z1609" s="64">
        <f>E1609-N1609</f>
        <v/>
      </c>
    </row>
    <row r="1610" ht="15.75" customHeight="1" s="202">
      <c r="K1610" s="48">
        <f>D1610+8</f>
        <v/>
      </c>
      <c r="L1610" s="48">
        <f>K1610+60</f>
        <v/>
      </c>
      <c r="S1610" s="200" t="n"/>
      <c r="T1610" s="201" t="n"/>
      <c r="U1610" s="58" t="n"/>
      <c r="V1610" s="67" t="n"/>
      <c r="W1610" s="67" t="n"/>
      <c r="X1610" s="62" t="inlineStr">
        <is>
          <t>N-OP</t>
        </is>
      </c>
      <c r="Y1610" s="116">
        <f>F1610/E1610</f>
        <v/>
      </c>
      <c r="Z1610" s="64">
        <f>E1610-N1610</f>
        <v/>
      </c>
    </row>
    <row r="1611" ht="15.75" customHeight="1" s="202">
      <c r="K1611" s="48">
        <f>D1611+8</f>
        <v/>
      </c>
      <c r="L1611" s="48">
        <f>K1611+60</f>
        <v/>
      </c>
      <c r="S1611" s="200" t="n"/>
      <c r="T1611" s="201" t="n"/>
      <c r="U1611" s="58" t="n"/>
      <c r="V1611" s="67" t="n"/>
      <c r="W1611" s="67" t="n"/>
      <c r="X1611" s="62" t="inlineStr">
        <is>
          <t>N-OP</t>
        </is>
      </c>
      <c r="Y1611" s="116">
        <f>F1611/E1611</f>
        <v/>
      </c>
      <c r="Z1611" s="64">
        <f>E1611-N1611</f>
        <v/>
      </c>
    </row>
    <row r="1612" ht="15.75" customHeight="1" s="202">
      <c r="K1612" s="48">
        <f>D1612+8</f>
        <v/>
      </c>
      <c r="L1612" s="48">
        <f>K1612+60</f>
        <v/>
      </c>
      <c r="S1612" s="200" t="n"/>
      <c r="T1612" s="201" t="n"/>
      <c r="U1612" s="58" t="n"/>
      <c r="V1612" s="67" t="n"/>
      <c r="W1612" s="67" t="n"/>
      <c r="X1612" s="62" t="inlineStr">
        <is>
          <t>N-OP</t>
        </is>
      </c>
      <c r="Y1612" s="116">
        <f>F1612/E1612</f>
        <v/>
      </c>
      <c r="Z1612" s="64">
        <f>E1612-N1612</f>
        <v/>
      </c>
    </row>
    <row r="1613" ht="15.75" customHeight="1" s="202">
      <c r="K1613" s="48">
        <f>D1613+8</f>
        <v/>
      </c>
      <c r="L1613" s="48">
        <f>K1613+60</f>
        <v/>
      </c>
      <c r="S1613" s="200" t="n"/>
      <c r="T1613" s="201" t="n"/>
      <c r="U1613" s="58" t="n"/>
      <c r="V1613" s="67" t="n"/>
      <c r="W1613" s="67" t="n"/>
      <c r="X1613" s="62" t="inlineStr">
        <is>
          <t>N-OP</t>
        </is>
      </c>
      <c r="Y1613" s="116">
        <f>F1613/E1613</f>
        <v/>
      </c>
      <c r="Z1613" s="64">
        <f>E1613-N1613</f>
        <v/>
      </c>
    </row>
    <row r="1614" ht="15.75" customHeight="1" s="202">
      <c r="K1614" s="48">
        <f>D1614+8</f>
        <v/>
      </c>
      <c r="L1614" s="48">
        <f>K1614+60</f>
        <v/>
      </c>
      <c r="S1614" s="200" t="n"/>
      <c r="T1614" s="201" t="n"/>
      <c r="U1614" s="58" t="n"/>
      <c r="V1614" s="67" t="n"/>
      <c r="W1614" s="67" t="n"/>
      <c r="X1614" s="62" t="inlineStr">
        <is>
          <t>N-OP</t>
        </is>
      </c>
      <c r="Y1614" s="116">
        <f>F1614/E1614</f>
        <v/>
      </c>
      <c r="Z1614" s="64">
        <f>E1614-N1614</f>
        <v/>
      </c>
    </row>
    <row r="1615" ht="15.75" customHeight="1" s="202">
      <c r="K1615" s="48">
        <f>D1615+8</f>
        <v/>
      </c>
      <c r="L1615" s="48">
        <f>K1615+60</f>
        <v/>
      </c>
      <c r="S1615" s="200" t="n"/>
      <c r="T1615" s="201" t="n"/>
      <c r="U1615" s="58" t="n"/>
      <c r="V1615" s="67" t="n"/>
      <c r="W1615" s="67" t="n"/>
      <c r="X1615" s="62" t="inlineStr">
        <is>
          <t>N-OP</t>
        </is>
      </c>
      <c r="Y1615" s="116">
        <f>F1615/E1615</f>
        <v/>
      </c>
      <c r="Z1615" s="64">
        <f>E1615-N1615</f>
        <v/>
      </c>
    </row>
    <row r="1616" ht="15.75" customHeight="1" s="202">
      <c r="K1616" s="48">
        <f>D1616+8</f>
        <v/>
      </c>
      <c r="L1616" s="48">
        <f>K1616+60</f>
        <v/>
      </c>
      <c r="S1616" s="200" t="n"/>
      <c r="T1616" s="201" t="n"/>
      <c r="U1616" s="58" t="n"/>
      <c r="V1616" s="67" t="n"/>
      <c r="W1616" s="67" t="n"/>
      <c r="X1616" s="62" t="inlineStr">
        <is>
          <t>N-OP</t>
        </is>
      </c>
      <c r="Y1616" s="116">
        <f>F1616/E1616</f>
        <v/>
      </c>
      <c r="Z1616" s="64">
        <f>E1616-N1616</f>
        <v/>
      </c>
    </row>
    <row r="1617" ht="15.75" customHeight="1" s="202">
      <c r="K1617" s="48">
        <f>D1617+8</f>
        <v/>
      </c>
      <c r="L1617" s="48">
        <f>K1617+60</f>
        <v/>
      </c>
      <c r="S1617" s="200" t="n"/>
      <c r="T1617" s="201" t="n"/>
      <c r="U1617" s="58" t="n"/>
      <c r="V1617" s="67" t="n"/>
      <c r="W1617" s="67" t="n"/>
      <c r="X1617" s="62" t="inlineStr">
        <is>
          <t>N-OP</t>
        </is>
      </c>
      <c r="Y1617" s="116">
        <f>F1617/E1617</f>
        <v/>
      </c>
      <c r="Z1617" s="64">
        <f>E1617-N1617</f>
        <v/>
      </c>
    </row>
    <row r="1618" ht="15.75" customHeight="1" s="202">
      <c r="K1618" s="48">
        <f>D1618+8</f>
        <v/>
      </c>
      <c r="L1618" s="48">
        <f>K1618+60</f>
        <v/>
      </c>
      <c r="S1618" s="200" t="n"/>
      <c r="T1618" s="201" t="n"/>
      <c r="U1618" s="58" t="n"/>
      <c r="V1618" s="67" t="n"/>
      <c r="W1618" s="67" t="n"/>
      <c r="X1618" s="62" t="inlineStr">
        <is>
          <t>N-OP</t>
        </is>
      </c>
      <c r="Y1618" s="116">
        <f>F1618/E1618</f>
        <v/>
      </c>
      <c r="Z1618" s="64">
        <f>E1618-N1618</f>
        <v/>
      </c>
    </row>
    <row r="1619" ht="15.75" customHeight="1" s="202">
      <c r="K1619" s="48">
        <f>D1619+8</f>
        <v/>
      </c>
      <c r="L1619" s="48">
        <f>K1619+60</f>
        <v/>
      </c>
      <c r="S1619" s="200" t="n"/>
      <c r="T1619" s="201" t="n"/>
      <c r="U1619" s="58" t="n"/>
      <c r="V1619" s="67" t="n"/>
      <c r="W1619" s="67" t="n"/>
      <c r="X1619" s="62" t="inlineStr">
        <is>
          <t>N-OP</t>
        </is>
      </c>
      <c r="Y1619" s="116">
        <f>F1619/E1619</f>
        <v/>
      </c>
      <c r="Z1619" s="64">
        <f>E1619-N1619</f>
        <v/>
      </c>
    </row>
    <row r="1620" ht="15.75" customHeight="1" s="202">
      <c r="K1620" s="48">
        <f>D1620+8</f>
        <v/>
      </c>
      <c r="L1620" s="48">
        <f>K1620+60</f>
        <v/>
      </c>
      <c r="S1620" s="200" t="n"/>
      <c r="T1620" s="201" t="n"/>
      <c r="U1620" s="58" t="n"/>
      <c r="V1620" s="67" t="n"/>
      <c r="W1620" s="67" t="n"/>
      <c r="X1620" s="62" t="inlineStr">
        <is>
          <t>N-OP</t>
        </is>
      </c>
      <c r="Y1620" s="116">
        <f>F1620/E1620</f>
        <v/>
      </c>
      <c r="Z1620" s="64">
        <f>E1620-N1620</f>
        <v/>
      </c>
    </row>
    <row r="1621" ht="15.75" customHeight="1" s="202">
      <c r="K1621" s="48">
        <f>D1621+8</f>
        <v/>
      </c>
      <c r="L1621" s="48">
        <f>K1621+60</f>
        <v/>
      </c>
      <c r="S1621" s="200" t="n"/>
      <c r="T1621" s="201" t="n"/>
      <c r="U1621" s="58" t="n"/>
      <c r="V1621" s="67" t="n"/>
      <c r="W1621" s="67" t="n"/>
      <c r="X1621" s="62" t="inlineStr">
        <is>
          <t>N-OP</t>
        </is>
      </c>
      <c r="Y1621" s="116">
        <f>F1621/E1621</f>
        <v/>
      </c>
      <c r="Z1621" s="64">
        <f>E1621-N1621</f>
        <v/>
      </c>
    </row>
    <row r="1622" ht="15.75" customHeight="1" s="202">
      <c r="K1622" s="48">
        <f>D1622+8</f>
        <v/>
      </c>
      <c r="L1622" s="48">
        <f>K1622+60</f>
        <v/>
      </c>
      <c r="S1622" s="200" t="n"/>
      <c r="T1622" s="201" t="n"/>
      <c r="U1622" s="58" t="n"/>
      <c r="V1622" s="67" t="n"/>
      <c r="W1622" s="67" t="n"/>
      <c r="X1622" s="62" t="inlineStr">
        <is>
          <t>N-OP</t>
        </is>
      </c>
      <c r="Y1622" s="116">
        <f>F1622/E1622</f>
        <v/>
      </c>
      <c r="Z1622" s="64">
        <f>E1622-N1622</f>
        <v/>
      </c>
    </row>
    <row r="1623" ht="15.75" customHeight="1" s="202">
      <c r="K1623" s="48">
        <f>D1623+8</f>
        <v/>
      </c>
      <c r="L1623" s="48">
        <f>K1623+60</f>
        <v/>
      </c>
      <c r="S1623" s="200" t="n"/>
      <c r="T1623" s="201" t="n"/>
      <c r="U1623" s="58" t="n"/>
      <c r="V1623" s="67" t="n"/>
      <c r="W1623" s="67" t="n"/>
      <c r="X1623" s="62" t="inlineStr">
        <is>
          <t>N-OP</t>
        </is>
      </c>
      <c r="Y1623" s="116">
        <f>F1623/E1623</f>
        <v/>
      </c>
      <c r="Z1623" s="64">
        <f>E1623-N1623</f>
        <v/>
      </c>
    </row>
    <row r="1624" ht="15.75" customHeight="1" s="202">
      <c r="K1624" s="48">
        <f>D1624+8</f>
        <v/>
      </c>
      <c r="L1624" s="48">
        <f>K1624+60</f>
        <v/>
      </c>
      <c r="S1624" s="200" t="n"/>
      <c r="T1624" s="201" t="n"/>
      <c r="U1624" s="58" t="n"/>
      <c r="V1624" s="67" t="n"/>
      <c r="W1624" s="67" t="n"/>
      <c r="X1624" s="62" t="inlineStr">
        <is>
          <t>N-OP</t>
        </is>
      </c>
      <c r="Y1624" s="116">
        <f>F1624/E1624</f>
        <v/>
      </c>
      <c r="Z1624" s="64">
        <f>E1624-N1624</f>
        <v/>
      </c>
    </row>
    <row r="1625" ht="15.75" customHeight="1" s="202">
      <c r="K1625" s="48">
        <f>D1625+8</f>
        <v/>
      </c>
      <c r="L1625" s="48">
        <f>K1625+60</f>
        <v/>
      </c>
      <c r="S1625" s="200" t="n"/>
      <c r="T1625" s="201" t="n"/>
      <c r="U1625" s="58" t="n"/>
      <c r="V1625" s="67" t="n"/>
      <c r="W1625" s="67" t="n"/>
      <c r="X1625" s="62" t="inlineStr">
        <is>
          <t>N-OP</t>
        </is>
      </c>
      <c r="Y1625" s="116">
        <f>F1625/E1625</f>
        <v/>
      </c>
      <c r="Z1625" s="64">
        <f>E1625-N1625</f>
        <v/>
      </c>
    </row>
    <row r="1626" ht="15.75" customHeight="1" s="202">
      <c r="K1626" s="48">
        <f>D1626+8</f>
        <v/>
      </c>
      <c r="L1626" s="48">
        <f>K1626+60</f>
        <v/>
      </c>
      <c r="S1626" s="200" t="n"/>
      <c r="T1626" s="201" t="n"/>
      <c r="U1626" s="58" t="n"/>
      <c r="V1626" s="67" t="n"/>
      <c r="W1626" s="67" t="n"/>
      <c r="X1626" s="62" t="inlineStr">
        <is>
          <t>N-OP</t>
        </is>
      </c>
      <c r="Y1626" s="116">
        <f>F1626/E1626</f>
        <v/>
      </c>
      <c r="Z1626" s="64">
        <f>E1626-N1626</f>
        <v/>
      </c>
    </row>
    <row r="1627" ht="15.75" customHeight="1" s="202">
      <c r="K1627" s="48">
        <f>D1627+8</f>
        <v/>
      </c>
      <c r="L1627" s="48">
        <f>K1627+60</f>
        <v/>
      </c>
      <c r="S1627" s="200" t="n"/>
      <c r="T1627" s="201" t="n"/>
      <c r="U1627" s="58" t="n"/>
      <c r="V1627" s="67" t="n"/>
      <c r="W1627" s="67" t="n"/>
      <c r="X1627" s="62" t="inlineStr">
        <is>
          <t>N-OP</t>
        </is>
      </c>
      <c r="Y1627" s="116">
        <f>F1627/E1627</f>
        <v/>
      </c>
      <c r="Z1627" s="64">
        <f>E1627-N1627</f>
        <v/>
      </c>
    </row>
    <row r="1628" ht="15.75" customHeight="1" s="202">
      <c r="K1628" s="48">
        <f>D1628+8</f>
        <v/>
      </c>
      <c r="L1628" s="48">
        <f>K1628+60</f>
        <v/>
      </c>
      <c r="S1628" s="200" t="n"/>
      <c r="T1628" s="201" t="n"/>
      <c r="U1628" s="58" t="n"/>
      <c r="V1628" s="67" t="n"/>
      <c r="W1628" s="67" t="n"/>
      <c r="X1628" s="62" t="inlineStr">
        <is>
          <t>N-OP</t>
        </is>
      </c>
      <c r="Y1628" s="116">
        <f>F1628/E1628</f>
        <v/>
      </c>
      <c r="Z1628" s="64">
        <f>E1628-N1628</f>
        <v/>
      </c>
    </row>
    <row r="1629" ht="15.75" customHeight="1" s="202">
      <c r="K1629" s="48">
        <f>D1629+8</f>
        <v/>
      </c>
      <c r="L1629" s="48">
        <f>K1629+60</f>
        <v/>
      </c>
      <c r="S1629" s="200" t="n"/>
      <c r="T1629" s="201" t="n"/>
      <c r="U1629" s="58" t="n"/>
      <c r="V1629" s="67" t="n"/>
      <c r="W1629" s="67" t="n"/>
      <c r="X1629" s="62" t="inlineStr">
        <is>
          <t>N-OP</t>
        </is>
      </c>
      <c r="Y1629" s="116">
        <f>F1629/E1629</f>
        <v/>
      </c>
      <c r="Z1629" s="64">
        <f>E1629-N1629</f>
        <v/>
      </c>
    </row>
    <row r="1630" ht="15.75" customHeight="1" s="202">
      <c r="K1630" s="48">
        <f>D1630+8</f>
        <v/>
      </c>
      <c r="L1630" s="48">
        <f>K1630+60</f>
        <v/>
      </c>
      <c r="S1630" s="200" t="n"/>
      <c r="T1630" s="201" t="n"/>
      <c r="U1630" s="58" t="n"/>
      <c r="V1630" s="67" t="n"/>
      <c r="W1630" s="67" t="n"/>
      <c r="X1630" s="62" t="inlineStr">
        <is>
          <t>N-OP</t>
        </is>
      </c>
      <c r="Y1630" s="116">
        <f>F1630/E1630</f>
        <v/>
      </c>
      <c r="Z1630" s="64">
        <f>E1630-N1630</f>
        <v/>
      </c>
    </row>
    <row r="1631" ht="15.75" customHeight="1" s="202">
      <c r="K1631" s="48">
        <f>D1631+8</f>
        <v/>
      </c>
      <c r="L1631" s="48">
        <f>K1631+60</f>
        <v/>
      </c>
      <c r="S1631" s="200" t="n"/>
      <c r="T1631" s="201" t="n"/>
      <c r="U1631" s="58" t="n"/>
      <c r="V1631" s="67" t="n"/>
      <c r="W1631" s="67" t="n"/>
      <c r="X1631" s="62" t="inlineStr">
        <is>
          <t>N-OP</t>
        </is>
      </c>
      <c r="Y1631" s="116">
        <f>F1631/E1631</f>
        <v/>
      </c>
      <c r="Z1631" s="64">
        <f>E1631-N1631</f>
        <v/>
      </c>
    </row>
    <row r="1632" ht="15.75" customHeight="1" s="202">
      <c r="K1632" s="48">
        <f>D1632+8</f>
        <v/>
      </c>
      <c r="L1632" s="48">
        <f>K1632+60</f>
        <v/>
      </c>
      <c r="S1632" s="200" t="n"/>
      <c r="T1632" s="201" t="n"/>
      <c r="U1632" s="58" t="n"/>
      <c r="V1632" s="67" t="n"/>
      <c r="W1632" s="67" t="n"/>
      <c r="X1632" s="62" t="inlineStr">
        <is>
          <t>N-OP</t>
        </is>
      </c>
      <c r="Y1632" s="116">
        <f>F1632/E1632</f>
        <v/>
      </c>
      <c r="Z1632" s="64">
        <f>E1632-N1632</f>
        <v/>
      </c>
    </row>
    <row r="1633" ht="15.75" customHeight="1" s="202">
      <c r="K1633" s="48">
        <f>D1633+8</f>
        <v/>
      </c>
      <c r="L1633" s="48">
        <f>K1633+60</f>
        <v/>
      </c>
      <c r="S1633" s="200" t="n"/>
      <c r="T1633" s="201" t="n"/>
      <c r="U1633" s="58" t="n"/>
      <c r="V1633" s="67" t="n"/>
      <c r="W1633" s="67" t="n"/>
      <c r="X1633" s="62" t="inlineStr">
        <is>
          <t>N-OP</t>
        </is>
      </c>
      <c r="Y1633" s="116">
        <f>F1633/E1633</f>
        <v/>
      </c>
      <c r="Z1633" s="64">
        <f>E1633-N1633</f>
        <v/>
      </c>
    </row>
    <row r="1634" ht="15.75" customHeight="1" s="202">
      <c r="K1634" s="48">
        <f>D1634+8</f>
        <v/>
      </c>
      <c r="L1634" s="48">
        <f>K1634+60</f>
        <v/>
      </c>
      <c r="S1634" s="200" t="n"/>
      <c r="T1634" s="201" t="n"/>
      <c r="U1634" s="58" t="n"/>
      <c r="V1634" s="67" t="n"/>
      <c r="W1634" s="67" t="n"/>
      <c r="X1634" s="62" t="inlineStr">
        <is>
          <t>N-OP</t>
        </is>
      </c>
      <c r="Y1634" s="116">
        <f>F1634/E1634</f>
        <v/>
      </c>
      <c r="Z1634" s="64">
        <f>E1634-N1634</f>
        <v/>
      </c>
    </row>
    <row r="1635" ht="15.75" customHeight="1" s="202">
      <c r="K1635" s="48">
        <f>D1635+8</f>
        <v/>
      </c>
      <c r="L1635" s="48">
        <f>K1635+60</f>
        <v/>
      </c>
      <c r="S1635" s="200" t="n"/>
      <c r="T1635" s="201" t="n"/>
      <c r="U1635" s="58" t="n"/>
      <c r="V1635" s="67" t="n"/>
      <c r="W1635" s="67" t="n"/>
      <c r="X1635" s="62" t="inlineStr">
        <is>
          <t>N-OP</t>
        </is>
      </c>
      <c r="Y1635" s="116">
        <f>F1635/E1635</f>
        <v/>
      </c>
      <c r="Z1635" s="64">
        <f>E1635-N1635</f>
        <v/>
      </c>
    </row>
    <row r="1636" ht="15.75" customHeight="1" s="202">
      <c r="K1636" s="48">
        <f>D1636+8</f>
        <v/>
      </c>
      <c r="L1636" s="48">
        <f>K1636+60</f>
        <v/>
      </c>
      <c r="S1636" s="200" t="n"/>
      <c r="T1636" s="201" t="n"/>
      <c r="U1636" s="58" t="n"/>
      <c r="V1636" s="67" t="n"/>
      <c r="W1636" s="67" t="n"/>
      <c r="X1636" s="62" t="inlineStr">
        <is>
          <t>N-OP</t>
        </is>
      </c>
      <c r="Y1636" s="116">
        <f>F1636/E1636</f>
        <v/>
      </c>
      <c r="Z1636" s="64">
        <f>E1636-N1636</f>
        <v/>
      </c>
    </row>
    <row r="1637" ht="15.75" customHeight="1" s="202">
      <c r="K1637" s="48">
        <f>D1637+8</f>
        <v/>
      </c>
      <c r="L1637" s="48">
        <f>K1637+60</f>
        <v/>
      </c>
      <c r="S1637" s="200" t="n"/>
      <c r="T1637" s="201" t="n"/>
      <c r="U1637" s="58" t="n"/>
      <c r="V1637" s="67" t="n"/>
      <c r="W1637" s="67" t="n"/>
      <c r="X1637" s="62" t="inlineStr">
        <is>
          <t>N-OP</t>
        </is>
      </c>
      <c r="Y1637" s="116">
        <f>F1637/E1637</f>
        <v/>
      </c>
      <c r="Z1637" s="64">
        <f>E1637-N1637</f>
        <v/>
      </c>
    </row>
    <row r="1638" ht="15.75" customHeight="1" s="202">
      <c r="K1638" s="48">
        <f>D1638+8</f>
        <v/>
      </c>
      <c r="L1638" s="48">
        <f>K1638+60</f>
        <v/>
      </c>
      <c r="S1638" s="200" t="n"/>
      <c r="T1638" s="201" t="n"/>
      <c r="U1638" s="58" t="n"/>
      <c r="V1638" s="67" t="n"/>
      <c r="W1638" s="67" t="n"/>
      <c r="X1638" s="62" t="inlineStr">
        <is>
          <t>N-OP</t>
        </is>
      </c>
      <c r="Y1638" s="116">
        <f>F1638/E1638</f>
        <v/>
      </c>
      <c r="Z1638" s="64">
        <f>E1638-N1638</f>
        <v/>
      </c>
    </row>
    <row r="1639" ht="15.75" customHeight="1" s="202">
      <c r="K1639" s="48">
        <f>D1639+8</f>
        <v/>
      </c>
      <c r="L1639" s="48">
        <f>K1639+60</f>
        <v/>
      </c>
      <c r="S1639" s="200" t="n"/>
      <c r="T1639" s="201" t="n"/>
      <c r="U1639" s="58" t="n"/>
      <c r="V1639" s="67" t="n"/>
      <c r="W1639" s="67" t="n"/>
      <c r="X1639" s="62" t="inlineStr">
        <is>
          <t>N-OP</t>
        </is>
      </c>
      <c r="Y1639" s="116">
        <f>F1639/E1639</f>
        <v/>
      </c>
      <c r="Z1639" s="64">
        <f>E1639-N1639</f>
        <v/>
      </c>
    </row>
    <row r="1640" ht="15.75" customHeight="1" s="202">
      <c r="K1640" s="48">
        <f>D1640+8</f>
        <v/>
      </c>
      <c r="L1640" s="48">
        <f>K1640+60</f>
        <v/>
      </c>
      <c r="S1640" s="200" t="n"/>
      <c r="T1640" s="201" t="n"/>
      <c r="U1640" s="58" t="n"/>
      <c r="V1640" s="67" t="n"/>
      <c r="W1640" s="67" t="n"/>
      <c r="X1640" s="62" t="inlineStr">
        <is>
          <t>N-OP</t>
        </is>
      </c>
      <c r="Y1640" s="116">
        <f>F1640/E1640</f>
        <v/>
      </c>
      <c r="Z1640" s="64">
        <f>E1640-N1640</f>
        <v/>
      </c>
    </row>
    <row r="1641" ht="15.75" customHeight="1" s="202">
      <c r="K1641" s="48">
        <f>D1641+8</f>
        <v/>
      </c>
      <c r="L1641" s="48">
        <f>K1641+60</f>
        <v/>
      </c>
      <c r="S1641" s="200" t="n"/>
      <c r="T1641" s="201" t="n"/>
      <c r="U1641" s="58" t="n"/>
      <c r="V1641" s="67" t="n"/>
      <c r="W1641" s="67" t="n"/>
      <c r="X1641" s="62" t="inlineStr">
        <is>
          <t>N-OP</t>
        </is>
      </c>
      <c r="Y1641" s="116">
        <f>F1641/E1641</f>
        <v/>
      </c>
      <c r="Z1641" s="64">
        <f>E1641-N1641</f>
        <v/>
      </c>
    </row>
    <row r="1642" ht="15.75" customHeight="1" s="202">
      <c r="K1642" s="48">
        <f>D1642+8</f>
        <v/>
      </c>
      <c r="L1642" s="48">
        <f>K1642+60</f>
        <v/>
      </c>
      <c r="S1642" s="200" t="n"/>
      <c r="T1642" s="201" t="n"/>
      <c r="U1642" s="58" t="n"/>
      <c r="V1642" s="67" t="n"/>
      <c r="W1642" s="67" t="n"/>
      <c r="X1642" s="62" t="inlineStr">
        <is>
          <t>N-OP</t>
        </is>
      </c>
      <c r="Y1642" s="116">
        <f>F1642/E1642</f>
        <v/>
      </c>
      <c r="Z1642" s="64">
        <f>E1642-N1642</f>
        <v/>
      </c>
    </row>
    <row r="1643" ht="15.75" customHeight="1" s="202">
      <c r="K1643" s="48">
        <f>D1643+8</f>
        <v/>
      </c>
      <c r="L1643" s="48">
        <f>K1643+60</f>
        <v/>
      </c>
      <c r="S1643" s="200" t="n"/>
      <c r="T1643" s="201" t="n"/>
      <c r="U1643" s="58" t="n"/>
      <c r="V1643" s="67" t="n"/>
      <c r="W1643" s="67" t="n"/>
      <c r="X1643" s="62" t="inlineStr">
        <is>
          <t>N-OP</t>
        </is>
      </c>
      <c r="Y1643" s="116">
        <f>F1643/E1643</f>
        <v/>
      </c>
      <c r="Z1643" s="64">
        <f>E1643-N1643</f>
        <v/>
      </c>
    </row>
    <row r="1644" ht="15.75" customHeight="1" s="202">
      <c r="K1644" s="48">
        <f>D1644+8</f>
        <v/>
      </c>
      <c r="L1644" s="48">
        <f>K1644+60</f>
        <v/>
      </c>
      <c r="S1644" s="200" t="n"/>
      <c r="T1644" s="201" t="n"/>
      <c r="U1644" s="58" t="n"/>
      <c r="V1644" s="67" t="n"/>
      <c r="W1644" s="67" t="n"/>
      <c r="X1644" s="62" t="inlineStr">
        <is>
          <t>N-OP</t>
        </is>
      </c>
      <c r="Y1644" s="116">
        <f>F1644/E1644</f>
        <v/>
      </c>
      <c r="Z1644" s="64">
        <f>E1644-N1644</f>
        <v/>
      </c>
    </row>
    <row r="1645" ht="15.75" customHeight="1" s="202">
      <c r="K1645" s="48">
        <f>D1645+8</f>
        <v/>
      </c>
      <c r="L1645" s="48">
        <f>K1645+60</f>
        <v/>
      </c>
      <c r="S1645" s="200" t="n"/>
      <c r="T1645" s="201" t="n"/>
      <c r="U1645" s="58" t="n"/>
      <c r="V1645" s="67" t="n"/>
      <c r="W1645" s="67" t="n"/>
      <c r="X1645" s="62" t="inlineStr">
        <is>
          <t>N-OP</t>
        </is>
      </c>
      <c r="Y1645" s="116">
        <f>F1645/E1645</f>
        <v/>
      </c>
      <c r="Z1645" s="64">
        <f>E1645-N1645</f>
        <v/>
      </c>
    </row>
    <row r="1646" ht="15.75" customHeight="1" s="202">
      <c r="K1646" s="48">
        <f>D1646+8</f>
        <v/>
      </c>
      <c r="L1646" s="48">
        <f>K1646+60</f>
        <v/>
      </c>
      <c r="S1646" s="200" t="n"/>
      <c r="T1646" s="201" t="n"/>
      <c r="U1646" s="58" t="n"/>
      <c r="V1646" s="67" t="n"/>
      <c r="W1646" s="67" t="n"/>
      <c r="X1646" s="62" t="inlineStr">
        <is>
          <t>N-OP</t>
        </is>
      </c>
      <c r="Y1646" s="116">
        <f>F1646/E1646</f>
        <v/>
      </c>
      <c r="Z1646" s="64">
        <f>E1646-N1646</f>
        <v/>
      </c>
    </row>
    <row r="1647" ht="15.75" customHeight="1" s="202">
      <c r="K1647" s="48">
        <f>D1647+8</f>
        <v/>
      </c>
      <c r="L1647" s="48">
        <f>K1647+60</f>
        <v/>
      </c>
      <c r="S1647" s="200" t="n"/>
      <c r="T1647" s="201" t="n"/>
      <c r="U1647" s="58" t="n"/>
      <c r="V1647" s="67" t="n"/>
      <c r="W1647" s="67" t="n"/>
      <c r="X1647" s="62" t="inlineStr">
        <is>
          <t>N-OP</t>
        </is>
      </c>
      <c r="Y1647" s="116">
        <f>F1647/E1647</f>
        <v/>
      </c>
      <c r="Z1647" s="64">
        <f>E1647-N1647</f>
        <v/>
      </c>
    </row>
    <row r="1648" ht="15.75" customHeight="1" s="202">
      <c r="K1648" s="48">
        <f>D1648+8</f>
        <v/>
      </c>
      <c r="L1648" s="48">
        <f>K1648+60</f>
        <v/>
      </c>
      <c r="S1648" s="200" t="n"/>
      <c r="T1648" s="201" t="n"/>
      <c r="U1648" s="58" t="n"/>
      <c r="V1648" s="67" t="n"/>
      <c r="W1648" s="67" t="n"/>
      <c r="X1648" s="62" t="inlineStr">
        <is>
          <t>N-OP</t>
        </is>
      </c>
      <c r="Y1648" s="116">
        <f>F1648/E1648</f>
        <v/>
      </c>
      <c r="Z1648" s="64">
        <f>E1648-N1648</f>
        <v/>
      </c>
    </row>
    <row r="1649" ht="15.75" customHeight="1" s="202">
      <c r="K1649" s="48">
        <f>D1649+8</f>
        <v/>
      </c>
      <c r="L1649" s="48">
        <f>K1649+60</f>
        <v/>
      </c>
      <c r="S1649" s="200" t="n"/>
      <c r="T1649" s="201" t="n"/>
      <c r="U1649" s="58" t="n"/>
      <c r="V1649" s="67" t="n"/>
      <c r="W1649" s="67" t="n"/>
      <c r="X1649" s="62" t="inlineStr">
        <is>
          <t>N-OP</t>
        </is>
      </c>
      <c r="Y1649" s="116">
        <f>F1649/E1649</f>
        <v/>
      </c>
      <c r="Z1649" s="64">
        <f>E1649-N1649</f>
        <v/>
      </c>
    </row>
    <row r="1650" ht="15.75" customHeight="1" s="202">
      <c r="K1650" s="48">
        <f>D1650+8</f>
        <v/>
      </c>
      <c r="L1650" s="48">
        <f>K1650+60</f>
        <v/>
      </c>
      <c r="S1650" s="200" t="n"/>
      <c r="T1650" s="201" t="n"/>
      <c r="U1650" s="58" t="n"/>
      <c r="V1650" s="67" t="n"/>
      <c r="W1650" s="67" t="n"/>
      <c r="X1650" s="62" t="inlineStr">
        <is>
          <t>N-OP</t>
        </is>
      </c>
      <c r="Y1650" s="116">
        <f>F1650/E1650</f>
        <v/>
      </c>
      <c r="Z1650" s="64">
        <f>E1650-N1650</f>
        <v/>
      </c>
    </row>
    <row r="1651" ht="15.75" customHeight="1" s="202">
      <c r="K1651" s="48">
        <f>D1651+8</f>
        <v/>
      </c>
      <c r="L1651" s="48">
        <f>K1651+60</f>
        <v/>
      </c>
      <c r="S1651" s="200" t="n"/>
      <c r="T1651" s="201" t="n"/>
      <c r="U1651" s="58" t="n"/>
      <c r="V1651" s="67" t="n"/>
      <c r="W1651" s="67" t="n"/>
      <c r="X1651" s="62" t="inlineStr">
        <is>
          <t>N-OP</t>
        </is>
      </c>
      <c r="Y1651" s="116">
        <f>F1651/E1651</f>
        <v/>
      </c>
      <c r="Z1651" s="64">
        <f>E1651-N1651</f>
        <v/>
      </c>
    </row>
    <row r="1652" ht="15.75" customHeight="1" s="202">
      <c r="K1652" s="48">
        <f>D1652+8</f>
        <v/>
      </c>
      <c r="L1652" s="48">
        <f>K1652+60</f>
        <v/>
      </c>
      <c r="S1652" s="200" t="n"/>
      <c r="T1652" s="201" t="n"/>
      <c r="U1652" s="58" t="n"/>
      <c r="V1652" s="67" t="n"/>
      <c r="W1652" s="67" t="n"/>
      <c r="X1652" s="62" t="inlineStr">
        <is>
          <t>N-OP</t>
        </is>
      </c>
      <c r="Y1652" s="116">
        <f>F1652/E1652</f>
        <v/>
      </c>
      <c r="Z1652" s="64">
        <f>E1652-N1652</f>
        <v/>
      </c>
    </row>
    <row r="1653" ht="15.75" customHeight="1" s="202">
      <c r="K1653" s="48">
        <f>D1653+8</f>
        <v/>
      </c>
      <c r="L1653" s="48">
        <f>K1653+60</f>
        <v/>
      </c>
      <c r="S1653" s="200" t="n"/>
      <c r="T1653" s="201" t="n"/>
      <c r="U1653" s="58" t="n"/>
      <c r="V1653" s="67" t="n"/>
      <c r="W1653" s="67" t="n"/>
      <c r="X1653" s="62" t="inlineStr">
        <is>
          <t>N-OP</t>
        </is>
      </c>
      <c r="Y1653" s="116">
        <f>F1653/E1653</f>
        <v/>
      </c>
      <c r="Z1653" s="64">
        <f>E1653-N1653</f>
        <v/>
      </c>
    </row>
    <row r="1654" ht="15.75" customHeight="1" s="202">
      <c r="K1654" s="48">
        <f>D1654+8</f>
        <v/>
      </c>
      <c r="L1654" s="48">
        <f>K1654+60</f>
        <v/>
      </c>
      <c r="S1654" s="200" t="n"/>
      <c r="T1654" s="201" t="n"/>
      <c r="U1654" s="58" t="n"/>
      <c r="V1654" s="67" t="n"/>
      <c r="W1654" s="67" t="n"/>
      <c r="X1654" s="62" t="inlineStr">
        <is>
          <t>N-OP</t>
        </is>
      </c>
      <c r="Y1654" s="116">
        <f>F1654/E1654</f>
        <v/>
      </c>
      <c r="Z1654" s="64">
        <f>E1654-N1654</f>
        <v/>
      </c>
    </row>
    <row r="1655" ht="15.75" customHeight="1" s="202">
      <c r="K1655" s="48">
        <f>D1655+8</f>
        <v/>
      </c>
      <c r="L1655" s="48">
        <f>K1655+60</f>
        <v/>
      </c>
      <c r="S1655" s="200" t="n"/>
      <c r="T1655" s="201" t="n"/>
      <c r="U1655" s="58" t="n"/>
      <c r="V1655" s="67" t="n"/>
      <c r="W1655" s="67" t="n"/>
      <c r="X1655" s="62" t="inlineStr">
        <is>
          <t>N-OP</t>
        </is>
      </c>
      <c r="Y1655" s="116">
        <f>F1655/E1655</f>
        <v/>
      </c>
      <c r="Z1655" s="64">
        <f>E1655-N1655</f>
        <v/>
      </c>
    </row>
    <row r="1656" ht="15.75" customHeight="1" s="202">
      <c r="K1656" s="48">
        <f>D1656+8</f>
        <v/>
      </c>
      <c r="L1656" s="48">
        <f>K1656+60</f>
        <v/>
      </c>
      <c r="S1656" s="200" t="n"/>
      <c r="T1656" s="201" t="n"/>
      <c r="U1656" s="58" t="n"/>
      <c r="V1656" s="67" t="n"/>
      <c r="W1656" s="67" t="n"/>
      <c r="X1656" s="62" t="inlineStr">
        <is>
          <t>N-OP</t>
        </is>
      </c>
      <c r="Y1656" s="116">
        <f>F1656/E1656</f>
        <v/>
      </c>
      <c r="Z1656" s="64">
        <f>E1656-N1656</f>
        <v/>
      </c>
    </row>
    <row r="1657" ht="15.75" customHeight="1" s="202">
      <c r="K1657" s="48">
        <f>D1657+8</f>
        <v/>
      </c>
      <c r="L1657" s="48">
        <f>K1657+60</f>
        <v/>
      </c>
      <c r="S1657" s="200" t="n"/>
      <c r="T1657" s="201" t="n"/>
      <c r="U1657" s="58" t="n"/>
      <c r="V1657" s="67" t="n"/>
      <c r="W1657" s="67" t="n"/>
      <c r="X1657" s="62" t="inlineStr">
        <is>
          <t>N-OP</t>
        </is>
      </c>
      <c r="Y1657" s="116">
        <f>F1657/E1657</f>
        <v/>
      </c>
      <c r="Z1657" s="64">
        <f>E1657-N1657</f>
        <v/>
      </c>
    </row>
    <row r="1658" ht="15.75" customHeight="1" s="202">
      <c r="K1658" s="48">
        <f>D1658+8</f>
        <v/>
      </c>
      <c r="L1658" s="48">
        <f>K1658+60</f>
        <v/>
      </c>
      <c r="S1658" s="200" t="n"/>
      <c r="T1658" s="201" t="n"/>
      <c r="U1658" s="58" t="n"/>
      <c r="V1658" s="67" t="n"/>
      <c r="W1658" s="67" t="n"/>
      <c r="X1658" s="62" t="inlineStr">
        <is>
          <t>N-OP</t>
        </is>
      </c>
      <c r="Y1658" s="116">
        <f>F1658/E1658</f>
        <v/>
      </c>
      <c r="Z1658" s="64">
        <f>E1658-N1658</f>
        <v/>
      </c>
    </row>
    <row r="1659" ht="15.75" customHeight="1" s="202">
      <c r="K1659" s="48">
        <f>D1659+8</f>
        <v/>
      </c>
      <c r="L1659" s="48">
        <f>K1659+60</f>
        <v/>
      </c>
      <c r="S1659" s="200" t="n"/>
      <c r="T1659" s="201" t="n"/>
      <c r="U1659" s="58" t="n"/>
      <c r="V1659" s="67" t="n"/>
      <c r="W1659" s="67" t="n"/>
      <c r="X1659" s="62" t="inlineStr">
        <is>
          <t>N-OP</t>
        </is>
      </c>
      <c r="Y1659" s="116">
        <f>F1659/E1659</f>
        <v/>
      </c>
      <c r="Z1659" s="64">
        <f>E1659-N1659</f>
        <v/>
      </c>
    </row>
    <row r="1660" ht="15.75" customHeight="1" s="202">
      <c r="K1660" s="48">
        <f>D1660+8</f>
        <v/>
      </c>
      <c r="L1660" s="48">
        <f>K1660+60</f>
        <v/>
      </c>
      <c r="S1660" s="200" t="n"/>
      <c r="T1660" s="201" t="n"/>
      <c r="U1660" s="58" t="n"/>
      <c r="V1660" s="67" t="n"/>
      <c r="W1660" s="67" t="n"/>
      <c r="X1660" s="62" t="inlineStr">
        <is>
          <t>N-OP</t>
        </is>
      </c>
      <c r="Y1660" s="116">
        <f>F1660/E1660</f>
        <v/>
      </c>
      <c r="Z1660" s="64">
        <f>E1660-N1660</f>
        <v/>
      </c>
    </row>
    <row r="1661" ht="15.75" customHeight="1" s="202">
      <c r="K1661" s="48">
        <f>D1661+8</f>
        <v/>
      </c>
      <c r="L1661" s="48">
        <f>K1661+60</f>
        <v/>
      </c>
      <c r="S1661" s="200" t="n"/>
      <c r="T1661" s="201" t="n"/>
      <c r="U1661" s="58" t="n"/>
      <c r="V1661" s="67" t="n"/>
      <c r="W1661" s="67" t="n"/>
      <c r="X1661" s="62" t="inlineStr">
        <is>
          <t>N-OP</t>
        </is>
      </c>
      <c r="Y1661" s="116">
        <f>F1661/E1661</f>
        <v/>
      </c>
      <c r="Z1661" s="64">
        <f>E1661-N1661</f>
        <v/>
      </c>
    </row>
    <row r="1662" ht="15.75" customHeight="1" s="202">
      <c r="K1662" s="48">
        <f>D1662+8</f>
        <v/>
      </c>
      <c r="L1662" s="48">
        <f>K1662+60</f>
        <v/>
      </c>
      <c r="S1662" s="200" t="n"/>
      <c r="T1662" s="201" t="n"/>
      <c r="U1662" s="58" t="n"/>
      <c r="V1662" s="67" t="n"/>
      <c r="W1662" s="67" t="n"/>
      <c r="X1662" s="62" t="inlineStr">
        <is>
          <t>N-OP</t>
        </is>
      </c>
      <c r="Y1662" s="116">
        <f>F1662/E1662</f>
        <v/>
      </c>
      <c r="Z1662" s="64">
        <f>E1662-N1662</f>
        <v/>
      </c>
    </row>
    <row r="1663" ht="15.75" customHeight="1" s="202">
      <c r="K1663" s="48">
        <f>D1663+8</f>
        <v/>
      </c>
      <c r="L1663" s="48">
        <f>K1663+60</f>
        <v/>
      </c>
      <c r="S1663" s="200" t="n"/>
      <c r="T1663" s="201" t="n"/>
      <c r="U1663" s="58" t="n"/>
      <c r="V1663" s="67" t="n"/>
      <c r="W1663" s="67" t="n"/>
      <c r="X1663" s="62" t="inlineStr">
        <is>
          <t>N-OP</t>
        </is>
      </c>
      <c r="Y1663" s="116">
        <f>F1663/E1663</f>
        <v/>
      </c>
      <c r="Z1663" s="64">
        <f>E1663-N1663</f>
        <v/>
      </c>
    </row>
    <row r="1664" ht="15.75" customHeight="1" s="202">
      <c r="K1664" s="48">
        <f>D1664+8</f>
        <v/>
      </c>
      <c r="L1664" s="48">
        <f>K1664+60</f>
        <v/>
      </c>
      <c r="S1664" s="200" t="n"/>
      <c r="T1664" s="201" t="n"/>
      <c r="U1664" s="58" t="n"/>
      <c r="V1664" s="67" t="n"/>
      <c r="W1664" s="67" t="n"/>
      <c r="X1664" s="62" t="inlineStr">
        <is>
          <t>N-OP</t>
        </is>
      </c>
      <c r="Y1664" s="116">
        <f>F1664/E1664</f>
        <v/>
      </c>
      <c r="Z1664" s="64">
        <f>E1664-N1664</f>
        <v/>
      </c>
    </row>
    <row r="1665" ht="15.75" customHeight="1" s="202">
      <c r="K1665" s="48">
        <f>D1665+8</f>
        <v/>
      </c>
      <c r="L1665" s="48">
        <f>K1665+60</f>
        <v/>
      </c>
      <c r="S1665" s="200" t="n"/>
      <c r="T1665" s="201" t="n"/>
      <c r="U1665" s="58" t="n"/>
      <c r="V1665" s="67" t="n"/>
      <c r="W1665" s="67" t="n"/>
      <c r="X1665" s="62" t="inlineStr">
        <is>
          <t>N-OP</t>
        </is>
      </c>
      <c r="Y1665" s="116">
        <f>F1665/E1665</f>
        <v/>
      </c>
      <c r="Z1665" s="64">
        <f>E1665-N1665</f>
        <v/>
      </c>
    </row>
    <row r="1666" ht="15.75" customHeight="1" s="202">
      <c r="K1666" s="48">
        <f>D1666+8</f>
        <v/>
      </c>
      <c r="L1666" s="48">
        <f>K1666+60</f>
        <v/>
      </c>
      <c r="S1666" s="200" t="n"/>
      <c r="T1666" s="201" t="n"/>
      <c r="U1666" s="58" t="n"/>
      <c r="V1666" s="67" t="n"/>
      <c r="W1666" s="67" t="n"/>
      <c r="X1666" s="62" t="inlineStr">
        <is>
          <t>N-OP</t>
        </is>
      </c>
      <c r="Y1666" s="116">
        <f>F1666/E1666</f>
        <v/>
      </c>
      <c r="Z1666" s="64">
        <f>E1666-N1666</f>
        <v/>
      </c>
    </row>
    <row r="1667" ht="15.75" customHeight="1" s="202">
      <c r="K1667" s="48">
        <f>D1667+8</f>
        <v/>
      </c>
      <c r="L1667" s="48">
        <f>K1667+60</f>
        <v/>
      </c>
      <c r="S1667" s="200" t="n"/>
      <c r="T1667" s="201" t="n"/>
      <c r="U1667" s="58" t="n"/>
      <c r="V1667" s="67" t="n"/>
      <c r="W1667" s="67" t="n"/>
      <c r="X1667" s="62" t="inlineStr">
        <is>
          <t>N-OP</t>
        </is>
      </c>
      <c r="Y1667" s="116">
        <f>F1667/E1667</f>
        <v/>
      </c>
      <c r="Z1667" s="64">
        <f>E1667-N1667</f>
        <v/>
      </c>
    </row>
    <row r="1668" ht="15.75" customHeight="1" s="202">
      <c r="K1668" s="48">
        <f>D1668+8</f>
        <v/>
      </c>
      <c r="L1668" s="48">
        <f>K1668+60</f>
        <v/>
      </c>
      <c r="S1668" s="200" t="n"/>
      <c r="T1668" s="201" t="n"/>
      <c r="U1668" s="58" t="n"/>
      <c r="V1668" s="67" t="n"/>
      <c r="W1668" s="67" t="n"/>
      <c r="X1668" s="62" t="inlineStr">
        <is>
          <t>N-OP</t>
        </is>
      </c>
      <c r="Y1668" s="116">
        <f>F1668/E1668</f>
        <v/>
      </c>
      <c r="Z1668" s="64">
        <f>E1668-N1668</f>
        <v/>
      </c>
    </row>
    <row r="1669" ht="15.75" customHeight="1" s="202">
      <c r="K1669" s="48">
        <f>D1669+8</f>
        <v/>
      </c>
      <c r="L1669" s="48">
        <f>K1669+60</f>
        <v/>
      </c>
      <c r="S1669" s="200" t="n"/>
      <c r="T1669" s="201" t="n"/>
      <c r="U1669" s="58" t="n"/>
      <c r="V1669" s="67" t="n"/>
      <c r="W1669" s="67" t="n"/>
      <c r="X1669" s="62" t="inlineStr">
        <is>
          <t>N-OP</t>
        </is>
      </c>
      <c r="Y1669" s="116">
        <f>F1669/E1669</f>
        <v/>
      </c>
      <c r="Z1669" s="64">
        <f>E1669-N1669</f>
        <v/>
      </c>
    </row>
    <row r="1670" ht="15.75" customHeight="1" s="202">
      <c r="K1670" s="48">
        <f>D1670+8</f>
        <v/>
      </c>
      <c r="L1670" s="48">
        <f>K1670+60</f>
        <v/>
      </c>
      <c r="S1670" s="200" t="n"/>
      <c r="T1670" s="201" t="n"/>
      <c r="U1670" s="58" t="n"/>
      <c r="V1670" s="67" t="n"/>
      <c r="W1670" s="67" t="n"/>
      <c r="X1670" s="62" t="inlineStr">
        <is>
          <t>N-OP</t>
        </is>
      </c>
      <c r="Y1670" s="116">
        <f>F1670/E1670</f>
        <v/>
      </c>
      <c r="Z1670" s="64">
        <f>E1670-N1670</f>
        <v/>
      </c>
    </row>
    <row r="1671" ht="15.75" customHeight="1" s="202">
      <c r="K1671" s="48">
        <f>D1671+8</f>
        <v/>
      </c>
      <c r="L1671" s="48">
        <f>K1671+60</f>
        <v/>
      </c>
      <c r="S1671" s="200" t="n"/>
      <c r="T1671" s="201" t="n"/>
      <c r="U1671" s="58" t="n"/>
      <c r="V1671" s="67" t="n"/>
      <c r="W1671" s="67" t="n"/>
      <c r="X1671" s="62" t="inlineStr">
        <is>
          <t>N-OP</t>
        </is>
      </c>
      <c r="Y1671" s="116">
        <f>F1671/E1671</f>
        <v/>
      </c>
      <c r="Z1671" s="64">
        <f>E1671-N1671</f>
        <v/>
      </c>
    </row>
    <row r="1672" ht="15.75" customHeight="1" s="202">
      <c r="K1672" s="48">
        <f>D1672+8</f>
        <v/>
      </c>
      <c r="L1672" s="48">
        <f>K1672+60</f>
        <v/>
      </c>
      <c r="S1672" s="200" t="n"/>
      <c r="T1672" s="201" t="n"/>
      <c r="U1672" s="58" t="n"/>
      <c r="V1672" s="67" t="n"/>
      <c r="W1672" s="67" t="n"/>
      <c r="X1672" s="62" t="inlineStr">
        <is>
          <t>N-OP</t>
        </is>
      </c>
      <c r="Y1672" s="116">
        <f>F1672/E1672</f>
        <v/>
      </c>
      <c r="Z1672" s="64">
        <f>E1672-N1672</f>
        <v/>
      </c>
    </row>
    <row r="1673" ht="15.75" customHeight="1" s="202">
      <c r="K1673" s="48">
        <f>D1673+8</f>
        <v/>
      </c>
      <c r="L1673" s="48">
        <f>K1673+60</f>
        <v/>
      </c>
      <c r="S1673" s="200" t="n"/>
      <c r="T1673" s="201" t="n"/>
      <c r="U1673" s="58" t="n"/>
      <c r="V1673" s="67" t="n"/>
      <c r="W1673" s="67" t="n"/>
      <c r="X1673" s="62" t="inlineStr">
        <is>
          <t>N-OP</t>
        </is>
      </c>
      <c r="Y1673" s="116">
        <f>F1673/E1673</f>
        <v/>
      </c>
      <c r="Z1673" s="64">
        <f>E1673-N1673</f>
        <v/>
      </c>
    </row>
    <row r="1674" ht="15.75" customHeight="1" s="202">
      <c r="K1674" s="48">
        <f>D1674+8</f>
        <v/>
      </c>
      <c r="L1674" s="48">
        <f>K1674+60</f>
        <v/>
      </c>
      <c r="S1674" s="200" t="n"/>
      <c r="T1674" s="201" t="n"/>
      <c r="U1674" s="58" t="n"/>
      <c r="V1674" s="67" t="n"/>
      <c r="W1674" s="67" t="n"/>
      <c r="X1674" s="62" t="inlineStr">
        <is>
          <t>N-OP</t>
        </is>
      </c>
      <c r="Y1674" s="116">
        <f>F1674/E1674</f>
        <v/>
      </c>
      <c r="Z1674" s="64">
        <f>E1674-N1674</f>
        <v/>
      </c>
    </row>
    <row r="1675" ht="15.75" customHeight="1" s="202">
      <c r="K1675" s="48">
        <f>D1675+8</f>
        <v/>
      </c>
      <c r="L1675" s="48">
        <f>K1675+60</f>
        <v/>
      </c>
      <c r="S1675" s="200" t="n"/>
      <c r="T1675" s="201" t="n"/>
      <c r="U1675" s="58" t="n"/>
      <c r="V1675" s="67" t="n"/>
      <c r="W1675" s="67" t="n"/>
      <c r="X1675" s="62" t="inlineStr">
        <is>
          <t>N-OP</t>
        </is>
      </c>
      <c r="Y1675" s="116">
        <f>F1675/E1675</f>
        <v/>
      </c>
      <c r="Z1675" s="64">
        <f>E1675-N1675</f>
        <v/>
      </c>
    </row>
    <row r="1676" ht="15.75" customHeight="1" s="202">
      <c r="K1676" s="48">
        <f>D1676+8</f>
        <v/>
      </c>
      <c r="L1676" s="48">
        <f>K1676+60</f>
        <v/>
      </c>
      <c r="S1676" s="200" t="n"/>
      <c r="T1676" s="201" t="n"/>
      <c r="U1676" s="58" t="n"/>
      <c r="V1676" s="67" t="n"/>
      <c r="W1676" s="67" t="n"/>
      <c r="X1676" s="62" t="inlineStr">
        <is>
          <t>N-OP</t>
        </is>
      </c>
      <c r="Y1676" s="116">
        <f>F1676/E1676</f>
        <v/>
      </c>
      <c r="Z1676" s="64">
        <f>E1676-N1676</f>
        <v/>
      </c>
    </row>
    <row r="1677" ht="15.75" customHeight="1" s="202">
      <c r="K1677" s="48">
        <f>D1677+8</f>
        <v/>
      </c>
      <c r="L1677" s="48">
        <f>K1677+60</f>
        <v/>
      </c>
      <c r="S1677" s="200" t="n"/>
      <c r="T1677" s="201" t="n"/>
      <c r="U1677" s="58" t="n"/>
      <c r="V1677" s="67" t="n"/>
      <c r="W1677" s="67" t="n"/>
      <c r="X1677" s="62" t="inlineStr">
        <is>
          <t>N-OP</t>
        </is>
      </c>
      <c r="Y1677" s="116">
        <f>F1677/E1677</f>
        <v/>
      </c>
      <c r="Z1677" s="64">
        <f>E1677-N1677</f>
        <v/>
      </c>
    </row>
    <row r="1678" ht="15.75" customHeight="1" s="202">
      <c r="K1678" s="48">
        <f>D1678+8</f>
        <v/>
      </c>
      <c r="L1678" s="48">
        <f>K1678+60</f>
        <v/>
      </c>
      <c r="S1678" s="200" t="n"/>
      <c r="T1678" s="201" t="n"/>
      <c r="U1678" s="58" t="n"/>
      <c r="V1678" s="67" t="n"/>
      <c r="W1678" s="67" t="n"/>
      <c r="X1678" s="62" t="inlineStr">
        <is>
          <t>N-OP</t>
        </is>
      </c>
      <c r="Y1678" s="116">
        <f>F1678/E1678</f>
        <v/>
      </c>
      <c r="Z1678" s="64">
        <f>E1678-N1678</f>
        <v/>
      </c>
    </row>
    <row r="1679" ht="15.75" customHeight="1" s="202">
      <c r="K1679" s="48">
        <f>D1679+8</f>
        <v/>
      </c>
      <c r="L1679" s="48">
        <f>K1679+60</f>
        <v/>
      </c>
      <c r="S1679" s="200" t="n"/>
      <c r="T1679" s="201" t="n"/>
      <c r="U1679" s="58" t="n"/>
      <c r="V1679" s="67" t="n"/>
      <c r="W1679" s="67" t="n"/>
      <c r="X1679" s="62" t="inlineStr">
        <is>
          <t>N-OP</t>
        </is>
      </c>
      <c r="Y1679" s="116">
        <f>F1679/E1679</f>
        <v/>
      </c>
      <c r="Z1679" s="64">
        <f>E1679-N1679</f>
        <v/>
      </c>
    </row>
    <row r="1680" ht="15.75" customHeight="1" s="202">
      <c r="K1680" s="48">
        <f>D1680+8</f>
        <v/>
      </c>
      <c r="L1680" s="48">
        <f>K1680+60</f>
        <v/>
      </c>
      <c r="S1680" s="200" t="n"/>
      <c r="T1680" s="201" t="n"/>
      <c r="U1680" s="58" t="n"/>
      <c r="V1680" s="67" t="n"/>
      <c r="W1680" s="67" t="n"/>
      <c r="X1680" s="62" t="inlineStr">
        <is>
          <t>N-OP</t>
        </is>
      </c>
      <c r="Y1680" s="116">
        <f>F1680/E1680</f>
        <v/>
      </c>
      <c r="Z1680" s="64">
        <f>E1680-N1680</f>
        <v/>
      </c>
    </row>
    <row r="1681" ht="15.75" customHeight="1" s="202">
      <c r="K1681" s="48">
        <f>D1681+8</f>
        <v/>
      </c>
      <c r="L1681" s="48">
        <f>K1681+60</f>
        <v/>
      </c>
      <c r="S1681" s="200" t="n"/>
      <c r="T1681" s="201" t="n"/>
      <c r="U1681" s="58" t="n"/>
      <c r="V1681" s="67" t="n"/>
      <c r="W1681" s="67" t="n"/>
      <c r="X1681" s="62" t="inlineStr">
        <is>
          <t>N-OP</t>
        </is>
      </c>
      <c r="Y1681" s="116">
        <f>F1681/E1681</f>
        <v/>
      </c>
      <c r="Z1681" s="64">
        <f>E1681-N1681</f>
        <v/>
      </c>
    </row>
    <row r="1682" ht="15.75" customHeight="1" s="202">
      <c r="K1682" s="48">
        <f>D1682+8</f>
        <v/>
      </c>
      <c r="L1682" s="48">
        <f>K1682+60</f>
        <v/>
      </c>
      <c r="S1682" s="200" t="n"/>
      <c r="T1682" s="201" t="n"/>
      <c r="U1682" s="58" t="n"/>
      <c r="V1682" s="67" t="n"/>
      <c r="W1682" s="67" t="n"/>
      <c r="X1682" s="62" t="inlineStr">
        <is>
          <t>N-OP</t>
        </is>
      </c>
      <c r="Y1682" s="116">
        <f>F1682/E1682</f>
        <v/>
      </c>
      <c r="Z1682" s="64">
        <f>E1682-N1682</f>
        <v/>
      </c>
    </row>
    <row r="1683" ht="15.75" customHeight="1" s="202">
      <c r="K1683" s="48">
        <f>D1683+8</f>
        <v/>
      </c>
      <c r="L1683" s="48">
        <f>K1683+60</f>
        <v/>
      </c>
      <c r="S1683" s="200" t="n"/>
      <c r="T1683" s="201" t="n"/>
      <c r="U1683" s="58" t="n"/>
      <c r="V1683" s="67" t="n"/>
      <c r="W1683" s="67" t="n"/>
      <c r="X1683" s="62" t="inlineStr">
        <is>
          <t>N-OP</t>
        </is>
      </c>
      <c r="Y1683" s="116">
        <f>F1683/E1683</f>
        <v/>
      </c>
      <c r="Z1683" s="64">
        <f>E1683-N1683</f>
        <v/>
      </c>
    </row>
    <row r="1684" ht="15.75" customHeight="1" s="202">
      <c r="K1684" s="48">
        <f>D1684+8</f>
        <v/>
      </c>
      <c r="L1684" s="48">
        <f>K1684+60</f>
        <v/>
      </c>
      <c r="S1684" s="200" t="n"/>
      <c r="T1684" s="201" t="n"/>
      <c r="U1684" s="58" t="n"/>
      <c r="V1684" s="67" t="n"/>
      <c r="W1684" s="67" t="n"/>
      <c r="X1684" s="62" t="inlineStr">
        <is>
          <t>N-OP</t>
        </is>
      </c>
      <c r="Y1684" s="116">
        <f>F1684/E1684</f>
        <v/>
      </c>
      <c r="Z1684" s="64">
        <f>E1684-N1684</f>
        <v/>
      </c>
    </row>
    <row r="1685" ht="15.75" customHeight="1" s="202">
      <c r="K1685" s="48">
        <f>D1685+8</f>
        <v/>
      </c>
      <c r="L1685" s="48">
        <f>K1685+60</f>
        <v/>
      </c>
      <c r="S1685" s="200" t="n"/>
      <c r="T1685" s="201" t="n"/>
      <c r="U1685" s="58" t="n"/>
      <c r="V1685" s="67" t="n"/>
      <c r="W1685" s="67" t="n"/>
      <c r="X1685" s="62" t="inlineStr">
        <is>
          <t>N-OP</t>
        </is>
      </c>
      <c r="Y1685" s="116">
        <f>F1685/E1685</f>
        <v/>
      </c>
      <c r="Z1685" s="64">
        <f>E1685-N1685</f>
        <v/>
      </c>
    </row>
    <row r="1686" ht="15.75" customHeight="1" s="202">
      <c r="K1686" s="48">
        <f>D1686+8</f>
        <v/>
      </c>
      <c r="L1686" s="48">
        <f>K1686+60</f>
        <v/>
      </c>
      <c r="S1686" s="200" t="n"/>
      <c r="T1686" s="201" t="n"/>
      <c r="U1686" s="58" t="n"/>
      <c r="V1686" s="67" t="n"/>
      <c r="W1686" s="67" t="n"/>
      <c r="X1686" s="62" t="inlineStr">
        <is>
          <t>N-OP</t>
        </is>
      </c>
      <c r="Y1686" s="116">
        <f>F1686/E1686</f>
        <v/>
      </c>
      <c r="Z1686" s="64">
        <f>E1686-N1686</f>
        <v/>
      </c>
    </row>
    <row r="1687" ht="15.75" customHeight="1" s="202">
      <c r="K1687" s="48">
        <f>D1687+8</f>
        <v/>
      </c>
      <c r="L1687" s="48">
        <f>K1687+60</f>
        <v/>
      </c>
      <c r="S1687" s="200" t="n"/>
      <c r="T1687" s="201" t="n"/>
      <c r="U1687" s="58" t="n"/>
      <c r="V1687" s="67" t="n"/>
      <c r="W1687" s="67" t="n"/>
      <c r="X1687" s="62" t="inlineStr">
        <is>
          <t>N-OP</t>
        </is>
      </c>
      <c r="Y1687" s="116">
        <f>F1687/E1687</f>
        <v/>
      </c>
      <c r="Z1687" s="64">
        <f>E1687-N1687</f>
        <v/>
      </c>
    </row>
    <row r="1688" ht="15.75" customHeight="1" s="202">
      <c r="K1688" s="48">
        <f>D1688+8</f>
        <v/>
      </c>
      <c r="L1688" s="48">
        <f>K1688+60</f>
        <v/>
      </c>
      <c r="S1688" s="200" t="n"/>
      <c r="T1688" s="201" t="n"/>
      <c r="U1688" s="58" t="n"/>
      <c r="V1688" s="67" t="n"/>
      <c r="W1688" s="67" t="n"/>
      <c r="X1688" s="62" t="inlineStr">
        <is>
          <t>N-OP</t>
        </is>
      </c>
      <c r="Y1688" s="116">
        <f>F1688/E1688</f>
        <v/>
      </c>
      <c r="Z1688" s="64">
        <f>E1688-N1688</f>
        <v/>
      </c>
    </row>
    <row r="1689" ht="15.75" customHeight="1" s="202">
      <c r="K1689" s="48">
        <f>D1689+8</f>
        <v/>
      </c>
      <c r="L1689" s="48">
        <f>K1689+60</f>
        <v/>
      </c>
      <c r="S1689" s="200" t="n"/>
      <c r="T1689" s="201" t="n"/>
      <c r="U1689" s="58" t="n"/>
      <c r="V1689" s="67" t="n"/>
      <c r="W1689" s="67" t="n"/>
      <c r="X1689" s="62" t="inlineStr">
        <is>
          <t>N-OP</t>
        </is>
      </c>
      <c r="Y1689" s="116">
        <f>F1689/E1689</f>
        <v/>
      </c>
      <c r="Z1689" s="64">
        <f>E1689-N1689</f>
        <v/>
      </c>
    </row>
    <row r="1690" ht="15.75" customHeight="1" s="202">
      <c r="K1690" s="48">
        <f>D1690+8</f>
        <v/>
      </c>
      <c r="L1690" s="48">
        <f>K1690+60</f>
        <v/>
      </c>
      <c r="S1690" s="200" t="n"/>
      <c r="T1690" s="201" t="n"/>
      <c r="U1690" s="58" t="n"/>
      <c r="V1690" s="67" t="n"/>
      <c r="W1690" s="67" t="n"/>
      <c r="X1690" s="62" t="inlineStr">
        <is>
          <t>N-OP</t>
        </is>
      </c>
      <c r="Y1690" s="116">
        <f>F1690/E1690</f>
        <v/>
      </c>
      <c r="Z1690" s="64">
        <f>E1690-N1690</f>
        <v/>
      </c>
    </row>
    <row r="1691" ht="15.75" customHeight="1" s="202">
      <c r="K1691" s="48">
        <f>D1691+8</f>
        <v/>
      </c>
      <c r="L1691" s="48">
        <f>K1691+60</f>
        <v/>
      </c>
      <c r="S1691" s="200" t="n"/>
      <c r="T1691" s="201" t="n"/>
      <c r="U1691" s="58" t="n"/>
      <c r="V1691" s="67" t="n"/>
      <c r="W1691" s="67" t="n"/>
      <c r="X1691" s="62" t="inlineStr">
        <is>
          <t>N-OP</t>
        </is>
      </c>
      <c r="Y1691" s="116">
        <f>F1691/E1691</f>
        <v/>
      </c>
      <c r="Z1691" s="64">
        <f>E1691-N1691</f>
        <v/>
      </c>
    </row>
    <row r="1692" ht="15.75" customHeight="1" s="202">
      <c r="K1692" s="48">
        <f>D1692+8</f>
        <v/>
      </c>
      <c r="L1692" s="48">
        <f>K1692+60</f>
        <v/>
      </c>
      <c r="S1692" s="200" t="n"/>
      <c r="T1692" s="201" t="n"/>
      <c r="U1692" s="58" t="n"/>
      <c r="V1692" s="67" t="n"/>
      <c r="W1692" s="67" t="n"/>
      <c r="X1692" s="62" t="inlineStr">
        <is>
          <t>N-OP</t>
        </is>
      </c>
      <c r="Y1692" s="116">
        <f>F1692/E1692</f>
        <v/>
      </c>
      <c r="Z1692" s="64">
        <f>E1692-N1692</f>
        <v/>
      </c>
    </row>
    <row r="1693" ht="15.75" customHeight="1" s="202">
      <c r="K1693" s="48">
        <f>D1693+8</f>
        <v/>
      </c>
      <c r="L1693" s="48">
        <f>K1693+60</f>
        <v/>
      </c>
      <c r="S1693" s="200" t="n"/>
      <c r="T1693" s="201" t="n"/>
      <c r="U1693" s="58" t="n"/>
      <c r="V1693" s="67" t="n"/>
      <c r="W1693" s="67" t="n"/>
      <c r="X1693" s="62" t="inlineStr">
        <is>
          <t>N-OP</t>
        </is>
      </c>
      <c r="Y1693" s="116">
        <f>F1693/E1693</f>
        <v/>
      </c>
      <c r="Z1693" s="64">
        <f>E1693-N1693</f>
        <v/>
      </c>
    </row>
    <row r="1694" ht="15.75" customHeight="1" s="202">
      <c r="K1694" s="48">
        <f>D1694+8</f>
        <v/>
      </c>
      <c r="L1694" s="48">
        <f>K1694+60</f>
        <v/>
      </c>
      <c r="S1694" s="200" t="n"/>
      <c r="T1694" s="201" t="n"/>
      <c r="U1694" s="58" t="n"/>
      <c r="V1694" s="67" t="n"/>
      <c r="W1694" s="67" t="n"/>
      <c r="X1694" s="62" t="inlineStr">
        <is>
          <t>N-OP</t>
        </is>
      </c>
      <c r="Y1694" s="116">
        <f>F1694/E1694</f>
        <v/>
      </c>
      <c r="Z1694" s="64">
        <f>E1694-N1694</f>
        <v/>
      </c>
    </row>
    <row r="1695" ht="15.75" customHeight="1" s="202">
      <c r="K1695" s="48">
        <f>D1695+8</f>
        <v/>
      </c>
      <c r="L1695" s="48">
        <f>K1695+60</f>
        <v/>
      </c>
      <c r="S1695" s="200" t="n"/>
      <c r="T1695" s="201" t="n"/>
      <c r="U1695" s="58" t="n"/>
      <c r="V1695" s="67" t="n"/>
      <c r="W1695" s="67" t="n"/>
      <c r="X1695" s="62" t="inlineStr">
        <is>
          <t>N-OP</t>
        </is>
      </c>
      <c r="Y1695" s="116">
        <f>F1695/E1695</f>
        <v/>
      </c>
      <c r="Z1695" s="64">
        <f>E1695-N1695</f>
        <v/>
      </c>
    </row>
    <row r="1696" ht="15.75" customHeight="1" s="202">
      <c r="K1696" s="48">
        <f>D1696+8</f>
        <v/>
      </c>
      <c r="L1696" s="48">
        <f>K1696+60</f>
        <v/>
      </c>
      <c r="S1696" s="200" t="n"/>
      <c r="T1696" s="201" t="n"/>
      <c r="U1696" s="58" t="n"/>
      <c r="V1696" s="67" t="n"/>
      <c r="W1696" s="67" t="n"/>
      <c r="X1696" s="62" t="inlineStr">
        <is>
          <t>N-OP</t>
        </is>
      </c>
      <c r="Y1696" s="116">
        <f>F1696/E1696</f>
        <v/>
      </c>
      <c r="Z1696" s="64">
        <f>E1696-N1696</f>
        <v/>
      </c>
    </row>
    <row r="1697" ht="15.75" customHeight="1" s="202">
      <c r="K1697" s="48">
        <f>D1697+8</f>
        <v/>
      </c>
      <c r="L1697" s="48">
        <f>K1697+60</f>
        <v/>
      </c>
      <c r="S1697" s="200" t="n"/>
      <c r="T1697" s="201" t="n"/>
      <c r="U1697" s="58" t="n"/>
      <c r="V1697" s="67" t="n"/>
      <c r="W1697" s="67" t="n"/>
      <c r="X1697" s="62" t="inlineStr">
        <is>
          <t>N-OP</t>
        </is>
      </c>
      <c r="Y1697" s="116">
        <f>F1697/E1697</f>
        <v/>
      </c>
      <c r="Z1697" s="64">
        <f>E1697-N1697</f>
        <v/>
      </c>
    </row>
    <row r="1698" ht="15.75" customHeight="1" s="202">
      <c r="K1698" s="48">
        <f>D1698+8</f>
        <v/>
      </c>
      <c r="L1698" s="48">
        <f>K1698+60</f>
        <v/>
      </c>
      <c r="S1698" s="200" t="n"/>
      <c r="T1698" s="201" t="n"/>
      <c r="U1698" s="58" t="n"/>
      <c r="V1698" s="67" t="n"/>
      <c r="W1698" s="67" t="n"/>
      <c r="X1698" s="62" t="inlineStr">
        <is>
          <t>N-OP</t>
        </is>
      </c>
      <c r="Y1698" s="116">
        <f>F1698/E1698</f>
        <v/>
      </c>
      <c r="Z1698" s="64">
        <f>E1698-N1698</f>
        <v/>
      </c>
    </row>
    <row r="1699" ht="15.75" customHeight="1" s="202">
      <c r="K1699" s="48">
        <f>D1699+8</f>
        <v/>
      </c>
      <c r="L1699" s="48">
        <f>K1699+60</f>
        <v/>
      </c>
      <c r="S1699" s="200" t="n"/>
      <c r="T1699" s="201" t="n"/>
      <c r="U1699" s="58" t="n"/>
      <c r="V1699" s="67" t="n"/>
      <c r="W1699" s="67" t="n"/>
      <c r="X1699" s="62" t="inlineStr">
        <is>
          <t>N-OP</t>
        </is>
      </c>
      <c r="Y1699" s="116">
        <f>F1699/E1699</f>
        <v/>
      </c>
      <c r="Z1699" s="64">
        <f>E1699-N1699</f>
        <v/>
      </c>
    </row>
    <row r="1700" ht="15.75" customHeight="1" s="202">
      <c r="K1700" s="48">
        <f>D1700+8</f>
        <v/>
      </c>
      <c r="L1700" s="48">
        <f>K1700+60</f>
        <v/>
      </c>
      <c r="S1700" s="200" t="n"/>
      <c r="T1700" s="201" t="n"/>
      <c r="U1700" s="58" t="n"/>
      <c r="V1700" s="67" t="n"/>
      <c r="W1700" s="67" t="n"/>
      <c r="X1700" s="62" t="inlineStr">
        <is>
          <t>N-OP</t>
        </is>
      </c>
      <c r="Y1700" s="116">
        <f>F1700/E1700</f>
        <v/>
      </c>
      <c r="Z1700" s="64">
        <f>E1700-N1700</f>
        <v/>
      </c>
    </row>
    <row r="1701" ht="15.75" customHeight="1" s="202">
      <c r="K1701" s="48">
        <f>D1701+8</f>
        <v/>
      </c>
      <c r="L1701" s="48">
        <f>K1701+60</f>
        <v/>
      </c>
      <c r="S1701" s="200" t="n"/>
      <c r="T1701" s="201" t="n"/>
      <c r="U1701" s="58" t="n"/>
      <c r="V1701" s="67" t="n"/>
      <c r="W1701" s="67" t="n"/>
      <c r="X1701" s="62" t="inlineStr">
        <is>
          <t>N-OP</t>
        </is>
      </c>
      <c r="Y1701" s="116">
        <f>F1701/E1701</f>
        <v/>
      </c>
      <c r="Z1701" s="64">
        <f>E1701-N1701</f>
        <v/>
      </c>
    </row>
    <row r="1702" ht="15.75" customHeight="1" s="202">
      <c r="K1702" s="48">
        <f>D1702+8</f>
        <v/>
      </c>
      <c r="L1702" s="48">
        <f>K1702+60</f>
        <v/>
      </c>
      <c r="S1702" s="200" t="n"/>
      <c r="T1702" s="201" t="n"/>
      <c r="U1702" s="58" t="n"/>
      <c r="V1702" s="67" t="n"/>
      <c r="W1702" s="67" t="n"/>
      <c r="X1702" s="62" t="inlineStr">
        <is>
          <t>N-OP</t>
        </is>
      </c>
      <c r="Y1702" s="116">
        <f>F1702/E1702</f>
        <v/>
      </c>
      <c r="Z1702" s="64">
        <f>E1702-N1702</f>
        <v/>
      </c>
    </row>
    <row r="1703" ht="15.75" customHeight="1" s="202">
      <c r="K1703" s="48">
        <f>D1703+8</f>
        <v/>
      </c>
      <c r="L1703" s="48">
        <f>K1703+60</f>
        <v/>
      </c>
      <c r="S1703" s="200" t="n"/>
      <c r="T1703" s="201" t="n"/>
      <c r="U1703" s="58" t="n"/>
      <c r="V1703" s="67" t="n"/>
      <c r="W1703" s="67" t="n"/>
      <c r="X1703" s="62" t="inlineStr">
        <is>
          <t>N-OP</t>
        </is>
      </c>
      <c r="Y1703" s="116">
        <f>F1703/E1703</f>
        <v/>
      </c>
      <c r="Z1703" s="64">
        <f>E1703-N1703</f>
        <v/>
      </c>
    </row>
    <row r="1704" ht="15.75" customHeight="1" s="202">
      <c r="K1704" s="48">
        <f>D1704+8</f>
        <v/>
      </c>
      <c r="L1704" s="48">
        <f>K1704+60</f>
        <v/>
      </c>
      <c r="S1704" s="200" t="n"/>
      <c r="T1704" s="201" t="n"/>
      <c r="U1704" s="58" t="n"/>
      <c r="V1704" s="67" t="n"/>
      <c r="W1704" s="67" t="n"/>
      <c r="X1704" s="62" t="inlineStr">
        <is>
          <t>N-OP</t>
        </is>
      </c>
      <c r="Y1704" s="116">
        <f>F1704/E1704</f>
        <v/>
      </c>
      <c r="Z1704" s="64">
        <f>E1704-N1704</f>
        <v/>
      </c>
    </row>
    <row r="1705" ht="15.75" customHeight="1" s="202">
      <c r="K1705" s="48">
        <f>D1705+8</f>
        <v/>
      </c>
      <c r="L1705" s="48">
        <f>K1705+60</f>
        <v/>
      </c>
      <c r="S1705" s="200" t="n"/>
      <c r="T1705" s="201" t="n"/>
      <c r="U1705" s="58" t="n"/>
      <c r="V1705" s="67" t="n"/>
      <c r="W1705" s="67" t="n"/>
      <c r="X1705" s="62" t="inlineStr">
        <is>
          <t>N-OP</t>
        </is>
      </c>
      <c r="Y1705" s="116">
        <f>F1705/E1705</f>
        <v/>
      </c>
      <c r="Z1705" s="64">
        <f>E1705-N1705</f>
        <v/>
      </c>
    </row>
    <row r="1706" ht="15.75" customHeight="1" s="202">
      <c r="K1706" s="48">
        <f>D1706+8</f>
        <v/>
      </c>
      <c r="L1706" s="48">
        <f>K1706+60</f>
        <v/>
      </c>
      <c r="S1706" s="200" t="n"/>
      <c r="T1706" s="201" t="n"/>
      <c r="U1706" s="58" t="n"/>
      <c r="V1706" s="67" t="n"/>
      <c r="W1706" s="67" t="n"/>
      <c r="X1706" s="62" t="inlineStr">
        <is>
          <t>N-OP</t>
        </is>
      </c>
      <c r="Y1706" s="116">
        <f>F1706/E1706</f>
        <v/>
      </c>
      <c r="Z1706" s="64">
        <f>E1706-N1706</f>
        <v/>
      </c>
    </row>
    <row r="1707" ht="15.75" customHeight="1" s="202">
      <c r="K1707" s="48">
        <f>D1707+8</f>
        <v/>
      </c>
      <c r="L1707" s="48">
        <f>K1707+60</f>
        <v/>
      </c>
      <c r="S1707" s="200" t="n"/>
      <c r="T1707" s="201" t="n"/>
      <c r="U1707" s="58" t="n"/>
      <c r="V1707" s="67" t="n"/>
      <c r="W1707" s="67" t="n"/>
      <c r="X1707" s="62" t="inlineStr">
        <is>
          <t>N-OP</t>
        </is>
      </c>
      <c r="Y1707" s="116">
        <f>F1707/E1707</f>
        <v/>
      </c>
      <c r="Z1707" s="64">
        <f>E1707-N1707</f>
        <v/>
      </c>
    </row>
    <row r="1708" ht="15.75" customHeight="1" s="202">
      <c r="K1708" s="48">
        <f>D1708+8</f>
        <v/>
      </c>
      <c r="L1708" s="48">
        <f>K1708+60</f>
        <v/>
      </c>
      <c r="S1708" s="200" t="n"/>
      <c r="T1708" s="201" t="n"/>
      <c r="U1708" s="58" t="n"/>
      <c r="V1708" s="67" t="n"/>
      <c r="W1708" s="67" t="n"/>
      <c r="X1708" s="62" t="inlineStr">
        <is>
          <t>N-OP</t>
        </is>
      </c>
      <c r="Y1708" s="116">
        <f>F1708/E1708</f>
        <v/>
      </c>
      <c r="Z1708" s="64">
        <f>E1708-N1708</f>
        <v/>
      </c>
    </row>
    <row r="1709" ht="15.75" customHeight="1" s="202">
      <c r="K1709" s="48">
        <f>D1709+8</f>
        <v/>
      </c>
      <c r="L1709" s="48">
        <f>K1709+60</f>
        <v/>
      </c>
      <c r="S1709" s="200" t="n"/>
      <c r="T1709" s="201" t="n"/>
      <c r="U1709" s="58" t="n"/>
      <c r="V1709" s="67" t="n"/>
      <c r="W1709" s="67" t="n"/>
      <c r="X1709" s="62" t="inlineStr">
        <is>
          <t>N-OP</t>
        </is>
      </c>
      <c r="Y1709" s="116">
        <f>F1709/E1709</f>
        <v/>
      </c>
      <c r="Z1709" s="64">
        <f>E1709-N1709</f>
        <v/>
      </c>
    </row>
    <row r="1710" ht="15.75" customHeight="1" s="202">
      <c r="K1710" s="48">
        <f>D1710+8</f>
        <v/>
      </c>
      <c r="L1710" s="48">
        <f>K1710+60</f>
        <v/>
      </c>
      <c r="S1710" s="200" t="n"/>
      <c r="T1710" s="201" t="n"/>
      <c r="U1710" s="58" t="n"/>
      <c r="V1710" s="67" t="n"/>
      <c r="W1710" s="67" t="n"/>
      <c r="X1710" s="62" t="inlineStr">
        <is>
          <t>N-OP</t>
        </is>
      </c>
      <c r="Y1710" s="116">
        <f>F1710/E1710</f>
        <v/>
      </c>
      <c r="Z1710" s="64">
        <f>E1710-N1710</f>
        <v/>
      </c>
    </row>
    <row r="1711" ht="15.75" customHeight="1" s="202">
      <c r="K1711" s="48">
        <f>D1711+8</f>
        <v/>
      </c>
      <c r="L1711" s="48">
        <f>K1711+60</f>
        <v/>
      </c>
      <c r="S1711" s="200" t="n"/>
      <c r="T1711" s="201" t="n"/>
      <c r="U1711" s="58" t="n"/>
      <c r="V1711" s="67" t="n"/>
      <c r="W1711" s="67" t="n"/>
      <c r="X1711" s="62" t="inlineStr">
        <is>
          <t>N-OP</t>
        </is>
      </c>
      <c r="Y1711" s="116">
        <f>F1711/E1711</f>
        <v/>
      </c>
      <c r="Z1711" s="64">
        <f>E1711-N1711</f>
        <v/>
      </c>
    </row>
    <row r="1712" ht="15.75" customHeight="1" s="202">
      <c r="K1712" s="48">
        <f>D1712+8</f>
        <v/>
      </c>
      <c r="L1712" s="48">
        <f>K1712+60</f>
        <v/>
      </c>
      <c r="S1712" s="200" t="n"/>
      <c r="T1712" s="201" t="n"/>
      <c r="U1712" s="58" t="n"/>
      <c r="V1712" s="67" t="n"/>
      <c r="W1712" s="67" t="n"/>
      <c r="X1712" s="62" t="inlineStr">
        <is>
          <t>N-OP</t>
        </is>
      </c>
      <c r="Y1712" s="116">
        <f>F1712/E1712</f>
        <v/>
      </c>
      <c r="Z1712" s="64">
        <f>E1712-N1712</f>
        <v/>
      </c>
    </row>
    <row r="1713" ht="15.75" customHeight="1" s="202">
      <c r="K1713" s="48">
        <f>D1713+8</f>
        <v/>
      </c>
      <c r="L1713" s="48">
        <f>K1713+60</f>
        <v/>
      </c>
      <c r="S1713" s="200" t="n"/>
      <c r="T1713" s="201" t="n"/>
      <c r="U1713" s="58" t="n"/>
      <c r="V1713" s="67" t="n"/>
      <c r="W1713" s="67" t="n"/>
      <c r="X1713" s="62" t="inlineStr">
        <is>
          <t>N-OP</t>
        </is>
      </c>
      <c r="Y1713" s="116">
        <f>F1713/E1713</f>
        <v/>
      </c>
      <c r="Z1713" s="64">
        <f>E1713-N1713</f>
        <v/>
      </c>
    </row>
    <row r="1714" ht="15.75" customHeight="1" s="202">
      <c r="K1714" s="48">
        <f>D1714+8</f>
        <v/>
      </c>
      <c r="L1714" s="48">
        <f>K1714+60</f>
        <v/>
      </c>
      <c r="S1714" s="200" t="n"/>
      <c r="T1714" s="201" t="n"/>
      <c r="U1714" s="58" t="n"/>
      <c r="V1714" s="67" t="n"/>
      <c r="W1714" s="67" t="n"/>
      <c r="X1714" s="62" t="inlineStr">
        <is>
          <t>N-OP</t>
        </is>
      </c>
      <c r="Y1714" s="116">
        <f>F1714/E1714</f>
        <v/>
      </c>
      <c r="Z1714" s="64">
        <f>E1714-N1714</f>
        <v/>
      </c>
    </row>
    <row r="1715" ht="15.75" customHeight="1" s="202">
      <c r="K1715" s="48">
        <f>D1715+8</f>
        <v/>
      </c>
      <c r="L1715" s="48">
        <f>K1715+60</f>
        <v/>
      </c>
      <c r="S1715" s="200" t="n"/>
      <c r="T1715" s="201" t="n"/>
      <c r="U1715" s="58" t="n"/>
      <c r="V1715" s="67" t="n"/>
      <c r="W1715" s="67" t="n"/>
      <c r="X1715" s="62" t="inlineStr">
        <is>
          <t>N-OP</t>
        </is>
      </c>
      <c r="Y1715" s="116">
        <f>F1715/E1715</f>
        <v/>
      </c>
      <c r="Z1715" s="64">
        <f>E1715-N1715</f>
        <v/>
      </c>
    </row>
    <row r="1716" ht="15.75" customHeight="1" s="202">
      <c r="K1716" s="48">
        <f>D1716+8</f>
        <v/>
      </c>
      <c r="L1716" s="48">
        <f>K1716+60</f>
        <v/>
      </c>
      <c r="S1716" s="200" t="n"/>
      <c r="T1716" s="201" t="n"/>
      <c r="U1716" s="58" t="n"/>
      <c r="V1716" s="67" t="n"/>
      <c r="W1716" s="67" t="n"/>
      <c r="X1716" s="62" t="inlineStr">
        <is>
          <t>N-OP</t>
        </is>
      </c>
      <c r="Y1716" s="116">
        <f>F1716/E1716</f>
        <v/>
      </c>
      <c r="Z1716" s="64">
        <f>E1716-N1716</f>
        <v/>
      </c>
    </row>
    <row r="1717" ht="15.75" customHeight="1" s="202">
      <c r="K1717" s="48">
        <f>D1717+8</f>
        <v/>
      </c>
      <c r="L1717" s="48">
        <f>K1717+60</f>
        <v/>
      </c>
      <c r="S1717" s="200" t="n"/>
      <c r="T1717" s="201" t="n"/>
      <c r="U1717" s="58" t="n"/>
      <c r="V1717" s="67" t="n"/>
      <c r="W1717" s="67" t="n"/>
      <c r="X1717" s="62" t="inlineStr">
        <is>
          <t>N-OP</t>
        </is>
      </c>
      <c r="Y1717" s="116">
        <f>F1717/E1717</f>
        <v/>
      </c>
      <c r="Z1717" s="64">
        <f>E1717-N1717</f>
        <v/>
      </c>
    </row>
    <row r="1718" ht="15.75" customHeight="1" s="202">
      <c r="K1718" s="48">
        <f>D1718+8</f>
        <v/>
      </c>
      <c r="L1718" s="48">
        <f>K1718+60</f>
        <v/>
      </c>
      <c r="S1718" s="200" t="n"/>
      <c r="T1718" s="201" t="n"/>
      <c r="U1718" s="58" t="n"/>
      <c r="V1718" s="67" t="n"/>
      <c r="W1718" s="67" t="n"/>
      <c r="X1718" s="62" t="inlineStr">
        <is>
          <t>N-OP</t>
        </is>
      </c>
      <c r="Y1718" s="116">
        <f>F1718/E1718</f>
        <v/>
      </c>
      <c r="Z1718" s="64">
        <f>E1718-N1718</f>
        <v/>
      </c>
    </row>
    <row r="1719" ht="15.75" customHeight="1" s="202">
      <c r="K1719" s="48">
        <f>D1719+8</f>
        <v/>
      </c>
      <c r="L1719" s="48">
        <f>K1719+60</f>
        <v/>
      </c>
      <c r="S1719" s="200" t="n"/>
      <c r="T1719" s="201" t="n"/>
      <c r="U1719" s="58" t="n"/>
      <c r="V1719" s="67" t="n"/>
      <c r="W1719" s="67" t="n"/>
      <c r="X1719" s="62" t="inlineStr">
        <is>
          <t>N-OP</t>
        </is>
      </c>
      <c r="Y1719" s="116">
        <f>F1719/E1719</f>
        <v/>
      </c>
      <c r="Z1719" s="64">
        <f>E1719-N1719</f>
        <v/>
      </c>
    </row>
    <row r="1720" ht="15.75" customHeight="1" s="202">
      <c r="K1720" s="48">
        <f>D1720+8</f>
        <v/>
      </c>
      <c r="L1720" s="48">
        <f>K1720+60</f>
        <v/>
      </c>
      <c r="S1720" s="200" t="n"/>
      <c r="T1720" s="201" t="n"/>
      <c r="U1720" s="58" t="n"/>
      <c r="V1720" s="67" t="n"/>
      <c r="W1720" s="67" t="n"/>
      <c r="X1720" s="62" t="inlineStr">
        <is>
          <t>N-OP</t>
        </is>
      </c>
      <c r="Y1720" s="116">
        <f>F1720/E1720</f>
        <v/>
      </c>
      <c r="Z1720" s="64">
        <f>E1720-N1720</f>
        <v/>
      </c>
    </row>
    <row r="1721" ht="15.75" customHeight="1" s="202">
      <c r="K1721" s="48">
        <f>D1721+8</f>
        <v/>
      </c>
      <c r="L1721" s="48">
        <f>K1721+60</f>
        <v/>
      </c>
      <c r="S1721" s="200" t="n"/>
      <c r="T1721" s="201" t="n"/>
      <c r="U1721" s="58" t="n"/>
      <c r="V1721" s="67" t="n"/>
      <c r="W1721" s="67" t="n"/>
      <c r="X1721" s="62" t="inlineStr">
        <is>
          <t>N-OP</t>
        </is>
      </c>
      <c r="Y1721" s="116">
        <f>F1721/E1721</f>
        <v/>
      </c>
      <c r="Z1721" s="64">
        <f>E1721-N1721</f>
        <v/>
      </c>
    </row>
    <row r="1722" ht="15.75" customHeight="1" s="202">
      <c r="K1722" s="48">
        <f>D1722+8</f>
        <v/>
      </c>
      <c r="L1722" s="48">
        <f>K1722+60</f>
        <v/>
      </c>
      <c r="S1722" s="200" t="n"/>
      <c r="T1722" s="201" t="n"/>
      <c r="U1722" s="58" t="n"/>
      <c r="V1722" s="67" t="n"/>
      <c r="W1722" s="67" t="n"/>
      <c r="X1722" s="62" t="inlineStr">
        <is>
          <t>N-OP</t>
        </is>
      </c>
      <c r="Y1722" s="116">
        <f>F1722/E1722</f>
        <v/>
      </c>
      <c r="Z1722" s="64">
        <f>E1722-N1722</f>
        <v/>
      </c>
    </row>
    <row r="1723" ht="15.75" customHeight="1" s="202">
      <c r="K1723" s="48">
        <f>D1723+8</f>
        <v/>
      </c>
      <c r="L1723" s="48">
        <f>K1723+60</f>
        <v/>
      </c>
      <c r="S1723" s="200" t="n"/>
      <c r="T1723" s="201" t="n"/>
      <c r="U1723" s="58" t="n"/>
      <c r="V1723" s="67" t="n"/>
      <c r="W1723" s="67" t="n"/>
      <c r="X1723" s="62" t="inlineStr">
        <is>
          <t>N-OP</t>
        </is>
      </c>
      <c r="Y1723" s="116">
        <f>F1723/E1723</f>
        <v/>
      </c>
      <c r="Z1723" s="64">
        <f>E1723-N1723</f>
        <v/>
      </c>
    </row>
    <row r="1724" ht="15.75" customHeight="1" s="202">
      <c r="K1724" s="48">
        <f>D1724+8</f>
        <v/>
      </c>
      <c r="L1724" s="48">
        <f>K1724+60</f>
        <v/>
      </c>
      <c r="S1724" s="200" t="n"/>
      <c r="T1724" s="201" t="n"/>
      <c r="U1724" s="58" t="n"/>
      <c r="V1724" s="67" t="n"/>
      <c r="W1724" s="67" t="n"/>
      <c r="X1724" s="62" t="inlineStr">
        <is>
          <t>N-OP</t>
        </is>
      </c>
      <c r="Y1724" s="116">
        <f>F1724/E1724</f>
        <v/>
      </c>
      <c r="Z1724" s="64">
        <f>E1724-N1724</f>
        <v/>
      </c>
    </row>
    <row r="1725" ht="15.75" customHeight="1" s="202">
      <c r="K1725" s="48">
        <f>D1725+8</f>
        <v/>
      </c>
      <c r="L1725" s="48">
        <f>K1725+60</f>
        <v/>
      </c>
      <c r="S1725" s="200" t="n"/>
      <c r="T1725" s="201" t="n"/>
      <c r="U1725" s="58" t="n"/>
      <c r="V1725" s="67" t="n"/>
      <c r="W1725" s="67" t="n"/>
      <c r="X1725" s="62" t="inlineStr">
        <is>
          <t>N-OP</t>
        </is>
      </c>
      <c r="Y1725" s="116">
        <f>F1725/E1725</f>
        <v/>
      </c>
      <c r="Z1725" s="64">
        <f>E1725-N1725</f>
        <v/>
      </c>
    </row>
    <row r="1726" ht="15.75" customHeight="1" s="202">
      <c r="K1726" s="48">
        <f>D1726+8</f>
        <v/>
      </c>
      <c r="L1726" s="48">
        <f>K1726+60</f>
        <v/>
      </c>
      <c r="S1726" s="200" t="n"/>
      <c r="T1726" s="201" t="n"/>
      <c r="U1726" s="58" t="n"/>
      <c r="V1726" s="67" t="n"/>
      <c r="W1726" s="67" t="n"/>
      <c r="X1726" s="62" t="inlineStr">
        <is>
          <t>N-OP</t>
        </is>
      </c>
      <c r="Y1726" s="116">
        <f>F1726/E1726</f>
        <v/>
      </c>
      <c r="Z1726" s="64">
        <f>E1726-N1726</f>
        <v/>
      </c>
    </row>
    <row r="1727" ht="15.75" customHeight="1" s="202">
      <c r="K1727" s="48">
        <f>D1727+8</f>
        <v/>
      </c>
      <c r="L1727" s="48">
        <f>K1727+60</f>
        <v/>
      </c>
      <c r="S1727" s="200" t="n"/>
      <c r="T1727" s="201" t="n"/>
      <c r="U1727" s="58" t="n"/>
      <c r="V1727" s="67" t="n"/>
      <c r="W1727" s="67" t="n"/>
      <c r="X1727" s="62" t="inlineStr">
        <is>
          <t>N-OP</t>
        </is>
      </c>
      <c r="Y1727" s="116">
        <f>F1727/E1727</f>
        <v/>
      </c>
      <c r="Z1727" s="64">
        <f>E1727-N1727</f>
        <v/>
      </c>
    </row>
    <row r="1728" ht="15.75" customHeight="1" s="202">
      <c r="K1728" s="48">
        <f>D1728+8</f>
        <v/>
      </c>
      <c r="L1728" s="48">
        <f>K1728+60</f>
        <v/>
      </c>
      <c r="S1728" s="200" t="n"/>
      <c r="T1728" s="201" t="n"/>
      <c r="U1728" s="58" t="n"/>
      <c r="V1728" s="67" t="n"/>
      <c r="W1728" s="67" t="n"/>
      <c r="X1728" s="62" t="inlineStr">
        <is>
          <t>N-OP</t>
        </is>
      </c>
      <c r="Y1728" s="116">
        <f>F1728/E1728</f>
        <v/>
      </c>
      <c r="Z1728" s="64">
        <f>E1728-N1728</f>
        <v/>
      </c>
    </row>
    <row r="1729" ht="15.75" customHeight="1" s="202">
      <c r="K1729" s="48">
        <f>D1729+8</f>
        <v/>
      </c>
      <c r="L1729" s="48">
        <f>K1729+60</f>
        <v/>
      </c>
      <c r="S1729" s="200" t="n"/>
      <c r="T1729" s="201" t="n"/>
      <c r="U1729" s="58" t="n"/>
      <c r="V1729" s="67" t="n"/>
      <c r="W1729" s="67" t="n"/>
      <c r="X1729" s="62" t="inlineStr">
        <is>
          <t>N-OP</t>
        </is>
      </c>
      <c r="Y1729" s="116">
        <f>F1729/E1729</f>
        <v/>
      </c>
      <c r="Z1729" s="64">
        <f>E1729-N1729</f>
        <v/>
      </c>
    </row>
    <row r="1730" ht="15.75" customHeight="1" s="202">
      <c r="K1730" s="48">
        <f>D1730+8</f>
        <v/>
      </c>
      <c r="L1730" s="48">
        <f>K1730+60</f>
        <v/>
      </c>
      <c r="S1730" s="200" t="n"/>
      <c r="T1730" s="201" t="n"/>
      <c r="U1730" s="58" t="n"/>
      <c r="V1730" s="67" t="n"/>
      <c r="W1730" s="67" t="n"/>
      <c r="X1730" s="62" t="inlineStr">
        <is>
          <t>N-OP</t>
        </is>
      </c>
      <c r="Y1730" s="116">
        <f>F1730/E1730</f>
        <v/>
      </c>
      <c r="Z1730" s="64">
        <f>E1730-N1730</f>
        <v/>
      </c>
    </row>
    <row r="1731" ht="15.75" customHeight="1" s="202">
      <c r="K1731" s="48">
        <f>D1731+8</f>
        <v/>
      </c>
      <c r="L1731" s="48">
        <f>K1731+60</f>
        <v/>
      </c>
      <c r="S1731" s="200" t="n"/>
      <c r="T1731" s="201" t="n"/>
      <c r="U1731" s="58" t="n"/>
      <c r="V1731" s="67" t="n"/>
      <c r="W1731" s="67" t="n"/>
      <c r="X1731" s="62" t="inlineStr">
        <is>
          <t>N-OP</t>
        </is>
      </c>
      <c r="Y1731" s="116">
        <f>F1731/E1731</f>
        <v/>
      </c>
      <c r="Z1731" s="64">
        <f>E1731-N1731</f>
        <v/>
      </c>
    </row>
    <row r="1732" ht="15.75" customHeight="1" s="202">
      <c r="K1732" s="48">
        <f>D1732+8</f>
        <v/>
      </c>
      <c r="L1732" s="48">
        <f>K1732+60</f>
        <v/>
      </c>
      <c r="S1732" s="200" t="n"/>
      <c r="T1732" s="201" t="n"/>
      <c r="U1732" s="58" t="n"/>
      <c r="V1732" s="67" t="n"/>
      <c r="W1732" s="67" t="n"/>
      <c r="X1732" s="62" t="inlineStr">
        <is>
          <t>N-OP</t>
        </is>
      </c>
      <c r="Y1732" s="116">
        <f>F1732/E1732</f>
        <v/>
      </c>
      <c r="Z1732" s="64">
        <f>E1732-N1732</f>
        <v/>
      </c>
    </row>
    <row r="1733" ht="15.75" customHeight="1" s="202">
      <c r="K1733" s="48">
        <f>D1733+8</f>
        <v/>
      </c>
      <c r="L1733" s="48">
        <f>K1733+60</f>
        <v/>
      </c>
      <c r="S1733" s="200" t="n"/>
      <c r="T1733" s="201" t="n"/>
      <c r="U1733" s="58" t="n"/>
      <c r="V1733" s="67" t="n"/>
      <c r="W1733" s="67" t="n"/>
      <c r="X1733" s="62" t="inlineStr">
        <is>
          <t>N-OP</t>
        </is>
      </c>
      <c r="Y1733" s="116">
        <f>F1733/E1733</f>
        <v/>
      </c>
      <c r="Z1733" s="64">
        <f>E1733-N1733</f>
        <v/>
      </c>
    </row>
    <row r="1734" ht="15.75" customHeight="1" s="202">
      <c r="K1734" s="48">
        <f>D1734+8</f>
        <v/>
      </c>
      <c r="L1734" s="48">
        <f>K1734+60</f>
        <v/>
      </c>
      <c r="S1734" s="200" t="n"/>
      <c r="T1734" s="201" t="n"/>
      <c r="U1734" s="58" t="n"/>
      <c r="V1734" s="67" t="n"/>
      <c r="W1734" s="67" t="n"/>
      <c r="X1734" s="62" t="inlineStr">
        <is>
          <t>N-OP</t>
        </is>
      </c>
      <c r="Y1734" s="116">
        <f>F1734/E1734</f>
        <v/>
      </c>
      <c r="Z1734" s="64">
        <f>E1734-N1734</f>
        <v/>
      </c>
    </row>
    <row r="1735" ht="15.75" customHeight="1" s="202">
      <c r="K1735" s="48">
        <f>D1735+8</f>
        <v/>
      </c>
      <c r="L1735" s="48">
        <f>K1735+60</f>
        <v/>
      </c>
      <c r="S1735" s="200" t="n"/>
      <c r="T1735" s="201" t="n"/>
      <c r="U1735" s="58" t="n"/>
      <c r="V1735" s="67" t="n"/>
      <c r="W1735" s="67" t="n"/>
      <c r="X1735" s="62" t="inlineStr">
        <is>
          <t>N-OP</t>
        </is>
      </c>
      <c r="Y1735" s="116">
        <f>F1735/E1735</f>
        <v/>
      </c>
      <c r="Z1735" s="64">
        <f>E1735-N1735</f>
        <v/>
      </c>
    </row>
    <row r="1736" ht="15.75" customHeight="1" s="202">
      <c r="K1736" s="48">
        <f>D1736+8</f>
        <v/>
      </c>
      <c r="L1736" s="48">
        <f>K1736+60</f>
        <v/>
      </c>
      <c r="S1736" s="200" t="n"/>
      <c r="T1736" s="201" t="n"/>
      <c r="U1736" s="58" t="n"/>
      <c r="V1736" s="67" t="n"/>
      <c r="W1736" s="67" t="n"/>
      <c r="X1736" s="62" t="inlineStr">
        <is>
          <t>N-OP</t>
        </is>
      </c>
      <c r="Y1736" s="116">
        <f>F1736/E1736</f>
        <v/>
      </c>
      <c r="Z1736" s="64">
        <f>E1736-N1736</f>
        <v/>
      </c>
    </row>
    <row r="1737" ht="15.75" customHeight="1" s="202">
      <c r="K1737" s="48">
        <f>D1737+8</f>
        <v/>
      </c>
      <c r="L1737" s="48">
        <f>K1737+60</f>
        <v/>
      </c>
      <c r="S1737" s="200" t="n"/>
      <c r="T1737" s="201" t="n"/>
      <c r="U1737" s="58" t="n"/>
      <c r="V1737" s="67" t="n"/>
      <c r="W1737" s="67" t="n"/>
      <c r="X1737" s="62" t="inlineStr">
        <is>
          <t>N-OP</t>
        </is>
      </c>
      <c r="Y1737" s="116">
        <f>F1737/E1737</f>
        <v/>
      </c>
      <c r="Z1737" s="64">
        <f>E1737-N1737</f>
        <v/>
      </c>
    </row>
    <row r="1738" ht="15.75" customHeight="1" s="202">
      <c r="K1738" s="48">
        <f>D1738+8</f>
        <v/>
      </c>
      <c r="L1738" s="48">
        <f>K1738+60</f>
        <v/>
      </c>
      <c r="S1738" s="200" t="n"/>
      <c r="T1738" s="201" t="n"/>
      <c r="U1738" s="58" t="n"/>
      <c r="V1738" s="67" t="n"/>
      <c r="W1738" s="67" t="n"/>
      <c r="X1738" s="62" t="inlineStr">
        <is>
          <t>N-OP</t>
        </is>
      </c>
      <c r="Y1738" s="116">
        <f>F1738/E1738</f>
        <v/>
      </c>
      <c r="Z1738" s="64">
        <f>E1738-N1738</f>
        <v/>
      </c>
    </row>
    <row r="1739" ht="15.75" customHeight="1" s="202">
      <c r="K1739" s="48">
        <f>D1739+8</f>
        <v/>
      </c>
      <c r="L1739" s="48">
        <f>K1739+60</f>
        <v/>
      </c>
      <c r="S1739" s="200" t="n"/>
      <c r="T1739" s="201" t="n"/>
      <c r="U1739" s="58" t="n"/>
      <c r="V1739" s="67" t="n"/>
      <c r="W1739" s="67" t="n"/>
      <c r="X1739" s="62" t="inlineStr">
        <is>
          <t>N-OP</t>
        </is>
      </c>
      <c r="Y1739" s="116">
        <f>F1739/E1739</f>
        <v/>
      </c>
      <c r="Z1739" s="64">
        <f>E1739-N1739</f>
        <v/>
      </c>
    </row>
    <row r="1740" ht="15.75" customHeight="1" s="202">
      <c r="K1740" s="48">
        <f>D1740+8</f>
        <v/>
      </c>
      <c r="L1740" s="48">
        <f>K1740+60</f>
        <v/>
      </c>
      <c r="S1740" s="200" t="n"/>
      <c r="T1740" s="201" t="n"/>
      <c r="U1740" s="58" t="n"/>
      <c r="V1740" s="67" t="n"/>
      <c r="W1740" s="67" t="n"/>
      <c r="X1740" s="62" t="inlineStr">
        <is>
          <t>N-OP</t>
        </is>
      </c>
      <c r="Y1740" s="116">
        <f>F1740/E1740</f>
        <v/>
      </c>
      <c r="Z1740" s="64">
        <f>E1740-N1740</f>
        <v/>
      </c>
    </row>
    <row r="1741" ht="15.75" customHeight="1" s="202">
      <c r="K1741" s="48">
        <f>D1741+8</f>
        <v/>
      </c>
      <c r="L1741" s="48">
        <f>K1741+60</f>
        <v/>
      </c>
      <c r="S1741" s="200" t="n"/>
      <c r="T1741" s="201" t="n"/>
      <c r="U1741" s="58" t="n"/>
      <c r="V1741" s="67" t="n"/>
      <c r="W1741" s="67" t="n"/>
      <c r="X1741" s="62" t="inlineStr">
        <is>
          <t>N-OP</t>
        </is>
      </c>
      <c r="Y1741" s="116">
        <f>F1741/E1741</f>
        <v/>
      </c>
      <c r="Z1741" s="64">
        <f>E1741-N1741</f>
        <v/>
      </c>
    </row>
    <row r="1742" ht="15.75" customHeight="1" s="202">
      <c r="K1742" s="48">
        <f>D1742+8</f>
        <v/>
      </c>
      <c r="L1742" s="48">
        <f>K1742+60</f>
        <v/>
      </c>
      <c r="S1742" s="200" t="n"/>
      <c r="T1742" s="201" t="n"/>
      <c r="U1742" s="58" t="n"/>
      <c r="V1742" s="67" t="n"/>
      <c r="W1742" s="67" t="n"/>
      <c r="X1742" s="62" t="inlineStr">
        <is>
          <t>N-OP</t>
        </is>
      </c>
      <c r="Y1742" s="116">
        <f>F1742/E1742</f>
        <v/>
      </c>
      <c r="Z1742" s="64">
        <f>E1742-N1742</f>
        <v/>
      </c>
    </row>
    <row r="1743" ht="15.75" customHeight="1" s="202">
      <c r="K1743" s="48">
        <f>D1743+8</f>
        <v/>
      </c>
      <c r="L1743" s="48">
        <f>K1743+60</f>
        <v/>
      </c>
      <c r="S1743" s="200" t="n"/>
      <c r="T1743" s="201" t="n"/>
      <c r="U1743" s="58" t="n"/>
      <c r="V1743" s="67" t="n"/>
      <c r="W1743" s="67" t="n"/>
      <c r="X1743" s="62" t="inlineStr">
        <is>
          <t>N-OP</t>
        </is>
      </c>
      <c r="Y1743" s="116">
        <f>F1743/E1743</f>
        <v/>
      </c>
      <c r="Z1743" s="64">
        <f>E1743-N1743</f>
        <v/>
      </c>
    </row>
    <row r="1744" ht="15.75" customHeight="1" s="202">
      <c r="K1744" s="48">
        <f>D1744+8</f>
        <v/>
      </c>
      <c r="L1744" s="48">
        <f>K1744+60</f>
        <v/>
      </c>
      <c r="S1744" s="200" t="n"/>
      <c r="T1744" s="201" t="n"/>
      <c r="U1744" s="58" t="n"/>
      <c r="V1744" s="67" t="n"/>
      <c r="W1744" s="67" t="n"/>
      <c r="X1744" s="62" t="inlineStr">
        <is>
          <t>N-OP</t>
        </is>
      </c>
      <c r="Y1744" s="116">
        <f>F1744/E1744</f>
        <v/>
      </c>
      <c r="Z1744" s="64">
        <f>E1744-N1744</f>
        <v/>
      </c>
    </row>
    <row r="1745" ht="15.75" customHeight="1" s="202">
      <c r="K1745" s="48">
        <f>D1745+8</f>
        <v/>
      </c>
      <c r="L1745" s="48">
        <f>K1745+60</f>
        <v/>
      </c>
      <c r="S1745" s="200" t="n"/>
      <c r="T1745" s="201" t="n"/>
      <c r="U1745" s="58" t="n"/>
      <c r="V1745" s="67" t="n"/>
      <c r="W1745" s="67" t="n"/>
      <c r="X1745" s="62" t="inlineStr">
        <is>
          <t>N-OP</t>
        </is>
      </c>
      <c r="Y1745" s="116">
        <f>F1745/E1745</f>
        <v/>
      </c>
      <c r="Z1745" s="64">
        <f>E1745-N1745</f>
        <v/>
      </c>
    </row>
    <row r="1746" ht="15.75" customHeight="1" s="202">
      <c r="K1746" s="48">
        <f>D1746+8</f>
        <v/>
      </c>
      <c r="L1746" s="48">
        <f>K1746+60</f>
        <v/>
      </c>
      <c r="S1746" s="200" t="n"/>
      <c r="T1746" s="201" t="n"/>
      <c r="U1746" s="58" t="n"/>
      <c r="V1746" s="67" t="n"/>
      <c r="W1746" s="67" t="n"/>
      <c r="X1746" s="62" t="inlineStr">
        <is>
          <t>N-OP</t>
        </is>
      </c>
      <c r="Y1746" s="116">
        <f>F1746/E1746</f>
        <v/>
      </c>
      <c r="Z1746" s="64">
        <f>E1746-N1746</f>
        <v/>
      </c>
    </row>
    <row r="1747" ht="15.75" customHeight="1" s="202">
      <c r="K1747" s="48">
        <f>D1747+8</f>
        <v/>
      </c>
      <c r="L1747" s="48">
        <f>K1747+60</f>
        <v/>
      </c>
      <c r="S1747" s="200" t="n"/>
      <c r="T1747" s="201" t="n"/>
      <c r="U1747" s="58" t="n"/>
      <c r="V1747" s="67" t="n"/>
      <c r="W1747" s="67" t="n"/>
      <c r="X1747" s="62" t="inlineStr">
        <is>
          <t>N-OP</t>
        </is>
      </c>
      <c r="Y1747" s="116">
        <f>F1747/E1747</f>
        <v/>
      </c>
      <c r="Z1747" s="64">
        <f>E1747-N1747</f>
        <v/>
      </c>
    </row>
    <row r="1748" ht="15.75" customHeight="1" s="202">
      <c r="K1748" s="48">
        <f>D1748+8</f>
        <v/>
      </c>
      <c r="L1748" s="48">
        <f>K1748+60</f>
        <v/>
      </c>
      <c r="S1748" s="200" t="n"/>
      <c r="T1748" s="201" t="n"/>
      <c r="U1748" s="58" t="n"/>
      <c r="V1748" s="67" t="n"/>
      <c r="W1748" s="67" t="n"/>
      <c r="X1748" s="62" t="inlineStr">
        <is>
          <t>N-OP</t>
        </is>
      </c>
      <c r="Y1748" s="116">
        <f>F1748/E1748</f>
        <v/>
      </c>
      <c r="Z1748" s="64">
        <f>E1748-N1748</f>
        <v/>
      </c>
    </row>
    <row r="1749" ht="15.75" customHeight="1" s="202">
      <c r="K1749" s="48">
        <f>D1749+8</f>
        <v/>
      </c>
      <c r="L1749" s="48">
        <f>K1749+60</f>
        <v/>
      </c>
      <c r="S1749" s="200" t="n"/>
      <c r="T1749" s="201" t="n"/>
      <c r="U1749" s="58" t="n"/>
      <c r="V1749" s="67" t="n"/>
      <c r="W1749" s="67" t="n"/>
      <c r="X1749" s="62" t="inlineStr">
        <is>
          <t>N-OP</t>
        </is>
      </c>
      <c r="Y1749" s="116">
        <f>F1749/E1749</f>
        <v/>
      </c>
      <c r="Z1749" s="64">
        <f>E1749-N1749</f>
        <v/>
      </c>
    </row>
    <row r="1750" ht="15.75" customHeight="1" s="202">
      <c r="K1750" s="48">
        <f>D1750+8</f>
        <v/>
      </c>
      <c r="L1750" s="48">
        <f>K1750+60</f>
        <v/>
      </c>
      <c r="S1750" s="200" t="n"/>
      <c r="T1750" s="201" t="n"/>
      <c r="U1750" s="58" t="n"/>
      <c r="V1750" s="67" t="n"/>
      <c r="W1750" s="67" t="n"/>
      <c r="X1750" s="62" t="inlineStr">
        <is>
          <t>N-OP</t>
        </is>
      </c>
      <c r="Y1750" s="116">
        <f>F1750/E1750</f>
        <v/>
      </c>
      <c r="Z1750" s="64">
        <f>E1750-N1750</f>
        <v/>
      </c>
    </row>
    <row r="1751" ht="15.75" customHeight="1" s="202">
      <c r="K1751" s="48">
        <f>D1751+8</f>
        <v/>
      </c>
      <c r="L1751" s="48">
        <f>K1751+60</f>
        <v/>
      </c>
      <c r="S1751" s="200" t="n"/>
      <c r="T1751" s="201" t="n"/>
      <c r="U1751" s="58" t="n"/>
      <c r="V1751" s="67" t="n"/>
      <c r="W1751" s="67" t="n"/>
      <c r="X1751" s="62" t="inlineStr">
        <is>
          <t>N-OP</t>
        </is>
      </c>
      <c r="Y1751" s="116">
        <f>F1751/E1751</f>
        <v/>
      </c>
      <c r="Z1751" s="64">
        <f>E1751-N1751</f>
        <v/>
      </c>
    </row>
    <row r="1752" ht="15.75" customHeight="1" s="202">
      <c r="K1752" s="48">
        <f>D1752+8</f>
        <v/>
      </c>
      <c r="L1752" s="48">
        <f>K1752+60</f>
        <v/>
      </c>
      <c r="S1752" s="200" t="n"/>
      <c r="T1752" s="201" t="n"/>
      <c r="U1752" s="58" t="n"/>
      <c r="V1752" s="67" t="n"/>
      <c r="W1752" s="67" t="n"/>
      <c r="X1752" s="62" t="inlineStr">
        <is>
          <t>N-OP</t>
        </is>
      </c>
      <c r="Y1752" s="116">
        <f>F1752/E1752</f>
        <v/>
      </c>
      <c r="Z1752" s="64">
        <f>E1752-N1752</f>
        <v/>
      </c>
    </row>
    <row r="1753" ht="15.75" customHeight="1" s="202">
      <c r="K1753" s="48">
        <f>D1753+8</f>
        <v/>
      </c>
      <c r="L1753" s="48">
        <f>K1753+60</f>
        <v/>
      </c>
      <c r="S1753" s="200" t="n"/>
      <c r="T1753" s="201" t="n"/>
      <c r="U1753" s="58" t="n"/>
      <c r="V1753" s="67" t="n"/>
      <c r="W1753" s="67" t="n"/>
      <c r="X1753" s="62" t="inlineStr">
        <is>
          <t>N-OP</t>
        </is>
      </c>
      <c r="Y1753" s="116">
        <f>F1753/E1753</f>
        <v/>
      </c>
      <c r="Z1753" s="64">
        <f>E1753-N1753</f>
        <v/>
      </c>
    </row>
    <row r="1754" ht="15.75" customHeight="1" s="202">
      <c r="K1754" s="48">
        <f>D1754+8</f>
        <v/>
      </c>
      <c r="L1754" s="48">
        <f>K1754+60</f>
        <v/>
      </c>
      <c r="S1754" s="200" t="n"/>
      <c r="T1754" s="201" t="n"/>
      <c r="U1754" s="58" t="n"/>
      <c r="V1754" s="67" t="n"/>
      <c r="W1754" s="67" t="n"/>
      <c r="X1754" s="62" t="inlineStr">
        <is>
          <t>N-OP</t>
        </is>
      </c>
      <c r="Y1754" s="116">
        <f>F1754/E1754</f>
        <v/>
      </c>
      <c r="Z1754" s="64">
        <f>E1754-N1754</f>
        <v/>
      </c>
    </row>
    <row r="1755" ht="15.75" customHeight="1" s="202">
      <c r="K1755" s="48">
        <f>D1755+8</f>
        <v/>
      </c>
      <c r="L1755" s="48">
        <f>K1755+60</f>
        <v/>
      </c>
      <c r="S1755" s="200" t="n"/>
      <c r="T1755" s="201" t="n"/>
      <c r="U1755" s="58" t="n"/>
      <c r="V1755" s="67" t="n"/>
      <c r="W1755" s="67" t="n"/>
      <c r="X1755" s="62" t="inlineStr">
        <is>
          <t>N-OP</t>
        </is>
      </c>
      <c r="Y1755" s="116">
        <f>F1755/E1755</f>
        <v/>
      </c>
      <c r="Z1755" s="64">
        <f>E1755-N1755</f>
        <v/>
      </c>
    </row>
    <row r="1756" ht="15.75" customHeight="1" s="202">
      <c r="K1756" s="48">
        <f>D1756+8</f>
        <v/>
      </c>
      <c r="L1756" s="48">
        <f>K1756+60</f>
        <v/>
      </c>
      <c r="S1756" s="200" t="n"/>
      <c r="T1756" s="201" t="n"/>
      <c r="U1756" s="58" t="n"/>
      <c r="V1756" s="67" t="n"/>
      <c r="W1756" s="67" t="n"/>
      <c r="X1756" s="62" t="inlineStr">
        <is>
          <t>N-OP</t>
        </is>
      </c>
      <c r="Y1756" s="116">
        <f>F1756/E1756</f>
        <v/>
      </c>
      <c r="Z1756" s="64">
        <f>E1756-N1756</f>
        <v/>
      </c>
    </row>
    <row r="1757" ht="15.75" customHeight="1" s="202">
      <c r="K1757" s="48">
        <f>D1757+8</f>
        <v/>
      </c>
      <c r="L1757" s="48">
        <f>K1757+60</f>
        <v/>
      </c>
      <c r="S1757" s="200" t="n"/>
      <c r="T1757" s="201" t="n"/>
      <c r="U1757" s="58" t="n"/>
      <c r="V1757" s="67" t="n"/>
      <c r="W1757" s="67" t="n"/>
      <c r="X1757" s="62" t="inlineStr">
        <is>
          <t>N-OP</t>
        </is>
      </c>
      <c r="Y1757" s="116">
        <f>F1757/E1757</f>
        <v/>
      </c>
      <c r="Z1757" s="64">
        <f>E1757-N1757</f>
        <v/>
      </c>
    </row>
    <row r="1758" ht="15.75" customHeight="1" s="202">
      <c r="K1758" s="48">
        <f>D1758+8</f>
        <v/>
      </c>
      <c r="L1758" s="48">
        <f>K1758+60</f>
        <v/>
      </c>
      <c r="S1758" s="200" t="n"/>
      <c r="T1758" s="201" t="n"/>
      <c r="U1758" s="58" t="n"/>
      <c r="V1758" s="67" t="n"/>
      <c r="W1758" s="67" t="n"/>
      <c r="X1758" s="62" t="inlineStr">
        <is>
          <t>N-OP</t>
        </is>
      </c>
      <c r="Y1758" s="116">
        <f>F1758/E1758</f>
        <v/>
      </c>
      <c r="Z1758" s="64">
        <f>E1758-N1758</f>
        <v/>
      </c>
    </row>
    <row r="1759" ht="15.75" customHeight="1" s="202">
      <c r="K1759" s="48">
        <f>D1759+8</f>
        <v/>
      </c>
      <c r="L1759" s="48">
        <f>K1759+60</f>
        <v/>
      </c>
      <c r="S1759" s="200" t="n"/>
      <c r="T1759" s="201" t="n"/>
      <c r="U1759" s="58" t="n"/>
      <c r="V1759" s="67" t="n"/>
      <c r="W1759" s="67" t="n"/>
      <c r="X1759" s="62" t="inlineStr">
        <is>
          <t>N-OP</t>
        </is>
      </c>
      <c r="Y1759" s="116">
        <f>F1759/E1759</f>
        <v/>
      </c>
      <c r="Z1759" s="64">
        <f>E1759-N1759</f>
        <v/>
      </c>
    </row>
    <row r="1760" ht="15.75" customHeight="1" s="202">
      <c r="K1760" s="48">
        <f>D1760+8</f>
        <v/>
      </c>
      <c r="L1760" s="48">
        <f>K1760+60</f>
        <v/>
      </c>
      <c r="S1760" s="200" t="n"/>
      <c r="T1760" s="201" t="n"/>
      <c r="U1760" s="58" t="n"/>
      <c r="V1760" s="67" t="n"/>
      <c r="W1760" s="67" t="n"/>
      <c r="X1760" s="62" t="inlineStr">
        <is>
          <t>N-OP</t>
        </is>
      </c>
      <c r="Y1760" s="116">
        <f>F1760/E1760</f>
        <v/>
      </c>
      <c r="Z1760" s="64">
        <f>E1760-N1760</f>
        <v/>
      </c>
    </row>
    <row r="1761" ht="15.75" customHeight="1" s="202">
      <c r="K1761" s="48">
        <f>D1761+8</f>
        <v/>
      </c>
      <c r="L1761" s="48">
        <f>K1761+60</f>
        <v/>
      </c>
      <c r="S1761" s="200" t="n"/>
      <c r="T1761" s="201" t="n"/>
      <c r="U1761" s="58" t="n"/>
      <c r="V1761" s="67" t="n"/>
      <c r="W1761" s="67" t="n"/>
      <c r="X1761" s="62" t="inlineStr">
        <is>
          <t>N-OP</t>
        </is>
      </c>
      <c r="Y1761" s="116">
        <f>F1761/E1761</f>
        <v/>
      </c>
      <c r="Z1761" s="64">
        <f>E1761-N1761</f>
        <v/>
      </c>
    </row>
    <row r="1762" ht="15.75" customHeight="1" s="202">
      <c r="K1762" s="48">
        <f>D1762+8</f>
        <v/>
      </c>
      <c r="L1762" s="48">
        <f>K1762+60</f>
        <v/>
      </c>
      <c r="S1762" s="200" t="n"/>
      <c r="T1762" s="201" t="n"/>
      <c r="U1762" s="58" t="n"/>
      <c r="V1762" s="67" t="n"/>
      <c r="W1762" s="67" t="n"/>
      <c r="X1762" s="62" t="inlineStr">
        <is>
          <t>N-OP</t>
        </is>
      </c>
      <c r="Y1762" s="116">
        <f>F1762/E1762</f>
        <v/>
      </c>
      <c r="Z1762" s="64">
        <f>E1762-N1762</f>
        <v/>
      </c>
    </row>
    <row r="1763" ht="15.75" customHeight="1" s="202">
      <c r="K1763" s="48">
        <f>D1763+8</f>
        <v/>
      </c>
      <c r="L1763" s="48">
        <f>K1763+60</f>
        <v/>
      </c>
      <c r="S1763" s="200" t="n"/>
      <c r="T1763" s="201" t="n"/>
      <c r="U1763" s="58" t="n"/>
      <c r="V1763" s="67" t="n"/>
      <c r="W1763" s="67" t="n"/>
      <c r="X1763" s="62" t="inlineStr">
        <is>
          <t>N-OP</t>
        </is>
      </c>
      <c r="Y1763" s="116">
        <f>F1763/E1763</f>
        <v/>
      </c>
      <c r="Z1763" s="64">
        <f>E1763-N1763</f>
        <v/>
      </c>
    </row>
    <row r="1764" ht="15.75" customHeight="1" s="202">
      <c r="K1764" s="48">
        <f>D1764+8</f>
        <v/>
      </c>
      <c r="L1764" s="48">
        <f>K1764+60</f>
        <v/>
      </c>
      <c r="S1764" s="200" t="n"/>
      <c r="T1764" s="201" t="n"/>
      <c r="U1764" s="58" t="n"/>
      <c r="V1764" s="67" t="n"/>
      <c r="W1764" s="67" t="n"/>
      <c r="X1764" s="62" t="inlineStr">
        <is>
          <t>N-OP</t>
        </is>
      </c>
      <c r="Y1764" s="116">
        <f>F1764/E1764</f>
        <v/>
      </c>
      <c r="Z1764" s="64">
        <f>E1764-N1764</f>
        <v/>
      </c>
    </row>
    <row r="1765" ht="15.75" customHeight="1" s="202">
      <c r="K1765" s="48">
        <f>D1765+8</f>
        <v/>
      </c>
      <c r="L1765" s="48">
        <f>K1765+60</f>
        <v/>
      </c>
      <c r="S1765" s="200" t="n"/>
      <c r="T1765" s="201" t="n"/>
      <c r="U1765" s="58" t="n"/>
      <c r="V1765" s="67" t="n"/>
      <c r="W1765" s="67" t="n"/>
      <c r="X1765" s="62" t="inlineStr">
        <is>
          <t>N-OP</t>
        </is>
      </c>
      <c r="Y1765" s="116">
        <f>F1765/E1765</f>
        <v/>
      </c>
      <c r="Z1765" s="64">
        <f>E1765-N1765</f>
        <v/>
      </c>
    </row>
    <row r="1766" ht="15.75" customHeight="1" s="202">
      <c r="K1766" s="48">
        <f>D1766+8</f>
        <v/>
      </c>
      <c r="L1766" s="48">
        <f>K1766+60</f>
        <v/>
      </c>
      <c r="S1766" s="200" t="n"/>
      <c r="T1766" s="201" t="n"/>
      <c r="U1766" s="58" t="n"/>
      <c r="V1766" s="67" t="n"/>
      <c r="W1766" s="67" t="n"/>
      <c r="X1766" s="62" t="inlineStr">
        <is>
          <t>N-OP</t>
        </is>
      </c>
      <c r="Y1766" s="116">
        <f>F1766/E1766</f>
        <v/>
      </c>
      <c r="Z1766" s="64">
        <f>E1766-N1766</f>
        <v/>
      </c>
    </row>
    <row r="1767" ht="15.75" customHeight="1" s="202">
      <c r="K1767" s="48">
        <f>D1767+8</f>
        <v/>
      </c>
      <c r="L1767" s="48">
        <f>K1767+60</f>
        <v/>
      </c>
      <c r="S1767" s="200" t="n"/>
      <c r="T1767" s="201" t="n"/>
      <c r="U1767" s="58" t="n"/>
      <c r="V1767" s="67" t="n"/>
      <c r="W1767" s="67" t="n"/>
      <c r="X1767" s="62" t="inlineStr">
        <is>
          <t>N-OP</t>
        </is>
      </c>
      <c r="Y1767" s="116">
        <f>F1767/E1767</f>
        <v/>
      </c>
      <c r="Z1767" s="64">
        <f>E1767-N1767</f>
        <v/>
      </c>
    </row>
    <row r="1768" ht="15.75" customHeight="1" s="202">
      <c r="K1768" s="48">
        <f>D1768+8</f>
        <v/>
      </c>
      <c r="L1768" s="48">
        <f>K1768+60</f>
        <v/>
      </c>
      <c r="S1768" s="200" t="n"/>
      <c r="T1768" s="201" t="n"/>
      <c r="U1768" s="58" t="n"/>
      <c r="V1768" s="67" t="n"/>
      <c r="W1768" s="67" t="n"/>
      <c r="X1768" s="62" t="inlineStr">
        <is>
          <t>N-OP</t>
        </is>
      </c>
      <c r="Y1768" s="116">
        <f>F1768/E1768</f>
        <v/>
      </c>
      <c r="Z1768" s="64">
        <f>E1768-N1768</f>
        <v/>
      </c>
    </row>
    <row r="1769" ht="15.75" customHeight="1" s="202">
      <c r="K1769" s="48">
        <f>D1769+8</f>
        <v/>
      </c>
      <c r="L1769" s="48">
        <f>K1769+60</f>
        <v/>
      </c>
      <c r="S1769" s="200" t="n"/>
      <c r="T1769" s="201" t="n"/>
      <c r="U1769" s="58" t="n"/>
      <c r="V1769" s="67" t="n"/>
      <c r="W1769" s="67" t="n"/>
      <c r="X1769" s="62" t="inlineStr">
        <is>
          <t>N-OP</t>
        </is>
      </c>
      <c r="Y1769" s="116">
        <f>F1769/E1769</f>
        <v/>
      </c>
      <c r="Z1769" s="64">
        <f>E1769-N1769</f>
        <v/>
      </c>
    </row>
    <row r="1770" ht="15.75" customHeight="1" s="202">
      <c r="K1770" s="48">
        <f>D1770+8</f>
        <v/>
      </c>
      <c r="L1770" s="48">
        <f>K1770+60</f>
        <v/>
      </c>
      <c r="S1770" s="200" t="n"/>
      <c r="T1770" s="201" t="n"/>
      <c r="U1770" s="58" t="n"/>
      <c r="V1770" s="67" t="n"/>
      <c r="W1770" s="67" t="n"/>
      <c r="X1770" s="62" t="inlineStr">
        <is>
          <t>N-OP</t>
        </is>
      </c>
      <c r="Y1770" s="116">
        <f>F1770/E1770</f>
        <v/>
      </c>
      <c r="Z1770" s="64">
        <f>E1770-N1770</f>
        <v/>
      </c>
    </row>
    <row r="1771" ht="15.75" customHeight="1" s="202">
      <c r="K1771" s="48">
        <f>D1771+8</f>
        <v/>
      </c>
      <c r="L1771" s="48">
        <f>K1771+60</f>
        <v/>
      </c>
      <c r="S1771" s="200" t="n"/>
      <c r="T1771" s="201" t="n"/>
      <c r="U1771" s="58" t="n"/>
      <c r="V1771" s="67" t="n"/>
      <c r="W1771" s="67" t="n"/>
      <c r="X1771" s="62" t="inlineStr">
        <is>
          <t>N-OP</t>
        </is>
      </c>
      <c r="Y1771" s="116">
        <f>F1771/E1771</f>
        <v/>
      </c>
      <c r="Z1771" s="64">
        <f>E1771-N1771</f>
        <v/>
      </c>
    </row>
    <row r="1772" ht="15.75" customHeight="1" s="202">
      <c r="K1772" s="48">
        <f>D1772+8</f>
        <v/>
      </c>
      <c r="L1772" s="48">
        <f>K1772+60</f>
        <v/>
      </c>
      <c r="S1772" s="200" t="n"/>
      <c r="T1772" s="201" t="n"/>
      <c r="U1772" s="58" t="n"/>
      <c r="V1772" s="67" t="n"/>
      <c r="W1772" s="67" t="n"/>
      <c r="X1772" s="62" t="inlineStr">
        <is>
          <t>N-OP</t>
        </is>
      </c>
      <c r="Y1772" s="116">
        <f>F1772/E1772</f>
        <v/>
      </c>
      <c r="Z1772" s="64">
        <f>E1772-N1772</f>
        <v/>
      </c>
    </row>
    <row r="1773" ht="15.75" customHeight="1" s="202">
      <c r="K1773" s="48">
        <f>D1773+8</f>
        <v/>
      </c>
      <c r="L1773" s="48">
        <f>K1773+60</f>
        <v/>
      </c>
      <c r="S1773" s="200" t="n"/>
      <c r="T1773" s="201" t="n"/>
      <c r="U1773" s="58" t="n"/>
      <c r="V1773" s="67" t="n"/>
      <c r="W1773" s="67" t="n"/>
      <c r="X1773" s="62" t="inlineStr">
        <is>
          <t>N-OP</t>
        </is>
      </c>
      <c r="Y1773" s="116">
        <f>F1773/E1773</f>
        <v/>
      </c>
      <c r="Z1773" s="64">
        <f>E1773-N1773</f>
        <v/>
      </c>
    </row>
    <row r="1774" ht="15.75" customHeight="1" s="202">
      <c r="K1774" s="48">
        <f>D1774+8</f>
        <v/>
      </c>
      <c r="L1774" s="48">
        <f>K1774+60</f>
        <v/>
      </c>
      <c r="S1774" s="200" t="n"/>
      <c r="T1774" s="201" t="n"/>
      <c r="U1774" s="58" t="n"/>
      <c r="V1774" s="67" t="n"/>
      <c r="W1774" s="67" t="n"/>
      <c r="X1774" s="62" t="inlineStr">
        <is>
          <t>N-OP</t>
        </is>
      </c>
      <c r="Y1774" s="116">
        <f>F1774/E1774</f>
        <v/>
      </c>
      <c r="Z1774" s="64">
        <f>E1774-N1774</f>
        <v/>
      </c>
    </row>
    <row r="1775" ht="15.75" customHeight="1" s="202">
      <c r="K1775" s="48">
        <f>D1775+8</f>
        <v/>
      </c>
      <c r="L1775" s="48">
        <f>K1775+60</f>
        <v/>
      </c>
      <c r="S1775" s="200" t="n"/>
      <c r="T1775" s="201" t="n"/>
      <c r="U1775" s="58" t="n"/>
      <c r="V1775" s="67" t="n"/>
      <c r="W1775" s="67" t="n"/>
      <c r="X1775" s="62" t="inlineStr">
        <is>
          <t>N-OP</t>
        </is>
      </c>
      <c r="Y1775" s="116">
        <f>F1775/E1775</f>
        <v/>
      </c>
      <c r="Z1775" s="64">
        <f>E1775-N1775</f>
        <v/>
      </c>
    </row>
    <row r="1776" ht="15.75" customHeight="1" s="202">
      <c r="K1776" s="48">
        <f>D1776+8</f>
        <v/>
      </c>
      <c r="L1776" s="48">
        <f>K1776+60</f>
        <v/>
      </c>
      <c r="S1776" s="200" t="n"/>
      <c r="T1776" s="201" t="n"/>
      <c r="U1776" s="58" t="n"/>
      <c r="V1776" s="67" t="n"/>
      <c r="W1776" s="67" t="n"/>
      <c r="X1776" s="62" t="inlineStr">
        <is>
          <t>N-OP</t>
        </is>
      </c>
      <c r="Y1776" s="116">
        <f>F1776/E1776</f>
        <v/>
      </c>
      <c r="Z1776" s="64">
        <f>E1776-N1776</f>
        <v/>
      </c>
    </row>
    <row r="1777" ht="15.75" customHeight="1" s="202">
      <c r="K1777" s="48">
        <f>D1777+8</f>
        <v/>
      </c>
      <c r="L1777" s="48">
        <f>K1777+60</f>
        <v/>
      </c>
      <c r="S1777" s="200" t="n"/>
      <c r="T1777" s="201" t="n"/>
      <c r="U1777" s="58" t="n"/>
      <c r="V1777" s="67" t="n"/>
      <c r="W1777" s="67" t="n"/>
      <c r="X1777" s="62" t="inlineStr">
        <is>
          <t>N-OP</t>
        </is>
      </c>
      <c r="Y1777" s="116">
        <f>F1777/E1777</f>
        <v/>
      </c>
      <c r="Z1777" s="64">
        <f>E1777-N1777</f>
        <v/>
      </c>
    </row>
    <row r="1778" ht="15.75" customHeight="1" s="202">
      <c r="K1778" s="48">
        <f>D1778+8</f>
        <v/>
      </c>
      <c r="L1778" s="48">
        <f>K1778+60</f>
        <v/>
      </c>
      <c r="S1778" s="200" t="n"/>
      <c r="T1778" s="201" t="n"/>
      <c r="U1778" s="58" t="n"/>
      <c r="V1778" s="67" t="n"/>
      <c r="W1778" s="67" t="n"/>
      <c r="X1778" s="62" t="inlineStr">
        <is>
          <t>N-OP</t>
        </is>
      </c>
      <c r="Y1778" s="116">
        <f>F1778/E1778</f>
        <v/>
      </c>
      <c r="Z1778" s="64">
        <f>E1778-N1778</f>
        <v/>
      </c>
    </row>
    <row r="1779" ht="15.75" customHeight="1" s="202">
      <c r="K1779" s="48">
        <f>D1779+8</f>
        <v/>
      </c>
      <c r="L1779" s="48">
        <f>K1779+60</f>
        <v/>
      </c>
      <c r="S1779" s="200" t="n"/>
      <c r="T1779" s="201" t="n"/>
      <c r="U1779" s="58" t="n"/>
      <c r="V1779" s="67" t="n"/>
      <c r="W1779" s="67" t="n"/>
      <c r="X1779" s="62" t="inlineStr">
        <is>
          <t>N-OP</t>
        </is>
      </c>
      <c r="Y1779" s="116">
        <f>F1779/E1779</f>
        <v/>
      </c>
      <c r="Z1779" s="64">
        <f>E1779-N1779</f>
        <v/>
      </c>
    </row>
    <row r="1780" ht="15.75" customHeight="1" s="202">
      <c r="K1780" s="48">
        <f>D1780+8</f>
        <v/>
      </c>
      <c r="L1780" s="48">
        <f>K1780+60</f>
        <v/>
      </c>
      <c r="S1780" s="200" t="n"/>
      <c r="T1780" s="201" t="n"/>
      <c r="U1780" s="58" t="n"/>
      <c r="V1780" s="67" t="n"/>
      <c r="W1780" s="67" t="n"/>
      <c r="X1780" s="62" t="inlineStr">
        <is>
          <t>N-OP</t>
        </is>
      </c>
      <c r="Y1780" s="116">
        <f>F1780/E1780</f>
        <v/>
      </c>
      <c r="Z1780" s="64">
        <f>E1780-N1780</f>
        <v/>
      </c>
    </row>
    <row r="1781" ht="15.75" customHeight="1" s="202">
      <c r="K1781" s="48">
        <f>D1781+8</f>
        <v/>
      </c>
      <c r="L1781" s="48">
        <f>K1781+60</f>
        <v/>
      </c>
      <c r="S1781" s="200" t="n"/>
      <c r="T1781" s="201" t="n"/>
      <c r="U1781" s="58" t="n"/>
      <c r="V1781" s="67" t="n"/>
      <c r="W1781" s="67" t="n"/>
      <c r="X1781" s="62" t="inlineStr">
        <is>
          <t>N-OP</t>
        </is>
      </c>
      <c r="Y1781" s="116">
        <f>F1781/E1781</f>
        <v/>
      </c>
      <c r="Z1781" s="64">
        <f>E1781-N1781</f>
        <v/>
      </c>
    </row>
    <row r="1782" ht="15.75" customHeight="1" s="202">
      <c r="K1782" s="48">
        <f>D1782+8</f>
        <v/>
      </c>
      <c r="L1782" s="48">
        <f>K1782+60</f>
        <v/>
      </c>
      <c r="S1782" s="200" t="n"/>
      <c r="T1782" s="201" t="n"/>
      <c r="U1782" s="58" t="n"/>
      <c r="V1782" s="67" t="n"/>
      <c r="W1782" s="67" t="n"/>
      <c r="X1782" s="62" t="inlineStr">
        <is>
          <t>N-OP</t>
        </is>
      </c>
      <c r="Y1782" s="116">
        <f>F1782/E1782</f>
        <v/>
      </c>
      <c r="Z1782" s="64">
        <f>E1782-N1782</f>
        <v/>
      </c>
    </row>
    <row r="1783" ht="15.75" customHeight="1" s="202">
      <c r="K1783" s="48">
        <f>D1783+8</f>
        <v/>
      </c>
      <c r="L1783" s="48">
        <f>K1783+60</f>
        <v/>
      </c>
      <c r="S1783" s="200" t="n"/>
      <c r="T1783" s="201" t="n"/>
      <c r="U1783" s="58" t="n"/>
      <c r="V1783" s="67" t="n"/>
      <c r="W1783" s="67" t="n"/>
      <c r="X1783" s="62" t="inlineStr">
        <is>
          <t>N-OP</t>
        </is>
      </c>
      <c r="Y1783" s="116">
        <f>F1783/E1783</f>
        <v/>
      </c>
      <c r="Z1783" s="64">
        <f>E1783-N1783</f>
        <v/>
      </c>
    </row>
    <row r="1784" ht="15.75" customHeight="1" s="202">
      <c r="K1784" s="48">
        <f>D1784+8</f>
        <v/>
      </c>
      <c r="L1784" s="48">
        <f>K1784+60</f>
        <v/>
      </c>
      <c r="S1784" s="200" t="n"/>
      <c r="T1784" s="201" t="n"/>
      <c r="U1784" s="58" t="n"/>
      <c r="V1784" s="67" t="n"/>
      <c r="W1784" s="67" t="n"/>
      <c r="X1784" s="62" t="inlineStr">
        <is>
          <t>N-OP</t>
        </is>
      </c>
      <c r="Y1784" s="116">
        <f>F1784/E1784</f>
        <v/>
      </c>
      <c r="Z1784" s="64">
        <f>E1784-N1784</f>
        <v/>
      </c>
    </row>
    <row r="1785" ht="15.75" customHeight="1" s="202">
      <c r="K1785" s="48">
        <f>D1785+8</f>
        <v/>
      </c>
      <c r="L1785" s="48">
        <f>K1785+60</f>
        <v/>
      </c>
      <c r="S1785" s="200" t="n"/>
      <c r="T1785" s="201" t="n"/>
      <c r="U1785" s="58" t="n"/>
      <c r="V1785" s="67" t="n"/>
      <c r="W1785" s="67" t="n"/>
      <c r="X1785" s="62" t="inlineStr">
        <is>
          <t>N-OP</t>
        </is>
      </c>
      <c r="Y1785" s="116">
        <f>F1785/E1785</f>
        <v/>
      </c>
      <c r="Z1785" s="64">
        <f>E1785-N1785</f>
        <v/>
      </c>
    </row>
    <row r="1786" ht="15.75" customHeight="1" s="202">
      <c r="K1786" s="48">
        <f>D1786+8</f>
        <v/>
      </c>
      <c r="L1786" s="48">
        <f>K1786+60</f>
        <v/>
      </c>
      <c r="S1786" s="200" t="n"/>
      <c r="T1786" s="201" t="n"/>
      <c r="U1786" s="58" t="n"/>
      <c r="V1786" s="67" t="n"/>
      <c r="W1786" s="67" t="n"/>
      <c r="X1786" s="62" t="inlineStr">
        <is>
          <t>N-OP</t>
        </is>
      </c>
      <c r="Y1786" s="116">
        <f>F1786/E1786</f>
        <v/>
      </c>
      <c r="Z1786" s="64">
        <f>E1786-N1786</f>
        <v/>
      </c>
    </row>
    <row r="1787" ht="15.75" customHeight="1" s="202">
      <c r="K1787" s="48">
        <f>D1787+8</f>
        <v/>
      </c>
      <c r="L1787" s="48">
        <f>K1787+60</f>
        <v/>
      </c>
      <c r="S1787" s="200" t="n"/>
      <c r="T1787" s="201" t="n"/>
      <c r="U1787" s="58" t="n"/>
      <c r="V1787" s="67" t="n"/>
      <c r="W1787" s="67" t="n"/>
      <c r="X1787" s="62" t="inlineStr">
        <is>
          <t>N-OP</t>
        </is>
      </c>
      <c r="Y1787" s="116">
        <f>F1787/E1787</f>
        <v/>
      </c>
      <c r="Z1787" s="64">
        <f>E1787-N1787</f>
        <v/>
      </c>
    </row>
    <row r="1788" ht="15.75" customHeight="1" s="202">
      <c r="K1788" s="48">
        <f>D1788+8</f>
        <v/>
      </c>
      <c r="L1788" s="48">
        <f>K1788+60</f>
        <v/>
      </c>
      <c r="S1788" s="200" t="n"/>
      <c r="T1788" s="201" t="n"/>
      <c r="U1788" s="58" t="n"/>
      <c r="V1788" s="67" t="n"/>
      <c r="W1788" s="67" t="n"/>
      <c r="X1788" s="62" t="inlineStr">
        <is>
          <t>N-OP</t>
        </is>
      </c>
      <c r="Y1788" s="116">
        <f>F1788/E1788</f>
        <v/>
      </c>
      <c r="Z1788" s="64">
        <f>E1788-N1788</f>
        <v/>
      </c>
    </row>
    <row r="1789" ht="15.75" customHeight="1" s="202">
      <c r="K1789" s="48">
        <f>D1789+8</f>
        <v/>
      </c>
      <c r="L1789" s="48">
        <f>K1789+60</f>
        <v/>
      </c>
      <c r="S1789" s="200" t="n"/>
      <c r="T1789" s="201" t="n"/>
      <c r="U1789" s="58" t="n"/>
      <c r="V1789" s="67" t="n"/>
      <c r="W1789" s="67" t="n"/>
      <c r="X1789" s="62" t="inlineStr">
        <is>
          <t>N-OP</t>
        </is>
      </c>
      <c r="Y1789" s="116">
        <f>F1789/E1789</f>
        <v/>
      </c>
      <c r="Z1789" s="64">
        <f>E1789-N1789</f>
        <v/>
      </c>
    </row>
    <row r="1790" ht="15.75" customHeight="1" s="202">
      <c r="K1790" s="48">
        <f>D1790+8</f>
        <v/>
      </c>
      <c r="L1790" s="48">
        <f>K1790+60</f>
        <v/>
      </c>
      <c r="S1790" s="200" t="n"/>
      <c r="T1790" s="201" t="n"/>
      <c r="U1790" s="58" t="n"/>
      <c r="V1790" s="67" t="n"/>
      <c r="W1790" s="67" t="n"/>
      <c r="X1790" s="62" t="inlineStr">
        <is>
          <t>N-OP</t>
        </is>
      </c>
      <c r="Y1790" s="116">
        <f>F1790/E1790</f>
        <v/>
      </c>
      <c r="Z1790" s="64">
        <f>E1790-N1790</f>
        <v/>
      </c>
    </row>
    <row r="1791" ht="15.75" customHeight="1" s="202">
      <c r="K1791" s="48">
        <f>D1791+8</f>
        <v/>
      </c>
      <c r="L1791" s="48">
        <f>K1791+60</f>
        <v/>
      </c>
      <c r="S1791" s="200" t="n"/>
      <c r="T1791" s="201" t="n"/>
      <c r="U1791" s="58" t="n"/>
      <c r="V1791" s="67" t="n"/>
      <c r="W1791" s="67" t="n"/>
      <c r="X1791" s="62" t="inlineStr">
        <is>
          <t>N-OP</t>
        </is>
      </c>
      <c r="Y1791" s="116">
        <f>F1791/E1791</f>
        <v/>
      </c>
      <c r="Z1791" s="64">
        <f>E1791-N1791</f>
        <v/>
      </c>
    </row>
    <row r="1792" ht="15.75" customHeight="1" s="202">
      <c r="K1792" s="48">
        <f>D1792+8</f>
        <v/>
      </c>
      <c r="L1792" s="48">
        <f>K1792+60</f>
        <v/>
      </c>
      <c r="S1792" s="200" t="n"/>
      <c r="T1792" s="201" t="n"/>
      <c r="U1792" s="58" t="n"/>
      <c r="V1792" s="67" t="n"/>
      <c r="W1792" s="67" t="n"/>
      <c r="X1792" s="62" t="inlineStr">
        <is>
          <t>N-OP</t>
        </is>
      </c>
      <c r="Y1792" s="116">
        <f>F1792/E1792</f>
        <v/>
      </c>
      <c r="Z1792" s="64">
        <f>E1792-N1792</f>
        <v/>
      </c>
    </row>
    <row r="1793" ht="15.75" customHeight="1" s="202">
      <c r="K1793" s="48">
        <f>D1793+8</f>
        <v/>
      </c>
      <c r="L1793" s="48">
        <f>K1793+60</f>
        <v/>
      </c>
      <c r="S1793" s="200" t="n"/>
      <c r="T1793" s="201" t="n"/>
      <c r="U1793" s="58" t="n"/>
      <c r="V1793" s="67" t="n"/>
      <c r="W1793" s="67" t="n"/>
      <c r="X1793" s="62" t="inlineStr">
        <is>
          <t>N-OP</t>
        </is>
      </c>
      <c r="Y1793" s="116">
        <f>F1793/E1793</f>
        <v/>
      </c>
      <c r="Z1793" s="64">
        <f>E1793-N1793</f>
        <v/>
      </c>
    </row>
    <row r="1794" ht="15.75" customHeight="1" s="202">
      <c r="K1794" s="48">
        <f>D1794+8</f>
        <v/>
      </c>
      <c r="L1794" s="48">
        <f>K1794+60</f>
        <v/>
      </c>
      <c r="S1794" s="200" t="n"/>
      <c r="T1794" s="201" t="n"/>
      <c r="U1794" s="58" t="n"/>
      <c r="V1794" s="67" t="n"/>
      <c r="W1794" s="67" t="n"/>
      <c r="X1794" s="62" t="inlineStr">
        <is>
          <t>N-OP</t>
        </is>
      </c>
      <c r="Y1794" s="116">
        <f>F1794/E1794</f>
        <v/>
      </c>
      <c r="Z1794" s="64">
        <f>E1794-N1794</f>
        <v/>
      </c>
    </row>
    <row r="1795" ht="15.75" customHeight="1" s="202">
      <c r="K1795" s="48">
        <f>D1795+8</f>
        <v/>
      </c>
      <c r="L1795" s="48">
        <f>K1795+60</f>
        <v/>
      </c>
      <c r="S1795" s="200" t="n"/>
      <c r="T1795" s="201" t="n"/>
      <c r="U1795" s="58" t="n"/>
      <c r="V1795" s="67" t="n"/>
      <c r="W1795" s="67" t="n"/>
      <c r="X1795" s="62" t="inlineStr">
        <is>
          <t>N-OP</t>
        </is>
      </c>
      <c r="Y1795" s="116">
        <f>F1795/E1795</f>
        <v/>
      </c>
      <c r="Z1795" s="64">
        <f>E1795-N1795</f>
        <v/>
      </c>
    </row>
    <row r="1796" ht="15.75" customHeight="1" s="202">
      <c r="K1796" s="48">
        <f>D1796+8</f>
        <v/>
      </c>
      <c r="L1796" s="48">
        <f>K1796+60</f>
        <v/>
      </c>
      <c r="S1796" s="200" t="n"/>
      <c r="T1796" s="201" t="n"/>
      <c r="U1796" s="58" t="n"/>
      <c r="V1796" s="67" t="n"/>
      <c r="W1796" s="67" t="n"/>
      <c r="X1796" s="62" t="inlineStr">
        <is>
          <t>N-OP</t>
        </is>
      </c>
      <c r="Y1796" s="116">
        <f>F1796/E1796</f>
        <v/>
      </c>
      <c r="Z1796" s="64">
        <f>E1796-N1796</f>
        <v/>
      </c>
    </row>
    <row r="1797" ht="15.75" customHeight="1" s="202">
      <c r="K1797" s="48">
        <f>D1797+8</f>
        <v/>
      </c>
      <c r="L1797" s="48">
        <f>K1797+60</f>
        <v/>
      </c>
      <c r="S1797" s="200" t="n"/>
      <c r="T1797" s="201" t="n"/>
      <c r="U1797" s="58" t="n"/>
      <c r="V1797" s="67" t="n"/>
      <c r="W1797" s="67" t="n"/>
      <c r="X1797" s="62" t="inlineStr">
        <is>
          <t>N-OP</t>
        </is>
      </c>
      <c r="Y1797" s="116">
        <f>F1797/E1797</f>
        <v/>
      </c>
      <c r="Z1797" s="64">
        <f>E1797-N1797</f>
        <v/>
      </c>
    </row>
    <row r="1798" ht="15.75" customHeight="1" s="202">
      <c r="K1798" s="48">
        <f>D1798+8</f>
        <v/>
      </c>
      <c r="L1798" s="48">
        <f>K1798+60</f>
        <v/>
      </c>
      <c r="S1798" s="200" t="n"/>
      <c r="T1798" s="201" t="n"/>
      <c r="U1798" s="58" t="n"/>
      <c r="V1798" s="67" t="n"/>
      <c r="W1798" s="67" t="n"/>
      <c r="X1798" s="62" t="inlineStr">
        <is>
          <t>N-OP</t>
        </is>
      </c>
      <c r="Y1798" s="116">
        <f>F1798/E1798</f>
        <v/>
      </c>
      <c r="Z1798" s="64">
        <f>E1798-N1798</f>
        <v/>
      </c>
    </row>
    <row r="1799" ht="15.75" customHeight="1" s="202">
      <c r="K1799" s="48">
        <f>D1799+8</f>
        <v/>
      </c>
      <c r="L1799" s="48">
        <f>K1799+60</f>
        <v/>
      </c>
      <c r="S1799" s="200" t="n"/>
      <c r="T1799" s="201" t="n"/>
      <c r="U1799" s="58" t="n"/>
      <c r="V1799" s="67" t="n"/>
      <c r="W1799" s="67" t="n"/>
      <c r="X1799" s="62" t="inlineStr">
        <is>
          <t>N-OP</t>
        </is>
      </c>
      <c r="Y1799" s="116">
        <f>F1799/E1799</f>
        <v/>
      </c>
      <c r="Z1799" s="64">
        <f>E1799-N1799</f>
        <v/>
      </c>
    </row>
    <row r="1800" ht="15.75" customHeight="1" s="202">
      <c r="K1800" s="48">
        <f>D1800+8</f>
        <v/>
      </c>
      <c r="L1800" s="48">
        <f>K1800+60</f>
        <v/>
      </c>
      <c r="S1800" s="200" t="n"/>
      <c r="T1800" s="201" t="n"/>
      <c r="U1800" s="58" t="n"/>
      <c r="V1800" s="67" t="n"/>
      <c r="W1800" s="67" t="n"/>
      <c r="X1800" s="62" t="inlineStr">
        <is>
          <t>N-OP</t>
        </is>
      </c>
      <c r="Y1800" s="116">
        <f>F1800/E1800</f>
        <v/>
      </c>
      <c r="Z1800" s="64">
        <f>E1800-N1800</f>
        <v/>
      </c>
    </row>
    <row r="1801" ht="15.75" customHeight="1" s="202">
      <c r="K1801" s="48">
        <f>D1801+8</f>
        <v/>
      </c>
      <c r="L1801" s="48">
        <f>K1801+60</f>
        <v/>
      </c>
      <c r="S1801" s="200" t="n"/>
      <c r="T1801" s="201" t="n"/>
      <c r="U1801" s="58" t="n"/>
      <c r="V1801" s="67" t="n"/>
      <c r="W1801" s="67" t="n"/>
      <c r="X1801" s="62" t="inlineStr">
        <is>
          <t>N-OP</t>
        </is>
      </c>
      <c r="Y1801" s="116">
        <f>F1801/E1801</f>
        <v/>
      </c>
      <c r="Z1801" s="64">
        <f>E1801-N1801</f>
        <v/>
      </c>
    </row>
    <row r="1802" ht="15.75" customHeight="1" s="202">
      <c r="K1802" s="48">
        <f>D1802+8</f>
        <v/>
      </c>
      <c r="L1802" s="48">
        <f>K1802+60</f>
        <v/>
      </c>
      <c r="S1802" s="200" t="n"/>
      <c r="T1802" s="201" t="n"/>
      <c r="U1802" s="58" t="n"/>
      <c r="V1802" s="67" t="n"/>
      <c r="W1802" s="67" t="n"/>
      <c r="X1802" s="62" t="inlineStr">
        <is>
          <t>N-OP</t>
        </is>
      </c>
      <c r="Y1802" s="116">
        <f>F1802/E1802</f>
        <v/>
      </c>
      <c r="Z1802" s="64">
        <f>E1802-N1802</f>
        <v/>
      </c>
    </row>
    <row r="1803" ht="15.75" customHeight="1" s="202">
      <c r="K1803" s="48">
        <f>D1803+8</f>
        <v/>
      </c>
      <c r="L1803" s="48">
        <f>K1803+60</f>
        <v/>
      </c>
      <c r="S1803" s="200" t="n"/>
      <c r="T1803" s="201" t="n"/>
      <c r="U1803" s="58" t="n"/>
      <c r="V1803" s="67" t="n"/>
      <c r="W1803" s="67" t="n"/>
      <c r="X1803" s="62" t="inlineStr">
        <is>
          <t>N-OP</t>
        </is>
      </c>
      <c r="Y1803" s="116">
        <f>F1803/E1803</f>
        <v/>
      </c>
      <c r="Z1803" s="64">
        <f>E1803-N1803</f>
        <v/>
      </c>
    </row>
    <row r="1804" ht="15.75" customHeight="1" s="202">
      <c r="K1804" s="48">
        <f>D1804+8</f>
        <v/>
      </c>
      <c r="L1804" s="48">
        <f>K1804+60</f>
        <v/>
      </c>
      <c r="S1804" s="200" t="n"/>
      <c r="T1804" s="201" t="n"/>
      <c r="U1804" s="58" t="n"/>
      <c r="V1804" s="67" t="n"/>
      <c r="W1804" s="67" t="n"/>
      <c r="X1804" s="62" t="inlineStr">
        <is>
          <t>N-OP</t>
        </is>
      </c>
      <c r="Y1804" s="116">
        <f>F1804/E1804</f>
        <v/>
      </c>
      <c r="Z1804" s="64">
        <f>E1804-N1804</f>
        <v/>
      </c>
    </row>
    <row r="1805" ht="15.75" customHeight="1" s="202">
      <c r="K1805" s="48">
        <f>D1805+8</f>
        <v/>
      </c>
      <c r="L1805" s="48">
        <f>K1805+60</f>
        <v/>
      </c>
      <c r="S1805" s="200" t="n"/>
      <c r="T1805" s="201" t="n"/>
      <c r="U1805" s="58" t="n"/>
      <c r="V1805" s="67" t="n"/>
      <c r="W1805" s="67" t="n"/>
      <c r="X1805" s="62" t="inlineStr">
        <is>
          <t>N-OP</t>
        </is>
      </c>
      <c r="Y1805" s="116">
        <f>F1805/E1805</f>
        <v/>
      </c>
      <c r="Z1805" s="64">
        <f>E1805-N1805</f>
        <v/>
      </c>
    </row>
    <row r="1806" ht="15.75" customHeight="1" s="202">
      <c r="K1806" s="48">
        <f>D1806+8</f>
        <v/>
      </c>
      <c r="L1806" s="48">
        <f>K1806+60</f>
        <v/>
      </c>
      <c r="S1806" s="200" t="n"/>
      <c r="T1806" s="201" t="n"/>
      <c r="U1806" s="58" t="n"/>
      <c r="V1806" s="67" t="n"/>
      <c r="W1806" s="67" t="n"/>
      <c r="X1806" s="62" t="inlineStr">
        <is>
          <t>N-OP</t>
        </is>
      </c>
      <c r="Y1806" s="116">
        <f>F1806/E1806</f>
        <v/>
      </c>
      <c r="Z1806" s="64">
        <f>E1806-N1806</f>
        <v/>
      </c>
    </row>
    <row r="1807" ht="15.75" customHeight="1" s="202">
      <c r="K1807" s="48">
        <f>D1807+8</f>
        <v/>
      </c>
      <c r="L1807" s="48">
        <f>K1807+60</f>
        <v/>
      </c>
      <c r="S1807" s="200" t="n"/>
      <c r="T1807" s="201" t="n"/>
      <c r="U1807" s="58" t="n"/>
      <c r="V1807" s="67" t="n"/>
      <c r="W1807" s="67" t="n"/>
      <c r="X1807" s="62" t="inlineStr">
        <is>
          <t>N-OP</t>
        </is>
      </c>
      <c r="Y1807" s="116">
        <f>F1807/E1807</f>
        <v/>
      </c>
      <c r="Z1807" s="64">
        <f>E1807-N1807</f>
        <v/>
      </c>
    </row>
    <row r="1808" ht="15.75" customHeight="1" s="202">
      <c r="K1808" s="48">
        <f>D1808+8</f>
        <v/>
      </c>
      <c r="L1808" s="48">
        <f>K1808+60</f>
        <v/>
      </c>
      <c r="S1808" s="200" t="n"/>
      <c r="T1808" s="201" t="n"/>
      <c r="U1808" s="58" t="n"/>
      <c r="V1808" s="67" t="n"/>
      <c r="W1808" s="67" t="n"/>
      <c r="X1808" s="62" t="inlineStr">
        <is>
          <t>N-OP</t>
        </is>
      </c>
      <c r="Y1808" s="116">
        <f>F1808/E1808</f>
        <v/>
      </c>
      <c r="Z1808" s="64">
        <f>E1808-N1808</f>
        <v/>
      </c>
    </row>
    <row r="1809" ht="15.75" customHeight="1" s="202">
      <c r="K1809" s="48">
        <f>D1809+8</f>
        <v/>
      </c>
      <c r="L1809" s="48">
        <f>K1809+60</f>
        <v/>
      </c>
      <c r="S1809" s="200" t="n"/>
      <c r="T1809" s="201" t="n"/>
      <c r="U1809" s="58" t="n"/>
      <c r="V1809" s="67" t="n"/>
      <c r="W1809" s="67" t="n"/>
      <c r="X1809" s="62" t="inlineStr">
        <is>
          <t>N-OP</t>
        </is>
      </c>
      <c r="Y1809" s="116">
        <f>F1809/E1809</f>
        <v/>
      </c>
      <c r="Z1809" s="64">
        <f>E1809-N1809</f>
        <v/>
      </c>
    </row>
    <row r="1810" ht="15.75" customHeight="1" s="202">
      <c r="K1810" s="48">
        <f>D1810+8</f>
        <v/>
      </c>
      <c r="L1810" s="48">
        <f>K1810+60</f>
        <v/>
      </c>
      <c r="S1810" s="200" t="n"/>
      <c r="T1810" s="201" t="n"/>
      <c r="U1810" s="58" t="n"/>
      <c r="V1810" s="67" t="n"/>
      <c r="W1810" s="67" t="n"/>
      <c r="X1810" s="62" t="inlineStr">
        <is>
          <t>N-OP</t>
        </is>
      </c>
      <c r="Y1810" s="116">
        <f>F1810/E1810</f>
        <v/>
      </c>
      <c r="Z1810" s="64">
        <f>E1810-N1810</f>
        <v/>
      </c>
    </row>
    <row r="1811" ht="15.75" customHeight="1" s="202">
      <c r="K1811" s="48">
        <f>D1811+8</f>
        <v/>
      </c>
      <c r="L1811" s="48">
        <f>K1811+60</f>
        <v/>
      </c>
      <c r="S1811" s="200" t="n"/>
      <c r="T1811" s="201" t="n"/>
      <c r="U1811" s="58" t="n"/>
      <c r="V1811" s="67" t="n"/>
      <c r="W1811" s="67" t="n"/>
      <c r="X1811" s="62" t="inlineStr">
        <is>
          <t>N-OP</t>
        </is>
      </c>
      <c r="Y1811" s="116">
        <f>F1811/E1811</f>
        <v/>
      </c>
      <c r="Z1811" s="64">
        <f>E1811-N1811</f>
        <v/>
      </c>
    </row>
    <row r="1812" ht="15.75" customHeight="1" s="202">
      <c r="K1812" s="48">
        <f>D1812+8</f>
        <v/>
      </c>
      <c r="L1812" s="48">
        <f>K1812+60</f>
        <v/>
      </c>
      <c r="S1812" s="200" t="n"/>
      <c r="T1812" s="201" t="n"/>
      <c r="U1812" s="58" t="n"/>
      <c r="V1812" s="67" t="n"/>
      <c r="W1812" s="67" t="n"/>
      <c r="X1812" s="62" t="inlineStr">
        <is>
          <t>N-OP</t>
        </is>
      </c>
      <c r="Y1812" s="116">
        <f>F1812/E1812</f>
        <v/>
      </c>
      <c r="Z1812" s="64">
        <f>E1812-N1812</f>
        <v/>
      </c>
    </row>
    <row r="1813" ht="15.75" customHeight="1" s="202">
      <c r="K1813" s="48">
        <f>D1813+8</f>
        <v/>
      </c>
      <c r="L1813" s="48">
        <f>K1813+60</f>
        <v/>
      </c>
      <c r="S1813" s="200" t="n"/>
      <c r="T1813" s="201" t="n"/>
      <c r="U1813" s="58" t="n"/>
      <c r="V1813" s="67" t="n"/>
      <c r="W1813" s="67" t="n"/>
      <c r="X1813" s="62" t="inlineStr">
        <is>
          <t>N-OP</t>
        </is>
      </c>
      <c r="Y1813" s="116">
        <f>F1813/E1813</f>
        <v/>
      </c>
      <c r="Z1813" s="64">
        <f>E1813-N1813</f>
        <v/>
      </c>
    </row>
    <row r="1814" ht="15.75" customHeight="1" s="202">
      <c r="K1814" s="48">
        <f>D1814+8</f>
        <v/>
      </c>
      <c r="L1814" s="48">
        <f>K1814+60</f>
        <v/>
      </c>
      <c r="S1814" s="200" t="n"/>
      <c r="T1814" s="201" t="n"/>
      <c r="U1814" s="58" t="n"/>
      <c r="V1814" s="67" t="n"/>
      <c r="W1814" s="67" t="n"/>
      <c r="X1814" s="62" t="inlineStr">
        <is>
          <t>N-OP</t>
        </is>
      </c>
      <c r="Y1814" s="116">
        <f>F1814/E1814</f>
        <v/>
      </c>
      <c r="Z1814" s="64">
        <f>E1814-N1814</f>
        <v/>
      </c>
    </row>
    <row r="1815" ht="15.75" customHeight="1" s="202">
      <c r="K1815" s="48">
        <f>D1815+8</f>
        <v/>
      </c>
      <c r="L1815" s="48">
        <f>K1815+60</f>
        <v/>
      </c>
      <c r="S1815" s="200" t="n"/>
      <c r="T1815" s="201" t="n"/>
      <c r="U1815" s="58" t="n"/>
      <c r="V1815" s="67" t="n"/>
      <c r="W1815" s="67" t="n"/>
      <c r="X1815" s="62" t="inlineStr">
        <is>
          <t>N-OP</t>
        </is>
      </c>
      <c r="Y1815" s="116">
        <f>F1815/E1815</f>
        <v/>
      </c>
      <c r="Z1815" s="64">
        <f>E1815-N1815</f>
        <v/>
      </c>
    </row>
    <row r="1816" ht="15.75" customHeight="1" s="202">
      <c r="K1816" s="48">
        <f>D1816+8</f>
        <v/>
      </c>
      <c r="L1816" s="48">
        <f>K1816+60</f>
        <v/>
      </c>
      <c r="S1816" s="200" t="n"/>
      <c r="T1816" s="201" t="n"/>
      <c r="U1816" s="58" t="n"/>
      <c r="V1816" s="67" t="n"/>
      <c r="W1816" s="67" t="n"/>
      <c r="X1816" s="62" t="inlineStr">
        <is>
          <t>N-OP</t>
        </is>
      </c>
      <c r="Y1816" s="116">
        <f>F1816/E1816</f>
        <v/>
      </c>
      <c r="Z1816" s="64">
        <f>E1816-N1816</f>
        <v/>
      </c>
    </row>
    <row r="1817" ht="15.75" customHeight="1" s="202">
      <c r="K1817" s="48">
        <f>D1817+8</f>
        <v/>
      </c>
      <c r="L1817" s="48">
        <f>K1817+60</f>
        <v/>
      </c>
      <c r="S1817" s="200" t="n"/>
      <c r="T1817" s="201" t="n"/>
      <c r="U1817" s="58" t="n"/>
      <c r="V1817" s="67" t="n"/>
      <c r="W1817" s="67" t="n"/>
      <c r="X1817" s="62" t="inlineStr">
        <is>
          <t>N-OP</t>
        </is>
      </c>
      <c r="Y1817" s="116">
        <f>F1817/E1817</f>
        <v/>
      </c>
      <c r="Z1817" s="64">
        <f>E1817-N1817</f>
        <v/>
      </c>
    </row>
    <row r="1818" ht="15.75" customHeight="1" s="202">
      <c r="K1818" s="48">
        <f>D1818+8</f>
        <v/>
      </c>
      <c r="L1818" s="48">
        <f>K1818+60</f>
        <v/>
      </c>
      <c r="S1818" s="200" t="n"/>
      <c r="T1818" s="201" t="n"/>
      <c r="U1818" s="58" t="n"/>
      <c r="V1818" s="67" t="n"/>
      <c r="W1818" s="67" t="n"/>
      <c r="X1818" s="62" t="inlineStr">
        <is>
          <t>N-OP</t>
        </is>
      </c>
      <c r="Y1818" s="116">
        <f>F1818/E1818</f>
        <v/>
      </c>
      <c r="Z1818" s="64">
        <f>E1818-N1818</f>
        <v/>
      </c>
    </row>
    <row r="1819" ht="15.75" customHeight="1" s="202">
      <c r="K1819" s="48">
        <f>D1819+8</f>
        <v/>
      </c>
      <c r="L1819" s="48">
        <f>K1819+60</f>
        <v/>
      </c>
      <c r="S1819" s="200" t="n"/>
      <c r="T1819" s="201" t="n"/>
      <c r="U1819" s="58" t="n"/>
      <c r="V1819" s="67" t="n"/>
      <c r="W1819" s="67" t="n"/>
      <c r="X1819" s="62" t="inlineStr">
        <is>
          <t>N-OP</t>
        </is>
      </c>
      <c r="Y1819" s="116">
        <f>F1819/E1819</f>
        <v/>
      </c>
      <c r="Z1819" s="64">
        <f>E1819-N1819</f>
        <v/>
      </c>
    </row>
    <row r="1820" ht="15.75" customHeight="1" s="202">
      <c r="K1820" s="48">
        <f>D1820+8</f>
        <v/>
      </c>
      <c r="L1820" s="48">
        <f>K1820+60</f>
        <v/>
      </c>
      <c r="S1820" s="200" t="n"/>
      <c r="T1820" s="201" t="n"/>
      <c r="U1820" s="58" t="n"/>
      <c r="V1820" s="67" t="n"/>
      <c r="W1820" s="67" t="n"/>
      <c r="X1820" s="62" t="inlineStr">
        <is>
          <t>N-OP</t>
        </is>
      </c>
      <c r="Y1820" s="116">
        <f>F1820/E1820</f>
        <v/>
      </c>
      <c r="Z1820" s="64">
        <f>E1820-N1820</f>
        <v/>
      </c>
    </row>
    <row r="1821" ht="15.75" customHeight="1" s="202">
      <c r="K1821" s="48">
        <f>D1821+8</f>
        <v/>
      </c>
      <c r="L1821" s="48">
        <f>K1821+60</f>
        <v/>
      </c>
      <c r="S1821" s="200" t="n"/>
      <c r="T1821" s="201" t="n"/>
      <c r="U1821" s="58" t="n"/>
      <c r="V1821" s="67" t="n"/>
      <c r="W1821" s="67" t="n"/>
      <c r="X1821" s="62" t="inlineStr">
        <is>
          <t>N-OP</t>
        </is>
      </c>
      <c r="Y1821" s="116">
        <f>F1821/E1821</f>
        <v/>
      </c>
      <c r="Z1821" s="64">
        <f>E1821-N1821</f>
        <v/>
      </c>
    </row>
    <row r="1822" ht="15.75" customHeight="1" s="202">
      <c r="K1822" s="48">
        <f>D1822+8</f>
        <v/>
      </c>
      <c r="L1822" s="48">
        <f>K1822+60</f>
        <v/>
      </c>
      <c r="S1822" s="200" t="n"/>
      <c r="T1822" s="201" t="n"/>
      <c r="U1822" s="58" t="n"/>
      <c r="V1822" s="67" t="n"/>
      <c r="W1822" s="67" t="n"/>
      <c r="X1822" s="62" t="inlineStr">
        <is>
          <t>N-OP</t>
        </is>
      </c>
      <c r="Y1822" s="116">
        <f>F1822/E1822</f>
        <v/>
      </c>
      <c r="Z1822" s="64">
        <f>E1822-N1822</f>
        <v/>
      </c>
    </row>
    <row r="1823" ht="15.75" customHeight="1" s="202">
      <c r="K1823" s="48">
        <f>D1823+8</f>
        <v/>
      </c>
      <c r="L1823" s="48">
        <f>K1823+60</f>
        <v/>
      </c>
      <c r="S1823" s="200" t="n"/>
      <c r="T1823" s="201" t="n"/>
      <c r="U1823" s="58" t="n"/>
      <c r="V1823" s="67" t="n"/>
      <c r="W1823" s="67" t="n"/>
      <c r="X1823" s="62" t="inlineStr">
        <is>
          <t>N-OP</t>
        </is>
      </c>
      <c r="Y1823" s="116">
        <f>F1823/E1823</f>
        <v/>
      </c>
      <c r="Z1823" s="64">
        <f>E1823-N1823</f>
        <v/>
      </c>
    </row>
    <row r="1824" ht="15.75" customHeight="1" s="202">
      <c r="K1824" s="48">
        <f>D1824+8</f>
        <v/>
      </c>
      <c r="L1824" s="48">
        <f>K1824+60</f>
        <v/>
      </c>
      <c r="S1824" s="200" t="n"/>
      <c r="T1824" s="201" t="n"/>
      <c r="U1824" s="58" t="n"/>
      <c r="V1824" s="67" t="n"/>
      <c r="W1824" s="67" t="n"/>
      <c r="X1824" s="62" t="inlineStr">
        <is>
          <t>N-OP</t>
        </is>
      </c>
      <c r="Y1824" s="116">
        <f>F1824/E1824</f>
        <v/>
      </c>
      <c r="Z1824" s="64">
        <f>E1824-N1824</f>
        <v/>
      </c>
    </row>
    <row r="1825" ht="15.75" customHeight="1" s="202">
      <c r="K1825" s="48">
        <f>D1825+8</f>
        <v/>
      </c>
      <c r="L1825" s="48">
        <f>K1825+60</f>
        <v/>
      </c>
      <c r="S1825" s="200" t="n"/>
      <c r="T1825" s="201" t="n"/>
      <c r="U1825" s="58" t="n"/>
      <c r="V1825" s="67" t="n"/>
      <c r="W1825" s="67" t="n"/>
      <c r="X1825" s="62" t="inlineStr">
        <is>
          <t>N-OP</t>
        </is>
      </c>
      <c r="Y1825" s="116">
        <f>F1825/E1825</f>
        <v/>
      </c>
      <c r="Z1825" s="64">
        <f>E1825-N1825</f>
        <v/>
      </c>
    </row>
    <row r="1826" ht="15.75" customHeight="1" s="202">
      <c r="K1826" s="48">
        <f>D1826+8</f>
        <v/>
      </c>
      <c r="L1826" s="48">
        <f>K1826+60</f>
        <v/>
      </c>
      <c r="S1826" s="200" t="n"/>
      <c r="T1826" s="201" t="n"/>
      <c r="U1826" s="58" t="n"/>
      <c r="V1826" s="67" t="n"/>
      <c r="W1826" s="67" t="n"/>
      <c r="X1826" s="62" t="inlineStr">
        <is>
          <t>N-OP</t>
        </is>
      </c>
      <c r="Y1826" s="116">
        <f>F1826/E1826</f>
        <v/>
      </c>
      <c r="Z1826" s="64">
        <f>E1826-N1826</f>
        <v/>
      </c>
    </row>
    <row r="1827" ht="15.75" customHeight="1" s="202">
      <c r="K1827" s="48">
        <f>D1827+8</f>
        <v/>
      </c>
      <c r="L1827" s="48">
        <f>K1827+60</f>
        <v/>
      </c>
      <c r="S1827" s="200" t="n"/>
      <c r="T1827" s="201" t="n"/>
      <c r="U1827" s="58" t="n"/>
      <c r="V1827" s="67" t="n"/>
      <c r="W1827" s="67" t="n"/>
      <c r="X1827" s="62" t="inlineStr">
        <is>
          <t>N-OP</t>
        </is>
      </c>
      <c r="Y1827" s="116">
        <f>F1827/E1827</f>
        <v/>
      </c>
      <c r="Z1827" s="64">
        <f>E1827-N1827</f>
        <v/>
      </c>
    </row>
    <row r="1828" ht="15.75" customHeight="1" s="202">
      <c r="K1828" s="48">
        <f>D1828+8</f>
        <v/>
      </c>
      <c r="L1828" s="48">
        <f>K1828+60</f>
        <v/>
      </c>
      <c r="S1828" s="200" t="n"/>
      <c r="T1828" s="201" t="n"/>
      <c r="U1828" s="58" t="n"/>
      <c r="V1828" s="67" t="n"/>
      <c r="W1828" s="67" t="n"/>
      <c r="X1828" s="62" t="inlineStr">
        <is>
          <t>N-OP</t>
        </is>
      </c>
      <c r="Y1828" s="116">
        <f>F1828/E1828</f>
        <v/>
      </c>
      <c r="Z1828" s="64">
        <f>E1828-N1828</f>
        <v/>
      </c>
    </row>
    <row r="1829" ht="15.75" customHeight="1" s="202">
      <c r="K1829" s="48">
        <f>D1829+8</f>
        <v/>
      </c>
      <c r="L1829" s="48">
        <f>K1829+60</f>
        <v/>
      </c>
      <c r="S1829" s="200" t="n"/>
      <c r="T1829" s="201" t="n"/>
      <c r="U1829" s="58" t="n"/>
      <c r="V1829" s="67" t="n"/>
      <c r="W1829" s="67" t="n"/>
      <c r="X1829" s="62" t="inlineStr">
        <is>
          <t>N-OP</t>
        </is>
      </c>
      <c r="Y1829" s="116">
        <f>F1829/E1829</f>
        <v/>
      </c>
      <c r="Z1829" s="64">
        <f>E1829-N1829</f>
        <v/>
      </c>
    </row>
    <row r="1830" ht="15.75" customHeight="1" s="202">
      <c r="K1830" s="48">
        <f>D1830+8</f>
        <v/>
      </c>
      <c r="L1830" s="48">
        <f>K1830+60</f>
        <v/>
      </c>
      <c r="S1830" s="200" t="n"/>
      <c r="T1830" s="201" t="n"/>
      <c r="U1830" s="58" t="n"/>
      <c r="V1830" s="67" t="n"/>
      <c r="W1830" s="67" t="n"/>
      <c r="X1830" s="62" t="inlineStr">
        <is>
          <t>N-OP</t>
        </is>
      </c>
      <c r="Y1830" s="116">
        <f>F1830/E1830</f>
        <v/>
      </c>
      <c r="Z1830" s="64">
        <f>E1830-N1830</f>
        <v/>
      </c>
    </row>
    <row r="1831" ht="15.75" customHeight="1" s="202">
      <c r="K1831" s="48">
        <f>D1831+8</f>
        <v/>
      </c>
      <c r="L1831" s="48">
        <f>K1831+60</f>
        <v/>
      </c>
      <c r="S1831" s="200" t="n"/>
      <c r="T1831" s="201" t="n"/>
      <c r="U1831" s="58" t="n"/>
      <c r="V1831" s="67" t="n"/>
      <c r="W1831" s="67" t="n"/>
      <c r="X1831" s="62" t="inlineStr">
        <is>
          <t>N-OP</t>
        </is>
      </c>
      <c r="Y1831" s="116">
        <f>F1831/E1831</f>
        <v/>
      </c>
      <c r="Z1831" s="64">
        <f>E1831-N1831</f>
        <v/>
      </c>
    </row>
    <row r="1832" ht="15.75" customHeight="1" s="202">
      <c r="K1832" s="48">
        <f>D1832+8</f>
        <v/>
      </c>
      <c r="L1832" s="48">
        <f>K1832+60</f>
        <v/>
      </c>
      <c r="S1832" s="200" t="n"/>
      <c r="T1832" s="201" t="n"/>
      <c r="U1832" s="58" t="n"/>
      <c r="V1832" s="67" t="n"/>
      <c r="W1832" s="67" t="n"/>
      <c r="X1832" s="62" t="inlineStr">
        <is>
          <t>N-OP</t>
        </is>
      </c>
      <c r="Y1832" s="116">
        <f>F1832/E1832</f>
        <v/>
      </c>
      <c r="Z1832" s="64">
        <f>E1832-N1832</f>
        <v/>
      </c>
    </row>
    <row r="1833" ht="15.75" customHeight="1" s="202">
      <c r="K1833" s="48">
        <f>D1833+8</f>
        <v/>
      </c>
      <c r="L1833" s="48">
        <f>K1833+60</f>
        <v/>
      </c>
      <c r="S1833" s="200" t="n"/>
      <c r="T1833" s="201" t="n"/>
      <c r="U1833" s="58" t="n"/>
      <c r="V1833" s="67" t="n"/>
      <c r="W1833" s="67" t="n"/>
      <c r="X1833" s="62" t="inlineStr">
        <is>
          <t>N-OP</t>
        </is>
      </c>
      <c r="Y1833" s="116">
        <f>F1833/E1833</f>
        <v/>
      </c>
      <c r="Z1833" s="64">
        <f>E1833-N1833</f>
        <v/>
      </c>
    </row>
    <row r="1834" ht="15.75" customHeight="1" s="202">
      <c r="K1834" s="48">
        <f>D1834+8</f>
        <v/>
      </c>
      <c r="L1834" s="48">
        <f>K1834+60</f>
        <v/>
      </c>
      <c r="S1834" s="200" t="n"/>
      <c r="T1834" s="201" t="n"/>
      <c r="U1834" s="58" t="n"/>
      <c r="V1834" s="67" t="n"/>
      <c r="W1834" s="67" t="n"/>
      <c r="X1834" s="62" t="inlineStr">
        <is>
          <t>N-OP</t>
        </is>
      </c>
      <c r="Y1834" s="116">
        <f>F1834/E1834</f>
        <v/>
      </c>
      <c r="Z1834" s="64">
        <f>E1834-N1834</f>
        <v/>
      </c>
    </row>
    <row r="1835" ht="15.75" customHeight="1" s="202">
      <c r="K1835" s="48">
        <f>D1835+8</f>
        <v/>
      </c>
      <c r="L1835" s="48">
        <f>K1835+60</f>
        <v/>
      </c>
      <c r="S1835" s="200" t="n"/>
      <c r="T1835" s="201" t="n"/>
      <c r="U1835" s="58" t="n"/>
      <c r="V1835" s="67" t="n"/>
      <c r="W1835" s="67" t="n"/>
      <c r="X1835" s="62" t="inlineStr">
        <is>
          <t>N-OP</t>
        </is>
      </c>
      <c r="Y1835" s="116">
        <f>F1835/E1835</f>
        <v/>
      </c>
      <c r="Z1835" s="64">
        <f>E1835-N1835</f>
        <v/>
      </c>
    </row>
    <row r="1836" ht="15.75" customHeight="1" s="202">
      <c r="K1836" s="48">
        <f>D1836+8</f>
        <v/>
      </c>
      <c r="L1836" s="48">
        <f>K1836+60</f>
        <v/>
      </c>
      <c r="S1836" s="200" t="n"/>
      <c r="T1836" s="201" t="n"/>
      <c r="U1836" s="58" t="n"/>
      <c r="V1836" s="67" t="n"/>
      <c r="W1836" s="67" t="n"/>
      <c r="X1836" s="62" t="inlineStr">
        <is>
          <t>N-OP</t>
        </is>
      </c>
      <c r="Y1836" s="116">
        <f>F1836/E1836</f>
        <v/>
      </c>
      <c r="Z1836" s="64">
        <f>E1836-N1836</f>
        <v/>
      </c>
    </row>
    <row r="1837" ht="15.75" customHeight="1" s="202">
      <c r="K1837" s="48">
        <f>D1837+8</f>
        <v/>
      </c>
      <c r="L1837" s="48">
        <f>K1837+60</f>
        <v/>
      </c>
      <c r="S1837" s="200" t="n"/>
      <c r="T1837" s="201" t="n"/>
      <c r="U1837" s="58" t="n"/>
      <c r="V1837" s="67" t="n"/>
      <c r="W1837" s="67" t="n"/>
      <c r="X1837" s="62" t="inlineStr">
        <is>
          <t>N-OP</t>
        </is>
      </c>
      <c r="Y1837" s="116">
        <f>F1837/E1837</f>
        <v/>
      </c>
      <c r="Z1837" s="64">
        <f>E1837-N1837</f>
        <v/>
      </c>
    </row>
    <row r="1838" ht="15.75" customHeight="1" s="202">
      <c r="K1838" s="48">
        <f>D1838+8</f>
        <v/>
      </c>
      <c r="L1838" s="48">
        <f>K1838+60</f>
        <v/>
      </c>
      <c r="S1838" s="200" t="n"/>
      <c r="T1838" s="201" t="n"/>
      <c r="U1838" s="58" t="n"/>
      <c r="V1838" s="67" t="n"/>
      <c r="W1838" s="67" t="n"/>
      <c r="X1838" s="62" t="inlineStr">
        <is>
          <t>N-OP</t>
        </is>
      </c>
      <c r="Y1838" s="116">
        <f>F1838/E1838</f>
        <v/>
      </c>
      <c r="Z1838" s="64">
        <f>E1838-N1838</f>
        <v/>
      </c>
    </row>
    <row r="1839" ht="15.75" customHeight="1" s="202">
      <c r="K1839" s="48">
        <f>D1839+8</f>
        <v/>
      </c>
      <c r="L1839" s="48">
        <f>K1839+60</f>
        <v/>
      </c>
      <c r="S1839" s="200" t="n"/>
      <c r="T1839" s="201" t="n"/>
      <c r="U1839" s="58" t="n"/>
      <c r="V1839" s="67" t="n"/>
      <c r="W1839" s="67" t="n"/>
      <c r="X1839" s="62" t="inlineStr">
        <is>
          <t>N-OP</t>
        </is>
      </c>
      <c r="Y1839" s="116">
        <f>F1839/E1839</f>
        <v/>
      </c>
      <c r="Z1839" s="64">
        <f>E1839-N1839</f>
        <v/>
      </c>
    </row>
    <row r="1840" ht="15.75" customHeight="1" s="202">
      <c r="K1840" s="48">
        <f>D1840+8</f>
        <v/>
      </c>
      <c r="L1840" s="48">
        <f>K1840+60</f>
        <v/>
      </c>
      <c r="S1840" s="200" t="n"/>
      <c r="T1840" s="201" t="n"/>
      <c r="U1840" s="58" t="n"/>
      <c r="V1840" s="67" t="n"/>
      <c r="W1840" s="67" t="n"/>
      <c r="X1840" s="62" t="inlineStr">
        <is>
          <t>N-OP</t>
        </is>
      </c>
      <c r="Y1840" s="116">
        <f>F1840/E1840</f>
        <v/>
      </c>
      <c r="Z1840" s="64">
        <f>E1840-N1840</f>
        <v/>
      </c>
    </row>
    <row r="1841" ht="15.75" customHeight="1" s="202">
      <c r="K1841" s="48">
        <f>D1841+8</f>
        <v/>
      </c>
      <c r="L1841" s="48">
        <f>K1841+60</f>
        <v/>
      </c>
      <c r="S1841" s="200" t="n"/>
      <c r="T1841" s="201" t="n"/>
      <c r="U1841" s="58" t="n"/>
      <c r="V1841" s="67" t="n"/>
      <c r="W1841" s="67" t="n"/>
      <c r="X1841" s="62" t="inlineStr">
        <is>
          <t>N-OP</t>
        </is>
      </c>
      <c r="Y1841" s="116">
        <f>F1841/E1841</f>
        <v/>
      </c>
      <c r="Z1841" s="64">
        <f>E1841-N1841</f>
        <v/>
      </c>
    </row>
    <row r="1842" ht="15.75" customHeight="1" s="202">
      <c r="K1842" s="48">
        <f>D1842+8</f>
        <v/>
      </c>
      <c r="L1842" s="48">
        <f>K1842+60</f>
        <v/>
      </c>
      <c r="S1842" s="200" t="n"/>
      <c r="T1842" s="201" t="n"/>
      <c r="U1842" s="58" t="n"/>
      <c r="V1842" s="67" t="n"/>
      <c r="W1842" s="67" t="n"/>
      <c r="X1842" s="62" t="inlineStr">
        <is>
          <t>N-OP</t>
        </is>
      </c>
      <c r="Y1842" s="116">
        <f>F1842/E1842</f>
        <v/>
      </c>
      <c r="Z1842" s="64">
        <f>E1842-N1842</f>
        <v/>
      </c>
    </row>
    <row r="1843" ht="15.75" customHeight="1" s="202">
      <c r="K1843" s="48">
        <f>D1843+8</f>
        <v/>
      </c>
      <c r="L1843" s="48">
        <f>K1843+60</f>
        <v/>
      </c>
      <c r="S1843" s="200" t="n"/>
      <c r="T1843" s="201" t="n"/>
      <c r="U1843" s="58" t="n"/>
      <c r="V1843" s="67" t="n"/>
      <c r="W1843" s="67" t="n"/>
      <c r="X1843" s="62" t="inlineStr">
        <is>
          <t>N-OP</t>
        </is>
      </c>
      <c r="Y1843" s="116">
        <f>F1843/E1843</f>
        <v/>
      </c>
      <c r="Z1843" s="64">
        <f>E1843-N1843</f>
        <v/>
      </c>
    </row>
    <row r="1844" ht="15.75" customHeight="1" s="202">
      <c r="K1844" s="48">
        <f>D1844+8</f>
        <v/>
      </c>
      <c r="L1844" s="48">
        <f>K1844+60</f>
        <v/>
      </c>
      <c r="S1844" s="200" t="n"/>
      <c r="T1844" s="201" t="n"/>
      <c r="U1844" s="58" t="n"/>
      <c r="V1844" s="67" t="n"/>
      <c r="W1844" s="67" t="n"/>
      <c r="X1844" s="62" t="inlineStr">
        <is>
          <t>N-OP</t>
        </is>
      </c>
      <c r="Y1844" s="116">
        <f>F1844/E1844</f>
        <v/>
      </c>
      <c r="Z1844" s="64">
        <f>E1844-N1844</f>
        <v/>
      </c>
    </row>
    <row r="1845" ht="15.75" customHeight="1" s="202">
      <c r="K1845" s="48">
        <f>D1845+8</f>
        <v/>
      </c>
      <c r="L1845" s="48">
        <f>K1845+60</f>
        <v/>
      </c>
      <c r="S1845" s="200" t="n"/>
      <c r="T1845" s="201" t="n"/>
      <c r="U1845" s="58" t="n"/>
      <c r="V1845" s="67" t="n"/>
      <c r="W1845" s="67" t="n"/>
      <c r="X1845" s="62" t="inlineStr">
        <is>
          <t>N-OP</t>
        </is>
      </c>
      <c r="Y1845" s="116">
        <f>F1845/E1845</f>
        <v/>
      </c>
      <c r="Z1845" s="64">
        <f>E1845-N1845</f>
        <v/>
      </c>
    </row>
    <row r="1846" ht="15.75" customHeight="1" s="202">
      <c r="K1846" s="48">
        <f>D1846+8</f>
        <v/>
      </c>
      <c r="L1846" s="48">
        <f>K1846+60</f>
        <v/>
      </c>
      <c r="S1846" s="200" t="n"/>
      <c r="T1846" s="201" t="n"/>
      <c r="U1846" s="58" t="n"/>
      <c r="V1846" s="67" t="n"/>
      <c r="W1846" s="67" t="n"/>
      <c r="X1846" s="62" t="inlineStr">
        <is>
          <t>N-OP</t>
        </is>
      </c>
      <c r="Y1846" s="116">
        <f>F1846/E1846</f>
        <v/>
      </c>
      <c r="Z1846" s="64">
        <f>E1846-N1846</f>
        <v/>
      </c>
    </row>
    <row r="1847" ht="15.75" customHeight="1" s="202">
      <c r="K1847" s="48">
        <f>D1847+8</f>
        <v/>
      </c>
      <c r="L1847" s="48">
        <f>K1847+60</f>
        <v/>
      </c>
      <c r="S1847" s="200" t="n"/>
      <c r="T1847" s="201" t="n"/>
      <c r="U1847" s="58" t="n"/>
      <c r="V1847" s="67" t="n"/>
      <c r="W1847" s="67" t="n"/>
      <c r="X1847" s="62" t="inlineStr">
        <is>
          <t>N-OP</t>
        </is>
      </c>
      <c r="Y1847" s="116">
        <f>F1847/E1847</f>
        <v/>
      </c>
      <c r="Z1847" s="64">
        <f>E1847-N1847</f>
        <v/>
      </c>
    </row>
    <row r="1848" ht="15.75" customHeight="1" s="202">
      <c r="K1848" s="48">
        <f>D1848+8</f>
        <v/>
      </c>
      <c r="L1848" s="48">
        <f>K1848+60</f>
        <v/>
      </c>
      <c r="S1848" s="200" t="n"/>
      <c r="T1848" s="201" t="n"/>
      <c r="U1848" s="58" t="n"/>
      <c r="V1848" s="67" t="n"/>
      <c r="W1848" s="67" t="n"/>
      <c r="X1848" s="62" t="inlineStr">
        <is>
          <t>N-OP</t>
        </is>
      </c>
      <c r="Y1848" s="116">
        <f>F1848/E1848</f>
        <v/>
      </c>
      <c r="Z1848" s="64">
        <f>E1848-N1848</f>
        <v/>
      </c>
    </row>
    <row r="1849" ht="15.75" customHeight="1" s="202">
      <c r="K1849" s="48">
        <f>D1849+8</f>
        <v/>
      </c>
      <c r="L1849" s="48">
        <f>K1849+60</f>
        <v/>
      </c>
      <c r="S1849" s="200" t="n"/>
      <c r="T1849" s="201" t="n"/>
      <c r="U1849" s="58" t="n"/>
      <c r="V1849" s="67" t="n"/>
      <c r="W1849" s="67" t="n"/>
      <c r="X1849" s="62" t="inlineStr">
        <is>
          <t>N-OP</t>
        </is>
      </c>
      <c r="Y1849" s="116">
        <f>F1849/E1849</f>
        <v/>
      </c>
      <c r="Z1849" s="64">
        <f>E1849-N1849</f>
        <v/>
      </c>
    </row>
    <row r="1850" ht="15.75" customHeight="1" s="202">
      <c r="K1850" s="48">
        <f>D1850+8</f>
        <v/>
      </c>
      <c r="L1850" s="48">
        <f>K1850+60</f>
        <v/>
      </c>
      <c r="S1850" s="200" t="n"/>
      <c r="T1850" s="201" t="n"/>
      <c r="U1850" s="58" t="n"/>
      <c r="V1850" s="67" t="n"/>
      <c r="W1850" s="67" t="n"/>
      <c r="X1850" s="62" t="inlineStr">
        <is>
          <t>N-OP</t>
        </is>
      </c>
      <c r="Y1850" s="116">
        <f>F1850/E1850</f>
        <v/>
      </c>
      <c r="Z1850" s="64">
        <f>E1850-N1850</f>
        <v/>
      </c>
    </row>
    <row r="1851" ht="15.75" customHeight="1" s="202">
      <c r="K1851" s="48">
        <f>D1851+8</f>
        <v/>
      </c>
      <c r="L1851" s="48">
        <f>K1851+60</f>
        <v/>
      </c>
      <c r="S1851" s="200" t="n"/>
      <c r="T1851" s="201" t="n"/>
      <c r="U1851" s="58" t="n"/>
      <c r="V1851" s="67" t="n"/>
      <c r="W1851" s="67" t="n"/>
      <c r="X1851" s="62" t="inlineStr">
        <is>
          <t>N-OP</t>
        </is>
      </c>
      <c r="Y1851" s="116">
        <f>F1851/E1851</f>
        <v/>
      </c>
      <c r="Z1851" s="64">
        <f>E1851-N1851</f>
        <v/>
      </c>
    </row>
    <row r="1852" ht="15.75" customHeight="1" s="202">
      <c r="K1852" s="48">
        <f>D1852+8</f>
        <v/>
      </c>
      <c r="L1852" s="48">
        <f>K1852+60</f>
        <v/>
      </c>
      <c r="S1852" s="200" t="n"/>
      <c r="T1852" s="201" t="n"/>
      <c r="U1852" s="58" t="n"/>
      <c r="V1852" s="67" t="n"/>
      <c r="W1852" s="67" t="n"/>
      <c r="X1852" s="62" t="inlineStr">
        <is>
          <t>N-OP</t>
        </is>
      </c>
      <c r="Y1852" s="116">
        <f>F1852/E1852</f>
        <v/>
      </c>
      <c r="Z1852" s="64">
        <f>E1852-N1852</f>
        <v/>
      </c>
    </row>
    <row r="1853" ht="15.75" customHeight="1" s="202">
      <c r="K1853" s="48">
        <f>D1853+8</f>
        <v/>
      </c>
      <c r="L1853" s="48">
        <f>K1853+60</f>
        <v/>
      </c>
      <c r="S1853" s="200" t="n"/>
      <c r="T1853" s="201" t="n"/>
      <c r="U1853" s="58" t="n"/>
      <c r="V1853" s="67" t="n"/>
      <c r="W1853" s="67" t="n"/>
      <c r="X1853" s="62" t="inlineStr">
        <is>
          <t>N-OP</t>
        </is>
      </c>
      <c r="Y1853" s="116">
        <f>F1853/E1853</f>
        <v/>
      </c>
      <c r="Z1853" s="64">
        <f>E1853-N1853</f>
        <v/>
      </c>
    </row>
    <row r="1854" ht="15.75" customHeight="1" s="202">
      <c r="K1854" s="48">
        <f>D1854+8</f>
        <v/>
      </c>
      <c r="L1854" s="48">
        <f>K1854+60</f>
        <v/>
      </c>
      <c r="S1854" s="200" t="n"/>
      <c r="T1854" s="201" t="n"/>
      <c r="U1854" s="58" t="n"/>
      <c r="V1854" s="67" t="n"/>
      <c r="W1854" s="67" t="n"/>
      <c r="X1854" s="62" t="inlineStr">
        <is>
          <t>N-OP</t>
        </is>
      </c>
      <c r="Y1854" s="116">
        <f>F1854/E1854</f>
        <v/>
      </c>
      <c r="Z1854" s="64">
        <f>E1854-N1854</f>
        <v/>
      </c>
    </row>
    <row r="1855" ht="15.75" customHeight="1" s="202">
      <c r="K1855" s="48">
        <f>D1855+8</f>
        <v/>
      </c>
      <c r="L1855" s="48">
        <f>K1855+60</f>
        <v/>
      </c>
      <c r="S1855" s="200" t="n"/>
      <c r="T1855" s="201" t="n"/>
      <c r="U1855" s="58" t="n"/>
      <c r="V1855" s="67" t="n"/>
      <c r="W1855" s="67" t="n"/>
      <c r="X1855" s="62" t="inlineStr">
        <is>
          <t>N-OP</t>
        </is>
      </c>
      <c r="Y1855" s="116">
        <f>F1855/E1855</f>
        <v/>
      </c>
      <c r="Z1855" s="64">
        <f>E1855-N1855</f>
        <v/>
      </c>
    </row>
    <row r="1856" ht="15.75" customHeight="1" s="202">
      <c r="K1856" s="48">
        <f>D1856+8</f>
        <v/>
      </c>
      <c r="L1856" s="48">
        <f>K1856+60</f>
        <v/>
      </c>
      <c r="S1856" s="200" t="n"/>
      <c r="T1856" s="201" t="n"/>
      <c r="U1856" s="58" t="n"/>
      <c r="V1856" s="67" t="n"/>
      <c r="W1856" s="67" t="n"/>
      <c r="X1856" s="62" t="inlineStr">
        <is>
          <t>N-OP</t>
        </is>
      </c>
      <c r="Y1856" s="116">
        <f>F1856/E1856</f>
        <v/>
      </c>
      <c r="Z1856" s="64">
        <f>E1856-N1856</f>
        <v/>
      </c>
    </row>
    <row r="1857" ht="15.75" customHeight="1" s="202">
      <c r="K1857" s="48">
        <f>D1857+8</f>
        <v/>
      </c>
      <c r="L1857" s="48">
        <f>K1857+60</f>
        <v/>
      </c>
      <c r="S1857" s="200" t="n"/>
      <c r="T1857" s="201" t="n"/>
      <c r="U1857" s="58" t="n"/>
      <c r="V1857" s="67" t="n"/>
      <c r="W1857" s="67" t="n"/>
      <c r="X1857" s="62" t="inlineStr">
        <is>
          <t>N-OP</t>
        </is>
      </c>
      <c r="Y1857" s="116">
        <f>F1857/E1857</f>
        <v/>
      </c>
      <c r="Z1857" s="64">
        <f>E1857-N1857</f>
        <v/>
      </c>
    </row>
    <row r="1858" ht="15.75" customHeight="1" s="202">
      <c r="K1858" s="48">
        <f>D1858+8</f>
        <v/>
      </c>
      <c r="L1858" s="48">
        <f>K1858+60</f>
        <v/>
      </c>
      <c r="S1858" s="200" t="n"/>
      <c r="T1858" s="201" t="n"/>
      <c r="U1858" s="58" t="n"/>
      <c r="V1858" s="67" t="n"/>
      <c r="W1858" s="67" t="n"/>
      <c r="X1858" s="62" t="inlineStr">
        <is>
          <t>N-OP</t>
        </is>
      </c>
      <c r="Y1858" s="116">
        <f>F1858/E1858</f>
        <v/>
      </c>
      <c r="Z1858" s="64">
        <f>E1858-N1858</f>
        <v/>
      </c>
    </row>
    <row r="1859" ht="15.75" customHeight="1" s="202">
      <c r="K1859" s="48">
        <f>D1859+8</f>
        <v/>
      </c>
      <c r="L1859" s="48">
        <f>K1859+60</f>
        <v/>
      </c>
      <c r="S1859" s="200" t="n"/>
      <c r="T1859" s="201" t="n"/>
      <c r="U1859" s="58" t="n"/>
      <c r="V1859" s="67" t="n"/>
      <c r="W1859" s="67" t="n"/>
      <c r="X1859" s="62" t="inlineStr">
        <is>
          <t>N-OP</t>
        </is>
      </c>
      <c r="Y1859" s="116">
        <f>F1859/E1859</f>
        <v/>
      </c>
      <c r="Z1859" s="64">
        <f>E1859-N1859</f>
        <v/>
      </c>
    </row>
    <row r="1860" ht="15.75" customHeight="1" s="202">
      <c r="K1860" s="48">
        <f>D1860+8</f>
        <v/>
      </c>
      <c r="L1860" s="48">
        <f>K1860+60</f>
        <v/>
      </c>
      <c r="S1860" s="200" t="n"/>
      <c r="T1860" s="201" t="n"/>
      <c r="U1860" s="58" t="n"/>
      <c r="V1860" s="67" t="n"/>
      <c r="W1860" s="67" t="n"/>
      <c r="X1860" s="62" t="inlineStr">
        <is>
          <t>N-OP</t>
        </is>
      </c>
      <c r="Y1860" s="116">
        <f>F1860/E1860</f>
        <v/>
      </c>
      <c r="Z1860" s="64">
        <f>E1860-N1860</f>
        <v/>
      </c>
    </row>
    <row r="1861" ht="15.75" customHeight="1" s="202">
      <c r="K1861" s="48">
        <f>D1861+8</f>
        <v/>
      </c>
      <c r="L1861" s="48">
        <f>K1861+60</f>
        <v/>
      </c>
      <c r="S1861" s="200" t="n"/>
      <c r="T1861" s="201" t="n"/>
      <c r="U1861" s="58" t="n"/>
      <c r="V1861" s="67" t="n"/>
      <c r="W1861" s="67" t="n"/>
      <c r="X1861" s="62" t="inlineStr">
        <is>
          <t>N-OP</t>
        </is>
      </c>
      <c r="Y1861" s="116">
        <f>F1861/E1861</f>
        <v/>
      </c>
      <c r="Z1861" s="64">
        <f>E1861-N1861</f>
        <v/>
      </c>
    </row>
    <row r="1862" ht="15.75" customHeight="1" s="202">
      <c r="K1862" s="48">
        <f>D1862+8</f>
        <v/>
      </c>
      <c r="L1862" s="48">
        <f>K1862+60</f>
        <v/>
      </c>
      <c r="S1862" s="200" t="n"/>
      <c r="T1862" s="201" t="n"/>
      <c r="U1862" s="58" t="n"/>
      <c r="V1862" s="67" t="n"/>
      <c r="W1862" s="67" t="n"/>
      <c r="X1862" s="62" t="inlineStr">
        <is>
          <t>N-OP</t>
        </is>
      </c>
      <c r="Y1862" s="116">
        <f>F1862/E1862</f>
        <v/>
      </c>
      <c r="Z1862" s="64">
        <f>E1862-N1862</f>
        <v/>
      </c>
    </row>
    <row r="1863" ht="15.75" customHeight="1" s="202">
      <c r="K1863" s="48">
        <f>D1863+8</f>
        <v/>
      </c>
      <c r="L1863" s="48">
        <f>K1863+60</f>
        <v/>
      </c>
      <c r="S1863" s="200" t="n"/>
      <c r="T1863" s="201" t="n"/>
      <c r="U1863" s="58" t="n"/>
      <c r="V1863" s="67" t="n"/>
      <c r="W1863" s="67" t="n"/>
      <c r="X1863" s="62" t="inlineStr">
        <is>
          <t>N-OP</t>
        </is>
      </c>
      <c r="Y1863" s="116">
        <f>F1863/E1863</f>
        <v/>
      </c>
      <c r="Z1863" s="64">
        <f>E1863-N1863</f>
        <v/>
      </c>
    </row>
    <row r="1864" ht="15.75" customHeight="1" s="202">
      <c r="K1864" s="48">
        <f>D1864+8</f>
        <v/>
      </c>
      <c r="L1864" s="48">
        <f>K1864+60</f>
        <v/>
      </c>
      <c r="S1864" s="200" t="n"/>
      <c r="T1864" s="201" t="n"/>
      <c r="U1864" s="58" t="n"/>
      <c r="V1864" s="67" t="n"/>
      <c r="W1864" s="67" t="n"/>
      <c r="X1864" s="62" t="inlineStr">
        <is>
          <t>N-OP</t>
        </is>
      </c>
      <c r="Y1864" s="116">
        <f>F1864/E1864</f>
        <v/>
      </c>
      <c r="Z1864" s="64">
        <f>E1864-N1864</f>
        <v/>
      </c>
    </row>
    <row r="1865" ht="15.75" customHeight="1" s="202">
      <c r="K1865" s="48">
        <f>D1865+8</f>
        <v/>
      </c>
      <c r="L1865" s="48">
        <f>K1865+60</f>
        <v/>
      </c>
      <c r="S1865" s="200" t="n"/>
      <c r="T1865" s="201" t="n"/>
      <c r="U1865" s="58" t="n"/>
      <c r="V1865" s="67" t="n"/>
      <c r="W1865" s="67" t="n"/>
      <c r="X1865" s="62" t="inlineStr">
        <is>
          <t>N-OP</t>
        </is>
      </c>
      <c r="Y1865" s="116">
        <f>F1865/E1865</f>
        <v/>
      </c>
      <c r="Z1865" s="64">
        <f>E1865-N1865</f>
        <v/>
      </c>
    </row>
    <row r="1866" ht="15.75" customHeight="1" s="202">
      <c r="K1866" s="48">
        <f>D1866+8</f>
        <v/>
      </c>
      <c r="L1866" s="48">
        <f>K1866+60</f>
        <v/>
      </c>
      <c r="S1866" s="200" t="n"/>
      <c r="T1866" s="201" t="n"/>
      <c r="U1866" s="58" t="n"/>
      <c r="V1866" s="67" t="n"/>
      <c r="W1866" s="67" t="n"/>
      <c r="X1866" s="62" t="inlineStr">
        <is>
          <t>N-OP</t>
        </is>
      </c>
      <c r="Y1866" s="116">
        <f>F1866/E1866</f>
        <v/>
      </c>
      <c r="Z1866" s="64">
        <f>E1866-N1866</f>
        <v/>
      </c>
    </row>
    <row r="1867" ht="15.75" customHeight="1" s="202">
      <c r="K1867" s="48">
        <f>D1867+8</f>
        <v/>
      </c>
      <c r="L1867" s="48">
        <f>K1867+60</f>
        <v/>
      </c>
      <c r="S1867" s="200" t="n"/>
      <c r="T1867" s="201" t="n"/>
      <c r="U1867" s="58" t="n"/>
      <c r="V1867" s="67" t="n"/>
      <c r="W1867" s="67" t="n"/>
      <c r="X1867" s="62" t="inlineStr">
        <is>
          <t>N-OP</t>
        </is>
      </c>
      <c r="Y1867" s="116">
        <f>F1867/E1867</f>
        <v/>
      </c>
      <c r="Z1867" s="64">
        <f>E1867-N1867</f>
        <v/>
      </c>
    </row>
    <row r="1868" ht="15.75" customHeight="1" s="202">
      <c r="K1868" s="48">
        <f>D1868+8</f>
        <v/>
      </c>
      <c r="L1868" s="48">
        <f>K1868+60</f>
        <v/>
      </c>
      <c r="S1868" s="200" t="n"/>
      <c r="T1868" s="201" t="n"/>
      <c r="U1868" s="58" t="n"/>
      <c r="V1868" s="67" t="n"/>
      <c r="W1868" s="67" t="n"/>
      <c r="X1868" s="62" t="inlineStr">
        <is>
          <t>N-OP</t>
        </is>
      </c>
      <c r="Y1868" s="116">
        <f>F1868/E1868</f>
        <v/>
      </c>
      <c r="Z1868" s="64">
        <f>E1868-N1868</f>
        <v/>
      </c>
    </row>
    <row r="1869" ht="15.75" customHeight="1" s="202">
      <c r="K1869" s="48">
        <f>D1869+8</f>
        <v/>
      </c>
      <c r="L1869" s="48">
        <f>K1869+60</f>
        <v/>
      </c>
      <c r="S1869" s="200" t="n"/>
      <c r="T1869" s="201" t="n"/>
      <c r="U1869" s="58" t="n"/>
      <c r="V1869" s="67" t="n"/>
      <c r="W1869" s="67" t="n"/>
      <c r="X1869" s="62" t="inlineStr">
        <is>
          <t>N-OP</t>
        </is>
      </c>
      <c r="Y1869" s="116">
        <f>F1869/E1869</f>
        <v/>
      </c>
      <c r="Z1869" s="64">
        <f>E1869-N1869</f>
        <v/>
      </c>
    </row>
    <row r="1870" ht="15.75" customHeight="1" s="202">
      <c r="K1870" s="48">
        <f>D1870+8</f>
        <v/>
      </c>
      <c r="L1870" s="48">
        <f>K1870+60</f>
        <v/>
      </c>
      <c r="S1870" s="200" t="n"/>
      <c r="T1870" s="201" t="n"/>
      <c r="U1870" s="58" t="n"/>
      <c r="V1870" s="67" t="n"/>
      <c r="W1870" s="67" t="n"/>
      <c r="X1870" s="62" t="inlineStr">
        <is>
          <t>N-OP</t>
        </is>
      </c>
      <c r="Y1870" s="116">
        <f>F1870/E1870</f>
        <v/>
      </c>
      <c r="Z1870" s="64">
        <f>E1870-N1870</f>
        <v/>
      </c>
    </row>
    <row r="1871" ht="15.75" customHeight="1" s="202">
      <c r="K1871" s="48">
        <f>D1871+8</f>
        <v/>
      </c>
      <c r="L1871" s="48">
        <f>K1871+60</f>
        <v/>
      </c>
      <c r="S1871" s="200" t="n"/>
      <c r="T1871" s="201" t="n"/>
      <c r="U1871" s="58" t="n"/>
      <c r="V1871" s="67" t="n"/>
      <c r="W1871" s="67" t="n"/>
      <c r="X1871" s="62" t="inlineStr">
        <is>
          <t>N-OP</t>
        </is>
      </c>
      <c r="Y1871" s="116">
        <f>F1871/E1871</f>
        <v/>
      </c>
      <c r="Z1871" s="64">
        <f>E1871-N1871</f>
        <v/>
      </c>
    </row>
    <row r="1872" ht="15.75" customHeight="1" s="202">
      <c r="K1872" s="48">
        <f>D1872+8</f>
        <v/>
      </c>
      <c r="L1872" s="48">
        <f>K1872+60</f>
        <v/>
      </c>
      <c r="S1872" s="200" t="n"/>
      <c r="T1872" s="201" t="n"/>
      <c r="U1872" s="58" t="n"/>
      <c r="V1872" s="67" t="n"/>
      <c r="W1872" s="67" t="n"/>
      <c r="X1872" s="62" t="inlineStr">
        <is>
          <t>N-OP</t>
        </is>
      </c>
      <c r="Y1872" s="116">
        <f>F1872/E1872</f>
        <v/>
      </c>
      <c r="Z1872" s="64">
        <f>E1872-N1872</f>
        <v/>
      </c>
    </row>
    <row r="1873" ht="15.75" customHeight="1" s="202">
      <c r="K1873" s="48">
        <f>D1873+8</f>
        <v/>
      </c>
      <c r="L1873" s="48">
        <f>K1873+60</f>
        <v/>
      </c>
      <c r="S1873" s="200" t="n"/>
      <c r="T1873" s="201" t="n"/>
      <c r="U1873" s="58" t="n"/>
      <c r="V1873" s="67" t="n"/>
      <c r="W1873" s="67" t="n"/>
      <c r="X1873" s="62" t="inlineStr">
        <is>
          <t>N-OP</t>
        </is>
      </c>
      <c r="Y1873" s="116">
        <f>F1873/E1873</f>
        <v/>
      </c>
      <c r="Z1873" s="64">
        <f>E1873-N1873</f>
        <v/>
      </c>
    </row>
    <row r="1874" ht="15.75" customHeight="1" s="202">
      <c r="K1874" s="48">
        <f>D1874+8</f>
        <v/>
      </c>
      <c r="L1874" s="48">
        <f>K1874+60</f>
        <v/>
      </c>
      <c r="S1874" s="200" t="n"/>
      <c r="T1874" s="201" t="n"/>
      <c r="U1874" s="58" t="n"/>
      <c r="V1874" s="67" t="n"/>
      <c r="W1874" s="67" t="n"/>
      <c r="X1874" s="62" t="inlineStr">
        <is>
          <t>N-OP</t>
        </is>
      </c>
      <c r="Y1874" s="116">
        <f>F1874/E1874</f>
        <v/>
      </c>
      <c r="Z1874" s="64">
        <f>E1874-N1874</f>
        <v/>
      </c>
    </row>
    <row r="1875" ht="15.75" customHeight="1" s="202">
      <c r="K1875" s="48">
        <f>D1875+8</f>
        <v/>
      </c>
      <c r="L1875" s="48">
        <f>K1875+60</f>
        <v/>
      </c>
      <c r="S1875" s="200" t="n"/>
      <c r="T1875" s="201" t="n"/>
      <c r="U1875" s="58" t="n"/>
      <c r="V1875" s="67" t="n"/>
      <c r="W1875" s="67" t="n"/>
      <c r="X1875" s="62" t="inlineStr">
        <is>
          <t>N-OP</t>
        </is>
      </c>
      <c r="Y1875" s="116">
        <f>F1875/E1875</f>
        <v/>
      </c>
      <c r="Z1875" s="64">
        <f>E1875-N1875</f>
        <v/>
      </c>
    </row>
    <row r="1876" ht="15.75" customHeight="1" s="202">
      <c r="K1876" s="48">
        <f>D1876+8</f>
        <v/>
      </c>
      <c r="L1876" s="48">
        <f>K1876+60</f>
        <v/>
      </c>
      <c r="S1876" s="200" t="n"/>
      <c r="T1876" s="201" t="n"/>
      <c r="U1876" s="58" t="n"/>
      <c r="V1876" s="67" t="n"/>
      <c r="W1876" s="67" t="n"/>
      <c r="X1876" s="62" t="inlineStr">
        <is>
          <t>N-OP</t>
        </is>
      </c>
      <c r="Y1876" s="116">
        <f>F1876/E1876</f>
        <v/>
      </c>
      <c r="Z1876" s="64">
        <f>E1876-N1876</f>
        <v/>
      </c>
    </row>
    <row r="1877" ht="15.75" customHeight="1" s="202">
      <c r="K1877" s="48">
        <f>D1877+8</f>
        <v/>
      </c>
      <c r="L1877" s="48">
        <f>K1877+60</f>
        <v/>
      </c>
      <c r="S1877" s="200" t="n"/>
      <c r="T1877" s="201" t="n"/>
      <c r="U1877" s="58" t="n"/>
      <c r="V1877" s="67" t="n"/>
      <c r="W1877" s="67" t="n"/>
      <c r="X1877" s="62" t="inlineStr">
        <is>
          <t>N-OP</t>
        </is>
      </c>
      <c r="Y1877" s="116">
        <f>F1877/E1877</f>
        <v/>
      </c>
      <c r="Z1877" s="64">
        <f>E1877-N1877</f>
        <v/>
      </c>
    </row>
    <row r="1878" ht="15.75" customHeight="1" s="202">
      <c r="K1878" s="48">
        <f>D1878+8</f>
        <v/>
      </c>
      <c r="L1878" s="48">
        <f>K1878+60</f>
        <v/>
      </c>
      <c r="S1878" s="200" t="n"/>
      <c r="T1878" s="201" t="n"/>
      <c r="U1878" s="58" t="n"/>
      <c r="V1878" s="67" t="n"/>
      <c r="W1878" s="67" t="n"/>
      <c r="X1878" s="62" t="inlineStr">
        <is>
          <t>N-OP</t>
        </is>
      </c>
      <c r="Y1878" s="116">
        <f>F1878/E1878</f>
        <v/>
      </c>
      <c r="Z1878" s="64">
        <f>E1878-N1878</f>
        <v/>
      </c>
    </row>
    <row r="1879" ht="15.75" customHeight="1" s="202">
      <c r="K1879" s="48">
        <f>D1879+8</f>
        <v/>
      </c>
      <c r="L1879" s="48">
        <f>K1879+60</f>
        <v/>
      </c>
      <c r="S1879" s="200" t="n"/>
      <c r="T1879" s="201" t="n"/>
      <c r="U1879" s="58" t="n"/>
      <c r="V1879" s="67" t="n"/>
      <c r="W1879" s="67" t="n"/>
      <c r="X1879" s="62" t="inlineStr">
        <is>
          <t>N-OP</t>
        </is>
      </c>
      <c r="Y1879" s="116">
        <f>F1879/E1879</f>
        <v/>
      </c>
      <c r="Z1879" s="64">
        <f>E1879-N1879</f>
        <v/>
      </c>
    </row>
    <row r="1880" ht="15.75" customHeight="1" s="202">
      <c r="K1880" s="48">
        <f>D1880+8</f>
        <v/>
      </c>
      <c r="L1880" s="48">
        <f>K1880+60</f>
        <v/>
      </c>
      <c r="S1880" s="200" t="n"/>
      <c r="T1880" s="201" t="n"/>
      <c r="U1880" s="58" t="n"/>
      <c r="V1880" s="67" t="n"/>
      <c r="W1880" s="67" t="n"/>
      <c r="X1880" s="62" t="inlineStr">
        <is>
          <t>N-OP</t>
        </is>
      </c>
      <c r="Y1880" s="116">
        <f>F1880/E1880</f>
        <v/>
      </c>
      <c r="Z1880" s="64">
        <f>E1880-N1880</f>
        <v/>
      </c>
    </row>
    <row r="1881" ht="15.75" customHeight="1" s="202">
      <c r="K1881" s="48">
        <f>D1881+8</f>
        <v/>
      </c>
      <c r="L1881" s="48">
        <f>K1881+60</f>
        <v/>
      </c>
      <c r="S1881" s="200" t="n"/>
      <c r="T1881" s="201" t="n"/>
      <c r="U1881" s="58" t="n"/>
      <c r="V1881" s="67" t="n"/>
      <c r="W1881" s="67" t="n"/>
      <c r="X1881" s="62" t="inlineStr">
        <is>
          <t>N-OP</t>
        </is>
      </c>
      <c r="Y1881" s="116">
        <f>F1881/E1881</f>
        <v/>
      </c>
      <c r="Z1881" s="64">
        <f>E1881-N1881</f>
        <v/>
      </c>
    </row>
    <row r="1882" ht="15.75" customHeight="1" s="202">
      <c r="K1882" s="48">
        <f>D1882+8</f>
        <v/>
      </c>
      <c r="L1882" s="48">
        <f>K1882+60</f>
        <v/>
      </c>
      <c r="S1882" s="200" t="n"/>
      <c r="T1882" s="201" t="n"/>
      <c r="U1882" s="58" t="n"/>
      <c r="V1882" s="67" t="n"/>
      <c r="W1882" s="67" t="n"/>
      <c r="X1882" s="62" t="inlineStr">
        <is>
          <t>N-OP</t>
        </is>
      </c>
      <c r="Y1882" s="116">
        <f>F1882/E1882</f>
        <v/>
      </c>
      <c r="Z1882" s="64">
        <f>E1882-N1882</f>
        <v/>
      </c>
    </row>
    <row r="1883" ht="15.75" customHeight="1" s="202">
      <c r="K1883" s="48">
        <f>D1883+8</f>
        <v/>
      </c>
      <c r="L1883" s="48">
        <f>K1883+60</f>
        <v/>
      </c>
      <c r="S1883" s="200" t="n"/>
      <c r="T1883" s="201" t="n"/>
      <c r="U1883" s="58" t="n"/>
      <c r="V1883" s="67" t="n"/>
      <c r="W1883" s="67" t="n"/>
      <c r="X1883" s="62" t="inlineStr">
        <is>
          <t>N-OP</t>
        </is>
      </c>
      <c r="Y1883" s="116">
        <f>F1883/E1883</f>
        <v/>
      </c>
      <c r="Z1883" s="64">
        <f>E1883-N1883</f>
        <v/>
      </c>
    </row>
    <row r="1884" ht="15.75" customHeight="1" s="202">
      <c r="K1884" s="48">
        <f>D1884+8</f>
        <v/>
      </c>
      <c r="L1884" s="48">
        <f>K1884+60</f>
        <v/>
      </c>
      <c r="S1884" s="200" t="n"/>
      <c r="T1884" s="201" t="n"/>
      <c r="U1884" s="58" t="n"/>
      <c r="V1884" s="67" t="n"/>
      <c r="W1884" s="67" t="n"/>
      <c r="X1884" s="62" t="inlineStr">
        <is>
          <t>N-OP</t>
        </is>
      </c>
      <c r="Y1884" s="116">
        <f>F1884/E1884</f>
        <v/>
      </c>
      <c r="Z1884" s="64">
        <f>E1884-N1884</f>
        <v/>
      </c>
    </row>
    <row r="1885" ht="15.75" customHeight="1" s="202">
      <c r="K1885" s="48">
        <f>D1885+8</f>
        <v/>
      </c>
      <c r="L1885" s="48">
        <f>K1885+60</f>
        <v/>
      </c>
      <c r="S1885" s="200" t="n"/>
      <c r="T1885" s="201" t="n"/>
      <c r="U1885" s="58" t="n"/>
      <c r="V1885" s="67" t="n"/>
      <c r="W1885" s="67" t="n"/>
      <c r="X1885" s="62" t="inlineStr">
        <is>
          <t>N-OP</t>
        </is>
      </c>
      <c r="Y1885" s="116">
        <f>F1885/E1885</f>
        <v/>
      </c>
      <c r="Z1885" s="64">
        <f>E1885-N1885</f>
        <v/>
      </c>
    </row>
    <row r="1886" ht="15.75" customHeight="1" s="202">
      <c r="K1886" s="48">
        <f>D1886+8</f>
        <v/>
      </c>
      <c r="L1886" s="48">
        <f>K1886+60</f>
        <v/>
      </c>
      <c r="S1886" s="200" t="n"/>
      <c r="T1886" s="201" t="n"/>
      <c r="U1886" s="58" t="n"/>
      <c r="V1886" s="67" t="n"/>
      <c r="W1886" s="67" t="n"/>
      <c r="X1886" s="62" t="inlineStr">
        <is>
          <t>N-OP</t>
        </is>
      </c>
      <c r="Y1886" s="116">
        <f>F1886/E1886</f>
        <v/>
      </c>
      <c r="Z1886" s="64">
        <f>E1886-N1886</f>
        <v/>
      </c>
    </row>
    <row r="1887" ht="15.75" customHeight="1" s="202">
      <c r="K1887" s="48">
        <f>D1887+8</f>
        <v/>
      </c>
      <c r="L1887" s="48">
        <f>K1887+60</f>
        <v/>
      </c>
      <c r="S1887" s="200" t="n"/>
      <c r="T1887" s="201" t="n"/>
      <c r="U1887" s="58" t="n"/>
      <c r="V1887" s="67" t="n"/>
      <c r="W1887" s="67" t="n"/>
      <c r="X1887" s="62" t="inlineStr">
        <is>
          <t>N-OP</t>
        </is>
      </c>
      <c r="Y1887" s="116">
        <f>F1887/E1887</f>
        <v/>
      </c>
      <c r="Z1887" s="64">
        <f>E1887-N1887</f>
        <v/>
      </c>
    </row>
    <row r="1888" ht="15.75" customHeight="1" s="202">
      <c r="K1888" s="48">
        <f>D1888+8</f>
        <v/>
      </c>
      <c r="L1888" s="48">
        <f>K1888+60</f>
        <v/>
      </c>
      <c r="S1888" s="200" t="n"/>
      <c r="T1888" s="201" t="n"/>
      <c r="U1888" s="58" t="n"/>
      <c r="V1888" s="67" t="n"/>
      <c r="W1888" s="67" t="n"/>
      <c r="X1888" s="62" t="inlineStr">
        <is>
          <t>N-OP</t>
        </is>
      </c>
      <c r="Y1888" s="116">
        <f>F1888/E1888</f>
        <v/>
      </c>
      <c r="Z1888" s="64">
        <f>E1888-N1888</f>
        <v/>
      </c>
    </row>
    <row r="1889" ht="15.75" customHeight="1" s="202">
      <c r="K1889" s="48">
        <f>D1889+8</f>
        <v/>
      </c>
      <c r="L1889" s="48">
        <f>K1889+60</f>
        <v/>
      </c>
      <c r="S1889" s="200" t="n"/>
      <c r="T1889" s="201" t="n"/>
      <c r="U1889" s="58" t="n"/>
      <c r="V1889" s="67" t="n"/>
      <c r="W1889" s="67" t="n"/>
      <c r="X1889" s="62" t="inlineStr">
        <is>
          <t>N-OP</t>
        </is>
      </c>
      <c r="Y1889" s="116">
        <f>F1889/E1889</f>
        <v/>
      </c>
      <c r="Z1889" s="64">
        <f>E1889-N1889</f>
        <v/>
      </c>
    </row>
    <row r="1890" ht="15.75" customHeight="1" s="202">
      <c r="K1890" s="48">
        <f>D1890+8</f>
        <v/>
      </c>
      <c r="L1890" s="48">
        <f>K1890+60</f>
        <v/>
      </c>
      <c r="S1890" s="200" t="n"/>
      <c r="T1890" s="201" t="n"/>
      <c r="U1890" s="58" t="n"/>
      <c r="V1890" s="67" t="n"/>
      <c r="W1890" s="67" t="n"/>
      <c r="X1890" s="62" t="inlineStr">
        <is>
          <t>N-OP</t>
        </is>
      </c>
      <c r="Y1890" s="116">
        <f>F1890/E1890</f>
        <v/>
      </c>
      <c r="Z1890" s="64">
        <f>E1890-N1890</f>
        <v/>
      </c>
    </row>
    <row r="1891" ht="15.75" customHeight="1" s="202">
      <c r="K1891" s="48">
        <f>D1891+8</f>
        <v/>
      </c>
      <c r="L1891" s="48">
        <f>K1891+60</f>
        <v/>
      </c>
      <c r="S1891" s="200" t="n"/>
      <c r="T1891" s="201" t="n"/>
      <c r="U1891" s="58" t="n"/>
      <c r="V1891" s="67" t="n"/>
      <c r="W1891" s="67" t="n"/>
      <c r="X1891" s="62" t="inlineStr">
        <is>
          <t>N-OP</t>
        </is>
      </c>
      <c r="Y1891" s="116">
        <f>F1891/E1891</f>
        <v/>
      </c>
      <c r="Z1891" s="64">
        <f>E1891-N1891</f>
        <v/>
      </c>
    </row>
    <row r="1892" ht="15.75" customHeight="1" s="202">
      <c r="K1892" s="48">
        <f>D1892+8</f>
        <v/>
      </c>
      <c r="L1892" s="48">
        <f>K1892+60</f>
        <v/>
      </c>
      <c r="S1892" s="200" t="n"/>
      <c r="T1892" s="201" t="n"/>
      <c r="U1892" s="58" t="n"/>
      <c r="V1892" s="67" t="n"/>
      <c r="W1892" s="67" t="n"/>
      <c r="X1892" s="62" t="inlineStr">
        <is>
          <t>N-OP</t>
        </is>
      </c>
      <c r="Y1892" s="116">
        <f>F1892/E1892</f>
        <v/>
      </c>
      <c r="Z1892" s="64">
        <f>E1892-N1892</f>
        <v/>
      </c>
    </row>
    <row r="1893" ht="15.75" customHeight="1" s="202">
      <c r="K1893" s="48">
        <f>D1893+8</f>
        <v/>
      </c>
      <c r="L1893" s="48">
        <f>K1893+60</f>
        <v/>
      </c>
      <c r="S1893" s="200" t="n"/>
      <c r="T1893" s="201" t="n"/>
      <c r="U1893" s="58" t="n"/>
      <c r="V1893" s="67" t="n"/>
      <c r="W1893" s="67" t="n"/>
      <c r="X1893" s="62" t="inlineStr">
        <is>
          <t>N-OP</t>
        </is>
      </c>
      <c r="Y1893" s="116">
        <f>F1893/E1893</f>
        <v/>
      </c>
      <c r="Z1893" s="64">
        <f>E1893-N1893</f>
        <v/>
      </c>
    </row>
    <row r="1894" ht="15.75" customHeight="1" s="202">
      <c r="K1894" s="48">
        <f>D1894+8</f>
        <v/>
      </c>
      <c r="L1894" s="48">
        <f>K1894+60</f>
        <v/>
      </c>
      <c r="S1894" s="200" t="n"/>
      <c r="T1894" s="201" t="n"/>
      <c r="U1894" s="58" t="n"/>
      <c r="V1894" s="67" t="n"/>
      <c r="W1894" s="67" t="n"/>
      <c r="X1894" s="62" t="inlineStr">
        <is>
          <t>N-OP</t>
        </is>
      </c>
      <c r="Y1894" s="116">
        <f>F1894/E1894</f>
        <v/>
      </c>
      <c r="Z1894" s="64">
        <f>E1894-N1894</f>
        <v/>
      </c>
    </row>
    <row r="1895" ht="15.75" customHeight="1" s="202">
      <c r="K1895" s="48">
        <f>D1895+8</f>
        <v/>
      </c>
      <c r="L1895" s="48">
        <f>K1895+60</f>
        <v/>
      </c>
      <c r="S1895" s="200" t="n"/>
      <c r="T1895" s="201" t="n"/>
      <c r="U1895" s="58" t="n"/>
      <c r="V1895" s="67" t="n"/>
      <c r="W1895" s="67" t="n"/>
      <c r="X1895" s="62" t="inlineStr">
        <is>
          <t>N-OP</t>
        </is>
      </c>
      <c r="Y1895" s="116">
        <f>F1895/E1895</f>
        <v/>
      </c>
      <c r="Z1895" s="64">
        <f>E1895-N1895</f>
        <v/>
      </c>
    </row>
    <row r="1896" ht="15.75" customHeight="1" s="202">
      <c r="K1896" s="48">
        <f>D1896+8</f>
        <v/>
      </c>
      <c r="L1896" s="48">
        <f>K1896+60</f>
        <v/>
      </c>
      <c r="S1896" s="200" t="n"/>
      <c r="T1896" s="201" t="n"/>
      <c r="U1896" s="58" t="n"/>
      <c r="V1896" s="67" t="n"/>
      <c r="W1896" s="67" t="n"/>
      <c r="X1896" s="62" t="inlineStr">
        <is>
          <t>N-OP</t>
        </is>
      </c>
      <c r="Y1896" s="116">
        <f>F1896/E1896</f>
        <v/>
      </c>
      <c r="Z1896" s="64">
        <f>E1896-N1896</f>
        <v/>
      </c>
    </row>
    <row r="1897" ht="15.75" customHeight="1" s="202">
      <c r="K1897" s="48">
        <f>D1897+8</f>
        <v/>
      </c>
      <c r="L1897" s="48">
        <f>K1897+60</f>
        <v/>
      </c>
      <c r="S1897" s="200" t="n"/>
      <c r="T1897" s="201" t="n"/>
      <c r="U1897" s="58" t="n"/>
      <c r="V1897" s="67" t="n"/>
      <c r="W1897" s="67" t="n"/>
      <c r="X1897" s="62" t="inlineStr">
        <is>
          <t>N-OP</t>
        </is>
      </c>
      <c r="Y1897" s="116">
        <f>F1897/E1897</f>
        <v/>
      </c>
      <c r="Z1897" s="64">
        <f>E1897-N1897</f>
        <v/>
      </c>
    </row>
    <row r="1898" ht="15.75" customHeight="1" s="202">
      <c r="K1898" s="48">
        <f>D1898+8</f>
        <v/>
      </c>
      <c r="L1898" s="48">
        <f>K1898+60</f>
        <v/>
      </c>
      <c r="S1898" s="200" t="n"/>
      <c r="T1898" s="201" t="n"/>
      <c r="U1898" s="58" t="n"/>
      <c r="V1898" s="67" t="n"/>
      <c r="W1898" s="67" t="n"/>
      <c r="X1898" s="62" t="inlineStr">
        <is>
          <t>N-OP</t>
        </is>
      </c>
      <c r="Y1898" s="116">
        <f>F1898/E1898</f>
        <v/>
      </c>
      <c r="Z1898" s="64">
        <f>E1898-N1898</f>
        <v/>
      </c>
    </row>
    <row r="1899" ht="15.75" customHeight="1" s="202">
      <c r="K1899" s="48">
        <f>D1899+8</f>
        <v/>
      </c>
      <c r="L1899" s="48">
        <f>K1899+60</f>
        <v/>
      </c>
      <c r="S1899" s="200" t="n"/>
      <c r="T1899" s="201" t="n"/>
      <c r="U1899" s="58" t="n"/>
      <c r="V1899" s="67" t="n"/>
      <c r="W1899" s="67" t="n"/>
      <c r="X1899" s="62" t="inlineStr">
        <is>
          <t>N-OP</t>
        </is>
      </c>
      <c r="Y1899" s="116">
        <f>F1899/E1899</f>
        <v/>
      </c>
      <c r="Z1899" s="64">
        <f>E1899-N1899</f>
        <v/>
      </c>
    </row>
    <row r="1900" ht="15.75" customHeight="1" s="202">
      <c r="K1900" s="48">
        <f>D1900+8</f>
        <v/>
      </c>
      <c r="L1900" s="48">
        <f>K1900+60</f>
        <v/>
      </c>
      <c r="S1900" s="200" t="n"/>
      <c r="T1900" s="201" t="n"/>
      <c r="U1900" s="58" t="n"/>
      <c r="V1900" s="67" t="n"/>
      <c r="W1900" s="67" t="n"/>
      <c r="X1900" s="62" t="inlineStr">
        <is>
          <t>N-OP</t>
        </is>
      </c>
      <c r="Y1900" s="116">
        <f>F1900/E1900</f>
        <v/>
      </c>
      <c r="Z1900" s="64">
        <f>E1900-N1900</f>
        <v/>
      </c>
    </row>
    <row r="1901" ht="15.75" customHeight="1" s="202">
      <c r="K1901" s="48">
        <f>D1901+8</f>
        <v/>
      </c>
      <c r="L1901" s="48">
        <f>K1901+60</f>
        <v/>
      </c>
      <c r="S1901" s="200" t="n"/>
      <c r="T1901" s="201" t="n"/>
      <c r="U1901" s="58" t="n"/>
      <c r="V1901" s="67" t="n"/>
      <c r="W1901" s="67" t="n"/>
      <c r="X1901" s="62" t="inlineStr">
        <is>
          <t>N-OP</t>
        </is>
      </c>
      <c r="Y1901" s="116">
        <f>F1901/E1901</f>
        <v/>
      </c>
      <c r="Z1901" s="64">
        <f>E1901-N1901</f>
        <v/>
      </c>
    </row>
    <row r="1902" ht="15.75" customHeight="1" s="202">
      <c r="K1902" s="48">
        <f>D1902+8</f>
        <v/>
      </c>
      <c r="L1902" s="48">
        <f>K1902+60</f>
        <v/>
      </c>
      <c r="S1902" s="200" t="n"/>
      <c r="T1902" s="201" t="n"/>
      <c r="U1902" s="58" t="n"/>
      <c r="V1902" s="67" t="n"/>
      <c r="W1902" s="67" t="n"/>
      <c r="X1902" s="62" t="inlineStr">
        <is>
          <t>N-OP</t>
        </is>
      </c>
      <c r="Y1902" s="116">
        <f>F1902/E1902</f>
        <v/>
      </c>
      <c r="Z1902" s="64">
        <f>E1902-N1902</f>
        <v/>
      </c>
    </row>
    <row r="1903" ht="15.75" customHeight="1" s="202">
      <c r="K1903" s="48">
        <f>D1903+8</f>
        <v/>
      </c>
      <c r="L1903" s="48">
        <f>K1903+60</f>
        <v/>
      </c>
      <c r="S1903" s="200" t="n"/>
      <c r="T1903" s="201" t="n"/>
      <c r="U1903" s="58" t="n"/>
      <c r="V1903" s="67" t="n"/>
      <c r="W1903" s="67" t="n"/>
      <c r="X1903" s="62" t="inlineStr">
        <is>
          <t>N-OP</t>
        </is>
      </c>
      <c r="Y1903" s="116">
        <f>F1903/E1903</f>
        <v/>
      </c>
      <c r="Z1903" s="64">
        <f>E1903-N1903</f>
        <v/>
      </c>
    </row>
    <row r="1904" ht="15.75" customHeight="1" s="202">
      <c r="K1904" s="48">
        <f>D1904+8</f>
        <v/>
      </c>
      <c r="L1904" s="48">
        <f>K1904+60</f>
        <v/>
      </c>
      <c r="S1904" s="200" t="n"/>
      <c r="T1904" s="201" t="n"/>
      <c r="U1904" s="58" t="n"/>
      <c r="V1904" s="67" t="n"/>
      <c r="W1904" s="67" t="n"/>
      <c r="X1904" s="62" t="inlineStr">
        <is>
          <t>N-OP</t>
        </is>
      </c>
      <c r="Y1904" s="116">
        <f>F1904/E1904</f>
        <v/>
      </c>
      <c r="Z1904" s="64">
        <f>E1904-N1904</f>
        <v/>
      </c>
    </row>
    <row r="1905" ht="15.75" customHeight="1" s="202">
      <c r="K1905" s="48">
        <f>D1905+8</f>
        <v/>
      </c>
      <c r="L1905" s="48">
        <f>K1905+60</f>
        <v/>
      </c>
      <c r="S1905" s="200" t="n"/>
      <c r="T1905" s="201" t="n"/>
      <c r="U1905" s="58" t="n"/>
      <c r="V1905" s="67" t="n"/>
      <c r="W1905" s="67" t="n"/>
      <c r="X1905" s="62" t="inlineStr">
        <is>
          <t>N-OP</t>
        </is>
      </c>
      <c r="Y1905" s="116">
        <f>F1905/E1905</f>
        <v/>
      </c>
      <c r="Z1905" s="64">
        <f>E1905-N1905</f>
        <v/>
      </c>
    </row>
    <row r="1906" ht="15.75" customHeight="1" s="202">
      <c r="K1906" s="48">
        <f>D1906+8</f>
        <v/>
      </c>
      <c r="L1906" s="48">
        <f>K1906+60</f>
        <v/>
      </c>
      <c r="S1906" s="200" t="n"/>
      <c r="T1906" s="201" t="n"/>
      <c r="U1906" s="58" t="n"/>
      <c r="V1906" s="67" t="n"/>
      <c r="W1906" s="67" t="n"/>
      <c r="X1906" s="62" t="inlineStr">
        <is>
          <t>N-OP</t>
        </is>
      </c>
      <c r="Y1906" s="116">
        <f>F1906/E1906</f>
        <v/>
      </c>
      <c r="Z1906" s="64">
        <f>E1906-N1906</f>
        <v/>
      </c>
    </row>
    <row r="1907" ht="15.75" customHeight="1" s="202">
      <c r="K1907" s="48">
        <f>D1907+8</f>
        <v/>
      </c>
      <c r="L1907" s="48">
        <f>K1907+60</f>
        <v/>
      </c>
      <c r="S1907" s="200" t="n"/>
      <c r="T1907" s="201" t="n"/>
      <c r="U1907" s="58" t="n"/>
      <c r="V1907" s="67" t="n"/>
      <c r="W1907" s="67" t="n"/>
      <c r="X1907" s="62" t="inlineStr">
        <is>
          <t>N-OP</t>
        </is>
      </c>
      <c r="Y1907" s="116">
        <f>F1907/E1907</f>
        <v/>
      </c>
      <c r="Z1907" s="64">
        <f>E1907-N1907</f>
        <v/>
      </c>
    </row>
    <row r="1908" ht="15.75" customHeight="1" s="202">
      <c r="K1908" s="48">
        <f>D1908+8</f>
        <v/>
      </c>
      <c r="L1908" s="48">
        <f>K1908+60</f>
        <v/>
      </c>
      <c r="S1908" s="200" t="n"/>
      <c r="T1908" s="201" t="n"/>
      <c r="U1908" s="58" t="n"/>
      <c r="V1908" s="67" t="n"/>
      <c r="W1908" s="67" t="n"/>
      <c r="X1908" s="62" t="inlineStr">
        <is>
          <t>N-OP</t>
        </is>
      </c>
      <c r="Y1908" s="116">
        <f>F1908/E1908</f>
        <v/>
      </c>
      <c r="Z1908" s="64">
        <f>E1908-N1908</f>
        <v/>
      </c>
    </row>
    <row r="1909" ht="15.75" customHeight="1" s="202">
      <c r="K1909" s="48">
        <f>D1909+8</f>
        <v/>
      </c>
      <c r="L1909" s="48">
        <f>K1909+60</f>
        <v/>
      </c>
      <c r="S1909" s="200" t="n"/>
      <c r="T1909" s="201" t="n"/>
      <c r="U1909" s="58" t="n"/>
      <c r="V1909" s="67" t="n"/>
      <c r="W1909" s="67" t="n"/>
      <c r="X1909" s="62" t="inlineStr">
        <is>
          <t>N-OP</t>
        </is>
      </c>
      <c r="Y1909" s="116">
        <f>F1909/E1909</f>
        <v/>
      </c>
      <c r="Z1909" s="64">
        <f>E1909-N1909</f>
        <v/>
      </c>
    </row>
    <row r="1910" ht="15.75" customHeight="1" s="202">
      <c r="K1910" s="48">
        <f>D1910+8</f>
        <v/>
      </c>
      <c r="L1910" s="48">
        <f>K1910+60</f>
        <v/>
      </c>
      <c r="S1910" s="200" t="n"/>
      <c r="T1910" s="201" t="n"/>
      <c r="U1910" s="58" t="n"/>
      <c r="V1910" s="67" t="n"/>
      <c r="W1910" s="67" t="n"/>
      <c r="X1910" s="62" t="inlineStr">
        <is>
          <t>N-OP</t>
        </is>
      </c>
      <c r="Y1910" s="116">
        <f>F1910/E1910</f>
        <v/>
      </c>
      <c r="Z1910" s="64">
        <f>E1910-N1910</f>
        <v/>
      </c>
    </row>
    <row r="1911" ht="15.75" customHeight="1" s="202">
      <c r="K1911" s="48">
        <f>D1911+8</f>
        <v/>
      </c>
      <c r="L1911" s="48">
        <f>K1911+60</f>
        <v/>
      </c>
      <c r="S1911" s="200" t="n"/>
      <c r="T1911" s="201" t="n"/>
      <c r="U1911" s="58" t="n"/>
      <c r="V1911" s="67" t="n"/>
      <c r="W1911" s="67" t="n"/>
      <c r="X1911" s="62" t="inlineStr">
        <is>
          <t>N-OP</t>
        </is>
      </c>
      <c r="Y1911" s="116">
        <f>F1911/E1911</f>
        <v/>
      </c>
      <c r="Z1911" s="64">
        <f>E1911-N1911</f>
        <v/>
      </c>
    </row>
    <row r="1912" ht="15.75" customHeight="1" s="202">
      <c r="K1912" s="48">
        <f>D1912+8</f>
        <v/>
      </c>
      <c r="L1912" s="48">
        <f>K1912+60</f>
        <v/>
      </c>
      <c r="S1912" s="200" t="n"/>
      <c r="T1912" s="201" t="n"/>
      <c r="U1912" s="58" t="n"/>
      <c r="V1912" s="67" t="n"/>
      <c r="W1912" s="67" t="n"/>
      <c r="X1912" s="62" t="inlineStr">
        <is>
          <t>N-OP</t>
        </is>
      </c>
      <c r="Y1912" s="116">
        <f>F1912/E1912</f>
        <v/>
      </c>
      <c r="Z1912" s="64">
        <f>E1912-N1912</f>
        <v/>
      </c>
    </row>
    <row r="1913" ht="15.75" customHeight="1" s="202">
      <c r="K1913" s="48">
        <f>D1913+8</f>
        <v/>
      </c>
      <c r="L1913" s="48">
        <f>K1913+60</f>
        <v/>
      </c>
      <c r="S1913" s="200" t="n"/>
      <c r="T1913" s="201" t="n"/>
      <c r="U1913" s="58" t="n"/>
      <c r="V1913" s="67" t="n"/>
      <c r="W1913" s="67" t="n"/>
      <c r="X1913" s="62" t="inlineStr">
        <is>
          <t>N-OP</t>
        </is>
      </c>
      <c r="Y1913" s="116">
        <f>F1913/E1913</f>
        <v/>
      </c>
      <c r="Z1913" s="64">
        <f>E1913-N1913</f>
        <v/>
      </c>
    </row>
    <row r="1914" ht="15.75" customHeight="1" s="202">
      <c r="K1914" s="48">
        <f>D1914+8</f>
        <v/>
      </c>
      <c r="L1914" s="48">
        <f>K1914+60</f>
        <v/>
      </c>
      <c r="S1914" s="200" t="n"/>
      <c r="T1914" s="201" t="n"/>
      <c r="U1914" s="58" t="n"/>
      <c r="V1914" s="67" t="n"/>
      <c r="W1914" s="67" t="n"/>
      <c r="X1914" s="62" t="inlineStr">
        <is>
          <t>N-OP</t>
        </is>
      </c>
      <c r="Y1914" s="116">
        <f>F1914/E1914</f>
        <v/>
      </c>
      <c r="Z1914" s="64">
        <f>E1914-N1914</f>
        <v/>
      </c>
    </row>
    <row r="1915" ht="15.75" customHeight="1" s="202">
      <c r="K1915" s="48">
        <f>D1915+8</f>
        <v/>
      </c>
      <c r="L1915" s="48">
        <f>K1915+60</f>
        <v/>
      </c>
      <c r="S1915" s="200" t="n"/>
      <c r="T1915" s="201" t="n"/>
      <c r="U1915" s="58" t="n"/>
      <c r="V1915" s="67" t="n"/>
      <c r="W1915" s="67" t="n"/>
      <c r="X1915" s="62" t="inlineStr">
        <is>
          <t>N-OP</t>
        </is>
      </c>
      <c r="Y1915" s="116">
        <f>F1915/E1915</f>
        <v/>
      </c>
      <c r="Z1915" s="64">
        <f>E1915-N1915</f>
        <v/>
      </c>
    </row>
    <row r="1916" ht="15.75" customHeight="1" s="202">
      <c r="K1916" s="48">
        <f>D1916+8</f>
        <v/>
      </c>
      <c r="L1916" s="48">
        <f>K1916+60</f>
        <v/>
      </c>
      <c r="S1916" s="200" t="n"/>
      <c r="T1916" s="201" t="n"/>
      <c r="U1916" s="58" t="n"/>
      <c r="V1916" s="67" t="n"/>
      <c r="W1916" s="67" t="n"/>
      <c r="X1916" s="62" t="inlineStr">
        <is>
          <t>N-OP</t>
        </is>
      </c>
      <c r="Y1916" s="116">
        <f>F1916/E1916</f>
        <v/>
      </c>
      <c r="Z1916" s="64">
        <f>E1916-N1916</f>
        <v/>
      </c>
    </row>
    <row r="1917" ht="15.75" customHeight="1" s="202">
      <c r="K1917" s="48">
        <f>D1917+8</f>
        <v/>
      </c>
      <c r="L1917" s="48">
        <f>K1917+60</f>
        <v/>
      </c>
      <c r="S1917" s="200" t="n"/>
      <c r="T1917" s="201" t="n"/>
      <c r="U1917" s="58" t="n"/>
      <c r="V1917" s="67" t="n"/>
      <c r="W1917" s="67" t="n"/>
      <c r="X1917" s="62" t="inlineStr">
        <is>
          <t>N-OP</t>
        </is>
      </c>
      <c r="Y1917" s="116">
        <f>F1917/E1917</f>
        <v/>
      </c>
      <c r="Z1917" s="64">
        <f>E1917-N1917</f>
        <v/>
      </c>
    </row>
    <row r="1918" ht="15.75" customHeight="1" s="202">
      <c r="K1918" s="48">
        <f>D1918+8</f>
        <v/>
      </c>
      <c r="L1918" s="48">
        <f>K1918+60</f>
        <v/>
      </c>
      <c r="S1918" s="200" t="n"/>
      <c r="T1918" s="201" t="n"/>
      <c r="U1918" s="58" t="n"/>
      <c r="V1918" s="67" t="n"/>
      <c r="W1918" s="67" t="n"/>
      <c r="X1918" s="62" t="inlineStr">
        <is>
          <t>N-OP</t>
        </is>
      </c>
      <c r="Y1918" s="116">
        <f>F1918/E1918</f>
        <v/>
      </c>
      <c r="Z1918" s="64">
        <f>E1918-N1918</f>
        <v/>
      </c>
    </row>
    <row r="1919" ht="15.75" customHeight="1" s="202">
      <c r="K1919" s="48">
        <f>D1919+8</f>
        <v/>
      </c>
      <c r="L1919" s="48">
        <f>K1919+60</f>
        <v/>
      </c>
      <c r="S1919" s="200" t="n"/>
      <c r="T1919" s="201" t="n"/>
      <c r="U1919" s="58" t="n"/>
      <c r="V1919" s="67" t="n"/>
      <c r="W1919" s="67" t="n"/>
      <c r="X1919" s="62" t="inlineStr">
        <is>
          <t>N-OP</t>
        </is>
      </c>
      <c r="Y1919" s="116">
        <f>F1919/E1919</f>
        <v/>
      </c>
      <c r="Z1919" s="64">
        <f>E1919-N1919</f>
        <v/>
      </c>
    </row>
    <row r="1920" ht="15.75" customHeight="1" s="202">
      <c r="K1920" s="48">
        <f>D1920+8</f>
        <v/>
      </c>
      <c r="L1920" s="48">
        <f>K1920+60</f>
        <v/>
      </c>
      <c r="S1920" s="200" t="n"/>
      <c r="T1920" s="201" t="n"/>
      <c r="U1920" s="58" t="n"/>
      <c r="V1920" s="67" t="n"/>
      <c r="W1920" s="67" t="n"/>
      <c r="X1920" s="62" t="inlineStr">
        <is>
          <t>N-OP</t>
        </is>
      </c>
      <c r="Y1920" s="116">
        <f>F1920/E1920</f>
        <v/>
      </c>
      <c r="Z1920" s="64">
        <f>E1920-N1920</f>
        <v/>
      </c>
    </row>
    <row r="1921" ht="15.75" customHeight="1" s="202">
      <c r="K1921" s="48">
        <f>D1921+8</f>
        <v/>
      </c>
      <c r="L1921" s="48">
        <f>K1921+60</f>
        <v/>
      </c>
      <c r="S1921" s="200" t="n"/>
      <c r="T1921" s="201" t="n"/>
      <c r="U1921" s="58" t="n"/>
      <c r="V1921" s="67" t="n"/>
      <c r="W1921" s="67" t="n"/>
      <c r="X1921" s="62" t="inlineStr">
        <is>
          <t>N-OP</t>
        </is>
      </c>
      <c r="Y1921" s="116">
        <f>F1921/E1921</f>
        <v/>
      </c>
      <c r="Z1921" s="64">
        <f>E1921-N1921</f>
        <v/>
      </c>
    </row>
    <row r="1922" ht="15.75" customHeight="1" s="202">
      <c r="K1922" s="48">
        <f>D1922+8</f>
        <v/>
      </c>
      <c r="L1922" s="48">
        <f>K1922+60</f>
        <v/>
      </c>
      <c r="S1922" s="200" t="n"/>
      <c r="T1922" s="201" t="n"/>
      <c r="U1922" s="58" t="n"/>
      <c r="V1922" s="67" t="n"/>
      <c r="W1922" s="67" t="n"/>
      <c r="X1922" s="62" t="inlineStr">
        <is>
          <t>N-OP</t>
        </is>
      </c>
      <c r="Y1922" s="116">
        <f>F1922/E1922</f>
        <v/>
      </c>
      <c r="Z1922" s="64">
        <f>E1922-N1922</f>
        <v/>
      </c>
    </row>
    <row r="1923" ht="15.75" customHeight="1" s="202">
      <c r="K1923" s="48">
        <f>D1923+8</f>
        <v/>
      </c>
      <c r="L1923" s="48">
        <f>K1923+60</f>
        <v/>
      </c>
      <c r="S1923" s="200" t="n"/>
      <c r="T1923" s="201" t="n"/>
      <c r="U1923" s="58" t="n"/>
      <c r="V1923" s="67" t="n"/>
      <c r="W1923" s="67" t="n"/>
      <c r="X1923" s="62" t="inlineStr">
        <is>
          <t>N-OP</t>
        </is>
      </c>
      <c r="Y1923" s="116">
        <f>F1923/E1923</f>
        <v/>
      </c>
      <c r="Z1923" s="64">
        <f>E1923-N1923</f>
        <v/>
      </c>
    </row>
    <row r="1924" ht="15.75" customHeight="1" s="202">
      <c r="K1924" s="48">
        <f>D1924+8</f>
        <v/>
      </c>
      <c r="L1924" s="48">
        <f>K1924+60</f>
        <v/>
      </c>
      <c r="S1924" s="200" t="n"/>
      <c r="T1924" s="201" t="n"/>
      <c r="U1924" s="58" t="n"/>
      <c r="V1924" s="67" t="n"/>
      <c r="W1924" s="67" t="n"/>
      <c r="X1924" s="62" t="inlineStr">
        <is>
          <t>N-OP</t>
        </is>
      </c>
      <c r="Y1924" s="116">
        <f>F1924/E1924</f>
        <v/>
      </c>
      <c r="Z1924" s="64">
        <f>E1924-N1924</f>
        <v/>
      </c>
    </row>
    <row r="1925" ht="15.75" customHeight="1" s="202">
      <c r="K1925" s="48">
        <f>D1925+8</f>
        <v/>
      </c>
      <c r="L1925" s="48">
        <f>K1925+60</f>
        <v/>
      </c>
      <c r="S1925" s="200" t="n"/>
      <c r="T1925" s="201" t="n"/>
      <c r="U1925" s="58" t="n"/>
      <c r="V1925" s="67" t="n"/>
      <c r="W1925" s="67" t="n"/>
      <c r="X1925" s="62" t="inlineStr">
        <is>
          <t>N-OP</t>
        </is>
      </c>
      <c r="Y1925" s="116">
        <f>F1925/E1925</f>
        <v/>
      </c>
      <c r="Z1925" s="64">
        <f>E1925-N1925</f>
        <v/>
      </c>
    </row>
    <row r="1926" ht="15.75" customHeight="1" s="202">
      <c r="K1926" s="48">
        <f>D1926+8</f>
        <v/>
      </c>
      <c r="L1926" s="48">
        <f>K1926+60</f>
        <v/>
      </c>
      <c r="S1926" s="200" t="n"/>
      <c r="T1926" s="201" t="n"/>
      <c r="U1926" s="58" t="n"/>
      <c r="V1926" s="67" t="n"/>
      <c r="W1926" s="67" t="n"/>
      <c r="X1926" s="62" t="inlineStr">
        <is>
          <t>N-OP</t>
        </is>
      </c>
      <c r="Y1926" s="116">
        <f>F1926/E1926</f>
        <v/>
      </c>
      <c r="Z1926" s="64">
        <f>E1926-N1926</f>
        <v/>
      </c>
    </row>
    <row r="1927" ht="15.75" customHeight="1" s="202">
      <c r="K1927" s="48">
        <f>D1927+8</f>
        <v/>
      </c>
      <c r="L1927" s="48">
        <f>K1927+60</f>
        <v/>
      </c>
      <c r="S1927" s="200" t="n"/>
      <c r="T1927" s="201" t="n"/>
      <c r="U1927" s="58" t="n"/>
      <c r="V1927" s="67" t="n"/>
      <c r="W1927" s="67" t="n"/>
      <c r="X1927" s="62" t="inlineStr">
        <is>
          <t>N-OP</t>
        </is>
      </c>
      <c r="Y1927" s="116">
        <f>F1927/E1927</f>
        <v/>
      </c>
      <c r="Z1927" s="64">
        <f>E1927-N1927</f>
        <v/>
      </c>
    </row>
    <row r="1928" ht="15.75" customHeight="1" s="202">
      <c r="K1928" s="48">
        <f>D1928+8</f>
        <v/>
      </c>
      <c r="L1928" s="48">
        <f>K1928+60</f>
        <v/>
      </c>
      <c r="S1928" s="200" t="n"/>
      <c r="T1928" s="201" t="n"/>
      <c r="U1928" s="58" t="n"/>
      <c r="V1928" s="67" t="n"/>
      <c r="W1928" s="67" t="n"/>
      <c r="X1928" s="62" t="inlineStr">
        <is>
          <t>N-OP</t>
        </is>
      </c>
      <c r="Y1928" s="116">
        <f>F1928/E1928</f>
        <v/>
      </c>
      <c r="Z1928" s="64">
        <f>E1928-N1928</f>
        <v/>
      </c>
    </row>
    <row r="1929" ht="15.75" customHeight="1" s="202">
      <c r="K1929" s="48">
        <f>D1929+8</f>
        <v/>
      </c>
      <c r="L1929" s="48">
        <f>K1929+60</f>
        <v/>
      </c>
      <c r="S1929" s="200" t="n"/>
      <c r="T1929" s="201" t="n"/>
      <c r="U1929" s="58" t="n"/>
      <c r="V1929" s="67" t="n"/>
      <c r="W1929" s="67" t="n"/>
      <c r="X1929" s="62" t="inlineStr">
        <is>
          <t>N-OP</t>
        </is>
      </c>
      <c r="Y1929" s="116">
        <f>F1929/E1929</f>
        <v/>
      </c>
      <c r="Z1929" s="64">
        <f>E1929-N1929</f>
        <v/>
      </c>
    </row>
    <row r="1930" ht="15.75" customHeight="1" s="202">
      <c r="K1930" s="48">
        <f>D1930+8</f>
        <v/>
      </c>
      <c r="L1930" s="48">
        <f>K1930+60</f>
        <v/>
      </c>
      <c r="S1930" s="200" t="n"/>
      <c r="T1930" s="201" t="n"/>
      <c r="U1930" s="58" t="n"/>
      <c r="V1930" s="67" t="n"/>
      <c r="W1930" s="67" t="n"/>
      <c r="X1930" s="62" t="inlineStr">
        <is>
          <t>N-OP</t>
        </is>
      </c>
      <c r="Y1930" s="116">
        <f>F1930/E1930</f>
        <v/>
      </c>
      <c r="Z1930" s="64">
        <f>E1930-N1930</f>
        <v/>
      </c>
    </row>
    <row r="1931" ht="15.75" customHeight="1" s="202">
      <c r="K1931" s="48">
        <f>D1931+8</f>
        <v/>
      </c>
      <c r="L1931" s="48">
        <f>K1931+60</f>
        <v/>
      </c>
      <c r="S1931" s="200" t="n"/>
      <c r="T1931" s="201" t="n"/>
      <c r="U1931" s="58" t="n"/>
      <c r="V1931" s="67" t="n"/>
      <c r="W1931" s="67" t="n"/>
      <c r="X1931" s="62" t="inlineStr">
        <is>
          <t>N-OP</t>
        </is>
      </c>
      <c r="Y1931" s="116">
        <f>F1931/E1931</f>
        <v/>
      </c>
      <c r="Z1931" s="64">
        <f>E1931-N1931</f>
        <v/>
      </c>
    </row>
    <row r="1932" ht="15.75" customHeight="1" s="202">
      <c r="K1932" s="48">
        <f>D1932+8</f>
        <v/>
      </c>
      <c r="L1932" s="48">
        <f>K1932+60</f>
        <v/>
      </c>
      <c r="S1932" s="200" t="n"/>
      <c r="T1932" s="201" t="n"/>
      <c r="U1932" s="58" t="n"/>
      <c r="V1932" s="67" t="n"/>
      <c r="W1932" s="67" t="n"/>
      <c r="X1932" s="62" t="inlineStr">
        <is>
          <t>N-OP</t>
        </is>
      </c>
      <c r="Y1932" s="116">
        <f>F1932/E1932</f>
        <v/>
      </c>
      <c r="Z1932" s="64">
        <f>E1932-N1932</f>
        <v/>
      </c>
    </row>
    <row r="1933" ht="15.75" customHeight="1" s="202">
      <c r="K1933" s="48">
        <f>D1933+8</f>
        <v/>
      </c>
      <c r="L1933" s="48">
        <f>K1933+60</f>
        <v/>
      </c>
      <c r="S1933" s="200" t="n"/>
      <c r="T1933" s="201" t="n"/>
      <c r="U1933" s="58" t="n"/>
      <c r="V1933" s="67" t="n"/>
      <c r="W1933" s="67" t="n"/>
      <c r="X1933" s="62" t="inlineStr">
        <is>
          <t>N-OP</t>
        </is>
      </c>
      <c r="Y1933" s="116">
        <f>F1933/E1933</f>
        <v/>
      </c>
      <c r="Z1933" s="64">
        <f>E1933-N1933</f>
        <v/>
      </c>
    </row>
    <row r="1934" ht="15.75" customHeight="1" s="202">
      <c r="K1934" s="48">
        <f>D1934+8</f>
        <v/>
      </c>
      <c r="L1934" s="48">
        <f>K1934+60</f>
        <v/>
      </c>
      <c r="S1934" s="200" t="n"/>
      <c r="T1934" s="201" t="n"/>
      <c r="U1934" s="58" t="n"/>
      <c r="V1934" s="67" t="n"/>
      <c r="W1934" s="67" t="n"/>
      <c r="X1934" s="62" t="inlineStr">
        <is>
          <t>N-OP</t>
        </is>
      </c>
      <c r="Y1934" s="116">
        <f>F1934/E1934</f>
        <v/>
      </c>
      <c r="Z1934" s="64">
        <f>E1934-N1934</f>
        <v/>
      </c>
    </row>
    <row r="1935" ht="15.75" customHeight="1" s="202">
      <c r="K1935" s="48">
        <f>D1935+8</f>
        <v/>
      </c>
      <c r="L1935" s="48">
        <f>K1935+60</f>
        <v/>
      </c>
      <c r="S1935" s="200" t="n"/>
      <c r="T1935" s="201" t="n"/>
      <c r="U1935" s="58" t="n"/>
      <c r="V1935" s="67" t="n"/>
      <c r="W1935" s="67" t="n"/>
      <c r="X1935" s="62" t="inlineStr">
        <is>
          <t>N-OP</t>
        </is>
      </c>
      <c r="Y1935" s="116">
        <f>F1935/E1935</f>
        <v/>
      </c>
      <c r="Z1935" s="64">
        <f>E1935-N1935</f>
        <v/>
      </c>
    </row>
    <row r="1936" ht="15.75" customHeight="1" s="202">
      <c r="K1936" s="48">
        <f>D1936+8</f>
        <v/>
      </c>
      <c r="L1936" s="48">
        <f>K1936+60</f>
        <v/>
      </c>
      <c r="S1936" s="200" t="n"/>
      <c r="T1936" s="201" t="n"/>
      <c r="U1936" s="58" t="n"/>
      <c r="V1936" s="67" t="n"/>
      <c r="W1936" s="67" t="n"/>
      <c r="X1936" s="62" t="inlineStr">
        <is>
          <t>N-OP</t>
        </is>
      </c>
      <c r="Y1936" s="116">
        <f>F1936/E1936</f>
        <v/>
      </c>
      <c r="Z1936" s="64">
        <f>E1936-N1936</f>
        <v/>
      </c>
    </row>
    <row r="1937" ht="15.75" customHeight="1" s="202">
      <c r="K1937" s="48">
        <f>D1937+8</f>
        <v/>
      </c>
      <c r="L1937" s="48">
        <f>K1937+60</f>
        <v/>
      </c>
      <c r="S1937" s="200" t="n"/>
      <c r="T1937" s="201" t="n"/>
      <c r="U1937" s="58" t="n"/>
      <c r="V1937" s="67" t="n"/>
      <c r="W1937" s="67" t="n"/>
      <c r="X1937" s="62" t="inlineStr">
        <is>
          <t>N-OP</t>
        </is>
      </c>
      <c r="Y1937" s="116">
        <f>F1937/E1937</f>
        <v/>
      </c>
      <c r="Z1937" s="64">
        <f>E1937-N1937</f>
        <v/>
      </c>
    </row>
    <row r="1938" ht="15.75" customHeight="1" s="202">
      <c r="K1938" s="48">
        <f>D1938+8</f>
        <v/>
      </c>
      <c r="L1938" s="48">
        <f>K1938+60</f>
        <v/>
      </c>
      <c r="S1938" s="200" t="n"/>
      <c r="T1938" s="201" t="n"/>
      <c r="U1938" s="58" t="n"/>
      <c r="V1938" s="67" t="n"/>
      <c r="W1938" s="67" t="n"/>
      <c r="X1938" s="62" t="inlineStr">
        <is>
          <t>N-OP</t>
        </is>
      </c>
      <c r="Y1938" s="116">
        <f>F1938/E1938</f>
        <v/>
      </c>
      <c r="Z1938" s="64">
        <f>E1938-N1938</f>
        <v/>
      </c>
    </row>
    <row r="1939" ht="15.75" customHeight="1" s="202">
      <c r="K1939" s="48">
        <f>D1939+8</f>
        <v/>
      </c>
      <c r="L1939" s="48">
        <f>K1939+60</f>
        <v/>
      </c>
      <c r="S1939" s="200" t="n"/>
      <c r="T1939" s="201" t="n"/>
      <c r="U1939" s="58" t="n"/>
      <c r="V1939" s="67" t="n"/>
      <c r="W1939" s="67" t="n"/>
      <c r="X1939" s="62" t="inlineStr">
        <is>
          <t>N-OP</t>
        </is>
      </c>
      <c r="Y1939" s="116">
        <f>F1939/E1939</f>
        <v/>
      </c>
      <c r="Z1939" s="64">
        <f>E1939-N1939</f>
        <v/>
      </c>
    </row>
    <row r="1940" ht="15.75" customHeight="1" s="202">
      <c r="K1940" s="48">
        <f>D1940+8</f>
        <v/>
      </c>
      <c r="L1940" s="48">
        <f>K1940+60</f>
        <v/>
      </c>
      <c r="S1940" s="200" t="n"/>
      <c r="T1940" s="201" t="n"/>
      <c r="U1940" s="58" t="n"/>
      <c r="V1940" s="67" t="n"/>
      <c r="W1940" s="67" t="n"/>
      <c r="X1940" s="62" t="inlineStr">
        <is>
          <t>N-OP</t>
        </is>
      </c>
      <c r="Y1940" s="116">
        <f>F1940/E1940</f>
        <v/>
      </c>
      <c r="Z1940" s="64">
        <f>E1940-N1940</f>
        <v/>
      </c>
    </row>
    <row r="1941" ht="15.75" customHeight="1" s="202">
      <c r="K1941" s="48">
        <f>D1941+8</f>
        <v/>
      </c>
      <c r="L1941" s="48">
        <f>K1941+60</f>
        <v/>
      </c>
      <c r="S1941" s="200" t="n"/>
      <c r="T1941" s="201" t="n"/>
      <c r="U1941" s="58" t="n"/>
      <c r="V1941" s="67" t="n"/>
      <c r="W1941" s="67" t="n"/>
      <c r="X1941" s="62" t="inlineStr">
        <is>
          <t>N-OP</t>
        </is>
      </c>
      <c r="Y1941" s="116">
        <f>F1941/E1941</f>
        <v/>
      </c>
      <c r="Z1941" s="64">
        <f>E1941-N1941</f>
        <v/>
      </c>
    </row>
    <row r="1942" ht="15.75" customHeight="1" s="202">
      <c r="K1942" s="48">
        <f>D1942+8</f>
        <v/>
      </c>
      <c r="L1942" s="48">
        <f>K1942+60</f>
        <v/>
      </c>
      <c r="S1942" s="200" t="n"/>
      <c r="T1942" s="201" t="n"/>
      <c r="U1942" s="58" t="n"/>
      <c r="V1942" s="67" t="n"/>
      <c r="W1942" s="67" t="n"/>
      <c r="X1942" s="62" t="inlineStr">
        <is>
          <t>N-OP</t>
        </is>
      </c>
      <c r="Y1942" s="116">
        <f>F1942/E1942</f>
        <v/>
      </c>
      <c r="Z1942" s="64">
        <f>E1942-N1942</f>
        <v/>
      </c>
    </row>
    <row r="1943" ht="15.75" customHeight="1" s="202">
      <c r="K1943" s="48">
        <f>D1943+8</f>
        <v/>
      </c>
      <c r="L1943" s="48">
        <f>K1943+60</f>
        <v/>
      </c>
      <c r="S1943" s="200" t="n"/>
      <c r="T1943" s="201" t="n"/>
      <c r="U1943" s="58" t="n"/>
      <c r="V1943" s="67" t="n"/>
      <c r="W1943" s="67" t="n"/>
      <c r="X1943" s="62" t="inlineStr">
        <is>
          <t>N-OP</t>
        </is>
      </c>
      <c r="Y1943" s="116">
        <f>F1943/E1943</f>
        <v/>
      </c>
      <c r="Z1943" s="64">
        <f>E1943-N1943</f>
        <v/>
      </c>
    </row>
    <row r="1944" ht="15.75" customHeight="1" s="202">
      <c r="K1944" s="48">
        <f>D1944+8</f>
        <v/>
      </c>
      <c r="L1944" s="48">
        <f>K1944+60</f>
        <v/>
      </c>
      <c r="S1944" s="200" t="n"/>
      <c r="T1944" s="201" t="n"/>
      <c r="U1944" s="58" t="n"/>
      <c r="V1944" s="67" t="n"/>
      <c r="W1944" s="67" t="n"/>
      <c r="X1944" s="62" t="inlineStr">
        <is>
          <t>N-OP</t>
        </is>
      </c>
      <c r="Y1944" s="116">
        <f>F1944/E1944</f>
        <v/>
      </c>
      <c r="Z1944" s="64">
        <f>E1944-N1944</f>
        <v/>
      </c>
    </row>
    <row r="1945" ht="15.75" customHeight="1" s="202">
      <c r="K1945" s="48">
        <f>D1945+8</f>
        <v/>
      </c>
      <c r="L1945" s="48">
        <f>K1945+60</f>
        <v/>
      </c>
      <c r="S1945" s="200" t="n"/>
      <c r="T1945" s="201" t="n"/>
      <c r="U1945" s="58" t="n"/>
      <c r="V1945" s="67" t="n"/>
      <c r="W1945" s="67" t="n"/>
      <c r="X1945" s="62" t="inlineStr">
        <is>
          <t>N-OP</t>
        </is>
      </c>
      <c r="Y1945" s="116">
        <f>F1945/E1945</f>
        <v/>
      </c>
      <c r="Z1945" s="64">
        <f>E1945-N1945</f>
        <v/>
      </c>
    </row>
    <row r="1946" ht="15.75" customHeight="1" s="202">
      <c r="K1946" s="48">
        <f>D1946+8</f>
        <v/>
      </c>
      <c r="L1946" s="48">
        <f>K1946+60</f>
        <v/>
      </c>
      <c r="S1946" s="200" t="n"/>
      <c r="T1946" s="201" t="n"/>
      <c r="U1946" s="58" t="n"/>
      <c r="V1946" s="67" t="n"/>
      <c r="W1946" s="67" t="n"/>
      <c r="X1946" s="62" t="inlineStr">
        <is>
          <t>N-OP</t>
        </is>
      </c>
      <c r="Y1946" s="116">
        <f>F1946/E1946</f>
        <v/>
      </c>
      <c r="Z1946" s="64">
        <f>E1946-N1946</f>
        <v/>
      </c>
    </row>
    <row r="1947" ht="15.75" customHeight="1" s="202">
      <c r="K1947" s="48">
        <f>D1947+8</f>
        <v/>
      </c>
      <c r="L1947" s="48">
        <f>K1947+60</f>
        <v/>
      </c>
      <c r="S1947" s="200" t="n"/>
      <c r="T1947" s="201" t="n"/>
      <c r="U1947" s="58" t="n"/>
      <c r="V1947" s="67" t="n"/>
      <c r="W1947" s="67" t="n"/>
      <c r="X1947" s="62" t="inlineStr">
        <is>
          <t>N-OP</t>
        </is>
      </c>
      <c r="Y1947" s="116">
        <f>F1947/E1947</f>
        <v/>
      </c>
      <c r="Z1947" s="64">
        <f>E1947-N1947</f>
        <v/>
      </c>
    </row>
    <row r="1948" ht="15.75" customHeight="1" s="202">
      <c r="K1948" s="48">
        <f>D1948+8</f>
        <v/>
      </c>
      <c r="L1948" s="48">
        <f>K1948+60</f>
        <v/>
      </c>
      <c r="S1948" s="200" t="n"/>
      <c r="T1948" s="201" t="n"/>
      <c r="U1948" s="58" t="n"/>
      <c r="V1948" s="67" t="n"/>
      <c r="W1948" s="67" t="n"/>
      <c r="X1948" s="62" t="inlineStr">
        <is>
          <t>N-OP</t>
        </is>
      </c>
      <c r="Y1948" s="116">
        <f>F1948/E1948</f>
        <v/>
      </c>
      <c r="Z1948" s="64">
        <f>E1948-N1948</f>
        <v/>
      </c>
    </row>
    <row r="1949" ht="15.75" customHeight="1" s="202">
      <c r="K1949" s="48">
        <f>D1949+8</f>
        <v/>
      </c>
      <c r="L1949" s="48">
        <f>K1949+60</f>
        <v/>
      </c>
      <c r="S1949" s="200" t="n"/>
      <c r="T1949" s="201" t="n"/>
      <c r="U1949" s="58" t="n"/>
      <c r="V1949" s="67" t="n"/>
      <c r="W1949" s="67" t="n"/>
      <c r="X1949" s="62" t="inlineStr">
        <is>
          <t>N-OP</t>
        </is>
      </c>
      <c r="Y1949" s="116">
        <f>F1949/E1949</f>
        <v/>
      </c>
      <c r="Z1949" s="64">
        <f>E1949-N1949</f>
        <v/>
      </c>
    </row>
    <row r="1950" ht="15.75" customHeight="1" s="202">
      <c r="K1950" s="48">
        <f>D1950+8</f>
        <v/>
      </c>
      <c r="L1950" s="48">
        <f>K1950+60</f>
        <v/>
      </c>
      <c r="S1950" s="200" t="n"/>
      <c r="T1950" s="201" t="n"/>
      <c r="U1950" s="58" t="n"/>
      <c r="V1950" s="67" t="n"/>
      <c r="W1950" s="67" t="n"/>
      <c r="X1950" s="62" t="inlineStr">
        <is>
          <t>N-OP</t>
        </is>
      </c>
      <c r="Y1950" s="116">
        <f>F1950/E1950</f>
        <v/>
      </c>
      <c r="Z1950" s="64">
        <f>E1950-N1950</f>
        <v/>
      </c>
    </row>
    <row r="1951" ht="15.75" customHeight="1" s="202">
      <c r="K1951" s="48">
        <f>D1951+8</f>
        <v/>
      </c>
      <c r="L1951" s="48">
        <f>K1951+60</f>
        <v/>
      </c>
      <c r="S1951" s="200" t="n"/>
      <c r="T1951" s="201" t="n"/>
      <c r="U1951" s="58" t="n"/>
      <c r="V1951" s="67" t="n"/>
      <c r="W1951" s="67" t="n"/>
      <c r="X1951" s="62" t="inlineStr">
        <is>
          <t>N-OP</t>
        </is>
      </c>
      <c r="Y1951" s="116">
        <f>F1951/E1951</f>
        <v/>
      </c>
      <c r="Z1951" s="64">
        <f>E1951-N1951</f>
        <v/>
      </c>
    </row>
    <row r="1952" ht="15.75" customHeight="1" s="202">
      <c r="K1952" s="48">
        <f>D1952+8</f>
        <v/>
      </c>
      <c r="L1952" s="48">
        <f>K1952+60</f>
        <v/>
      </c>
      <c r="S1952" s="200" t="n"/>
      <c r="T1952" s="201" t="n"/>
      <c r="U1952" s="58" t="n"/>
      <c r="V1952" s="67" t="n"/>
      <c r="W1952" s="67" t="n"/>
      <c r="X1952" s="62" t="inlineStr">
        <is>
          <t>N-OP</t>
        </is>
      </c>
      <c r="Y1952" s="116">
        <f>F1952/E1952</f>
        <v/>
      </c>
      <c r="Z1952" s="64">
        <f>E1952-N1952</f>
        <v/>
      </c>
    </row>
    <row r="1953" ht="15.75" customHeight="1" s="202">
      <c r="K1953" s="48">
        <f>D1953+8</f>
        <v/>
      </c>
      <c r="L1953" s="48">
        <f>K1953+60</f>
        <v/>
      </c>
      <c r="S1953" s="200" t="n"/>
      <c r="T1953" s="201" t="n"/>
      <c r="U1953" s="58" t="n"/>
      <c r="V1953" s="67" t="n"/>
      <c r="W1953" s="67" t="n"/>
      <c r="X1953" s="62" t="inlineStr">
        <is>
          <t>N-OP</t>
        </is>
      </c>
      <c r="Y1953" s="116">
        <f>F1953/E1953</f>
        <v/>
      </c>
      <c r="Z1953" s="64">
        <f>E1953-N1953</f>
        <v/>
      </c>
    </row>
    <row r="1954" ht="15.75" customHeight="1" s="202">
      <c r="K1954" s="48">
        <f>D1954+8</f>
        <v/>
      </c>
      <c r="L1954" s="48">
        <f>K1954+60</f>
        <v/>
      </c>
      <c r="S1954" s="200" t="n"/>
      <c r="T1954" s="201" t="n"/>
      <c r="U1954" s="58" t="n"/>
      <c r="V1954" s="67" t="n"/>
      <c r="W1954" s="67" t="n"/>
      <c r="X1954" s="62" t="inlineStr">
        <is>
          <t>N-OP</t>
        </is>
      </c>
      <c r="Y1954" s="116">
        <f>F1954/E1954</f>
        <v/>
      </c>
      <c r="Z1954" s="64">
        <f>E1954-N1954</f>
        <v/>
      </c>
    </row>
    <row r="1955" ht="15.75" customHeight="1" s="202">
      <c r="K1955" s="48">
        <f>D1955+8</f>
        <v/>
      </c>
      <c r="L1955" s="48">
        <f>K1955+60</f>
        <v/>
      </c>
      <c r="S1955" s="200" t="n"/>
      <c r="T1955" s="201" t="n"/>
      <c r="U1955" s="58" t="n"/>
      <c r="V1955" s="67" t="n"/>
      <c r="W1955" s="67" t="n"/>
      <c r="X1955" s="62" t="inlineStr">
        <is>
          <t>N-OP</t>
        </is>
      </c>
      <c r="Y1955" s="116">
        <f>F1955/E1955</f>
        <v/>
      </c>
      <c r="Z1955" s="64">
        <f>E1955-N1955</f>
        <v/>
      </c>
    </row>
    <row r="1956" ht="15.75" customHeight="1" s="202">
      <c r="K1956" s="48">
        <f>D1956+8</f>
        <v/>
      </c>
      <c r="L1956" s="48">
        <f>K1956+60</f>
        <v/>
      </c>
      <c r="S1956" s="200" t="n"/>
      <c r="T1956" s="201" t="n"/>
      <c r="U1956" s="58" t="n"/>
      <c r="V1956" s="67" t="n"/>
      <c r="W1956" s="67" t="n"/>
      <c r="X1956" s="62" t="inlineStr">
        <is>
          <t>N-OP</t>
        </is>
      </c>
      <c r="Y1956" s="116">
        <f>F1956/E1956</f>
        <v/>
      </c>
      <c r="Z1956" s="64">
        <f>E1956-N1956</f>
        <v/>
      </c>
    </row>
    <row r="1957" ht="15.75" customHeight="1" s="202">
      <c r="K1957" s="48">
        <f>D1957+8</f>
        <v/>
      </c>
      <c r="L1957" s="48">
        <f>K1957+60</f>
        <v/>
      </c>
      <c r="S1957" s="200" t="n"/>
      <c r="T1957" s="201" t="n"/>
      <c r="U1957" s="58" t="n"/>
      <c r="V1957" s="67" t="n"/>
      <c r="W1957" s="67" t="n"/>
      <c r="X1957" s="62" t="inlineStr">
        <is>
          <t>N-OP</t>
        </is>
      </c>
      <c r="Y1957" s="116">
        <f>F1957/E1957</f>
        <v/>
      </c>
      <c r="Z1957" s="64">
        <f>E1957-N1957</f>
        <v/>
      </c>
    </row>
    <row r="1958" ht="15.75" customHeight="1" s="202">
      <c r="K1958" s="48">
        <f>D1958+8</f>
        <v/>
      </c>
      <c r="L1958" s="48">
        <f>K1958+60</f>
        <v/>
      </c>
      <c r="S1958" s="200" t="n"/>
      <c r="T1958" s="201" t="n"/>
      <c r="U1958" s="58" t="n"/>
      <c r="V1958" s="67" t="n"/>
      <c r="W1958" s="67" t="n"/>
      <c r="X1958" s="62" t="inlineStr">
        <is>
          <t>N-OP</t>
        </is>
      </c>
      <c r="Y1958" s="116">
        <f>F1958/E1958</f>
        <v/>
      </c>
      <c r="Z1958" s="64">
        <f>E1958-N1958</f>
        <v/>
      </c>
    </row>
    <row r="1959" ht="15.75" customHeight="1" s="202">
      <c r="K1959" s="48">
        <f>D1959+8</f>
        <v/>
      </c>
      <c r="L1959" s="48">
        <f>K1959+60</f>
        <v/>
      </c>
      <c r="S1959" s="200" t="n"/>
      <c r="T1959" s="201" t="n"/>
      <c r="U1959" s="58" t="n"/>
      <c r="V1959" s="67" t="n"/>
      <c r="W1959" s="67" t="n"/>
      <c r="X1959" s="62" t="inlineStr">
        <is>
          <t>N-OP</t>
        </is>
      </c>
      <c r="Y1959" s="116">
        <f>F1959/E1959</f>
        <v/>
      </c>
      <c r="Z1959" s="64">
        <f>E1959-N1959</f>
        <v/>
      </c>
    </row>
    <row r="1960" ht="15.75" customHeight="1" s="202">
      <c r="K1960" s="48">
        <f>D1960+8</f>
        <v/>
      </c>
      <c r="L1960" s="48">
        <f>K1960+60</f>
        <v/>
      </c>
      <c r="S1960" s="200" t="n"/>
      <c r="T1960" s="201" t="n"/>
      <c r="U1960" s="58" t="n"/>
      <c r="V1960" s="67" t="n"/>
      <c r="W1960" s="67" t="n"/>
      <c r="X1960" s="62" t="inlineStr">
        <is>
          <t>N-OP</t>
        </is>
      </c>
      <c r="Y1960" s="116">
        <f>F1960/E1960</f>
        <v/>
      </c>
      <c r="Z1960" s="64">
        <f>E1960-N1960</f>
        <v/>
      </c>
    </row>
    <row r="1961" ht="15.75" customHeight="1" s="202">
      <c r="K1961" s="48">
        <f>D1961+8</f>
        <v/>
      </c>
      <c r="L1961" s="48">
        <f>K1961+60</f>
        <v/>
      </c>
      <c r="S1961" s="200" t="n"/>
      <c r="T1961" s="201" t="n"/>
      <c r="U1961" s="58" t="n"/>
      <c r="V1961" s="67" t="n"/>
      <c r="W1961" s="67" t="n"/>
      <c r="X1961" s="62" t="inlineStr">
        <is>
          <t>N-OP</t>
        </is>
      </c>
      <c r="Y1961" s="116">
        <f>F1961/E1961</f>
        <v/>
      </c>
      <c r="Z1961" s="64">
        <f>E1961-N1961</f>
        <v/>
      </c>
    </row>
    <row r="1962" ht="15.75" customHeight="1" s="202">
      <c r="K1962" s="48">
        <f>D1962+8</f>
        <v/>
      </c>
      <c r="L1962" s="48">
        <f>K1962+60</f>
        <v/>
      </c>
      <c r="S1962" s="200" t="n"/>
      <c r="T1962" s="201" t="n"/>
      <c r="U1962" s="58" t="n"/>
      <c r="V1962" s="67" t="n"/>
      <c r="W1962" s="67" t="n"/>
      <c r="X1962" s="62" t="inlineStr">
        <is>
          <t>N-OP</t>
        </is>
      </c>
      <c r="Y1962" s="116">
        <f>F1962/E1962</f>
        <v/>
      </c>
      <c r="Z1962" s="64">
        <f>E1962-N1962</f>
        <v/>
      </c>
    </row>
    <row r="1963" ht="15.75" customHeight="1" s="202">
      <c r="K1963" s="48">
        <f>D1963+8</f>
        <v/>
      </c>
      <c r="L1963" s="48">
        <f>K1963+60</f>
        <v/>
      </c>
      <c r="S1963" s="200" t="n"/>
      <c r="T1963" s="201" t="n"/>
      <c r="U1963" s="58" t="n"/>
      <c r="V1963" s="67" t="n"/>
      <c r="W1963" s="67" t="n"/>
      <c r="X1963" s="62" t="inlineStr">
        <is>
          <t>N-OP</t>
        </is>
      </c>
      <c r="Y1963" s="116">
        <f>F1963/E1963</f>
        <v/>
      </c>
      <c r="Z1963" s="64">
        <f>E1963-N1963</f>
        <v/>
      </c>
    </row>
    <row r="1964" ht="15.75" customHeight="1" s="202">
      <c r="K1964" s="48">
        <f>D1964+8</f>
        <v/>
      </c>
      <c r="L1964" s="48">
        <f>K1964+60</f>
        <v/>
      </c>
      <c r="S1964" s="200" t="n"/>
      <c r="T1964" s="201" t="n"/>
      <c r="U1964" s="58" t="n"/>
      <c r="V1964" s="67" t="n"/>
      <c r="W1964" s="67" t="n"/>
      <c r="X1964" s="62" t="inlineStr">
        <is>
          <t>N-OP</t>
        </is>
      </c>
      <c r="Y1964" s="116">
        <f>F1964/E1964</f>
        <v/>
      </c>
      <c r="Z1964" s="64">
        <f>E1964-N1964</f>
        <v/>
      </c>
    </row>
    <row r="1965" ht="15.75" customHeight="1" s="202">
      <c r="K1965" s="48">
        <f>D1965+8</f>
        <v/>
      </c>
      <c r="L1965" s="48">
        <f>K1965+60</f>
        <v/>
      </c>
      <c r="S1965" s="200" t="n"/>
      <c r="T1965" s="201" t="n"/>
      <c r="U1965" s="58" t="n"/>
      <c r="V1965" s="67" t="n"/>
      <c r="W1965" s="67" t="n"/>
      <c r="X1965" s="62" t="inlineStr">
        <is>
          <t>N-OP</t>
        </is>
      </c>
      <c r="Y1965" s="116">
        <f>F1965/E1965</f>
        <v/>
      </c>
      <c r="Z1965" s="64">
        <f>E1965-N1965</f>
        <v/>
      </c>
    </row>
    <row r="1966" ht="15.75" customHeight="1" s="202">
      <c r="K1966" s="48">
        <f>D1966+8</f>
        <v/>
      </c>
      <c r="L1966" s="48">
        <f>K1966+60</f>
        <v/>
      </c>
      <c r="S1966" s="200" t="n"/>
      <c r="T1966" s="201" t="n"/>
      <c r="U1966" s="58" t="n"/>
      <c r="V1966" s="67" t="n"/>
      <c r="W1966" s="67" t="n"/>
      <c r="X1966" s="62" t="inlineStr">
        <is>
          <t>N-OP</t>
        </is>
      </c>
      <c r="Y1966" s="116">
        <f>F1966/E1966</f>
        <v/>
      </c>
      <c r="Z1966" s="64">
        <f>E1966-N1966</f>
        <v/>
      </c>
    </row>
    <row r="1967" ht="15.75" customHeight="1" s="202">
      <c r="K1967" s="48">
        <f>D1967+8</f>
        <v/>
      </c>
      <c r="L1967" s="48">
        <f>K1967+60</f>
        <v/>
      </c>
      <c r="S1967" s="200" t="n"/>
      <c r="T1967" s="201" t="n"/>
      <c r="U1967" s="58" t="n"/>
      <c r="V1967" s="67" t="n"/>
      <c r="W1967" s="67" t="n"/>
      <c r="X1967" s="62" t="inlineStr">
        <is>
          <t>N-OP</t>
        </is>
      </c>
      <c r="Y1967" s="116">
        <f>F1967/E1967</f>
        <v/>
      </c>
      <c r="Z1967" s="64">
        <f>E1967-N1967</f>
        <v/>
      </c>
    </row>
    <row r="1968" ht="15.75" customHeight="1" s="202">
      <c r="K1968" s="48">
        <f>D1968+8</f>
        <v/>
      </c>
      <c r="L1968" s="48">
        <f>K1968+60</f>
        <v/>
      </c>
      <c r="S1968" s="200" t="n"/>
      <c r="T1968" s="201" t="n"/>
      <c r="U1968" s="58" t="n"/>
      <c r="V1968" s="67" t="n"/>
      <c r="W1968" s="67" t="n"/>
      <c r="X1968" s="62" t="inlineStr">
        <is>
          <t>N-OP</t>
        </is>
      </c>
      <c r="Y1968" s="116">
        <f>F1968/E1968</f>
        <v/>
      </c>
      <c r="Z1968" s="64">
        <f>E1968-N1968</f>
        <v/>
      </c>
    </row>
    <row r="1969" ht="15.75" customHeight="1" s="202">
      <c r="K1969" s="48">
        <f>D1969+8</f>
        <v/>
      </c>
      <c r="L1969" s="48">
        <f>K1969+60</f>
        <v/>
      </c>
      <c r="S1969" s="200" t="n"/>
      <c r="T1969" s="201" t="n"/>
      <c r="U1969" s="58" t="n"/>
      <c r="V1969" s="67" t="n"/>
      <c r="W1969" s="67" t="n"/>
      <c r="X1969" s="62" t="inlineStr">
        <is>
          <t>N-OP</t>
        </is>
      </c>
      <c r="Y1969" s="116">
        <f>F1969/E1969</f>
        <v/>
      </c>
      <c r="Z1969" s="64">
        <f>E1969-N1969</f>
        <v/>
      </c>
    </row>
    <row r="1970" ht="15.75" customHeight="1" s="202">
      <c r="K1970" s="48">
        <f>D1970+8</f>
        <v/>
      </c>
      <c r="L1970" s="48">
        <f>K1970+60</f>
        <v/>
      </c>
      <c r="S1970" s="200" t="n"/>
      <c r="T1970" s="201" t="n"/>
      <c r="U1970" s="58" t="n"/>
      <c r="V1970" s="67" t="n"/>
      <c r="W1970" s="67" t="n"/>
      <c r="X1970" s="62" t="inlineStr">
        <is>
          <t>N-OP</t>
        </is>
      </c>
      <c r="Y1970" s="116">
        <f>F1970/E1970</f>
        <v/>
      </c>
      <c r="Z1970" s="64">
        <f>E1970-N1970</f>
        <v/>
      </c>
    </row>
    <row r="1971" ht="15.75" customHeight="1" s="202">
      <c r="K1971" s="48">
        <f>D1971+8</f>
        <v/>
      </c>
      <c r="L1971" s="48">
        <f>K1971+60</f>
        <v/>
      </c>
      <c r="S1971" s="200" t="n"/>
      <c r="T1971" s="201" t="n"/>
      <c r="U1971" s="58" t="n"/>
      <c r="V1971" s="67" t="n"/>
      <c r="W1971" s="67" t="n"/>
      <c r="X1971" s="62" t="inlineStr">
        <is>
          <t>N-OP</t>
        </is>
      </c>
      <c r="Y1971" s="116">
        <f>F1971/E1971</f>
        <v/>
      </c>
      <c r="Z1971" s="64">
        <f>E1971-N1971</f>
        <v/>
      </c>
    </row>
    <row r="1972" ht="15.75" customHeight="1" s="202">
      <c r="K1972" s="48">
        <f>D1972+8</f>
        <v/>
      </c>
      <c r="L1972" s="48">
        <f>K1972+60</f>
        <v/>
      </c>
      <c r="S1972" s="200" t="n"/>
      <c r="T1972" s="201" t="n"/>
      <c r="U1972" s="58" t="n"/>
      <c r="V1972" s="67" t="n"/>
      <c r="W1972" s="67" t="n"/>
      <c r="X1972" s="62" t="inlineStr">
        <is>
          <t>N-OP</t>
        </is>
      </c>
      <c r="Y1972" s="116">
        <f>F1972/E1972</f>
        <v/>
      </c>
      <c r="Z1972" s="64">
        <f>E1972-N1972</f>
        <v/>
      </c>
    </row>
    <row r="1973" ht="15.75" customHeight="1" s="202">
      <c r="K1973" s="48">
        <f>D1973+8</f>
        <v/>
      </c>
      <c r="L1973" s="48">
        <f>K1973+60</f>
        <v/>
      </c>
      <c r="S1973" s="200" t="n"/>
      <c r="T1973" s="201" t="n"/>
      <c r="U1973" s="58" t="n"/>
      <c r="V1973" s="67" t="n"/>
      <c r="W1973" s="67" t="n"/>
      <c r="X1973" s="62" t="inlineStr">
        <is>
          <t>N-OP</t>
        </is>
      </c>
      <c r="Y1973" s="116">
        <f>F1973/E1973</f>
        <v/>
      </c>
      <c r="Z1973" s="64">
        <f>E1973-N1973</f>
        <v/>
      </c>
    </row>
    <row r="1974" ht="15.75" customHeight="1" s="202">
      <c r="K1974" s="48">
        <f>D1974+8</f>
        <v/>
      </c>
      <c r="L1974" s="48">
        <f>K1974+60</f>
        <v/>
      </c>
      <c r="S1974" s="200" t="n"/>
      <c r="T1974" s="201" t="n"/>
      <c r="U1974" s="58" t="n"/>
      <c r="V1974" s="67" t="n"/>
      <c r="W1974" s="67" t="n"/>
      <c r="X1974" s="62" t="inlineStr">
        <is>
          <t>N-OP</t>
        </is>
      </c>
      <c r="Y1974" s="116">
        <f>F1974/E1974</f>
        <v/>
      </c>
      <c r="Z1974" s="64">
        <f>E1974-N1974</f>
        <v/>
      </c>
    </row>
    <row r="1975" ht="15.75" customHeight="1" s="202">
      <c r="K1975" s="48">
        <f>D1975+8</f>
        <v/>
      </c>
      <c r="L1975" s="48">
        <f>K1975+60</f>
        <v/>
      </c>
      <c r="S1975" s="200" t="n"/>
      <c r="T1975" s="201" t="n"/>
      <c r="U1975" s="58" t="n"/>
      <c r="V1975" s="67" t="n"/>
      <c r="W1975" s="67" t="n"/>
      <c r="X1975" s="62" t="inlineStr">
        <is>
          <t>N-OP</t>
        </is>
      </c>
      <c r="Y1975" s="116">
        <f>F1975/E1975</f>
        <v/>
      </c>
      <c r="Z1975" s="64">
        <f>E1975-N1975</f>
        <v/>
      </c>
    </row>
    <row r="1976" ht="15.75" customHeight="1" s="202">
      <c r="K1976" s="48">
        <f>D1976+8</f>
        <v/>
      </c>
      <c r="L1976" s="48">
        <f>K1976+60</f>
        <v/>
      </c>
      <c r="S1976" s="200" t="n"/>
      <c r="T1976" s="201" t="n"/>
      <c r="U1976" s="58" t="n"/>
      <c r="V1976" s="67" t="n"/>
      <c r="W1976" s="67" t="n"/>
      <c r="X1976" s="62" t="inlineStr">
        <is>
          <t>N-OP</t>
        </is>
      </c>
      <c r="Y1976" s="116">
        <f>F1976/E1976</f>
        <v/>
      </c>
      <c r="Z1976" s="64">
        <f>E1976-N1976</f>
        <v/>
      </c>
    </row>
    <row r="1977" ht="15.75" customHeight="1" s="202">
      <c r="K1977" s="48">
        <f>D1977+8</f>
        <v/>
      </c>
      <c r="L1977" s="48">
        <f>K1977+60</f>
        <v/>
      </c>
      <c r="S1977" s="200" t="n"/>
      <c r="T1977" s="201" t="n"/>
      <c r="U1977" s="58" t="n"/>
      <c r="V1977" s="67" t="n"/>
      <c r="W1977" s="67" t="n"/>
      <c r="X1977" s="62" t="inlineStr">
        <is>
          <t>N-OP</t>
        </is>
      </c>
      <c r="Y1977" s="116">
        <f>F1977/E1977</f>
        <v/>
      </c>
      <c r="Z1977" s="64">
        <f>E1977-N1977</f>
        <v/>
      </c>
    </row>
    <row r="1978" ht="15.75" customHeight="1" s="202">
      <c r="K1978" s="48">
        <f>D1978+8</f>
        <v/>
      </c>
      <c r="L1978" s="48">
        <f>K1978+60</f>
        <v/>
      </c>
      <c r="S1978" s="200" t="n"/>
      <c r="T1978" s="201" t="n"/>
      <c r="U1978" s="58" t="n"/>
      <c r="V1978" s="67" t="n"/>
      <c r="W1978" s="67" t="n"/>
      <c r="X1978" s="62" t="inlineStr">
        <is>
          <t>N-OP</t>
        </is>
      </c>
      <c r="Y1978" s="116">
        <f>F1978/E1978</f>
        <v/>
      </c>
      <c r="Z1978" s="64">
        <f>E1978-N1978</f>
        <v/>
      </c>
    </row>
    <row r="1979" ht="15.75" customHeight="1" s="202">
      <c r="K1979" s="48">
        <f>D1979+8</f>
        <v/>
      </c>
      <c r="L1979" s="48">
        <f>K1979+60</f>
        <v/>
      </c>
      <c r="S1979" s="200" t="n"/>
      <c r="T1979" s="201" t="n"/>
      <c r="U1979" s="58" t="n"/>
      <c r="V1979" s="67" t="n"/>
      <c r="W1979" s="67" t="n"/>
      <c r="X1979" s="62" t="inlineStr">
        <is>
          <t>N-OP</t>
        </is>
      </c>
      <c r="Y1979" s="116">
        <f>F1979/E1979</f>
        <v/>
      </c>
      <c r="Z1979" s="64">
        <f>E1979-N1979</f>
        <v/>
      </c>
    </row>
    <row r="1980" ht="15.75" customHeight="1" s="202">
      <c r="K1980" s="48">
        <f>D1980+8</f>
        <v/>
      </c>
      <c r="L1980" s="48">
        <f>K1980+60</f>
        <v/>
      </c>
      <c r="S1980" s="200" t="n"/>
      <c r="T1980" s="201" t="n"/>
      <c r="U1980" s="58" t="n"/>
      <c r="V1980" s="67" t="n"/>
      <c r="W1980" s="67" t="n"/>
      <c r="X1980" s="62" t="inlineStr">
        <is>
          <t>N-OP</t>
        </is>
      </c>
      <c r="Y1980" s="116">
        <f>F1980/E1980</f>
        <v/>
      </c>
      <c r="Z1980" s="64">
        <f>E1980-N1980</f>
        <v/>
      </c>
    </row>
    <row r="1981" ht="15.75" customHeight="1" s="202">
      <c r="K1981" s="48">
        <f>D1981+8</f>
        <v/>
      </c>
      <c r="L1981" s="48">
        <f>K1981+60</f>
        <v/>
      </c>
      <c r="S1981" s="200" t="n"/>
      <c r="T1981" s="201" t="n"/>
      <c r="U1981" s="58" t="n"/>
      <c r="V1981" s="67" t="n"/>
      <c r="W1981" s="67" t="n"/>
      <c r="X1981" s="62" t="inlineStr">
        <is>
          <t>N-OP</t>
        </is>
      </c>
      <c r="Y1981" s="116">
        <f>F1981/E1981</f>
        <v/>
      </c>
      <c r="Z1981" s="64">
        <f>E1981-N1981</f>
        <v/>
      </c>
    </row>
    <row r="1982" ht="15.75" customHeight="1" s="202">
      <c r="K1982" s="48">
        <f>D1982+8</f>
        <v/>
      </c>
      <c r="L1982" s="48">
        <f>K1982+60</f>
        <v/>
      </c>
      <c r="S1982" s="200" t="n"/>
      <c r="T1982" s="201" t="n"/>
      <c r="U1982" s="58" t="n"/>
      <c r="V1982" s="67" t="n"/>
      <c r="W1982" s="67" t="n"/>
      <c r="X1982" s="62" t="inlineStr">
        <is>
          <t>N-OP</t>
        </is>
      </c>
      <c r="Y1982" s="116">
        <f>F1982/E1982</f>
        <v/>
      </c>
      <c r="Z1982" s="64">
        <f>E1982-N1982</f>
        <v/>
      </c>
    </row>
    <row r="1983" ht="15.75" customHeight="1" s="202">
      <c r="K1983" s="48">
        <f>D1983+8</f>
        <v/>
      </c>
      <c r="L1983" s="48">
        <f>K1983+60</f>
        <v/>
      </c>
      <c r="S1983" s="200" t="n"/>
      <c r="T1983" s="201" t="n"/>
      <c r="U1983" s="58" t="n"/>
      <c r="V1983" s="67" t="n"/>
      <c r="W1983" s="67" t="n"/>
      <c r="X1983" s="62" t="inlineStr">
        <is>
          <t>N-OP</t>
        </is>
      </c>
      <c r="Y1983" s="116">
        <f>F1983/E1983</f>
        <v/>
      </c>
      <c r="Z1983" s="64">
        <f>E1983-N1983</f>
        <v/>
      </c>
    </row>
    <row r="1984" ht="15.75" customHeight="1" s="202">
      <c r="K1984" s="48">
        <f>D1984+8</f>
        <v/>
      </c>
      <c r="L1984" s="48">
        <f>K1984+60</f>
        <v/>
      </c>
      <c r="S1984" s="200" t="n"/>
      <c r="T1984" s="201" t="n"/>
      <c r="U1984" s="58" t="n"/>
      <c r="V1984" s="67" t="n"/>
      <c r="W1984" s="67" t="n"/>
      <c r="X1984" s="62" t="inlineStr">
        <is>
          <t>N-OP</t>
        </is>
      </c>
      <c r="Y1984" s="116">
        <f>F1984/E1984</f>
        <v/>
      </c>
      <c r="Z1984" s="64">
        <f>E1984-N1984</f>
        <v/>
      </c>
    </row>
    <row r="1985" ht="15.75" customHeight="1" s="202">
      <c r="K1985" s="48">
        <f>D1985+8</f>
        <v/>
      </c>
      <c r="L1985" s="48">
        <f>K1985+60</f>
        <v/>
      </c>
      <c r="S1985" s="200" t="n"/>
      <c r="T1985" s="201" t="n"/>
      <c r="U1985" s="58" t="n"/>
      <c r="V1985" s="67" t="n"/>
      <c r="W1985" s="67" t="n"/>
      <c r="X1985" s="62" t="inlineStr">
        <is>
          <t>N-OP</t>
        </is>
      </c>
      <c r="Y1985" s="116">
        <f>F1985/E1985</f>
        <v/>
      </c>
      <c r="Z1985" s="64">
        <f>E1985-N1985</f>
        <v/>
      </c>
    </row>
    <row r="1986" ht="15.75" customHeight="1" s="202">
      <c r="K1986" s="48">
        <f>D1986+8</f>
        <v/>
      </c>
      <c r="L1986" s="48">
        <f>K1986+60</f>
        <v/>
      </c>
      <c r="S1986" s="200" t="n"/>
      <c r="T1986" s="201" t="n"/>
      <c r="U1986" s="58" t="n"/>
      <c r="V1986" s="67" t="n"/>
      <c r="W1986" s="67" t="n"/>
      <c r="X1986" s="62" t="inlineStr">
        <is>
          <t>N-OP</t>
        </is>
      </c>
      <c r="Y1986" s="116">
        <f>F1986/E1986</f>
        <v/>
      </c>
      <c r="Z1986" s="64">
        <f>E1986-N1986</f>
        <v/>
      </c>
    </row>
    <row r="1987" ht="15.75" customHeight="1" s="202">
      <c r="K1987" s="48">
        <f>D1987+8</f>
        <v/>
      </c>
      <c r="L1987" s="48">
        <f>K1987+60</f>
        <v/>
      </c>
      <c r="S1987" s="200" t="n"/>
      <c r="T1987" s="201" t="n"/>
      <c r="U1987" s="58" t="n"/>
      <c r="V1987" s="67" t="n"/>
      <c r="W1987" s="67" t="n"/>
      <c r="X1987" s="62" t="inlineStr">
        <is>
          <t>N-OP</t>
        </is>
      </c>
      <c r="Y1987" s="116">
        <f>F1987/E1987</f>
        <v/>
      </c>
      <c r="Z1987" s="64">
        <f>E1987-N1987</f>
        <v/>
      </c>
    </row>
    <row r="1988" ht="15.75" customHeight="1" s="202">
      <c r="K1988" s="48">
        <f>D1988+8</f>
        <v/>
      </c>
      <c r="L1988" s="48">
        <f>K1988+60</f>
        <v/>
      </c>
      <c r="S1988" s="200" t="n"/>
      <c r="T1988" s="201" t="n"/>
      <c r="U1988" s="58" t="n"/>
      <c r="V1988" s="67" t="n"/>
      <c r="W1988" s="67" t="n"/>
      <c r="X1988" s="62" t="inlineStr">
        <is>
          <t>N-OP</t>
        </is>
      </c>
      <c r="Y1988" s="116">
        <f>F1988/E1988</f>
        <v/>
      </c>
      <c r="Z1988" s="64">
        <f>E1988-N1988</f>
        <v/>
      </c>
    </row>
    <row r="1989" ht="15.75" customHeight="1" s="202">
      <c r="K1989" s="48">
        <f>D1989+8</f>
        <v/>
      </c>
      <c r="L1989" s="48">
        <f>K1989+60</f>
        <v/>
      </c>
      <c r="S1989" s="200" t="n"/>
      <c r="T1989" s="201" t="n"/>
      <c r="U1989" s="58" t="n"/>
      <c r="V1989" s="67" t="n"/>
      <c r="W1989" s="67" t="n"/>
      <c r="X1989" s="62" t="inlineStr">
        <is>
          <t>N-OP</t>
        </is>
      </c>
      <c r="Y1989" s="116">
        <f>F1989/E1989</f>
        <v/>
      </c>
      <c r="Z1989" s="64">
        <f>E1989-N1989</f>
        <v/>
      </c>
    </row>
    <row r="1990" ht="15.75" customHeight="1" s="202">
      <c r="K1990" s="48">
        <f>D1990+8</f>
        <v/>
      </c>
      <c r="L1990" s="48">
        <f>K1990+60</f>
        <v/>
      </c>
      <c r="S1990" s="200" t="n"/>
      <c r="T1990" s="201" t="n"/>
      <c r="U1990" s="58" t="n"/>
      <c r="V1990" s="67" t="n"/>
      <c r="W1990" s="67" t="n"/>
      <c r="X1990" s="62" t="inlineStr">
        <is>
          <t>N-OP</t>
        </is>
      </c>
      <c r="Y1990" s="116">
        <f>F1990/E1990</f>
        <v/>
      </c>
      <c r="Z1990" s="64">
        <f>E1990-N1990</f>
        <v/>
      </c>
    </row>
    <row r="1991" ht="15.75" customHeight="1" s="202">
      <c r="K1991" s="48">
        <f>D1991+8</f>
        <v/>
      </c>
      <c r="L1991" s="48">
        <f>K1991+60</f>
        <v/>
      </c>
      <c r="S1991" s="200" t="n"/>
      <c r="T1991" s="201" t="n"/>
      <c r="U1991" s="58" t="n"/>
      <c r="V1991" s="67" t="n"/>
      <c r="W1991" s="67" t="n"/>
      <c r="X1991" s="62" t="inlineStr">
        <is>
          <t>N-OP</t>
        </is>
      </c>
      <c r="Y1991" s="116">
        <f>F1991/E1991</f>
        <v/>
      </c>
      <c r="Z1991" s="64">
        <f>E1991-N1991</f>
        <v/>
      </c>
    </row>
    <row r="1992" ht="15.75" customHeight="1" s="202">
      <c r="K1992" s="48">
        <f>D1992+8</f>
        <v/>
      </c>
      <c r="L1992" s="48">
        <f>K1992+60</f>
        <v/>
      </c>
      <c r="S1992" s="200" t="n"/>
      <c r="T1992" s="201" t="n"/>
      <c r="U1992" s="58" t="n"/>
      <c r="V1992" s="67" t="n"/>
      <c r="W1992" s="67" t="n"/>
      <c r="X1992" s="62" t="inlineStr">
        <is>
          <t>N-OP</t>
        </is>
      </c>
      <c r="Y1992" s="116">
        <f>F1992/E1992</f>
        <v/>
      </c>
      <c r="Z1992" s="64">
        <f>E1992-N1992</f>
        <v/>
      </c>
    </row>
    <row r="1993" ht="15.75" customHeight="1" s="202">
      <c r="K1993" s="48">
        <f>D1993+8</f>
        <v/>
      </c>
      <c r="L1993" s="48">
        <f>K1993+60</f>
        <v/>
      </c>
      <c r="S1993" s="200" t="n"/>
      <c r="T1993" s="201" t="n"/>
      <c r="U1993" s="58" t="n"/>
      <c r="V1993" s="67" t="n"/>
      <c r="W1993" s="67" t="n"/>
      <c r="X1993" s="62" t="inlineStr">
        <is>
          <t>N-OP</t>
        </is>
      </c>
      <c r="Y1993" s="116">
        <f>F1993/E1993</f>
        <v/>
      </c>
      <c r="Z1993" s="64">
        <f>E1993-N1993</f>
        <v/>
      </c>
    </row>
    <row r="1994" ht="15.75" customHeight="1" s="202">
      <c r="K1994" s="48">
        <f>D1994+8</f>
        <v/>
      </c>
      <c r="L1994" s="48">
        <f>K1994+60</f>
        <v/>
      </c>
      <c r="S1994" s="200" t="n"/>
      <c r="T1994" s="201" t="n"/>
      <c r="U1994" s="58" t="n"/>
      <c r="V1994" s="67" t="n"/>
      <c r="W1994" s="67" t="n"/>
      <c r="X1994" s="62" t="inlineStr">
        <is>
          <t>N-OP</t>
        </is>
      </c>
      <c r="Y1994" s="116">
        <f>F1994/E1994</f>
        <v/>
      </c>
      <c r="Z1994" s="64">
        <f>E1994-N1994</f>
        <v/>
      </c>
    </row>
    <row r="1995" ht="15.75" customHeight="1" s="202">
      <c r="K1995" s="48">
        <f>D1995+8</f>
        <v/>
      </c>
      <c r="L1995" s="48">
        <f>K1995+60</f>
        <v/>
      </c>
      <c r="S1995" s="200" t="n"/>
      <c r="T1995" s="201" t="n"/>
      <c r="U1995" s="58" t="n"/>
      <c r="V1995" s="67" t="n"/>
      <c r="W1995" s="67" t="n"/>
      <c r="X1995" s="62" t="inlineStr">
        <is>
          <t>N-OP</t>
        </is>
      </c>
      <c r="Y1995" s="116">
        <f>F1995/E1995</f>
        <v/>
      </c>
      <c r="Z1995" s="64">
        <f>E1995-N1995</f>
        <v/>
      </c>
    </row>
    <row r="1996" ht="15.75" customHeight="1" s="202">
      <c r="K1996" s="48">
        <f>D1996+8</f>
        <v/>
      </c>
      <c r="L1996" s="48">
        <f>K1996+60</f>
        <v/>
      </c>
      <c r="S1996" s="200" t="n"/>
      <c r="T1996" s="201" t="n"/>
      <c r="U1996" s="58" t="n"/>
      <c r="V1996" s="67" t="n"/>
      <c r="W1996" s="67" t="n"/>
      <c r="X1996" s="62" t="inlineStr">
        <is>
          <t>N-OP</t>
        </is>
      </c>
      <c r="Y1996" s="116">
        <f>F1996/E1996</f>
        <v/>
      </c>
      <c r="Z1996" s="64">
        <f>E1996-N1996</f>
        <v/>
      </c>
    </row>
    <row r="1997" ht="15.75" customHeight="1" s="202">
      <c r="K1997" s="48">
        <f>D1997+8</f>
        <v/>
      </c>
      <c r="L1997" s="48">
        <f>K1997+60</f>
        <v/>
      </c>
      <c r="S1997" s="200" t="n"/>
      <c r="T1997" s="201" t="n"/>
      <c r="U1997" s="58" t="n"/>
      <c r="V1997" s="67" t="n"/>
      <c r="W1997" s="67" t="n"/>
      <c r="X1997" s="62" t="inlineStr">
        <is>
          <t>N-OP</t>
        </is>
      </c>
      <c r="Y1997" s="116">
        <f>F1997/E1997</f>
        <v/>
      </c>
      <c r="Z1997" s="64">
        <f>E1997-N1997</f>
        <v/>
      </c>
    </row>
    <row r="1998" ht="15.75" customHeight="1" s="202">
      <c r="K1998" s="48">
        <f>D1998+8</f>
        <v/>
      </c>
      <c r="L1998" s="48">
        <f>K1998+60</f>
        <v/>
      </c>
      <c r="S1998" s="200" t="n"/>
      <c r="T1998" s="201" t="n"/>
      <c r="U1998" s="58" t="n"/>
      <c r="V1998" s="67" t="n"/>
      <c r="W1998" s="67" t="n"/>
      <c r="X1998" s="62" t="inlineStr">
        <is>
          <t>N-OP</t>
        </is>
      </c>
      <c r="Y1998" s="116">
        <f>F1998/E1998</f>
        <v/>
      </c>
      <c r="Z1998" s="64">
        <f>E1998-N1998</f>
        <v/>
      </c>
    </row>
    <row r="1999" ht="15.75" customHeight="1" s="202">
      <c r="K1999" s="48">
        <f>D1999+8</f>
        <v/>
      </c>
      <c r="L1999" s="48">
        <f>K1999+60</f>
        <v/>
      </c>
      <c r="S1999" s="200" t="n"/>
      <c r="T1999" s="201" t="n"/>
      <c r="U1999" s="58" t="n"/>
      <c r="V1999" s="67" t="n"/>
      <c r="W1999" s="67" t="n"/>
      <c r="X1999" s="62" t="inlineStr">
        <is>
          <t>N-OP</t>
        </is>
      </c>
      <c r="Y1999" s="116">
        <f>F1999/E1999</f>
        <v/>
      </c>
      <c r="Z1999" s="64">
        <f>E1999-N1999</f>
        <v/>
      </c>
    </row>
    <row r="2000" ht="15.75" customHeight="1" s="202">
      <c r="K2000" s="48">
        <f>D2000+8</f>
        <v/>
      </c>
      <c r="L2000" s="48">
        <f>K2000+60</f>
        <v/>
      </c>
      <c r="S2000" s="200" t="n"/>
      <c r="T2000" s="201" t="n"/>
      <c r="U2000" s="58" t="n"/>
      <c r="V2000" s="67" t="n"/>
      <c r="W2000" s="67" t="n"/>
      <c r="X2000" s="62" t="inlineStr">
        <is>
          <t>N-OP</t>
        </is>
      </c>
      <c r="Y2000" s="116">
        <f>F2000/E2000</f>
        <v/>
      </c>
      <c r="Z2000" s="64">
        <f>E2000-N2000</f>
        <v/>
      </c>
    </row>
    <row r="2001" ht="15.75" customHeight="1" s="202">
      <c r="K2001" s="48">
        <f>D2001+8</f>
        <v/>
      </c>
      <c r="L2001" s="48">
        <f>K2001+60</f>
        <v/>
      </c>
      <c r="S2001" s="200" t="n"/>
      <c r="T2001" s="201" t="n"/>
      <c r="U2001" s="58" t="n"/>
      <c r="V2001" s="67" t="n"/>
      <c r="W2001" s="67" t="n"/>
      <c r="X2001" s="62" t="inlineStr">
        <is>
          <t>N-OP</t>
        </is>
      </c>
      <c r="Y2001" s="116">
        <f>F2001/E2001</f>
        <v/>
      </c>
      <c r="Z2001" s="64">
        <f>E2001-N2001</f>
        <v/>
      </c>
    </row>
    <row r="2002" ht="15.75" customHeight="1" s="202">
      <c r="K2002" s="48">
        <f>D2002+8</f>
        <v/>
      </c>
      <c r="L2002" s="48">
        <f>K2002+60</f>
        <v/>
      </c>
      <c r="S2002" s="200" t="n"/>
      <c r="T2002" s="201" t="n"/>
      <c r="U2002" s="58" t="n"/>
      <c r="V2002" s="67" t="n"/>
      <c r="W2002" s="67" t="n"/>
      <c r="X2002" s="62" t="inlineStr">
        <is>
          <t>N-OP</t>
        </is>
      </c>
      <c r="Y2002" s="116">
        <f>F2002/E2002</f>
        <v/>
      </c>
      <c r="Z2002" s="64">
        <f>E2002-N2002</f>
        <v/>
      </c>
    </row>
    <row r="2003" ht="15.75" customHeight="1" s="202">
      <c r="K2003" s="48">
        <f>D2003+8</f>
        <v/>
      </c>
      <c r="L2003" s="48">
        <f>K2003+60</f>
        <v/>
      </c>
      <c r="S2003" s="200" t="n"/>
      <c r="T2003" s="201" t="n"/>
      <c r="U2003" s="58" t="n"/>
      <c r="V2003" s="67" t="n"/>
      <c r="W2003" s="67" t="n"/>
      <c r="X2003" s="62" t="inlineStr">
        <is>
          <t>N-OP</t>
        </is>
      </c>
      <c r="Y2003" s="116">
        <f>F2003/E2003</f>
        <v/>
      </c>
      <c r="Z2003" s="64">
        <f>E2003-N2003</f>
        <v/>
      </c>
    </row>
    <row r="2004" ht="15.75" customHeight="1" s="202">
      <c r="K2004" s="48">
        <f>D2004+8</f>
        <v/>
      </c>
      <c r="L2004" s="48">
        <f>K2004+60</f>
        <v/>
      </c>
      <c r="S2004" s="200" t="n"/>
      <c r="T2004" s="201" t="n"/>
      <c r="U2004" s="58" t="n"/>
      <c r="V2004" s="67" t="n"/>
      <c r="W2004" s="67" t="n"/>
      <c r="X2004" s="62" t="inlineStr">
        <is>
          <t>N-OP</t>
        </is>
      </c>
      <c r="Y2004" s="116">
        <f>F2004/E2004</f>
        <v/>
      </c>
      <c r="Z2004" s="64">
        <f>E2004-N2004</f>
        <v/>
      </c>
    </row>
    <row r="2005" ht="15.75" customHeight="1" s="202">
      <c r="K2005" s="48">
        <f>D2005+8</f>
        <v/>
      </c>
      <c r="L2005" s="48">
        <f>K2005+60</f>
        <v/>
      </c>
      <c r="S2005" s="200" t="n"/>
      <c r="T2005" s="201" t="n"/>
      <c r="U2005" s="58" t="n"/>
      <c r="V2005" s="67" t="n"/>
      <c r="W2005" s="67" t="n"/>
      <c r="X2005" s="62" t="inlineStr">
        <is>
          <t>N-OP</t>
        </is>
      </c>
      <c r="Y2005" s="116">
        <f>F2005/E2005</f>
        <v/>
      </c>
      <c r="Z2005" s="64">
        <f>E2005-N2005</f>
        <v/>
      </c>
    </row>
    <row r="2006" ht="15.75" customHeight="1" s="202">
      <c r="K2006" s="48">
        <f>D2006+8</f>
        <v/>
      </c>
      <c r="L2006" s="48">
        <f>K2006+60</f>
        <v/>
      </c>
      <c r="S2006" s="200" t="n"/>
      <c r="T2006" s="201" t="n"/>
      <c r="U2006" s="58" t="n"/>
      <c r="V2006" s="67" t="n"/>
      <c r="W2006" s="67" t="n"/>
      <c r="X2006" s="62" t="inlineStr">
        <is>
          <t>N-OP</t>
        </is>
      </c>
      <c r="Y2006" s="116">
        <f>F2006/E2006</f>
        <v/>
      </c>
      <c r="Z2006" s="64">
        <f>E2006-N2006</f>
        <v/>
      </c>
    </row>
    <row r="2007" ht="15.75" customHeight="1" s="202">
      <c r="K2007" s="48">
        <f>D2007+8</f>
        <v/>
      </c>
      <c r="L2007" s="48">
        <f>K2007+60</f>
        <v/>
      </c>
      <c r="S2007" s="200" t="n"/>
      <c r="T2007" s="201" t="n"/>
      <c r="U2007" s="58" t="n"/>
      <c r="V2007" s="67" t="n"/>
      <c r="W2007" s="67" t="n"/>
      <c r="X2007" s="62" t="inlineStr">
        <is>
          <t>N-OP</t>
        </is>
      </c>
      <c r="Y2007" s="116">
        <f>F2007/E2007</f>
        <v/>
      </c>
      <c r="Z2007" s="64">
        <f>E2007-N2007</f>
        <v/>
      </c>
    </row>
    <row r="2008" ht="15.75" customHeight="1" s="202">
      <c r="K2008" s="48">
        <f>D2008+8</f>
        <v/>
      </c>
      <c r="L2008" s="48">
        <f>K2008+60</f>
        <v/>
      </c>
      <c r="S2008" s="200" t="n"/>
      <c r="T2008" s="201" t="n"/>
      <c r="U2008" s="58" t="n"/>
      <c r="V2008" s="67" t="n"/>
      <c r="W2008" s="67" t="n"/>
      <c r="X2008" s="62" t="inlineStr">
        <is>
          <t>N-OP</t>
        </is>
      </c>
      <c r="Y2008" s="116">
        <f>F2008/E2008</f>
        <v/>
      </c>
      <c r="Z2008" s="64">
        <f>E2008-N2008</f>
        <v/>
      </c>
    </row>
    <row r="2009" ht="15.75" customHeight="1" s="202">
      <c r="K2009" s="48">
        <f>D2009+8</f>
        <v/>
      </c>
      <c r="L2009" s="48">
        <f>K2009+60</f>
        <v/>
      </c>
      <c r="S2009" s="200" t="n"/>
      <c r="T2009" s="201" t="n"/>
      <c r="U2009" s="58" t="n"/>
      <c r="V2009" s="67" t="n"/>
      <c r="W2009" s="67" t="n"/>
      <c r="X2009" s="62" t="inlineStr">
        <is>
          <t>N-OP</t>
        </is>
      </c>
      <c r="Y2009" s="116">
        <f>F2009/E2009</f>
        <v/>
      </c>
      <c r="Z2009" s="64">
        <f>E2009-N2009</f>
        <v/>
      </c>
    </row>
    <row r="2010" ht="15.75" customHeight="1" s="202">
      <c r="K2010" s="48">
        <f>D2010+8</f>
        <v/>
      </c>
      <c r="L2010" s="48">
        <f>K2010+60</f>
        <v/>
      </c>
      <c r="S2010" s="200" t="n"/>
      <c r="T2010" s="201" t="n"/>
      <c r="U2010" s="58" t="n"/>
      <c r="V2010" s="67" t="n"/>
      <c r="W2010" s="67" t="n"/>
      <c r="X2010" s="62" t="inlineStr">
        <is>
          <t>N-OP</t>
        </is>
      </c>
      <c r="Y2010" s="116">
        <f>F2010/E2010</f>
        <v/>
      </c>
      <c r="Z2010" s="64">
        <f>E2010-N2010</f>
        <v/>
      </c>
    </row>
    <row r="2011" ht="15.75" customHeight="1" s="202">
      <c r="K2011" s="48">
        <f>D2011+8</f>
        <v/>
      </c>
      <c r="L2011" s="48">
        <f>K2011+60</f>
        <v/>
      </c>
      <c r="S2011" s="200" t="n"/>
      <c r="T2011" s="201" t="n"/>
      <c r="U2011" s="58" t="n"/>
      <c r="V2011" s="67" t="n"/>
      <c r="W2011" s="67" t="n"/>
      <c r="X2011" s="62" t="inlineStr">
        <is>
          <t>N-OP</t>
        </is>
      </c>
      <c r="Y2011" s="116">
        <f>F2011/E2011</f>
        <v/>
      </c>
      <c r="Z2011" s="64">
        <f>E2011-N2011</f>
        <v/>
      </c>
    </row>
    <row r="2012" ht="15.75" customHeight="1" s="202">
      <c r="K2012" s="48">
        <f>D2012+8</f>
        <v/>
      </c>
      <c r="L2012" s="48">
        <f>K2012+60</f>
        <v/>
      </c>
      <c r="S2012" s="200" t="n"/>
      <c r="T2012" s="201" t="n"/>
      <c r="U2012" s="58" t="n"/>
      <c r="V2012" s="67" t="n"/>
      <c r="W2012" s="67" t="n"/>
      <c r="X2012" s="62" t="inlineStr">
        <is>
          <t>N-OP</t>
        </is>
      </c>
      <c r="Y2012" s="116">
        <f>F2012/E2012</f>
        <v/>
      </c>
      <c r="Z2012" s="64">
        <f>E2012-N2012</f>
        <v/>
      </c>
    </row>
    <row r="2013" ht="15.75" customHeight="1" s="202">
      <c r="K2013" s="48">
        <f>D2013+8</f>
        <v/>
      </c>
      <c r="L2013" s="48">
        <f>K2013+60</f>
        <v/>
      </c>
      <c r="S2013" s="200" t="n"/>
      <c r="T2013" s="201" t="n"/>
      <c r="U2013" s="58" t="n"/>
      <c r="V2013" s="67" t="n"/>
      <c r="W2013" s="67" t="n"/>
      <c r="X2013" s="62" t="inlineStr">
        <is>
          <t>N-OP</t>
        </is>
      </c>
      <c r="Y2013" s="116">
        <f>F2013/E2013</f>
        <v/>
      </c>
      <c r="Z2013" s="64">
        <f>E2013-N2013</f>
        <v/>
      </c>
    </row>
    <row r="2014" ht="15.75" customHeight="1" s="202">
      <c r="K2014" s="48">
        <f>D2014+8</f>
        <v/>
      </c>
      <c r="L2014" s="48">
        <f>K2014+60</f>
        <v/>
      </c>
      <c r="S2014" s="200" t="n"/>
      <c r="T2014" s="201" t="n"/>
      <c r="U2014" s="58" t="n"/>
      <c r="V2014" s="67" t="n"/>
      <c r="W2014" s="67" t="n"/>
      <c r="X2014" s="62" t="inlineStr">
        <is>
          <t>N-OP</t>
        </is>
      </c>
      <c r="Y2014" s="116">
        <f>F2014/E2014</f>
        <v/>
      </c>
      <c r="Z2014" s="64">
        <f>E2014-N2014</f>
        <v/>
      </c>
    </row>
    <row r="2015" ht="15.75" customHeight="1" s="202">
      <c r="K2015" s="48">
        <f>D2015+8</f>
        <v/>
      </c>
      <c r="L2015" s="48">
        <f>K2015+60</f>
        <v/>
      </c>
      <c r="S2015" s="200" t="n"/>
      <c r="T2015" s="201" t="n"/>
      <c r="U2015" s="58" t="n"/>
      <c r="V2015" s="67" t="n"/>
      <c r="W2015" s="67" t="n"/>
      <c r="X2015" s="62" t="inlineStr">
        <is>
          <t>N-OP</t>
        </is>
      </c>
      <c r="Y2015" s="116">
        <f>F2015/E2015</f>
        <v/>
      </c>
      <c r="Z2015" s="64">
        <f>E2015-N2015</f>
        <v/>
      </c>
    </row>
    <row r="2016" ht="15.75" customHeight="1" s="202">
      <c r="K2016" s="48">
        <f>D2016+8</f>
        <v/>
      </c>
      <c r="L2016" s="48">
        <f>K2016+60</f>
        <v/>
      </c>
      <c r="S2016" s="200" t="n"/>
      <c r="T2016" s="201" t="n"/>
      <c r="U2016" s="58" t="n"/>
      <c r="V2016" s="67" t="n"/>
      <c r="W2016" s="67" t="n"/>
      <c r="X2016" s="62" t="inlineStr">
        <is>
          <t>N-OP</t>
        </is>
      </c>
      <c r="Y2016" s="116">
        <f>F2016/E2016</f>
        <v/>
      </c>
      <c r="Z2016" s="64">
        <f>E2016-N2016</f>
        <v/>
      </c>
    </row>
    <row r="2017" ht="15.75" customHeight="1" s="202">
      <c r="K2017" s="48">
        <f>D2017+8</f>
        <v/>
      </c>
      <c r="L2017" s="48">
        <f>K2017+60</f>
        <v/>
      </c>
      <c r="S2017" s="200" t="n"/>
      <c r="T2017" s="201" t="n"/>
      <c r="U2017" s="58" t="n"/>
      <c r="V2017" s="67" t="n"/>
      <c r="W2017" s="67" t="n"/>
      <c r="X2017" s="62" t="inlineStr">
        <is>
          <t>N-OP</t>
        </is>
      </c>
      <c r="Y2017" s="116">
        <f>F2017/E2017</f>
        <v/>
      </c>
      <c r="Z2017" s="64">
        <f>E2017-N2017</f>
        <v/>
      </c>
    </row>
    <row r="2018" ht="15.75" customHeight="1" s="202">
      <c r="K2018" s="48">
        <f>D2018+8</f>
        <v/>
      </c>
      <c r="L2018" s="48">
        <f>K2018+60</f>
        <v/>
      </c>
      <c r="S2018" s="200" t="n"/>
      <c r="T2018" s="201" t="n"/>
      <c r="U2018" s="58" t="n"/>
      <c r="V2018" s="67" t="n"/>
      <c r="W2018" s="67" t="n"/>
      <c r="X2018" s="62" t="inlineStr">
        <is>
          <t>N-OP</t>
        </is>
      </c>
      <c r="Y2018" s="116">
        <f>F2018/E2018</f>
        <v/>
      </c>
      <c r="Z2018" s="64">
        <f>E2018-N2018</f>
        <v/>
      </c>
    </row>
    <row r="2019" ht="15.75" customHeight="1" s="202">
      <c r="K2019" s="48">
        <f>D2019+8</f>
        <v/>
      </c>
      <c r="L2019" s="48">
        <f>K2019+60</f>
        <v/>
      </c>
      <c r="S2019" s="200" t="n"/>
      <c r="T2019" s="201" t="n"/>
      <c r="U2019" s="58" t="n"/>
      <c r="V2019" s="67" t="n"/>
      <c r="W2019" s="67" t="n"/>
      <c r="X2019" s="62" t="inlineStr">
        <is>
          <t>N-OP</t>
        </is>
      </c>
      <c r="Y2019" s="116">
        <f>F2019/E2019</f>
        <v/>
      </c>
      <c r="Z2019" s="64">
        <f>E2019-N2019</f>
        <v/>
      </c>
    </row>
    <row r="2020" ht="15.75" customHeight="1" s="202">
      <c r="K2020" s="48">
        <f>D2020+8</f>
        <v/>
      </c>
      <c r="L2020" s="48">
        <f>K2020+60</f>
        <v/>
      </c>
      <c r="S2020" s="200" t="n"/>
      <c r="T2020" s="201" t="n"/>
      <c r="U2020" s="58" t="n"/>
      <c r="V2020" s="67" t="n"/>
      <c r="W2020" s="67" t="n"/>
      <c r="X2020" s="62" t="inlineStr">
        <is>
          <t>N-OP</t>
        </is>
      </c>
      <c r="Y2020" s="116">
        <f>F2020/E2020</f>
        <v/>
      </c>
      <c r="Z2020" s="64">
        <f>E2020-N2020</f>
        <v/>
      </c>
    </row>
    <row r="2021" ht="15.75" customHeight="1" s="202">
      <c r="K2021" s="48">
        <f>D2021+8</f>
        <v/>
      </c>
      <c r="L2021" s="48">
        <f>K2021+60</f>
        <v/>
      </c>
      <c r="S2021" s="200" t="n"/>
      <c r="T2021" s="201" t="n"/>
      <c r="U2021" s="58" t="n"/>
      <c r="V2021" s="67" t="n"/>
      <c r="W2021" s="67" t="n"/>
      <c r="X2021" s="62" t="inlineStr">
        <is>
          <t>N-OP</t>
        </is>
      </c>
      <c r="Y2021" s="116">
        <f>F2021/E2021</f>
        <v/>
      </c>
      <c r="Z2021" s="64">
        <f>E2021-N2021</f>
        <v/>
      </c>
    </row>
    <row r="2022" ht="15.75" customHeight="1" s="202">
      <c r="K2022" s="48">
        <f>D2022+8</f>
        <v/>
      </c>
      <c r="L2022" s="48">
        <f>K2022+60</f>
        <v/>
      </c>
      <c r="S2022" s="200" t="n"/>
      <c r="T2022" s="201" t="n"/>
      <c r="U2022" s="58" t="n"/>
      <c r="V2022" s="67" t="n"/>
      <c r="W2022" s="67" t="n"/>
      <c r="X2022" s="62" t="inlineStr">
        <is>
          <t>N-OP</t>
        </is>
      </c>
      <c r="Y2022" s="116">
        <f>F2022/E2022</f>
        <v/>
      </c>
      <c r="Z2022" s="64">
        <f>E2022-N2022</f>
        <v/>
      </c>
    </row>
    <row r="2023" ht="15.75" customHeight="1" s="202">
      <c r="K2023" s="48">
        <f>D2023+8</f>
        <v/>
      </c>
      <c r="L2023" s="48">
        <f>K2023+60</f>
        <v/>
      </c>
      <c r="S2023" s="200" t="n"/>
      <c r="T2023" s="201" t="n"/>
      <c r="U2023" s="58" t="n"/>
      <c r="V2023" s="67" t="n"/>
      <c r="W2023" s="67" t="n"/>
      <c r="X2023" s="62" t="inlineStr">
        <is>
          <t>N-OP</t>
        </is>
      </c>
      <c r="Y2023" s="116">
        <f>F2023/E2023</f>
        <v/>
      </c>
      <c r="Z2023" s="64">
        <f>E2023-N2023</f>
        <v/>
      </c>
    </row>
    <row r="2024" ht="15.75" customHeight="1" s="202">
      <c r="K2024" s="48">
        <f>D2024+8</f>
        <v/>
      </c>
      <c r="L2024" s="48">
        <f>K2024+60</f>
        <v/>
      </c>
      <c r="S2024" s="200" t="n"/>
      <c r="T2024" s="201" t="n"/>
      <c r="U2024" s="58" t="n"/>
      <c r="V2024" s="67" t="n"/>
      <c r="W2024" s="67" t="n"/>
      <c r="X2024" s="62" t="inlineStr">
        <is>
          <t>N-OP</t>
        </is>
      </c>
      <c r="Y2024" s="116">
        <f>F2024/E2024</f>
        <v/>
      </c>
      <c r="Z2024" s="64">
        <f>E2024-N2024</f>
        <v/>
      </c>
    </row>
    <row r="2025" ht="15.75" customHeight="1" s="202">
      <c r="K2025" s="48">
        <f>D2025+8</f>
        <v/>
      </c>
      <c r="L2025" s="48">
        <f>K2025+60</f>
        <v/>
      </c>
      <c r="S2025" s="200" t="n"/>
      <c r="T2025" s="201" t="n"/>
      <c r="U2025" s="58" t="n"/>
      <c r="V2025" s="67" t="n"/>
      <c r="W2025" s="67" t="n"/>
      <c r="X2025" s="62" t="inlineStr">
        <is>
          <t>N-OP</t>
        </is>
      </c>
      <c r="Y2025" s="116">
        <f>F2025/E2025</f>
        <v/>
      </c>
      <c r="Z2025" s="64">
        <f>E2025-N2025</f>
        <v/>
      </c>
    </row>
    <row r="2026" ht="15.75" customHeight="1" s="202">
      <c r="K2026" s="48">
        <f>D2026+8</f>
        <v/>
      </c>
      <c r="L2026" s="48">
        <f>K2026+60</f>
        <v/>
      </c>
      <c r="S2026" s="200" t="n"/>
      <c r="T2026" s="201" t="n"/>
      <c r="U2026" s="58" t="n"/>
      <c r="V2026" s="67" t="n"/>
      <c r="W2026" s="67" t="n"/>
      <c r="X2026" s="62" t="inlineStr">
        <is>
          <t>N-OP</t>
        </is>
      </c>
      <c r="Y2026" s="116">
        <f>F2026/E2026</f>
        <v/>
      </c>
      <c r="Z2026" s="64">
        <f>E2026-N2026</f>
        <v/>
      </c>
    </row>
    <row r="2027" ht="15.75" customHeight="1" s="202">
      <c r="K2027" s="48">
        <f>D2027+8</f>
        <v/>
      </c>
      <c r="L2027" s="48">
        <f>K2027+60</f>
        <v/>
      </c>
      <c r="S2027" s="200" t="n"/>
      <c r="T2027" s="201" t="n"/>
      <c r="U2027" s="58" t="n"/>
      <c r="V2027" s="67" t="n"/>
      <c r="W2027" s="67" t="n"/>
      <c r="X2027" s="62" t="inlineStr">
        <is>
          <t>N-OP</t>
        </is>
      </c>
      <c r="Y2027" s="116">
        <f>F2027/E2027</f>
        <v/>
      </c>
      <c r="Z2027" s="64">
        <f>E2027-N2027</f>
        <v/>
      </c>
    </row>
    <row r="2028" ht="15.75" customHeight="1" s="202">
      <c r="K2028" s="48">
        <f>D2028+8</f>
        <v/>
      </c>
      <c r="L2028" s="48">
        <f>K2028+60</f>
        <v/>
      </c>
      <c r="S2028" s="200" t="n"/>
      <c r="T2028" s="201" t="n"/>
      <c r="U2028" s="58" t="n"/>
      <c r="V2028" s="67" t="n"/>
      <c r="W2028" s="67" t="n"/>
      <c r="X2028" s="62" t="inlineStr">
        <is>
          <t>N-OP</t>
        </is>
      </c>
      <c r="Y2028" s="116">
        <f>F2028/E2028</f>
        <v/>
      </c>
      <c r="Z2028" s="64">
        <f>E2028-N2028</f>
        <v/>
      </c>
    </row>
    <row r="2029" ht="15.75" customHeight="1" s="202">
      <c r="K2029" s="48">
        <f>D2029+8</f>
        <v/>
      </c>
      <c r="L2029" s="48">
        <f>K2029+60</f>
        <v/>
      </c>
      <c r="S2029" s="200" t="n"/>
      <c r="T2029" s="201" t="n"/>
      <c r="U2029" s="58" t="n"/>
      <c r="V2029" s="67" t="n"/>
      <c r="W2029" s="67" t="n"/>
      <c r="X2029" s="62" t="inlineStr">
        <is>
          <t>N-OP</t>
        </is>
      </c>
      <c r="Y2029" s="116">
        <f>F2029/E2029</f>
        <v/>
      </c>
      <c r="Z2029" s="64">
        <f>E2029-N2029</f>
        <v/>
      </c>
    </row>
    <row r="2030" ht="15.75" customHeight="1" s="202">
      <c r="K2030" s="48">
        <f>D2030+8</f>
        <v/>
      </c>
      <c r="L2030" s="48">
        <f>K2030+60</f>
        <v/>
      </c>
      <c r="S2030" s="200" t="n"/>
      <c r="T2030" s="201" t="n"/>
      <c r="U2030" s="58" t="n"/>
      <c r="V2030" s="67" t="n"/>
      <c r="W2030" s="67" t="n"/>
      <c r="X2030" s="62" t="inlineStr">
        <is>
          <t>N-OP</t>
        </is>
      </c>
      <c r="Y2030" s="116">
        <f>F2030/E2030</f>
        <v/>
      </c>
      <c r="Z2030" s="64">
        <f>E2030-N2030</f>
        <v/>
      </c>
    </row>
    <row r="2031" ht="15.75" customHeight="1" s="202">
      <c r="K2031" s="48">
        <f>D2031+8</f>
        <v/>
      </c>
      <c r="L2031" s="48">
        <f>K2031+60</f>
        <v/>
      </c>
      <c r="S2031" s="200" t="n"/>
      <c r="T2031" s="201" t="n"/>
      <c r="U2031" s="58" t="n"/>
      <c r="V2031" s="67" t="n"/>
      <c r="W2031" s="67" t="n"/>
      <c r="X2031" s="62" t="inlineStr">
        <is>
          <t>N-OP</t>
        </is>
      </c>
      <c r="Y2031" s="116">
        <f>F2031/E2031</f>
        <v/>
      </c>
      <c r="Z2031" s="64">
        <f>E2031-N2031</f>
        <v/>
      </c>
    </row>
    <row r="2032" ht="15.75" customHeight="1" s="202">
      <c r="K2032" s="48">
        <f>D2032+8</f>
        <v/>
      </c>
      <c r="L2032" s="48">
        <f>K2032+60</f>
        <v/>
      </c>
      <c r="S2032" s="200" t="n"/>
      <c r="T2032" s="201" t="n"/>
      <c r="U2032" s="58" t="n"/>
      <c r="V2032" s="67" t="n"/>
      <c r="W2032" s="67" t="n"/>
      <c r="X2032" s="62" t="inlineStr">
        <is>
          <t>N-OP</t>
        </is>
      </c>
      <c r="Y2032" s="116">
        <f>F2032/E2032</f>
        <v/>
      </c>
      <c r="Z2032" s="64">
        <f>E2032-N2032</f>
        <v/>
      </c>
    </row>
    <row r="2033" ht="15.75" customHeight="1" s="202">
      <c r="K2033" s="48">
        <f>D2033+8</f>
        <v/>
      </c>
      <c r="L2033" s="48">
        <f>K2033+60</f>
        <v/>
      </c>
      <c r="S2033" s="200" t="n"/>
      <c r="T2033" s="201" t="n"/>
      <c r="U2033" s="58" t="n"/>
      <c r="V2033" s="67" t="n"/>
      <c r="W2033" s="67" t="n"/>
      <c r="X2033" s="62" t="inlineStr">
        <is>
          <t>N-OP</t>
        </is>
      </c>
      <c r="Y2033" s="116">
        <f>F2033/E2033</f>
        <v/>
      </c>
      <c r="Z2033" s="64">
        <f>E2033-N2033</f>
        <v/>
      </c>
    </row>
    <row r="2034" ht="15.75" customHeight="1" s="202">
      <c r="K2034" s="48">
        <f>D2034+8</f>
        <v/>
      </c>
      <c r="L2034" s="48">
        <f>K2034+60</f>
        <v/>
      </c>
      <c r="S2034" s="200" t="n"/>
      <c r="T2034" s="201" t="n"/>
      <c r="U2034" s="58" t="n"/>
      <c r="V2034" s="67" t="n"/>
      <c r="W2034" s="67" t="n"/>
      <c r="X2034" s="62" t="inlineStr">
        <is>
          <t>N-OP</t>
        </is>
      </c>
      <c r="Y2034" s="116">
        <f>F2034/E2034</f>
        <v/>
      </c>
      <c r="Z2034" s="64">
        <f>E2034-N2034</f>
        <v/>
      </c>
    </row>
    <row r="2035" ht="15.75" customHeight="1" s="202">
      <c r="K2035" s="48">
        <f>D2035+8</f>
        <v/>
      </c>
      <c r="L2035" s="48">
        <f>K2035+60</f>
        <v/>
      </c>
      <c r="S2035" s="200" t="n"/>
      <c r="T2035" s="201" t="n"/>
      <c r="U2035" s="58" t="n"/>
      <c r="V2035" s="67" t="n"/>
      <c r="W2035" s="67" t="n"/>
      <c r="X2035" s="62" t="inlineStr">
        <is>
          <t>N-OP</t>
        </is>
      </c>
      <c r="Y2035" s="116">
        <f>F2035/E2035</f>
        <v/>
      </c>
      <c r="Z2035" s="64">
        <f>E2035-N2035</f>
        <v/>
      </c>
    </row>
    <row r="2036" ht="15.75" customHeight="1" s="202">
      <c r="K2036" s="48">
        <f>D2036+8</f>
        <v/>
      </c>
      <c r="L2036" s="48">
        <f>K2036+60</f>
        <v/>
      </c>
      <c r="S2036" s="200" t="n"/>
      <c r="T2036" s="201" t="n"/>
      <c r="U2036" s="58" t="n"/>
      <c r="V2036" s="67" t="n"/>
      <c r="W2036" s="67" t="n"/>
      <c r="X2036" s="62" t="inlineStr">
        <is>
          <t>N-OP</t>
        </is>
      </c>
      <c r="Y2036" s="116">
        <f>F2036/E2036</f>
        <v/>
      </c>
      <c r="Z2036" s="64">
        <f>E2036-N2036</f>
        <v/>
      </c>
    </row>
    <row r="2037" ht="15.75" customHeight="1" s="202">
      <c r="K2037" s="48">
        <f>D2037+8</f>
        <v/>
      </c>
      <c r="L2037" s="48">
        <f>K2037+60</f>
        <v/>
      </c>
      <c r="S2037" s="200" t="n"/>
      <c r="T2037" s="201" t="n"/>
      <c r="U2037" s="58" t="n"/>
      <c r="V2037" s="67" t="n"/>
      <c r="W2037" s="67" t="n"/>
      <c r="X2037" s="62" t="inlineStr">
        <is>
          <t>N-OP</t>
        </is>
      </c>
      <c r="Y2037" s="116">
        <f>F2037/E2037</f>
        <v/>
      </c>
      <c r="Z2037" s="64">
        <f>E2037-N2037</f>
        <v/>
      </c>
    </row>
    <row r="2038" ht="15.75" customHeight="1" s="202">
      <c r="K2038" s="48">
        <f>D2038+8</f>
        <v/>
      </c>
      <c r="L2038" s="48">
        <f>K2038+60</f>
        <v/>
      </c>
      <c r="S2038" s="200" t="n"/>
      <c r="T2038" s="201" t="n"/>
      <c r="U2038" s="58" t="n"/>
      <c r="V2038" s="67" t="n"/>
      <c r="W2038" s="67" t="n"/>
      <c r="X2038" s="62" t="inlineStr">
        <is>
          <t>N-OP</t>
        </is>
      </c>
      <c r="Y2038" s="116">
        <f>F2038/E2038</f>
        <v/>
      </c>
      <c r="Z2038" s="64">
        <f>E2038-N2038</f>
        <v/>
      </c>
    </row>
    <row r="2039" ht="15.75" customHeight="1" s="202">
      <c r="K2039" s="48">
        <f>D2039+8</f>
        <v/>
      </c>
      <c r="L2039" s="48">
        <f>K2039+60</f>
        <v/>
      </c>
      <c r="S2039" s="200" t="n"/>
      <c r="T2039" s="201" t="n"/>
      <c r="U2039" s="58" t="n"/>
      <c r="V2039" s="67" t="n"/>
      <c r="W2039" s="67" t="n"/>
      <c r="X2039" s="62" t="inlineStr">
        <is>
          <t>N-OP</t>
        </is>
      </c>
      <c r="Y2039" s="116">
        <f>F2039/E2039</f>
        <v/>
      </c>
      <c r="Z2039" s="64">
        <f>E2039-N2039</f>
        <v/>
      </c>
    </row>
    <row r="2040" ht="15.75" customHeight="1" s="202">
      <c r="K2040" s="48">
        <f>D2040+8</f>
        <v/>
      </c>
      <c r="L2040" s="48">
        <f>K2040+60</f>
        <v/>
      </c>
      <c r="S2040" s="200" t="n"/>
      <c r="T2040" s="201" t="n"/>
      <c r="U2040" s="58" t="n"/>
      <c r="V2040" s="67" t="n"/>
      <c r="W2040" s="67" t="n"/>
      <c r="X2040" s="62" t="inlineStr">
        <is>
          <t>N-OP</t>
        </is>
      </c>
      <c r="Y2040" s="116">
        <f>F2040/E2040</f>
        <v/>
      </c>
      <c r="Z2040" s="64">
        <f>E2040-N2040</f>
        <v/>
      </c>
    </row>
    <row r="2041" ht="15.75" customHeight="1" s="202">
      <c r="K2041" s="48">
        <f>D2041+8</f>
        <v/>
      </c>
      <c r="L2041" s="48">
        <f>K2041+60</f>
        <v/>
      </c>
      <c r="S2041" s="200" t="n"/>
      <c r="T2041" s="201" t="n"/>
      <c r="U2041" s="58" t="n"/>
      <c r="V2041" s="67" t="n"/>
      <c r="W2041" s="67" t="n"/>
      <c r="X2041" s="62" t="inlineStr">
        <is>
          <t>N-OP</t>
        </is>
      </c>
      <c r="Y2041" s="116">
        <f>F2041/E2041</f>
        <v/>
      </c>
      <c r="Z2041" s="64">
        <f>E2041-N2041</f>
        <v/>
      </c>
    </row>
    <row r="2042" ht="15.75" customHeight="1" s="202">
      <c r="K2042" s="48">
        <f>D2042+8</f>
        <v/>
      </c>
      <c r="L2042" s="48">
        <f>K2042+60</f>
        <v/>
      </c>
      <c r="S2042" s="200" t="n"/>
      <c r="T2042" s="201" t="n"/>
      <c r="U2042" s="58" t="n"/>
      <c r="V2042" s="67" t="n"/>
      <c r="W2042" s="67" t="n"/>
      <c r="X2042" s="62" t="inlineStr">
        <is>
          <t>N-OP</t>
        </is>
      </c>
      <c r="Y2042" s="116">
        <f>F2042/E2042</f>
        <v/>
      </c>
      <c r="Z2042" s="64">
        <f>E2042-N2042</f>
        <v/>
      </c>
    </row>
    <row r="2043" ht="15.75" customHeight="1" s="202">
      <c r="K2043" s="48">
        <f>D2043+8</f>
        <v/>
      </c>
      <c r="L2043" s="48">
        <f>K2043+60</f>
        <v/>
      </c>
      <c r="S2043" s="200" t="n"/>
      <c r="T2043" s="201" t="n"/>
      <c r="U2043" s="58" t="n"/>
      <c r="V2043" s="67" t="n"/>
      <c r="W2043" s="67" t="n"/>
      <c r="X2043" s="62" t="inlineStr">
        <is>
          <t>N-OP</t>
        </is>
      </c>
      <c r="Y2043" s="116">
        <f>F2043/E2043</f>
        <v/>
      </c>
      <c r="Z2043" s="64">
        <f>E2043-N2043</f>
        <v/>
      </c>
    </row>
    <row r="2044" ht="15.75" customHeight="1" s="202">
      <c r="K2044" s="48">
        <f>D2044+8</f>
        <v/>
      </c>
      <c r="L2044" s="48">
        <f>K2044+60</f>
        <v/>
      </c>
      <c r="S2044" s="200" t="n"/>
      <c r="T2044" s="201" t="n"/>
      <c r="U2044" s="58" t="n"/>
      <c r="V2044" s="67" t="n"/>
      <c r="W2044" s="67" t="n"/>
      <c r="X2044" s="62" t="inlineStr">
        <is>
          <t>N-OP</t>
        </is>
      </c>
      <c r="Y2044" s="116">
        <f>F2044/E2044</f>
        <v/>
      </c>
      <c r="Z2044" s="64">
        <f>E2044-N2044</f>
        <v/>
      </c>
    </row>
    <row r="2045" ht="15.75" customHeight="1" s="202">
      <c r="K2045" s="48">
        <f>D2045+8</f>
        <v/>
      </c>
      <c r="L2045" s="48">
        <f>K2045+60</f>
        <v/>
      </c>
      <c r="S2045" s="200" t="n"/>
      <c r="T2045" s="201" t="n"/>
      <c r="U2045" s="58" t="n"/>
      <c r="V2045" s="67" t="n"/>
      <c r="W2045" s="67" t="n"/>
      <c r="X2045" s="62" t="inlineStr">
        <is>
          <t>N-OP</t>
        </is>
      </c>
      <c r="Y2045" s="116">
        <f>F2045/E2045</f>
        <v/>
      </c>
      <c r="Z2045" s="64">
        <f>E2045-N2045</f>
        <v/>
      </c>
    </row>
    <row r="2046" ht="15.75" customHeight="1" s="202">
      <c r="K2046" s="48">
        <f>D2046+8</f>
        <v/>
      </c>
      <c r="L2046" s="48">
        <f>K2046+60</f>
        <v/>
      </c>
      <c r="S2046" s="200" t="n"/>
      <c r="T2046" s="201" t="n"/>
      <c r="U2046" s="58" t="n"/>
      <c r="V2046" s="67" t="n"/>
      <c r="W2046" s="67" t="n"/>
      <c r="X2046" s="62" t="inlineStr">
        <is>
          <t>N-OP</t>
        </is>
      </c>
      <c r="Y2046" s="116">
        <f>F2046/E2046</f>
        <v/>
      </c>
      <c r="Z2046" s="64">
        <f>E2046-N2046</f>
        <v/>
      </c>
    </row>
    <row r="2047" ht="15.75" customHeight="1" s="202">
      <c r="K2047" s="48">
        <f>D2047+8</f>
        <v/>
      </c>
      <c r="L2047" s="48">
        <f>K2047+60</f>
        <v/>
      </c>
      <c r="S2047" s="200" t="n"/>
      <c r="T2047" s="201" t="n"/>
      <c r="U2047" s="58" t="n"/>
      <c r="V2047" s="67" t="n"/>
      <c r="W2047" s="67" t="n"/>
      <c r="X2047" s="62" t="inlineStr">
        <is>
          <t>N-OP</t>
        </is>
      </c>
      <c r="Y2047" s="116">
        <f>F2047/E2047</f>
        <v/>
      </c>
      <c r="Z2047" s="64">
        <f>E2047-N2047</f>
        <v/>
      </c>
    </row>
    <row r="2048" ht="15.75" customHeight="1" s="202">
      <c r="K2048" s="48">
        <f>D2048+8</f>
        <v/>
      </c>
      <c r="L2048" s="48">
        <f>K2048+60</f>
        <v/>
      </c>
      <c r="S2048" s="200" t="n"/>
      <c r="T2048" s="201" t="n"/>
      <c r="U2048" s="58" t="n"/>
      <c r="V2048" s="67" t="n"/>
      <c r="W2048" s="67" t="n"/>
      <c r="X2048" s="62" t="inlineStr">
        <is>
          <t>N-OP</t>
        </is>
      </c>
      <c r="Y2048" s="116">
        <f>F2048/E2048</f>
        <v/>
      </c>
      <c r="Z2048" s="64">
        <f>E2048-N2048</f>
        <v/>
      </c>
    </row>
    <row r="2049" ht="15.75" customHeight="1" s="202">
      <c r="K2049" s="48">
        <f>D2049+8</f>
        <v/>
      </c>
      <c r="L2049" s="48">
        <f>K2049+60</f>
        <v/>
      </c>
      <c r="S2049" s="200" t="n"/>
      <c r="T2049" s="201" t="n"/>
      <c r="U2049" s="58" t="n"/>
      <c r="V2049" s="67" t="n"/>
      <c r="W2049" s="67" t="n"/>
      <c r="X2049" s="62" t="inlineStr">
        <is>
          <t>N-OP</t>
        </is>
      </c>
      <c r="Y2049" s="116">
        <f>F2049/E2049</f>
        <v/>
      </c>
      <c r="Z2049" s="64">
        <f>E2049-N2049</f>
        <v/>
      </c>
    </row>
    <row r="2050" ht="15.75" customHeight="1" s="202">
      <c r="K2050" s="48">
        <f>D2050+8</f>
        <v/>
      </c>
      <c r="L2050" s="48">
        <f>K2050+60</f>
        <v/>
      </c>
      <c r="S2050" s="200" t="n"/>
      <c r="T2050" s="201" t="n"/>
      <c r="U2050" s="58" t="n"/>
      <c r="V2050" s="67" t="n"/>
      <c r="W2050" s="67" t="n"/>
      <c r="X2050" s="62" t="inlineStr">
        <is>
          <t>N-OP</t>
        </is>
      </c>
      <c r="Y2050" s="116">
        <f>F2050/E2050</f>
        <v/>
      </c>
      <c r="Z2050" s="64">
        <f>E2050-N2050</f>
        <v/>
      </c>
    </row>
    <row r="2051" ht="15.75" customHeight="1" s="202">
      <c r="K2051" s="48">
        <f>D2051+8</f>
        <v/>
      </c>
      <c r="L2051" s="48">
        <f>K2051+60</f>
        <v/>
      </c>
      <c r="S2051" s="200" t="n"/>
      <c r="T2051" s="201" t="n"/>
      <c r="U2051" s="58" t="n"/>
      <c r="V2051" s="67" t="n"/>
      <c r="W2051" s="67" t="n"/>
      <c r="X2051" s="62" t="inlineStr">
        <is>
          <t>N-OP</t>
        </is>
      </c>
      <c r="Y2051" s="116">
        <f>F2051/E2051</f>
        <v/>
      </c>
      <c r="Z2051" s="64">
        <f>E2051-N2051</f>
        <v/>
      </c>
    </row>
    <row r="2052" ht="15.75" customHeight="1" s="202">
      <c r="K2052" s="48">
        <f>D2052+8</f>
        <v/>
      </c>
      <c r="L2052" s="48">
        <f>K2052+60</f>
        <v/>
      </c>
      <c r="S2052" s="200" t="n"/>
      <c r="T2052" s="201" t="n"/>
      <c r="U2052" s="58" t="n"/>
      <c r="V2052" s="67" t="n"/>
      <c r="W2052" s="67" t="n"/>
      <c r="X2052" s="62" t="inlineStr">
        <is>
          <t>N-OP</t>
        </is>
      </c>
      <c r="Y2052" s="116">
        <f>F2052/E2052</f>
        <v/>
      </c>
      <c r="Z2052" s="64">
        <f>E2052-N2052</f>
        <v/>
      </c>
    </row>
    <row r="2053" ht="15.75" customHeight="1" s="202">
      <c r="K2053" s="48">
        <f>D2053+8</f>
        <v/>
      </c>
      <c r="L2053" s="48">
        <f>K2053+60</f>
        <v/>
      </c>
      <c r="S2053" s="200" t="n"/>
      <c r="T2053" s="201" t="n"/>
      <c r="U2053" s="58" t="n"/>
      <c r="V2053" s="67" t="n"/>
      <c r="W2053" s="67" t="n"/>
      <c r="X2053" s="62" t="inlineStr">
        <is>
          <t>N-OP</t>
        </is>
      </c>
      <c r="Y2053" s="116">
        <f>F2053/E2053</f>
        <v/>
      </c>
      <c r="Z2053" s="64">
        <f>E2053-N2053</f>
        <v/>
      </c>
    </row>
    <row r="2054" ht="15.75" customHeight="1" s="202">
      <c r="K2054" s="48">
        <f>D2054+8</f>
        <v/>
      </c>
      <c r="L2054" s="48">
        <f>K2054+60</f>
        <v/>
      </c>
      <c r="S2054" s="200" t="n"/>
      <c r="T2054" s="201" t="n"/>
      <c r="U2054" s="58" t="n"/>
      <c r="V2054" s="67" t="n"/>
      <c r="W2054" s="67" t="n"/>
      <c r="X2054" s="62" t="inlineStr">
        <is>
          <t>N-OP</t>
        </is>
      </c>
      <c r="Y2054" s="116">
        <f>F2054/E2054</f>
        <v/>
      </c>
      <c r="Z2054" s="64">
        <f>E2054-N2054</f>
        <v/>
      </c>
    </row>
    <row r="2055" ht="15.75" customHeight="1" s="202">
      <c r="K2055" s="48">
        <f>D2055+8</f>
        <v/>
      </c>
      <c r="L2055" s="48">
        <f>K2055+60</f>
        <v/>
      </c>
      <c r="S2055" s="200" t="n"/>
      <c r="T2055" s="201" t="n"/>
      <c r="U2055" s="58" t="n"/>
      <c r="V2055" s="67" t="n"/>
      <c r="W2055" s="67" t="n"/>
      <c r="X2055" s="62" t="inlineStr">
        <is>
          <t>N-OP</t>
        </is>
      </c>
      <c r="Y2055" s="116">
        <f>F2055/E2055</f>
        <v/>
      </c>
      <c r="Z2055" s="64">
        <f>E2055-N2055</f>
        <v/>
      </c>
    </row>
    <row r="2056" ht="15.75" customHeight="1" s="202">
      <c r="K2056" s="48">
        <f>D2056+8</f>
        <v/>
      </c>
      <c r="L2056" s="48">
        <f>K2056+60</f>
        <v/>
      </c>
      <c r="S2056" s="200" t="n"/>
      <c r="T2056" s="201" t="n"/>
      <c r="U2056" s="58" t="n"/>
      <c r="V2056" s="67" t="n"/>
      <c r="W2056" s="67" t="n"/>
      <c r="X2056" s="62" t="inlineStr">
        <is>
          <t>N-OP</t>
        </is>
      </c>
      <c r="Y2056" s="116">
        <f>F2056/E2056</f>
        <v/>
      </c>
      <c r="Z2056" s="64">
        <f>E2056-N2056</f>
        <v/>
      </c>
    </row>
    <row r="2057" ht="15.75" customHeight="1" s="202">
      <c r="K2057" s="48">
        <f>D2057+8</f>
        <v/>
      </c>
      <c r="L2057" s="48">
        <f>K2057+60</f>
        <v/>
      </c>
      <c r="S2057" s="200" t="n"/>
      <c r="T2057" s="201" t="n"/>
      <c r="U2057" s="58" t="n"/>
      <c r="V2057" s="67" t="n"/>
      <c r="W2057" s="67" t="n"/>
      <c r="X2057" s="62" t="inlineStr">
        <is>
          <t>N-OP</t>
        </is>
      </c>
      <c r="Y2057" s="116">
        <f>F2057/E2057</f>
        <v/>
      </c>
      <c r="Z2057" s="64">
        <f>E2057-N2057</f>
        <v/>
      </c>
    </row>
    <row r="2058" ht="15.75" customHeight="1" s="202">
      <c r="K2058" s="48">
        <f>D2058+8</f>
        <v/>
      </c>
      <c r="L2058" s="48">
        <f>K2058+60</f>
        <v/>
      </c>
      <c r="S2058" s="200" t="n"/>
      <c r="T2058" s="201" t="n"/>
      <c r="U2058" s="58" t="n"/>
      <c r="V2058" s="67" t="n"/>
      <c r="W2058" s="67" t="n"/>
      <c r="X2058" s="62" t="inlineStr">
        <is>
          <t>N-OP</t>
        </is>
      </c>
      <c r="Y2058" s="116">
        <f>F2058/E2058</f>
        <v/>
      </c>
      <c r="Z2058" s="64">
        <f>E2058-N2058</f>
        <v/>
      </c>
    </row>
    <row r="2059" ht="15.75" customHeight="1" s="202">
      <c r="K2059" s="48">
        <f>D2059+8</f>
        <v/>
      </c>
      <c r="L2059" s="48">
        <f>K2059+60</f>
        <v/>
      </c>
      <c r="S2059" s="200" t="n"/>
      <c r="T2059" s="201" t="n"/>
      <c r="U2059" s="58" t="n"/>
      <c r="V2059" s="67" t="n"/>
      <c r="W2059" s="67" t="n"/>
      <c r="X2059" s="62" t="inlineStr">
        <is>
          <t>N-OP</t>
        </is>
      </c>
      <c r="Y2059" s="116">
        <f>F2059/E2059</f>
        <v/>
      </c>
      <c r="Z2059" s="64">
        <f>E2059-N2059</f>
        <v/>
      </c>
    </row>
    <row r="2060" ht="15.75" customHeight="1" s="202">
      <c r="K2060" s="48">
        <f>D2060+8</f>
        <v/>
      </c>
      <c r="L2060" s="48">
        <f>K2060+60</f>
        <v/>
      </c>
      <c r="S2060" s="200" t="n"/>
      <c r="T2060" s="201" t="n"/>
      <c r="U2060" s="58" t="n"/>
      <c r="V2060" s="67" t="n"/>
      <c r="W2060" s="67" t="n"/>
      <c r="X2060" s="62" t="inlineStr">
        <is>
          <t>N-OP</t>
        </is>
      </c>
      <c r="Y2060" s="116">
        <f>F2060/E2060</f>
        <v/>
      </c>
      <c r="Z2060" s="64">
        <f>E2060-N2060</f>
        <v/>
      </c>
    </row>
    <row r="2061" ht="15.75" customHeight="1" s="202">
      <c r="K2061" s="48">
        <f>D2061+8</f>
        <v/>
      </c>
      <c r="L2061" s="48">
        <f>K2061+60</f>
        <v/>
      </c>
    </row>
    <row r="2062" ht="15.75" customHeight="1" s="202">
      <c r="K2062" s="48">
        <f>D2062+8</f>
        <v/>
      </c>
      <c r="L2062" s="48">
        <f>K2062+60</f>
        <v/>
      </c>
    </row>
    <row r="2063" ht="15.75" customHeight="1" s="202">
      <c r="K2063" s="48">
        <f>D2063+8</f>
        <v/>
      </c>
      <c r="L2063" s="48">
        <f>K2063+60</f>
        <v/>
      </c>
    </row>
    <row r="2064" ht="15.75" customHeight="1" s="202">
      <c r="K2064" s="48">
        <f>D2064+8</f>
        <v/>
      </c>
      <c r="L2064" s="48">
        <f>K2064+60</f>
        <v/>
      </c>
    </row>
    <row r="2065"/>
    <row r="2066">
      <c r="S2066" s="52" t="n"/>
    </row>
    <row r="2067">
      <c r="S2067" s="224" t="n"/>
    </row>
    <row r="2068">
      <c r="S2068" s="224" t="n"/>
    </row>
    <row r="2069">
      <c r="S2069" s="117" t="n"/>
    </row>
    <row r="2070">
      <c r="S2070" s="117" t="n"/>
    </row>
    <row r="2071"/>
    <row r="2072"/>
    <row r="2073">
      <c r="H2073" s="275" t="n"/>
    </row>
  </sheetData>
  <autoFilter ref="A1:Z2064"/>
  <conditionalFormatting sqref="N14:O14">
    <cfRule type="cellIs" priority="77" operator="equal" dxfId="0">
      <formula>0</formula>
    </cfRule>
  </conditionalFormatting>
  <conditionalFormatting sqref="N19:O19">
    <cfRule type="cellIs" priority="83" operator="equal" dxfId="0">
      <formula>0</formula>
    </cfRule>
  </conditionalFormatting>
  <conditionalFormatting sqref="N32:O32">
    <cfRule type="cellIs" priority="82" operator="equal" dxfId="0">
      <formula>0</formula>
    </cfRule>
  </conditionalFormatting>
  <conditionalFormatting sqref="N44:O44">
    <cfRule type="cellIs" priority="103" operator="equal" dxfId="0">
      <formula>0</formula>
    </cfRule>
  </conditionalFormatting>
  <conditionalFormatting sqref="N60:O60">
    <cfRule type="cellIs" priority="107" operator="equal" dxfId="0">
      <formula>0</formula>
    </cfRule>
  </conditionalFormatting>
  <conditionalFormatting sqref="N63:O63">
    <cfRule type="cellIs" priority="102" operator="equal" dxfId="0">
      <formula>0</formula>
    </cfRule>
  </conditionalFormatting>
  <conditionalFormatting sqref="N64:O64">
    <cfRule type="cellIs" priority="78" operator="equal" dxfId="0">
      <formula>0</formula>
    </cfRule>
  </conditionalFormatting>
  <conditionalFormatting sqref="N65:O65">
    <cfRule type="cellIs" priority="105" operator="equal" dxfId="0">
      <formula>0</formula>
    </cfRule>
  </conditionalFormatting>
  <conditionalFormatting sqref="N67:O67">
    <cfRule type="cellIs" priority="95" operator="equal" dxfId="0">
      <formula>0</formula>
    </cfRule>
  </conditionalFormatting>
  <conditionalFormatting sqref="N69:O69">
    <cfRule type="cellIs" priority="94" operator="equal" dxfId="0">
      <formula>0</formula>
    </cfRule>
  </conditionalFormatting>
  <conditionalFormatting sqref="N70:O70">
    <cfRule type="cellIs" priority="93" operator="equal" dxfId="0">
      <formula>0</formula>
    </cfRule>
  </conditionalFormatting>
  <conditionalFormatting sqref="N71:O71">
    <cfRule type="cellIs" priority="108" operator="equal" dxfId="0">
      <formula>0</formula>
    </cfRule>
  </conditionalFormatting>
  <conditionalFormatting sqref="N75:O75">
    <cfRule type="cellIs" priority="106" operator="equal" dxfId="0">
      <formula>0</formula>
    </cfRule>
  </conditionalFormatting>
  <conditionalFormatting sqref="N77:O77">
    <cfRule type="cellIs" priority="104" operator="equal" dxfId="0">
      <formula>0</formula>
    </cfRule>
  </conditionalFormatting>
  <conditionalFormatting sqref="N81:O81">
    <cfRule type="cellIs" priority="99" operator="equal" dxfId="0">
      <formula>0</formula>
    </cfRule>
  </conditionalFormatting>
  <conditionalFormatting sqref="N94:O94">
    <cfRule type="cellIs" priority="96" operator="equal" dxfId="0">
      <formula>0</formula>
    </cfRule>
  </conditionalFormatting>
  <conditionalFormatting sqref="N103:O103">
    <cfRule type="cellIs" priority="98" operator="equal" dxfId="0">
      <formula>0</formula>
    </cfRule>
  </conditionalFormatting>
  <conditionalFormatting sqref="N105:O105">
    <cfRule type="cellIs" priority="97" operator="equal" dxfId="0">
      <formula>0</formula>
    </cfRule>
  </conditionalFormatting>
  <conditionalFormatting sqref="N108:O108">
    <cfRule type="cellIs" priority="91" operator="equal" dxfId="0">
      <formula>0</formula>
    </cfRule>
  </conditionalFormatting>
  <conditionalFormatting sqref="N138:O138">
    <cfRule type="cellIs" priority="92" operator="equal" dxfId="0">
      <formula>0</formula>
    </cfRule>
  </conditionalFormatting>
  <conditionalFormatting sqref="N165:O165">
    <cfRule type="cellIs" priority="90" operator="equal" dxfId="0">
      <formula>0</formula>
    </cfRule>
  </conditionalFormatting>
  <conditionalFormatting sqref="N168:O168">
    <cfRule type="cellIs" priority="89" operator="equal" dxfId="0">
      <formula>0</formula>
    </cfRule>
  </conditionalFormatting>
  <conditionalFormatting sqref="N189:O189">
    <cfRule type="cellIs" priority="81" operator="equal" dxfId="0">
      <formula>0</formula>
    </cfRule>
  </conditionalFormatting>
  <conditionalFormatting sqref="N221:O221">
    <cfRule type="cellIs" priority="87" operator="equal" dxfId="0">
      <formula>0</formula>
    </cfRule>
  </conditionalFormatting>
  <conditionalFormatting sqref="N222:O222">
    <cfRule type="cellIs" priority="88" operator="equal" dxfId="0">
      <formula>0</formula>
    </cfRule>
  </conditionalFormatting>
  <conditionalFormatting sqref="N224:O224">
    <cfRule type="cellIs" priority="86" operator="equal" dxfId="0">
      <formula>0</formula>
    </cfRule>
  </conditionalFormatting>
  <conditionalFormatting sqref="N225:O225">
    <cfRule type="cellIs" priority="85" operator="equal" dxfId="0">
      <formula>0</formula>
    </cfRule>
  </conditionalFormatting>
  <conditionalFormatting sqref="N226:O226">
    <cfRule type="cellIs" priority="84" operator="equal" dxfId="0">
      <formula>0</formula>
    </cfRule>
  </conditionalFormatting>
  <conditionalFormatting sqref="N400:O400">
    <cfRule type="cellIs" priority="80" operator="equal" dxfId="0">
      <formula>0</formula>
    </cfRule>
  </conditionalFormatting>
  <conditionalFormatting sqref="N429:O429">
    <cfRule type="cellIs" priority="72" operator="equal" dxfId="0">
      <formula>0</formula>
    </cfRule>
  </conditionalFormatting>
  <conditionalFormatting sqref="N430:O430">
    <cfRule type="cellIs" priority="60" operator="equal" dxfId="0">
      <formula>0</formula>
    </cfRule>
  </conditionalFormatting>
  <conditionalFormatting sqref="N442:O442">
    <cfRule type="cellIs" priority="67" operator="equal" dxfId="0">
      <formula>0</formula>
    </cfRule>
  </conditionalFormatting>
  <conditionalFormatting sqref="N443:O443">
    <cfRule type="cellIs" priority="66" operator="equal" dxfId="0">
      <formula>0</formula>
    </cfRule>
  </conditionalFormatting>
  <conditionalFormatting sqref="N444:O444">
    <cfRule type="cellIs" priority="73" operator="equal" dxfId="0">
      <formula>0</formula>
    </cfRule>
  </conditionalFormatting>
  <conditionalFormatting sqref="N538:O538">
    <cfRule type="cellIs" priority="63" operator="equal" dxfId="0">
      <formula>0</formula>
    </cfRule>
  </conditionalFormatting>
  <conditionalFormatting sqref="N542:O542">
    <cfRule type="cellIs" priority="57" operator="equal" dxfId="0">
      <formula>0</formula>
    </cfRule>
  </conditionalFormatting>
  <conditionalFormatting sqref="N548:O548">
    <cfRule type="cellIs" priority="61" operator="equal" dxfId="0">
      <formula>0</formula>
    </cfRule>
  </conditionalFormatting>
  <conditionalFormatting sqref="N551:O551">
    <cfRule type="cellIs" priority="50" operator="equal" dxfId="0">
      <formula>0</formula>
    </cfRule>
  </conditionalFormatting>
  <conditionalFormatting sqref="N711:O711">
    <cfRule type="cellIs" priority="52" operator="equal" dxfId="0">
      <formula>0</formula>
    </cfRule>
  </conditionalFormatting>
  <conditionalFormatting sqref="N762:O762">
    <cfRule type="cellIs" priority="49" operator="equal" dxfId="0">
      <formula>0</formula>
    </cfRule>
  </conditionalFormatting>
  <conditionalFormatting sqref="N763:O763">
    <cfRule type="cellIs" priority="48" operator="equal" dxfId="0">
      <formula>0</formula>
    </cfRule>
  </conditionalFormatting>
  <conditionalFormatting sqref="N822:O822">
    <cfRule type="cellIs" priority="64" operator="equal" dxfId="0">
      <formula>0</formula>
    </cfRule>
  </conditionalFormatting>
  <conditionalFormatting sqref="N846:O846">
    <cfRule type="cellIs" priority="46" operator="equal" dxfId="0">
      <formula>0</formula>
    </cfRule>
  </conditionalFormatting>
  <conditionalFormatting sqref="N849:O849">
    <cfRule type="cellIs" priority="47" operator="equal" dxfId="0">
      <formula>0</formula>
    </cfRule>
  </conditionalFormatting>
  <conditionalFormatting sqref="N870:O870">
    <cfRule type="cellIs" priority="44" operator="equal" dxfId="0">
      <formula>0</formula>
    </cfRule>
  </conditionalFormatting>
  <conditionalFormatting sqref="N879:O879">
    <cfRule type="cellIs" priority="31" operator="equal" dxfId="0">
      <formula>0</formula>
    </cfRule>
  </conditionalFormatting>
  <conditionalFormatting sqref="N880:O880">
    <cfRule type="cellIs" priority="32" operator="equal" dxfId="0">
      <formula>0</formula>
    </cfRule>
  </conditionalFormatting>
  <conditionalFormatting sqref="N1148:O1148">
    <cfRule type="cellIs" priority="26" operator="equal" dxfId="0">
      <formula>0</formula>
    </cfRule>
  </conditionalFormatting>
  <conditionalFormatting sqref="N1334:O1334">
    <cfRule type="cellIs" priority="19" operator="equal" dxfId="0">
      <formula>0</formula>
    </cfRule>
  </conditionalFormatting>
  <conditionalFormatting sqref="N1335:O1335">
    <cfRule type="cellIs" priority="22" operator="equal" dxfId="0">
      <formula>0</formula>
    </cfRule>
  </conditionalFormatting>
  <conditionalFormatting sqref="N42:O43">
    <cfRule type="cellIs" priority="100" operator="equal" dxfId="0">
      <formula>0</formula>
    </cfRule>
  </conditionalFormatting>
  <conditionalFormatting sqref="N91:O92">
    <cfRule type="cellIs" priority="101" operator="equal" dxfId="0">
      <formula>0</formula>
    </cfRule>
  </conditionalFormatting>
  <conditionalFormatting sqref="N396:O399">
    <cfRule type="cellIs" priority="79" operator="equal" dxfId="0">
      <formula>0</formula>
    </cfRule>
  </conditionalFormatting>
  <conditionalFormatting sqref="N413:O414">
    <cfRule type="cellIs" priority="76" operator="equal" dxfId="0">
      <formula>0</formula>
    </cfRule>
  </conditionalFormatting>
  <conditionalFormatting sqref="N431:O434">
    <cfRule type="cellIs" priority="59" operator="equal" dxfId="0">
      <formula>0</formula>
    </cfRule>
  </conditionalFormatting>
  <conditionalFormatting sqref="N539:O541">
    <cfRule type="cellIs" priority="62" operator="equal" dxfId="0">
      <formula>0</formula>
    </cfRule>
  </conditionalFormatting>
  <conditionalFormatting sqref="N549:O550">
    <cfRule type="cellIs" priority="56" operator="equal" dxfId="0">
      <formula>0</formula>
    </cfRule>
  </conditionalFormatting>
  <conditionalFormatting sqref="N572:O583">
    <cfRule type="cellIs" priority="55" operator="equal" dxfId="0">
      <formula>0</formula>
    </cfRule>
  </conditionalFormatting>
  <conditionalFormatting sqref="N584:O588">
    <cfRule type="cellIs" priority="54" operator="equal" dxfId="0">
      <formula>0</formula>
    </cfRule>
  </conditionalFormatting>
  <conditionalFormatting sqref="N589:O590">
    <cfRule type="cellIs" priority="53" operator="equal" dxfId="0">
      <formula>0</formula>
    </cfRule>
  </conditionalFormatting>
  <conditionalFormatting sqref="N655:O671">
    <cfRule type="cellIs" priority="51" operator="equal" dxfId="0">
      <formula>0</formula>
    </cfRule>
  </conditionalFormatting>
  <conditionalFormatting sqref="N714:O722">
    <cfRule type="cellIs" priority="75" operator="equal" dxfId="0">
      <formula>0</formula>
    </cfRule>
  </conditionalFormatting>
  <conditionalFormatting sqref="N723:O728">
    <cfRule type="cellIs" priority="74" operator="equal" dxfId="0">
      <formula>0</formula>
    </cfRule>
  </conditionalFormatting>
  <conditionalFormatting sqref="N729:O731">
    <cfRule type="cellIs" priority="71" operator="equal" dxfId="0">
      <formula>0</formula>
    </cfRule>
  </conditionalFormatting>
  <conditionalFormatting sqref="N732:O734">
    <cfRule type="cellIs" priority="70" operator="equal" dxfId="0">
      <formula>0</formula>
    </cfRule>
  </conditionalFormatting>
  <conditionalFormatting sqref="N736:O740">
    <cfRule type="cellIs" priority="69" operator="equal" dxfId="0">
      <formula>0</formula>
    </cfRule>
  </conditionalFormatting>
  <conditionalFormatting sqref="N741:O752">
    <cfRule type="cellIs" priority="68" operator="equal" dxfId="0">
      <formula>0</formula>
    </cfRule>
  </conditionalFormatting>
  <conditionalFormatting sqref="N808:O821">
    <cfRule type="cellIs" priority="65" operator="equal" dxfId="0">
      <formula>0</formula>
    </cfRule>
  </conditionalFormatting>
  <conditionalFormatting sqref="N836:O845">
    <cfRule type="cellIs" priority="58" operator="equal" dxfId="0">
      <formula>0</formula>
    </cfRule>
  </conditionalFormatting>
  <conditionalFormatting sqref="N857:O869">
    <cfRule type="cellIs" priority="45" operator="equal" dxfId="0">
      <formula>0</formula>
    </cfRule>
  </conditionalFormatting>
  <conditionalFormatting sqref="N872:O873">
    <cfRule type="cellIs" priority="34" operator="equal" dxfId="0">
      <formula>0</formula>
    </cfRule>
  </conditionalFormatting>
  <conditionalFormatting sqref="N874:O875">
    <cfRule type="cellIs" priority="36" operator="equal" dxfId="0">
      <formula>0</formula>
    </cfRule>
  </conditionalFormatting>
  <conditionalFormatting sqref="N876:O878">
    <cfRule type="cellIs" priority="33" operator="equal" dxfId="0">
      <formula>0</formula>
    </cfRule>
  </conditionalFormatting>
  <conditionalFormatting sqref="N881:O888">
    <cfRule type="cellIs" priority="28" operator="equal" dxfId="0">
      <formula>0</formula>
    </cfRule>
  </conditionalFormatting>
  <conditionalFormatting sqref="N902:O930">
    <cfRule type="cellIs" priority="43" operator="equal" dxfId="0">
      <formula>0</formula>
    </cfRule>
  </conditionalFormatting>
  <conditionalFormatting sqref="N931:O1019">
    <cfRule type="cellIs" priority="42" operator="equal" dxfId="0">
      <formula>0</formula>
    </cfRule>
  </conditionalFormatting>
  <conditionalFormatting sqref="N1020:O1036">
    <cfRule type="cellIs" priority="41" operator="equal" dxfId="0">
      <formula>0</formula>
    </cfRule>
  </conditionalFormatting>
  <conditionalFormatting sqref="N1037:O1049">
    <cfRule type="cellIs" priority="40" operator="equal" dxfId="0">
      <formula>0</formula>
    </cfRule>
  </conditionalFormatting>
  <conditionalFormatting sqref="N1050:O1066">
    <cfRule type="cellIs" priority="39" operator="equal" dxfId="0">
      <formula>0</formula>
    </cfRule>
  </conditionalFormatting>
  <conditionalFormatting sqref="N1067:O1082">
    <cfRule type="cellIs" priority="38" operator="equal" dxfId="0">
      <formula>0</formula>
    </cfRule>
  </conditionalFormatting>
  <conditionalFormatting sqref="N1083:O1087">
    <cfRule type="cellIs" priority="37" operator="equal" dxfId="0">
      <formula>0</formula>
    </cfRule>
  </conditionalFormatting>
  <conditionalFormatting sqref="N1088:O1093">
    <cfRule type="cellIs" priority="35" operator="equal" dxfId="0">
      <formula>0</formula>
    </cfRule>
  </conditionalFormatting>
  <conditionalFormatting sqref="N1094:O1097">
    <cfRule type="cellIs" priority="30" operator="equal" dxfId="0">
      <formula>0</formula>
    </cfRule>
  </conditionalFormatting>
  <conditionalFormatting sqref="N1098:O1101">
    <cfRule type="cellIs" priority="27" operator="equal" dxfId="0">
      <formula>0</formula>
    </cfRule>
  </conditionalFormatting>
  <conditionalFormatting sqref="N1109:O1110">
    <cfRule type="cellIs" priority="21" operator="equal" dxfId="0">
      <formula>0</formula>
    </cfRule>
  </conditionalFormatting>
  <conditionalFormatting sqref="N1111:O1115">
    <cfRule type="cellIs" priority="20" operator="equal" dxfId="0">
      <formula>0</formula>
    </cfRule>
  </conditionalFormatting>
  <conditionalFormatting sqref="N1116:O1117">
    <cfRule type="cellIs" priority="29" operator="equal" dxfId="0">
      <formula>0</formula>
    </cfRule>
  </conditionalFormatting>
  <conditionalFormatting sqref="N1149:O1165">
    <cfRule type="cellIs" priority="25" operator="equal" dxfId="0">
      <formula>0</formula>
    </cfRule>
  </conditionalFormatting>
  <conditionalFormatting sqref="N1166:O1316">
    <cfRule type="cellIs" priority="24" operator="equal" dxfId="0">
      <formula>0</formula>
    </cfRule>
  </conditionalFormatting>
  <conditionalFormatting sqref="N1317:O1333">
    <cfRule type="cellIs" priority="23" operator="equal" dxfId="0">
      <formula>0</formula>
    </cfRule>
  </conditionalFormatting>
  <conditionalFormatting sqref="N1102:O1102">
    <cfRule type="cellIs" priority="18" operator="equal" dxfId="0">
      <formula>0</formula>
    </cfRule>
  </conditionalFormatting>
  <conditionalFormatting sqref="N1133:O1133">
    <cfRule type="cellIs" priority="17" operator="equal" dxfId="0">
      <formula>0</formula>
    </cfRule>
  </conditionalFormatting>
  <conditionalFormatting sqref="N1336:O1345">
    <cfRule type="cellIs" priority="16" operator="equal" dxfId="0">
      <formula>0</formula>
    </cfRule>
  </conditionalFormatting>
  <conditionalFormatting sqref="N1346:O1355">
    <cfRule type="cellIs" priority="15" operator="equal" dxfId="0">
      <formula>0</formula>
    </cfRule>
  </conditionalFormatting>
  <conditionalFormatting sqref="N1356:O1365">
    <cfRule type="cellIs" priority="14" operator="equal" dxfId="0">
      <formula>0</formula>
    </cfRule>
  </conditionalFormatting>
  <conditionalFormatting sqref="N1366:O1377">
    <cfRule type="cellIs" priority="13" operator="equal" dxfId="0">
      <formula>0</formula>
    </cfRule>
  </conditionalFormatting>
  <conditionalFormatting sqref="N1378:O1384">
    <cfRule type="cellIs" priority="12" operator="equal" dxfId="0">
      <formula>0</formula>
    </cfRule>
  </conditionalFormatting>
  <conditionalFormatting sqref="N1402:O1410">
    <cfRule type="cellIs" priority="11" operator="equal" dxfId="0">
      <formula>0</formula>
    </cfRule>
  </conditionalFormatting>
  <conditionalFormatting sqref="N1411:O1421">
    <cfRule type="cellIs" priority="10" operator="equal" dxfId="0">
      <formula>0</formula>
    </cfRule>
  </conditionalFormatting>
  <conditionalFormatting sqref="N1422:O1437">
    <cfRule type="cellIs" priority="9" operator="equal" dxfId="0">
      <formula>0</formula>
    </cfRule>
  </conditionalFormatting>
  <conditionalFormatting sqref="N889:O896">
    <cfRule type="cellIs" priority="8" operator="equal" dxfId="0">
      <formula>0</formula>
    </cfRule>
  </conditionalFormatting>
  <conditionalFormatting sqref="N897:O900">
    <cfRule type="cellIs" priority="7" operator="equal" dxfId="0">
      <formula>0</formula>
    </cfRule>
  </conditionalFormatting>
  <conditionalFormatting sqref="N1103">
    <cfRule type="cellIs" priority="6" operator="equal" dxfId="0">
      <formula>0</formula>
    </cfRule>
  </conditionalFormatting>
  <conditionalFormatting sqref="N1105:N1108">
    <cfRule type="cellIs" priority="5" operator="equal" dxfId="0">
      <formula>0</formula>
    </cfRule>
  </conditionalFormatting>
  <conditionalFormatting sqref="N1118:N1132 N1134:N1147">
    <cfRule type="cellIs" priority="4" operator="equal" dxfId="0">
      <formula>0</formula>
    </cfRule>
  </conditionalFormatting>
  <conditionalFormatting sqref="N1385">
    <cfRule type="cellIs" priority="3" operator="equal" dxfId="0">
      <formula>0</formula>
    </cfRule>
  </conditionalFormatting>
  <conditionalFormatting sqref="N1401">
    <cfRule type="cellIs" priority="2" operator="equal" dxfId="0">
      <formula>0</formula>
    </cfRule>
  </conditionalFormatting>
  <conditionalFormatting sqref="N1386:N1400">
    <cfRule type="cellIs" priority="1" operator="equal" dxfId="0">
      <formula>0</formula>
    </cfRule>
  </conditionalFormatting>
  <pageMargins left="0.7" right="0.7" top="0.75" bottom="0.75" header="0.3" footer="0.3"/>
  <pageSetup orientation="portrait" paperSize="9" horizontalDpi="180" verticalDpi="18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2026-04-01T21:55:18Z</dcterms:created>
  <dcterms:modified xmlns:dcterms="http://purl.org/dc/terms/" xmlns:xsi="http://www.w3.org/2001/XMLSchema-instance" xsi:type="dcterms:W3CDTF">2026-04-02T00:56:36Z</dcterms:modified>
  <cp:lastModifiedBy>hp</cp:lastModifiedBy>
</cp:coreProperties>
</file>